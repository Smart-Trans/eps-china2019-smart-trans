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267e054ca37a11/EPS China 3.3.1/InputData/elec/BPMCCS/"/>
    </mc:Choice>
  </mc:AlternateContent>
  <xr:revisionPtr revIDLastSave="2" documentId="13_ncr:1_{12C534B6-DA64-4ABD-916C-BE244CB04BB9}" xr6:coauthVersionLast="47" xr6:coauthVersionMax="47" xr10:uidLastSave="{60771AE8-98AF-4325-A264-8471C9BF621C}"/>
  <bookViews>
    <workbookView xWindow="-120" yWindow="-120" windowWidth="29040" windowHeight="15840" tabRatio="816" firstSheet="22" activeTab="26" xr2:uid="{00000000-000D-0000-FFFF-FFFF00000000}"/>
  </bookViews>
  <sheets>
    <sheet name="2000" sheetId="24" r:id="rId1"/>
    <sheet name="2001" sheetId="23" r:id="rId2"/>
    <sheet name="2002" sheetId="22" r:id="rId3"/>
    <sheet name="2003" sheetId="21" r:id="rId4"/>
    <sheet name="2004" sheetId="20" r:id="rId5"/>
    <sheet name="2005" sheetId="19" r:id="rId6"/>
    <sheet name="2006" sheetId="18" r:id="rId7"/>
    <sheet name="2007" sheetId="11" r:id="rId8"/>
    <sheet name="2008" sheetId="9" r:id="rId9"/>
    <sheet name="2009" sheetId="8" r:id="rId10"/>
    <sheet name="2010" sheetId="7" r:id="rId11"/>
    <sheet name="2011" sheetId="6" r:id="rId12"/>
    <sheet name="2012" sheetId="5" r:id="rId13"/>
    <sheet name="2013" sheetId="4" r:id="rId14"/>
    <sheet name="2014" sheetId="3" r:id="rId15"/>
    <sheet name="2015" sheetId="2" r:id="rId16"/>
    <sheet name="2016" sheetId="1" r:id="rId17"/>
    <sheet name="2017" sheetId="10" r:id="rId18"/>
    <sheet name="2018" sheetId="14" r:id="rId19"/>
    <sheet name="2019" sheetId="16" r:id="rId20"/>
    <sheet name="2020" sheetId="17" r:id="rId21"/>
    <sheet name="16-20统计" sheetId="13" r:id="rId22"/>
    <sheet name="煤油气历年新增" sheetId="25" r:id="rId23"/>
    <sheet name="首批20个太阳能热发电示范项目" sheetId="27" r:id="rId24"/>
    <sheet name="offshore" sheetId="29" r:id="rId25"/>
    <sheet name="Future" sheetId="28" r:id="rId26"/>
    <sheet name="Addition" sheetId="26" r:id="rId27"/>
    <sheet name="BPMCCS" sheetId="30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26" l="1"/>
  <c r="AB2" i="30"/>
  <c r="AC2" i="30"/>
  <c r="AD2" i="30"/>
  <c r="AE2" i="30"/>
  <c r="AF2" i="30"/>
  <c r="AG2" i="30"/>
  <c r="AH2" i="30"/>
  <c r="AI2" i="30"/>
  <c r="AJ2" i="30"/>
  <c r="AK2" i="30"/>
  <c r="AL2" i="30"/>
  <c r="AM2" i="30"/>
  <c r="AN2" i="30"/>
  <c r="AO2" i="30"/>
  <c r="AP2" i="30"/>
  <c r="AQ2" i="30"/>
  <c r="AB3" i="30"/>
  <c r="AC3" i="30"/>
  <c r="AD3" i="30"/>
  <c r="AE3" i="30"/>
  <c r="AF3" i="30"/>
  <c r="AG3" i="30"/>
  <c r="AH3" i="30"/>
  <c r="AI3" i="30"/>
  <c r="AJ3" i="30"/>
  <c r="AK3" i="30"/>
  <c r="AL3" i="30"/>
  <c r="AM3" i="30"/>
  <c r="AN3" i="30"/>
  <c r="AO3" i="30"/>
  <c r="AP3" i="30"/>
  <c r="AQ3" i="30"/>
  <c r="AB4" i="30"/>
  <c r="AC4" i="30"/>
  <c r="AD4" i="30"/>
  <c r="AE4" i="30"/>
  <c r="AF4" i="30"/>
  <c r="AG4" i="30"/>
  <c r="AH4" i="30"/>
  <c r="AI4" i="30"/>
  <c r="AJ4" i="30"/>
  <c r="AK4" i="30"/>
  <c r="AL4" i="30"/>
  <c r="AM4" i="30"/>
  <c r="AN4" i="30"/>
  <c r="AO4" i="30"/>
  <c r="AP4" i="30"/>
  <c r="AQ4" i="30"/>
  <c r="AB5" i="30"/>
  <c r="AC5" i="30"/>
  <c r="AD5" i="30"/>
  <c r="AE5" i="30"/>
  <c r="AF5" i="30"/>
  <c r="AG5" i="30"/>
  <c r="AH5" i="30"/>
  <c r="AI5" i="30"/>
  <c r="AJ5" i="30"/>
  <c r="AK5" i="30"/>
  <c r="AL5" i="30"/>
  <c r="AM5" i="30"/>
  <c r="AN5" i="30"/>
  <c r="AO5" i="30"/>
  <c r="AP5" i="30"/>
  <c r="AQ5" i="30"/>
  <c r="AB6" i="30"/>
  <c r="AC6" i="30"/>
  <c r="AD6" i="30"/>
  <c r="AE6" i="30"/>
  <c r="AF6" i="30"/>
  <c r="AG6" i="30"/>
  <c r="AH6" i="30"/>
  <c r="AI6" i="30"/>
  <c r="AJ6" i="30"/>
  <c r="AK6" i="30"/>
  <c r="AL6" i="30"/>
  <c r="AM6" i="30"/>
  <c r="AN6" i="30"/>
  <c r="AO6" i="30"/>
  <c r="AP6" i="30"/>
  <c r="AQ6" i="30"/>
  <c r="AB7" i="30"/>
  <c r="AC7" i="30"/>
  <c r="AD7" i="30"/>
  <c r="AE7" i="30"/>
  <c r="AF7" i="30"/>
  <c r="AG7" i="30"/>
  <c r="AH7" i="30"/>
  <c r="AI7" i="30"/>
  <c r="AJ7" i="30"/>
  <c r="AK7" i="30"/>
  <c r="AL7" i="30"/>
  <c r="AM7" i="30"/>
  <c r="AN7" i="30"/>
  <c r="AO7" i="30"/>
  <c r="AP7" i="30"/>
  <c r="AQ7" i="30"/>
  <c r="AB8" i="30"/>
  <c r="AC8" i="30"/>
  <c r="AD8" i="30"/>
  <c r="AE8" i="30"/>
  <c r="AF8" i="30"/>
  <c r="AG8" i="30"/>
  <c r="AH8" i="30"/>
  <c r="AI8" i="30"/>
  <c r="AJ8" i="30"/>
  <c r="AK8" i="30"/>
  <c r="AL8" i="30"/>
  <c r="AM8" i="30"/>
  <c r="AN8" i="30"/>
  <c r="AO8" i="30"/>
  <c r="AP8" i="30"/>
  <c r="AQ8" i="30"/>
  <c r="AB9" i="30"/>
  <c r="AC9" i="30"/>
  <c r="AD9" i="30"/>
  <c r="AE9" i="30"/>
  <c r="AF9" i="30"/>
  <c r="AG9" i="30"/>
  <c r="AH9" i="30"/>
  <c r="AI9" i="30"/>
  <c r="AJ9" i="30"/>
  <c r="AK9" i="30"/>
  <c r="AL9" i="30"/>
  <c r="AM9" i="30"/>
  <c r="AN9" i="30"/>
  <c r="AO9" i="30"/>
  <c r="AP9" i="30"/>
  <c r="AQ9" i="30"/>
  <c r="AB10" i="30"/>
  <c r="AC10" i="30"/>
  <c r="AD10" i="30"/>
  <c r="AE10" i="30"/>
  <c r="AF10" i="30"/>
  <c r="AG10" i="30"/>
  <c r="AH10" i="30"/>
  <c r="AI10" i="30"/>
  <c r="AJ10" i="30"/>
  <c r="AK10" i="30"/>
  <c r="AL10" i="30"/>
  <c r="AM10" i="30"/>
  <c r="AN10" i="30"/>
  <c r="AO10" i="30"/>
  <c r="AP10" i="30"/>
  <c r="AQ10" i="30"/>
  <c r="AB11" i="30"/>
  <c r="AC11" i="30"/>
  <c r="AD11" i="30"/>
  <c r="AE11" i="30"/>
  <c r="AF11" i="30"/>
  <c r="AG11" i="30"/>
  <c r="AH11" i="30"/>
  <c r="AI11" i="30"/>
  <c r="AJ11" i="30"/>
  <c r="AK11" i="30"/>
  <c r="AL11" i="30"/>
  <c r="AM11" i="30"/>
  <c r="AN11" i="30"/>
  <c r="AO11" i="30"/>
  <c r="AP11" i="30"/>
  <c r="AQ11" i="30"/>
  <c r="AB12" i="30"/>
  <c r="AC12" i="30"/>
  <c r="AD12" i="30"/>
  <c r="AE12" i="30"/>
  <c r="AF12" i="30"/>
  <c r="AG12" i="30"/>
  <c r="AH12" i="30"/>
  <c r="AI12" i="30"/>
  <c r="AJ12" i="30"/>
  <c r="AK12" i="30"/>
  <c r="AL12" i="30"/>
  <c r="AM12" i="30"/>
  <c r="AN12" i="30"/>
  <c r="AO12" i="30"/>
  <c r="AP12" i="30"/>
  <c r="AQ12" i="30"/>
  <c r="AB13" i="30"/>
  <c r="AC13" i="30"/>
  <c r="AD13" i="30"/>
  <c r="AE13" i="30"/>
  <c r="AF13" i="30"/>
  <c r="AG13" i="30"/>
  <c r="AH13" i="30"/>
  <c r="AI13" i="30"/>
  <c r="AJ13" i="30"/>
  <c r="AK13" i="30"/>
  <c r="AL13" i="30"/>
  <c r="AM13" i="30"/>
  <c r="AN13" i="30"/>
  <c r="AO13" i="30"/>
  <c r="AP13" i="30"/>
  <c r="AQ13" i="30"/>
  <c r="AB14" i="30"/>
  <c r="AC14" i="30"/>
  <c r="AD14" i="30"/>
  <c r="AE14" i="30"/>
  <c r="AF14" i="30"/>
  <c r="AG14" i="30"/>
  <c r="AH14" i="30"/>
  <c r="AI14" i="30"/>
  <c r="AJ14" i="30"/>
  <c r="AK14" i="30"/>
  <c r="AL14" i="30"/>
  <c r="AM14" i="30"/>
  <c r="AN14" i="30"/>
  <c r="AO14" i="30"/>
  <c r="AP14" i="30"/>
  <c r="AQ14" i="30"/>
  <c r="AB15" i="30"/>
  <c r="AC15" i="30"/>
  <c r="AD15" i="30"/>
  <c r="AE15" i="30"/>
  <c r="AF15" i="30"/>
  <c r="AG15" i="30"/>
  <c r="AH15" i="30"/>
  <c r="AI15" i="30"/>
  <c r="AJ15" i="30"/>
  <c r="AK15" i="30"/>
  <c r="AL15" i="30"/>
  <c r="AM15" i="30"/>
  <c r="AN15" i="30"/>
  <c r="AO15" i="30"/>
  <c r="AP15" i="30"/>
  <c r="AQ15" i="30"/>
  <c r="AB16" i="30"/>
  <c r="AC16" i="30"/>
  <c r="AD16" i="30"/>
  <c r="AE16" i="30"/>
  <c r="AF16" i="30"/>
  <c r="AG16" i="30"/>
  <c r="AH16" i="30"/>
  <c r="AI16" i="30"/>
  <c r="AJ16" i="30"/>
  <c r="AK16" i="30"/>
  <c r="AL16" i="30"/>
  <c r="AM16" i="30"/>
  <c r="AN16" i="30"/>
  <c r="AO16" i="30"/>
  <c r="AP16" i="30"/>
  <c r="AQ16" i="30"/>
  <c r="AB17" i="30"/>
  <c r="AC17" i="30"/>
  <c r="AD17" i="30"/>
  <c r="AE17" i="30"/>
  <c r="AF17" i="30"/>
  <c r="AG17" i="30"/>
  <c r="AH17" i="30"/>
  <c r="AI17" i="30"/>
  <c r="AJ17" i="30"/>
  <c r="AK17" i="30"/>
  <c r="AL17" i="30"/>
  <c r="AM17" i="30"/>
  <c r="AN17" i="30"/>
  <c r="AO17" i="30"/>
  <c r="AP17" i="30"/>
  <c r="AQ17" i="30"/>
  <c r="C2" i="30"/>
  <c r="D2" i="30"/>
  <c r="E2" i="30"/>
  <c r="F2" i="30"/>
  <c r="G2" i="30"/>
  <c r="H2" i="30"/>
  <c r="I2" i="30"/>
  <c r="J2" i="30"/>
  <c r="K2" i="30"/>
  <c r="L2" i="30"/>
  <c r="M2" i="30"/>
  <c r="N2" i="30"/>
  <c r="O2" i="30"/>
  <c r="P2" i="30"/>
  <c r="Q2" i="30"/>
  <c r="R2" i="30"/>
  <c r="S2" i="30"/>
  <c r="T2" i="30"/>
  <c r="U2" i="30"/>
  <c r="V2" i="30"/>
  <c r="W2" i="30"/>
  <c r="X2" i="30"/>
  <c r="Y2" i="30"/>
  <c r="Z2" i="30"/>
  <c r="AA2" i="30"/>
  <c r="C3" i="30"/>
  <c r="D3" i="30"/>
  <c r="E3" i="30"/>
  <c r="F3" i="30"/>
  <c r="G3" i="30"/>
  <c r="H3" i="30"/>
  <c r="I3" i="30"/>
  <c r="J3" i="30"/>
  <c r="K3" i="30"/>
  <c r="L3" i="30"/>
  <c r="M3" i="30"/>
  <c r="N3" i="30"/>
  <c r="O3" i="30"/>
  <c r="P3" i="30"/>
  <c r="Q3" i="30"/>
  <c r="R3" i="30"/>
  <c r="S3" i="30"/>
  <c r="T3" i="30"/>
  <c r="U3" i="30"/>
  <c r="V3" i="30"/>
  <c r="W3" i="30"/>
  <c r="X3" i="30"/>
  <c r="Y3" i="30"/>
  <c r="Z3" i="30"/>
  <c r="AA3" i="30"/>
  <c r="C4" i="30"/>
  <c r="D4" i="30"/>
  <c r="E4" i="30"/>
  <c r="F4" i="30"/>
  <c r="G4" i="30"/>
  <c r="H4" i="30"/>
  <c r="I4" i="30"/>
  <c r="J4" i="30"/>
  <c r="K4" i="30"/>
  <c r="L4" i="30"/>
  <c r="M4" i="30"/>
  <c r="N4" i="30"/>
  <c r="O4" i="30"/>
  <c r="P4" i="30"/>
  <c r="Q4" i="30"/>
  <c r="R4" i="30"/>
  <c r="S4" i="30"/>
  <c r="T4" i="30"/>
  <c r="U4" i="30"/>
  <c r="V4" i="30"/>
  <c r="W4" i="30"/>
  <c r="X4" i="30"/>
  <c r="Y4" i="30"/>
  <c r="Z4" i="30"/>
  <c r="AA4" i="30"/>
  <c r="C5" i="30"/>
  <c r="D5" i="30"/>
  <c r="E5" i="30"/>
  <c r="F5" i="30"/>
  <c r="G5" i="30"/>
  <c r="H5" i="30"/>
  <c r="I5" i="30"/>
  <c r="J5" i="30"/>
  <c r="K5" i="30"/>
  <c r="L5" i="30"/>
  <c r="M5" i="30"/>
  <c r="N5" i="30"/>
  <c r="O5" i="30"/>
  <c r="P5" i="30"/>
  <c r="Q5" i="30"/>
  <c r="R5" i="30"/>
  <c r="S5" i="30"/>
  <c r="T5" i="30"/>
  <c r="U5" i="30"/>
  <c r="V5" i="30"/>
  <c r="W5" i="30"/>
  <c r="X5" i="30"/>
  <c r="Y5" i="30"/>
  <c r="Z5" i="30"/>
  <c r="AA5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R6" i="30"/>
  <c r="S6" i="30"/>
  <c r="T6" i="30"/>
  <c r="U6" i="30"/>
  <c r="V6" i="30"/>
  <c r="W6" i="30"/>
  <c r="X6" i="30"/>
  <c r="Y6" i="30"/>
  <c r="Z6" i="30"/>
  <c r="AA6" i="30"/>
  <c r="C7" i="30"/>
  <c r="D7" i="30"/>
  <c r="E7" i="30"/>
  <c r="F7" i="30"/>
  <c r="G7" i="30"/>
  <c r="H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C8" i="30"/>
  <c r="D8" i="30"/>
  <c r="E8" i="30"/>
  <c r="F8" i="30"/>
  <c r="G8" i="30"/>
  <c r="H8" i="30"/>
  <c r="I8" i="30"/>
  <c r="J8" i="30"/>
  <c r="K8" i="30"/>
  <c r="L8" i="30"/>
  <c r="M8" i="30"/>
  <c r="N8" i="30"/>
  <c r="O8" i="30"/>
  <c r="P8" i="30"/>
  <c r="Q8" i="30"/>
  <c r="R8" i="30"/>
  <c r="S8" i="30"/>
  <c r="T8" i="30"/>
  <c r="U8" i="30"/>
  <c r="V8" i="30"/>
  <c r="W8" i="30"/>
  <c r="X8" i="30"/>
  <c r="Y8" i="30"/>
  <c r="Z8" i="30"/>
  <c r="AA8" i="30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R9" i="30"/>
  <c r="S9" i="30"/>
  <c r="T9" i="30"/>
  <c r="U9" i="30"/>
  <c r="V9" i="30"/>
  <c r="W9" i="30"/>
  <c r="X9" i="30"/>
  <c r="Y9" i="30"/>
  <c r="Z9" i="30"/>
  <c r="AA9" i="30"/>
  <c r="C10" i="30"/>
  <c r="D10" i="30"/>
  <c r="E10" i="30"/>
  <c r="F10" i="30"/>
  <c r="G10" i="30"/>
  <c r="H10" i="30"/>
  <c r="I10" i="30"/>
  <c r="J10" i="30"/>
  <c r="K10" i="30"/>
  <c r="L10" i="30"/>
  <c r="M10" i="30"/>
  <c r="N10" i="30"/>
  <c r="O10" i="30"/>
  <c r="P10" i="30"/>
  <c r="Q10" i="30"/>
  <c r="R10" i="30"/>
  <c r="S10" i="30"/>
  <c r="T10" i="30"/>
  <c r="U10" i="30"/>
  <c r="V10" i="30"/>
  <c r="W10" i="30"/>
  <c r="X10" i="30"/>
  <c r="Y10" i="30"/>
  <c r="Z10" i="30"/>
  <c r="AA10" i="30"/>
  <c r="C11" i="30"/>
  <c r="D11" i="30"/>
  <c r="E11" i="30"/>
  <c r="F11" i="30"/>
  <c r="G11" i="30"/>
  <c r="H11" i="30"/>
  <c r="I11" i="30"/>
  <c r="J11" i="30"/>
  <c r="K11" i="30"/>
  <c r="L11" i="30"/>
  <c r="M11" i="30"/>
  <c r="N11" i="30"/>
  <c r="O11" i="30"/>
  <c r="P11" i="30"/>
  <c r="Q11" i="30"/>
  <c r="R11" i="30"/>
  <c r="S11" i="30"/>
  <c r="T11" i="30"/>
  <c r="U11" i="30"/>
  <c r="V11" i="30"/>
  <c r="W11" i="30"/>
  <c r="X11" i="30"/>
  <c r="Y11" i="30"/>
  <c r="Z11" i="30"/>
  <c r="AA11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R12" i="30"/>
  <c r="S12" i="30"/>
  <c r="T12" i="30"/>
  <c r="U12" i="30"/>
  <c r="V12" i="30"/>
  <c r="W12" i="30"/>
  <c r="X12" i="30"/>
  <c r="Y12" i="30"/>
  <c r="Z12" i="30"/>
  <c r="AA12" i="30"/>
  <c r="C13" i="30"/>
  <c r="D13" i="30"/>
  <c r="E13" i="30"/>
  <c r="F13" i="30"/>
  <c r="G13" i="30"/>
  <c r="H13" i="30"/>
  <c r="I13" i="30"/>
  <c r="J13" i="30"/>
  <c r="K13" i="30"/>
  <c r="L13" i="30"/>
  <c r="M13" i="30"/>
  <c r="N13" i="30"/>
  <c r="O13" i="30"/>
  <c r="P13" i="30"/>
  <c r="Q13" i="30"/>
  <c r="R13" i="30"/>
  <c r="S13" i="30"/>
  <c r="T13" i="30"/>
  <c r="U13" i="30"/>
  <c r="V13" i="30"/>
  <c r="W13" i="30"/>
  <c r="X13" i="30"/>
  <c r="Y13" i="30"/>
  <c r="Z13" i="30"/>
  <c r="AA13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R14" i="30"/>
  <c r="S14" i="30"/>
  <c r="T14" i="30"/>
  <c r="U14" i="30"/>
  <c r="V14" i="30"/>
  <c r="W14" i="30"/>
  <c r="X14" i="30"/>
  <c r="Y14" i="30"/>
  <c r="Z14" i="30"/>
  <c r="AA14" i="30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R15" i="30"/>
  <c r="S15" i="30"/>
  <c r="T15" i="30"/>
  <c r="U15" i="30"/>
  <c r="V15" i="30"/>
  <c r="W15" i="30"/>
  <c r="X15" i="30"/>
  <c r="Y15" i="30"/>
  <c r="Z15" i="30"/>
  <c r="AA15" i="30"/>
  <c r="C16" i="30"/>
  <c r="D16" i="30"/>
  <c r="E16" i="30"/>
  <c r="F16" i="30"/>
  <c r="G16" i="30"/>
  <c r="H16" i="30"/>
  <c r="I16" i="30"/>
  <c r="J16" i="30"/>
  <c r="K16" i="30"/>
  <c r="L16" i="30"/>
  <c r="M16" i="30"/>
  <c r="N16" i="30"/>
  <c r="O16" i="30"/>
  <c r="P16" i="30"/>
  <c r="Q16" i="30"/>
  <c r="R16" i="30"/>
  <c r="S16" i="30"/>
  <c r="T16" i="30"/>
  <c r="U16" i="30"/>
  <c r="V16" i="30"/>
  <c r="W16" i="30"/>
  <c r="X16" i="30"/>
  <c r="Y16" i="30"/>
  <c r="Z16" i="30"/>
  <c r="AA16" i="30"/>
  <c r="C17" i="30"/>
  <c r="D17" i="30"/>
  <c r="E17" i="30"/>
  <c r="F17" i="30"/>
  <c r="G17" i="30"/>
  <c r="H17" i="30"/>
  <c r="I17" i="30"/>
  <c r="J17" i="30"/>
  <c r="K17" i="30"/>
  <c r="L17" i="30"/>
  <c r="M17" i="30"/>
  <c r="N17" i="30"/>
  <c r="O17" i="30"/>
  <c r="P17" i="30"/>
  <c r="Q17" i="30"/>
  <c r="R17" i="30"/>
  <c r="S17" i="30"/>
  <c r="T17" i="30"/>
  <c r="U17" i="30"/>
  <c r="V17" i="30"/>
  <c r="W17" i="30"/>
  <c r="X17" i="30"/>
  <c r="Y17" i="30"/>
  <c r="Z17" i="30"/>
  <c r="AA17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2" i="30"/>
  <c r="V5" i="26"/>
  <c r="W5" i="26"/>
  <c r="X5" i="26"/>
  <c r="Y5" i="26"/>
  <c r="Z5" i="26"/>
  <c r="U5" i="26"/>
  <c r="X6" i="26"/>
  <c r="V6" i="26"/>
  <c r="W6" i="26"/>
  <c r="U6" i="26"/>
  <c r="M20" i="26"/>
  <c r="M21" i="26"/>
  <c r="M22" i="26"/>
  <c r="M19" i="26"/>
  <c r="M12" i="26"/>
  <c r="M10" i="26"/>
  <c r="M9" i="26"/>
  <c r="M8" i="26"/>
  <c r="M5" i="26"/>
  <c r="T11" i="26"/>
  <c r="T6" i="26"/>
  <c r="G7" i="26"/>
  <c r="T3" i="26" s="1"/>
  <c r="G8" i="26"/>
  <c r="T14" i="26" s="1"/>
  <c r="G9" i="26"/>
  <c r="G10" i="26"/>
  <c r="T13" i="26" s="1"/>
  <c r="G11" i="26"/>
  <c r="G12" i="26"/>
  <c r="T16" i="26" s="1"/>
  <c r="G13" i="26"/>
  <c r="M15" i="26" s="1"/>
  <c r="G14" i="26"/>
  <c r="M16" i="26" s="1"/>
  <c r="G15" i="26"/>
  <c r="T18" i="26" s="1"/>
  <c r="G16" i="26"/>
  <c r="M18" i="26" s="1"/>
  <c r="G17" i="26"/>
  <c r="M13" i="26" s="1"/>
  <c r="G18" i="26"/>
  <c r="G6" i="26"/>
  <c r="M7" i="26" s="1"/>
  <c r="G19" i="26"/>
  <c r="T5" i="26" s="1"/>
  <c r="G48" i="26"/>
  <c r="T15" i="26" s="1"/>
  <c r="T7" i="26" s="1"/>
  <c r="C48" i="26"/>
  <c r="D48" i="26"/>
  <c r="Q15" i="26" s="1"/>
  <c r="Q7" i="26" s="1"/>
  <c r="E48" i="26"/>
  <c r="R15" i="26" s="1"/>
  <c r="R7" i="26" s="1"/>
  <c r="F48" i="26"/>
  <c r="S15" i="26" s="1"/>
  <c r="S7" i="26" s="1"/>
  <c r="R8" i="26"/>
  <c r="S8" i="26"/>
  <c r="T8" i="26"/>
  <c r="Q8" i="26"/>
  <c r="S16" i="26"/>
  <c r="S17" i="26"/>
  <c r="S18" i="26"/>
  <c r="S13" i="26"/>
  <c r="S14" i="26"/>
  <c r="S10" i="26"/>
  <c r="S11" i="26"/>
  <c r="S12" i="26"/>
  <c r="S3" i="26"/>
  <c r="S4" i="26"/>
  <c r="S5" i="26"/>
  <c r="S6" i="26"/>
  <c r="J3" i="28"/>
  <c r="J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" i="28"/>
  <c r="U9" i="26"/>
  <c r="S9" i="26"/>
  <c r="R9" i="26"/>
  <c r="Q9" i="26"/>
  <c r="Q12" i="26"/>
  <c r="Q17" i="26"/>
  <c r="Q16" i="26"/>
  <c r="M11" i="26" l="1"/>
  <c r="M14" i="26"/>
  <c r="M17" i="26"/>
  <c r="T10" i="26"/>
  <c r="T12" i="26"/>
  <c r="T4" i="26"/>
  <c r="T17" i="26"/>
  <c r="R3" i="26"/>
  <c r="R4" i="26"/>
  <c r="R5" i="26"/>
  <c r="R6" i="26"/>
  <c r="M4" i="26" s="1"/>
  <c r="R10" i="26"/>
  <c r="R11" i="26"/>
  <c r="R12" i="26"/>
  <c r="R13" i="26"/>
  <c r="R14" i="26"/>
  <c r="R16" i="26"/>
  <c r="R17" i="26"/>
  <c r="R18" i="26"/>
  <c r="Q18" i="26"/>
  <c r="Q14" i="26"/>
  <c r="Q11" i="26"/>
  <c r="Q10" i="26"/>
  <c r="Q6" i="26"/>
  <c r="Q5" i="26"/>
  <c r="Q13" i="26"/>
  <c r="Q4" i="26"/>
  <c r="Q3" i="26"/>
  <c r="W45" i="25" l="1"/>
  <c r="O37" i="25"/>
  <c r="P37" i="25"/>
  <c r="Q37" i="25"/>
  <c r="R37" i="25"/>
  <c r="S37" i="25"/>
  <c r="T37" i="25"/>
  <c r="U37" i="25"/>
  <c r="V37" i="25"/>
  <c r="W37" i="25"/>
  <c r="X37" i="25"/>
  <c r="Y37" i="25"/>
  <c r="Z37" i="25"/>
  <c r="AA37" i="25"/>
  <c r="O38" i="25"/>
  <c r="P38" i="25"/>
  <c r="Q38" i="25"/>
  <c r="R38" i="25"/>
  <c r="S38" i="25"/>
  <c r="T38" i="25"/>
  <c r="U38" i="25"/>
  <c r="V38" i="25"/>
  <c r="W38" i="25"/>
  <c r="X38" i="25"/>
  <c r="Y38" i="25"/>
  <c r="Z38" i="25"/>
  <c r="AA38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O40" i="25"/>
  <c r="P40" i="25"/>
  <c r="Q40" i="25"/>
  <c r="R40" i="25"/>
  <c r="S40" i="25"/>
  <c r="T40" i="25"/>
  <c r="U40" i="25"/>
  <c r="V40" i="25"/>
  <c r="W40" i="25"/>
  <c r="X40" i="25"/>
  <c r="Y40" i="25"/>
  <c r="Z40" i="25"/>
  <c r="AA40" i="25"/>
  <c r="O41" i="25"/>
  <c r="P41" i="25"/>
  <c r="Q41" i="25"/>
  <c r="R41" i="25"/>
  <c r="S41" i="25"/>
  <c r="T41" i="25"/>
  <c r="U41" i="25"/>
  <c r="V41" i="25"/>
  <c r="W41" i="25"/>
  <c r="X41" i="25"/>
  <c r="Y41" i="25"/>
  <c r="Z41" i="25"/>
  <c r="AA41" i="25"/>
  <c r="O42" i="25"/>
  <c r="P42" i="25"/>
  <c r="Q42" i="25"/>
  <c r="R42" i="25"/>
  <c r="S42" i="25"/>
  <c r="T42" i="25"/>
  <c r="U42" i="25"/>
  <c r="V42" i="25"/>
  <c r="W42" i="25"/>
  <c r="X42" i="25"/>
  <c r="Y42" i="25"/>
  <c r="Z42" i="25"/>
  <c r="AA42" i="25"/>
  <c r="O43" i="25"/>
  <c r="P43" i="25"/>
  <c r="Q43" i="25"/>
  <c r="R43" i="25"/>
  <c r="S43" i="25"/>
  <c r="T43" i="25"/>
  <c r="U43" i="25"/>
  <c r="V43" i="25"/>
  <c r="W43" i="25"/>
  <c r="X43" i="25"/>
  <c r="Y43" i="25"/>
  <c r="Z43" i="25"/>
  <c r="AA43" i="25"/>
  <c r="O44" i="25"/>
  <c r="P44" i="25"/>
  <c r="Q44" i="25"/>
  <c r="R44" i="25"/>
  <c r="S44" i="25"/>
  <c r="T44" i="25"/>
  <c r="U44" i="25"/>
  <c r="V44" i="25"/>
  <c r="W44" i="25"/>
  <c r="X44" i="25"/>
  <c r="Y44" i="25"/>
  <c r="Z44" i="25"/>
  <c r="AA44" i="25"/>
  <c r="O45" i="25"/>
  <c r="P45" i="25"/>
  <c r="Q45" i="25"/>
  <c r="R45" i="25"/>
  <c r="S45" i="25"/>
  <c r="T45" i="25"/>
  <c r="U45" i="25"/>
  <c r="V45" i="25"/>
  <c r="X45" i="25"/>
  <c r="Y45" i="25"/>
  <c r="Z45" i="25"/>
  <c r="AA45" i="25"/>
  <c r="O46" i="25"/>
  <c r="P46" i="25"/>
  <c r="Q46" i="25"/>
  <c r="R46" i="25"/>
  <c r="S46" i="25"/>
  <c r="T46" i="25"/>
  <c r="U46" i="25"/>
  <c r="V46" i="25"/>
  <c r="W46" i="25"/>
  <c r="X46" i="25"/>
  <c r="Y46" i="25"/>
  <c r="Z46" i="25"/>
  <c r="AA46" i="25"/>
  <c r="O47" i="25"/>
  <c r="P47" i="25"/>
  <c r="Q47" i="25"/>
  <c r="R47" i="25"/>
  <c r="S47" i="25"/>
  <c r="T47" i="25"/>
  <c r="U47" i="25"/>
  <c r="V47" i="25"/>
  <c r="W47" i="25"/>
  <c r="X47" i="25"/>
  <c r="Y47" i="25"/>
  <c r="Z47" i="25"/>
  <c r="AA47" i="25"/>
  <c r="O48" i="25"/>
  <c r="P48" i="25"/>
  <c r="Q48" i="25"/>
  <c r="R48" i="25"/>
  <c r="S48" i="25"/>
  <c r="T48" i="25"/>
  <c r="U48" i="25"/>
  <c r="V48" i="25"/>
  <c r="W48" i="25"/>
  <c r="X48" i="25"/>
  <c r="Y48" i="25"/>
  <c r="Z48" i="25"/>
  <c r="AA48" i="25"/>
  <c r="O49" i="25"/>
  <c r="P49" i="25"/>
  <c r="Q49" i="25"/>
  <c r="R49" i="25"/>
  <c r="S49" i="25"/>
  <c r="T49" i="25"/>
  <c r="U49" i="25"/>
  <c r="V49" i="25"/>
  <c r="W49" i="25"/>
  <c r="X49" i="25"/>
  <c r="Y49" i="25"/>
  <c r="Z49" i="25"/>
  <c r="AA49" i="25"/>
  <c r="O50" i="25"/>
  <c r="P50" i="25"/>
  <c r="Q50" i="25"/>
  <c r="R50" i="25"/>
  <c r="S50" i="25"/>
  <c r="T50" i="25"/>
  <c r="U50" i="25"/>
  <c r="V50" i="25"/>
  <c r="W50" i="25"/>
  <c r="X50" i="25"/>
  <c r="Y50" i="25"/>
  <c r="Z50" i="25"/>
  <c r="AA50" i="25"/>
  <c r="O51" i="25"/>
  <c r="P51" i="25"/>
  <c r="Q51" i="25"/>
  <c r="R51" i="25"/>
  <c r="S51" i="25"/>
  <c r="T51" i="25"/>
  <c r="U51" i="25"/>
  <c r="V51" i="25"/>
  <c r="W51" i="25"/>
  <c r="X51" i="25"/>
  <c r="Y51" i="25"/>
  <c r="Z51" i="25"/>
  <c r="AA51" i="25"/>
  <c r="O52" i="25"/>
  <c r="P52" i="25"/>
  <c r="Q52" i="25"/>
  <c r="R52" i="25"/>
  <c r="S52" i="25"/>
  <c r="T52" i="25"/>
  <c r="U52" i="25"/>
  <c r="V52" i="25"/>
  <c r="W52" i="25"/>
  <c r="X52" i="25"/>
  <c r="Y52" i="25"/>
  <c r="Z52" i="25"/>
  <c r="AA52" i="25"/>
  <c r="O53" i="25"/>
  <c r="P53" i="25"/>
  <c r="Q53" i="25"/>
  <c r="R53" i="25"/>
  <c r="S53" i="25"/>
  <c r="T53" i="25"/>
  <c r="U53" i="25"/>
  <c r="V53" i="25"/>
  <c r="W53" i="25"/>
  <c r="X53" i="25"/>
  <c r="Y53" i="25"/>
  <c r="Z53" i="25"/>
  <c r="AA53" i="25"/>
  <c r="O54" i="25"/>
  <c r="P54" i="25"/>
  <c r="Q54" i="25"/>
  <c r="R54" i="25"/>
  <c r="S54" i="25"/>
  <c r="T54" i="25"/>
  <c r="U54" i="25"/>
  <c r="V54" i="25"/>
  <c r="W54" i="25"/>
  <c r="X54" i="25"/>
  <c r="Y54" i="25"/>
  <c r="Z54" i="25"/>
  <c r="AA54" i="25"/>
  <c r="O55" i="25"/>
  <c r="P55" i="25"/>
  <c r="Q55" i="25"/>
  <c r="R55" i="25"/>
  <c r="S55" i="25"/>
  <c r="T55" i="25"/>
  <c r="U55" i="25"/>
  <c r="V55" i="25"/>
  <c r="W55" i="25"/>
  <c r="X55" i="25"/>
  <c r="Y55" i="25"/>
  <c r="Z55" i="25"/>
  <c r="AA55" i="25"/>
  <c r="O56" i="25"/>
  <c r="P56" i="25"/>
  <c r="Q56" i="25"/>
  <c r="R56" i="25"/>
  <c r="S56" i="25"/>
  <c r="T56" i="25"/>
  <c r="U56" i="25"/>
  <c r="V56" i="25"/>
  <c r="W56" i="25"/>
  <c r="X56" i="25"/>
  <c r="Y56" i="25"/>
  <c r="Z56" i="25"/>
  <c r="AA56" i="25"/>
  <c r="O57" i="25"/>
  <c r="P57" i="25"/>
  <c r="Q57" i="25"/>
  <c r="R57" i="25"/>
  <c r="S57" i="25"/>
  <c r="T57" i="25"/>
  <c r="U57" i="25"/>
  <c r="V57" i="25"/>
  <c r="W57" i="25"/>
  <c r="X57" i="25"/>
  <c r="Y57" i="25"/>
  <c r="Z57" i="25"/>
  <c r="AA57" i="25"/>
  <c r="O58" i="25"/>
  <c r="P58" i="25"/>
  <c r="Q58" i="25"/>
  <c r="R58" i="25"/>
  <c r="S58" i="25"/>
  <c r="T58" i="25"/>
  <c r="U58" i="25"/>
  <c r="V58" i="25"/>
  <c r="W58" i="25"/>
  <c r="X58" i="25"/>
  <c r="Y58" i="25"/>
  <c r="Z58" i="25"/>
  <c r="AA58" i="25"/>
  <c r="O59" i="25"/>
  <c r="P59" i="25"/>
  <c r="Q59" i="25"/>
  <c r="R59" i="25"/>
  <c r="S59" i="25"/>
  <c r="T59" i="25"/>
  <c r="U59" i="25"/>
  <c r="V59" i="25"/>
  <c r="W59" i="25"/>
  <c r="X59" i="25"/>
  <c r="Y59" i="25"/>
  <c r="Z59" i="25"/>
  <c r="AA59" i="25"/>
  <c r="O60" i="25"/>
  <c r="P60" i="25"/>
  <c r="Q60" i="25"/>
  <c r="R60" i="25"/>
  <c r="S60" i="25"/>
  <c r="T60" i="25"/>
  <c r="U60" i="25"/>
  <c r="V60" i="25"/>
  <c r="W60" i="25"/>
  <c r="X60" i="25"/>
  <c r="Y60" i="25"/>
  <c r="Z60" i="25"/>
  <c r="AA60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P36" i="25"/>
  <c r="Q36" i="25"/>
  <c r="R36" i="25"/>
  <c r="S36" i="25"/>
  <c r="T36" i="25"/>
  <c r="U36" i="25"/>
  <c r="V36" i="25"/>
  <c r="W36" i="25"/>
  <c r="X36" i="25"/>
  <c r="Y36" i="25"/>
  <c r="Z36" i="25"/>
  <c r="AA36" i="25"/>
  <c r="O36" i="25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9" i="8"/>
  <c r="F30" i="8"/>
  <c r="F32" i="8"/>
  <c r="F33" i="8"/>
  <c r="F35" i="8"/>
  <c r="F36" i="8"/>
  <c r="F5" i="8"/>
  <c r="V38" i="24"/>
  <c r="U38" i="24"/>
  <c r="T38" i="24"/>
  <c r="S38" i="24"/>
  <c r="P38" i="24"/>
  <c r="O38" i="24"/>
  <c r="N38" i="24"/>
  <c r="M38" i="24"/>
  <c r="L38" i="24"/>
  <c r="K38" i="24"/>
  <c r="J38" i="24"/>
  <c r="I38" i="24"/>
  <c r="H38" i="24"/>
  <c r="F38" i="24"/>
  <c r="E38" i="24"/>
  <c r="D38" i="24"/>
  <c r="C38" i="24"/>
  <c r="B38" i="24"/>
  <c r="Z36" i="24"/>
  <c r="Y36" i="24"/>
  <c r="X36" i="24"/>
  <c r="Z35" i="24"/>
  <c r="Y35" i="24"/>
  <c r="X35" i="24"/>
  <c r="Z34" i="24"/>
  <c r="Y34" i="24"/>
  <c r="X34" i="24"/>
  <c r="Z33" i="24"/>
  <c r="Y33" i="24"/>
  <c r="X33" i="24"/>
  <c r="Z32" i="24"/>
  <c r="Y32" i="24"/>
  <c r="X32" i="24"/>
  <c r="Z31" i="24"/>
  <c r="Y31" i="24"/>
  <c r="X31" i="24"/>
  <c r="Z30" i="24"/>
  <c r="Y30" i="24"/>
  <c r="X30" i="24"/>
  <c r="Z29" i="24"/>
  <c r="Y29" i="24"/>
  <c r="X29" i="24"/>
  <c r="Z28" i="24"/>
  <c r="Y28" i="24"/>
  <c r="X28" i="24"/>
  <c r="Z27" i="24"/>
  <c r="Y27" i="24"/>
  <c r="X27" i="24"/>
  <c r="Z26" i="24"/>
  <c r="Y26" i="24"/>
  <c r="X26" i="24"/>
  <c r="Z25" i="24"/>
  <c r="Y25" i="24"/>
  <c r="X25" i="24"/>
  <c r="Z24" i="24"/>
  <c r="Y24" i="24"/>
  <c r="X24" i="24"/>
  <c r="Z23" i="24"/>
  <c r="Y23" i="24"/>
  <c r="X23" i="24"/>
  <c r="Z22" i="24"/>
  <c r="Y22" i="24"/>
  <c r="X22" i="24"/>
  <c r="Z21" i="24"/>
  <c r="Y21" i="24"/>
  <c r="X21" i="24"/>
  <c r="Z20" i="24"/>
  <c r="Y20" i="24"/>
  <c r="X20" i="24"/>
  <c r="Z19" i="24"/>
  <c r="Y19" i="24"/>
  <c r="X19" i="24"/>
  <c r="Z18" i="24"/>
  <c r="Y18" i="24"/>
  <c r="X18" i="24"/>
  <c r="Z17" i="24"/>
  <c r="Y17" i="24"/>
  <c r="X17" i="24"/>
  <c r="Z16" i="24"/>
  <c r="Y16" i="24"/>
  <c r="X16" i="24"/>
  <c r="Z15" i="24"/>
  <c r="Y15" i="24"/>
  <c r="X15" i="24"/>
  <c r="Z14" i="24"/>
  <c r="Y14" i="24"/>
  <c r="X14" i="24"/>
  <c r="Z13" i="24"/>
  <c r="Y13" i="24"/>
  <c r="X13" i="24"/>
  <c r="Z12" i="24"/>
  <c r="Y12" i="24"/>
  <c r="X12" i="24"/>
  <c r="Z11" i="24"/>
  <c r="Y11" i="24"/>
  <c r="X11" i="24"/>
  <c r="Z10" i="24"/>
  <c r="Y10" i="24"/>
  <c r="X10" i="24"/>
  <c r="Z9" i="24"/>
  <c r="Y9" i="24"/>
  <c r="X9" i="24"/>
  <c r="Z8" i="24"/>
  <c r="Y8" i="24"/>
  <c r="X8" i="24"/>
  <c r="Z7" i="24"/>
  <c r="Y7" i="24"/>
  <c r="X7" i="24"/>
  <c r="Z6" i="24"/>
  <c r="Y6" i="24"/>
  <c r="X6" i="24"/>
  <c r="Z5" i="24"/>
  <c r="Y5" i="24"/>
  <c r="X5" i="24"/>
  <c r="V38" i="23"/>
  <c r="U38" i="23"/>
  <c r="T38" i="23"/>
  <c r="S38" i="23"/>
  <c r="P38" i="23"/>
  <c r="O38" i="23"/>
  <c r="N38" i="23"/>
  <c r="M38" i="23"/>
  <c r="L38" i="23"/>
  <c r="K38" i="23"/>
  <c r="J38" i="23"/>
  <c r="I38" i="23"/>
  <c r="H38" i="23"/>
  <c r="F38" i="23"/>
  <c r="E38" i="23"/>
  <c r="D38" i="23"/>
  <c r="C38" i="23"/>
  <c r="B38" i="23"/>
  <c r="Z36" i="23"/>
  <c r="Y36" i="23"/>
  <c r="X36" i="23"/>
  <c r="Z35" i="23"/>
  <c r="Y35" i="23"/>
  <c r="X35" i="23"/>
  <c r="Z34" i="23"/>
  <c r="Y34" i="23"/>
  <c r="X34" i="23"/>
  <c r="Z33" i="23"/>
  <c r="Y33" i="23"/>
  <c r="X33" i="23"/>
  <c r="Z32" i="23"/>
  <c r="Y32" i="23"/>
  <c r="X32" i="23"/>
  <c r="Z31" i="23"/>
  <c r="Y31" i="23"/>
  <c r="X31" i="23"/>
  <c r="Z30" i="23"/>
  <c r="Y30" i="23"/>
  <c r="X30" i="23"/>
  <c r="Z29" i="23"/>
  <c r="Y29" i="23"/>
  <c r="X29" i="23"/>
  <c r="Z28" i="23"/>
  <c r="Y28" i="23"/>
  <c r="X28" i="23"/>
  <c r="Z27" i="23"/>
  <c r="Y27" i="23"/>
  <c r="X27" i="23"/>
  <c r="Z26" i="23"/>
  <c r="Y26" i="23"/>
  <c r="X26" i="23"/>
  <c r="Z25" i="23"/>
  <c r="Y25" i="23"/>
  <c r="X25" i="23"/>
  <c r="Z24" i="23"/>
  <c r="Y24" i="23"/>
  <c r="X24" i="23"/>
  <c r="Z23" i="23"/>
  <c r="Y23" i="23"/>
  <c r="X23" i="23"/>
  <c r="Z22" i="23"/>
  <c r="Y22" i="23"/>
  <c r="X22" i="23"/>
  <c r="Z21" i="23"/>
  <c r="Y21" i="23"/>
  <c r="X21" i="23"/>
  <c r="Z20" i="23"/>
  <c r="Y20" i="23"/>
  <c r="X20" i="23"/>
  <c r="Z19" i="23"/>
  <c r="Y19" i="23"/>
  <c r="X19" i="23"/>
  <c r="Z18" i="23"/>
  <c r="Y18" i="23"/>
  <c r="X18" i="23"/>
  <c r="Z17" i="23"/>
  <c r="Y17" i="23"/>
  <c r="X17" i="23"/>
  <c r="Z16" i="23"/>
  <c r="Y16" i="23"/>
  <c r="X16" i="23"/>
  <c r="Z15" i="23"/>
  <c r="Y15" i="23"/>
  <c r="X15" i="23"/>
  <c r="Z14" i="23"/>
  <c r="Y14" i="23"/>
  <c r="X14" i="23"/>
  <c r="Z13" i="23"/>
  <c r="Y13" i="23"/>
  <c r="X13" i="23"/>
  <c r="Z12" i="23"/>
  <c r="Y12" i="23"/>
  <c r="X12" i="23"/>
  <c r="Z11" i="23"/>
  <c r="Y11" i="23"/>
  <c r="X11" i="23"/>
  <c r="Z10" i="23"/>
  <c r="Y10" i="23"/>
  <c r="X10" i="23"/>
  <c r="Z9" i="23"/>
  <c r="Y9" i="23"/>
  <c r="X9" i="23"/>
  <c r="Z8" i="23"/>
  <c r="Y8" i="23"/>
  <c r="X8" i="23"/>
  <c r="Z7" i="23"/>
  <c r="Y7" i="23"/>
  <c r="X7" i="23"/>
  <c r="Z6" i="23"/>
  <c r="Y6" i="23"/>
  <c r="X6" i="23"/>
  <c r="Z5" i="23"/>
  <c r="Y5" i="23"/>
  <c r="X5" i="23"/>
  <c r="V38" i="22"/>
  <c r="U38" i="22"/>
  <c r="T38" i="22"/>
  <c r="S38" i="22"/>
  <c r="P38" i="22"/>
  <c r="O38" i="22"/>
  <c r="N38" i="22"/>
  <c r="M38" i="22"/>
  <c r="L38" i="22"/>
  <c r="K38" i="22"/>
  <c r="J38" i="22"/>
  <c r="I38" i="22"/>
  <c r="H38" i="22"/>
  <c r="F38" i="22"/>
  <c r="E38" i="22"/>
  <c r="D38" i="22"/>
  <c r="C38" i="22"/>
  <c r="B38" i="22"/>
  <c r="Z36" i="22"/>
  <c r="Y36" i="22"/>
  <c r="X36" i="22"/>
  <c r="Z35" i="22"/>
  <c r="Y35" i="22"/>
  <c r="X35" i="22"/>
  <c r="Z34" i="22"/>
  <c r="Y34" i="22"/>
  <c r="X34" i="22"/>
  <c r="Z33" i="22"/>
  <c r="Y33" i="22"/>
  <c r="X33" i="22"/>
  <c r="Z32" i="22"/>
  <c r="Y32" i="22"/>
  <c r="X32" i="22"/>
  <c r="Z31" i="22"/>
  <c r="Y31" i="22"/>
  <c r="X31" i="22"/>
  <c r="Z30" i="22"/>
  <c r="Y30" i="22"/>
  <c r="X30" i="22"/>
  <c r="Z29" i="22"/>
  <c r="Y29" i="22"/>
  <c r="X29" i="22"/>
  <c r="Z28" i="22"/>
  <c r="Y28" i="22"/>
  <c r="X28" i="22"/>
  <c r="Z27" i="22"/>
  <c r="Y27" i="22"/>
  <c r="X27" i="22"/>
  <c r="Z26" i="22"/>
  <c r="Y26" i="22"/>
  <c r="X26" i="22"/>
  <c r="Z25" i="22"/>
  <c r="Y25" i="22"/>
  <c r="X25" i="22"/>
  <c r="Z24" i="22"/>
  <c r="Y24" i="22"/>
  <c r="X24" i="22"/>
  <c r="Z23" i="22"/>
  <c r="Y23" i="22"/>
  <c r="X23" i="22"/>
  <c r="Z22" i="22"/>
  <c r="Y22" i="22"/>
  <c r="X22" i="22"/>
  <c r="Z21" i="22"/>
  <c r="Y21" i="22"/>
  <c r="X21" i="22"/>
  <c r="Z20" i="22"/>
  <c r="Y20" i="22"/>
  <c r="X20" i="22"/>
  <c r="Z19" i="22"/>
  <c r="Y19" i="22"/>
  <c r="X19" i="22"/>
  <c r="Z18" i="22"/>
  <c r="Y18" i="22"/>
  <c r="X18" i="22"/>
  <c r="Z17" i="22"/>
  <c r="Y17" i="22"/>
  <c r="X17" i="22"/>
  <c r="Z16" i="22"/>
  <c r="Y16" i="22"/>
  <c r="X16" i="22"/>
  <c r="Z15" i="22"/>
  <c r="Y15" i="22"/>
  <c r="X15" i="22"/>
  <c r="Z14" i="22"/>
  <c r="Y14" i="22"/>
  <c r="X14" i="22"/>
  <c r="Z13" i="22"/>
  <c r="Y13" i="22"/>
  <c r="X13" i="22"/>
  <c r="Z12" i="22"/>
  <c r="Y12" i="22"/>
  <c r="X12" i="22"/>
  <c r="Z11" i="22"/>
  <c r="Y11" i="22"/>
  <c r="X11" i="22"/>
  <c r="Z10" i="22"/>
  <c r="Y10" i="22"/>
  <c r="X10" i="22"/>
  <c r="Z9" i="22"/>
  <c r="Y9" i="22"/>
  <c r="X9" i="22"/>
  <c r="Z8" i="22"/>
  <c r="Y8" i="22"/>
  <c r="X8" i="22"/>
  <c r="Z7" i="22"/>
  <c r="Y7" i="22"/>
  <c r="X7" i="22"/>
  <c r="Z6" i="22"/>
  <c r="Y6" i="22"/>
  <c r="X6" i="22"/>
  <c r="Z5" i="22"/>
  <c r="Y5" i="22"/>
  <c r="X5" i="22"/>
  <c r="V38" i="21"/>
  <c r="U38" i="21"/>
  <c r="T38" i="21"/>
  <c r="S38" i="21"/>
  <c r="P38" i="21"/>
  <c r="O38" i="21"/>
  <c r="N38" i="21"/>
  <c r="M38" i="21"/>
  <c r="L38" i="21"/>
  <c r="K38" i="21"/>
  <c r="J38" i="21"/>
  <c r="I38" i="21"/>
  <c r="H38" i="21"/>
  <c r="F38" i="21"/>
  <c r="E38" i="21"/>
  <c r="D38" i="21"/>
  <c r="C38" i="21"/>
  <c r="B38" i="21"/>
  <c r="Z36" i="21"/>
  <c r="Y36" i="21"/>
  <c r="X36" i="21"/>
  <c r="Z35" i="21"/>
  <c r="Y35" i="21"/>
  <c r="X35" i="21"/>
  <c r="Z34" i="21"/>
  <c r="Y34" i="21"/>
  <c r="X34" i="21"/>
  <c r="Z33" i="21"/>
  <c r="Y33" i="21"/>
  <c r="X33" i="21"/>
  <c r="Z32" i="21"/>
  <c r="Y32" i="21"/>
  <c r="X32" i="21"/>
  <c r="Z31" i="21"/>
  <c r="Y31" i="21"/>
  <c r="X31" i="21"/>
  <c r="Z30" i="21"/>
  <c r="Y30" i="21"/>
  <c r="X30" i="21"/>
  <c r="Z29" i="21"/>
  <c r="Y29" i="21"/>
  <c r="X29" i="21"/>
  <c r="Z28" i="21"/>
  <c r="Y28" i="21"/>
  <c r="X28" i="21"/>
  <c r="Z27" i="21"/>
  <c r="Y27" i="21"/>
  <c r="X27" i="21"/>
  <c r="Z26" i="21"/>
  <c r="Y26" i="21"/>
  <c r="X26" i="21"/>
  <c r="Z25" i="21"/>
  <c r="Y25" i="21"/>
  <c r="X25" i="21"/>
  <c r="Z24" i="21"/>
  <c r="Y24" i="21"/>
  <c r="X24" i="21"/>
  <c r="Z23" i="21"/>
  <c r="Y23" i="21"/>
  <c r="X23" i="21"/>
  <c r="Z22" i="21"/>
  <c r="Y22" i="21"/>
  <c r="X22" i="21"/>
  <c r="Z21" i="21"/>
  <c r="Y21" i="21"/>
  <c r="X21" i="21"/>
  <c r="Z20" i="21"/>
  <c r="Y20" i="21"/>
  <c r="X20" i="21"/>
  <c r="Z19" i="21"/>
  <c r="Y19" i="21"/>
  <c r="X19" i="21"/>
  <c r="Z18" i="21"/>
  <c r="Y18" i="21"/>
  <c r="X18" i="21"/>
  <c r="Z17" i="21"/>
  <c r="Y17" i="21"/>
  <c r="X17" i="21"/>
  <c r="Z16" i="21"/>
  <c r="Y16" i="21"/>
  <c r="X16" i="21"/>
  <c r="Z15" i="21"/>
  <c r="Y15" i="21"/>
  <c r="X15" i="21"/>
  <c r="Z14" i="21"/>
  <c r="Y14" i="21"/>
  <c r="X14" i="21"/>
  <c r="Z13" i="21"/>
  <c r="Y13" i="21"/>
  <c r="X13" i="21"/>
  <c r="Z12" i="21"/>
  <c r="Y12" i="21"/>
  <c r="X12" i="21"/>
  <c r="Z11" i="21"/>
  <c r="Y11" i="21"/>
  <c r="X11" i="21"/>
  <c r="Z10" i="21"/>
  <c r="Y10" i="21"/>
  <c r="X10" i="21"/>
  <c r="Z9" i="21"/>
  <c r="Y9" i="21"/>
  <c r="X9" i="21"/>
  <c r="Z8" i="21"/>
  <c r="Y8" i="21"/>
  <c r="X8" i="21"/>
  <c r="Z7" i="21"/>
  <c r="Y7" i="21"/>
  <c r="X7" i="21"/>
  <c r="Z6" i="21"/>
  <c r="Y6" i="21"/>
  <c r="X6" i="21"/>
  <c r="Z5" i="21"/>
  <c r="Y5" i="21"/>
  <c r="X5" i="21"/>
  <c r="V38" i="20"/>
  <c r="U38" i="20"/>
  <c r="T38" i="20"/>
  <c r="S38" i="20"/>
  <c r="P38" i="20"/>
  <c r="O38" i="20"/>
  <c r="N38" i="20"/>
  <c r="M38" i="20"/>
  <c r="L38" i="20"/>
  <c r="K38" i="20"/>
  <c r="J38" i="20"/>
  <c r="I38" i="20"/>
  <c r="H38" i="20"/>
  <c r="F38" i="20"/>
  <c r="E38" i="20"/>
  <c r="D38" i="20"/>
  <c r="C38" i="20"/>
  <c r="B38" i="20"/>
  <c r="Z36" i="20"/>
  <c r="Y36" i="20"/>
  <c r="X36" i="20"/>
  <c r="Z35" i="20"/>
  <c r="Y35" i="20"/>
  <c r="X35" i="20"/>
  <c r="Z34" i="20"/>
  <c r="Y34" i="20"/>
  <c r="X34" i="20"/>
  <c r="Z33" i="20"/>
  <c r="Y33" i="20"/>
  <c r="X33" i="20"/>
  <c r="Z32" i="20"/>
  <c r="Y32" i="20"/>
  <c r="X32" i="20"/>
  <c r="Z31" i="20"/>
  <c r="Y31" i="20"/>
  <c r="X31" i="20"/>
  <c r="Z30" i="20"/>
  <c r="Y30" i="20"/>
  <c r="X30" i="20"/>
  <c r="Z29" i="20"/>
  <c r="Y29" i="20"/>
  <c r="X29" i="20"/>
  <c r="Z28" i="20"/>
  <c r="Y28" i="20"/>
  <c r="X28" i="20"/>
  <c r="Z27" i="20"/>
  <c r="Y27" i="20"/>
  <c r="X27" i="20"/>
  <c r="Z26" i="20"/>
  <c r="Y26" i="20"/>
  <c r="X26" i="20"/>
  <c r="Z25" i="20"/>
  <c r="Y25" i="20"/>
  <c r="X25" i="20"/>
  <c r="Z24" i="20"/>
  <c r="Y24" i="20"/>
  <c r="X24" i="20"/>
  <c r="Z23" i="20"/>
  <c r="Y23" i="20"/>
  <c r="X23" i="20"/>
  <c r="Z22" i="20"/>
  <c r="Y22" i="20"/>
  <c r="X22" i="20"/>
  <c r="Z21" i="20"/>
  <c r="Y21" i="20"/>
  <c r="X21" i="20"/>
  <c r="Z20" i="20"/>
  <c r="Y20" i="20"/>
  <c r="X20" i="20"/>
  <c r="Z19" i="20"/>
  <c r="Y19" i="20"/>
  <c r="X19" i="20"/>
  <c r="Z18" i="20"/>
  <c r="Y18" i="20"/>
  <c r="X18" i="20"/>
  <c r="Z17" i="20"/>
  <c r="Y17" i="20"/>
  <c r="X17" i="20"/>
  <c r="Z16" i="20"/>
  <c r="Y16" i="20"/>
  <c r="X16" i="20"/>
  <c r="Z15" i="20"/>
  <c r="Y15" i="20"/>
  <c r="X15" i="20"/>
  <c r="Z14" i="20"/>
  <c r="Y14" i="20"/>
  <c r="X14" i="20"/>
  <c r="Z13" i="20"/>
  <c r="Y13" i="20"/>
  <c r="X13" i="20"/>
  <c r="Z12" i="20"/>
  <c r="Y12" i="20"/>
  <c r="X12" i="20"/>
  <c r="Z11" i="20"/>
  <c r="Y11" i="20"/>
  <c r="X11" i="20"/>
  <c r="Z10" i="20"/>
  <c r="Y10" i="20"/>
  <c r="X10" i="20"/>
  <c r="Z9" i="20"/>
  <c r="Y9" i="20"/>
  <c r="X9" i="20"/>
  <c r="Z8" i="20"/>
  <c r="Y8" i="20"/>
  <c r="X8" i="20"/>
  <c r="Z7" i="20"/>
  <c r="Y7" i="20"/>
  <c r="X7" i="20"/>
  <c r="Z6" i="20"/>
  <c r="Y6" i="20"/>
  <c r="X6" i="20"/>
  <c r="Z5" i="20"/>
  <c r="Y5" i="20"/>
  <c r="X5" i="20"/>
  <c r="V38" i="19"/>
  <c r="U38" i="19"/>
  <c r="T38" i="19"/>
  <c r="S38" i="19"/>
  <c r="P38" i="19"/>
  <c r="O38" i="19"/>
  <c r="N38" i="19"/>
  <c r="M38" i="19"/>
  <c r="L38" i="19"/>
  <c r="K38" i="19"/>
  <c r="J38" i="19"/>
  <c r="I38" i="19"/>
  <c r="H38" i="19"/>
  <c r="F38" i="19"/>
  <c r="E38" i="19"/>
  <c r="D38" i="19"/>
  <c r="C38" i="19"/>
  <c r="B38" i="19"/>
  <c r="Z36" i="19"/>
  <c r="Y36" i="19"/>
  <c r="X36" i="19"/>
  <c r="Z35" i="19"/>
  <c r="Y35" i="19"/>
  <c r="X35" i="19"/>
  <c r="Z34" i="19"/>
  <c r="Y34" i="19"/>
  <c r="X34" i="19"/>
  <c r="Z33" i="19"/>
  <c r="Y33" i="19"/>
  <c r="X33" i="19"/>
  <c r="Z32" i="19"/>
  <c r="Y32" i="19"/>
  <c r="X32" i="19"/>
  <c r="Z31" i="19"/>
  <c r="Y31" i="19"/>
  <c r="X31" i="19"/>
  <c r="Z30" i="19"/>
  <c r="Y30" i="19"/>
  <c r="X30" i="19"/>
  <c r="Z29" i="19"/>
  <c r="Y29" i="19"/>
  <c r="X29" i="19"/>
  <c r="Z28" i="19"/>
  <c r="Y28" i="19"/>
  <c r="X28" i="19"/>
  <c r="Z27" i="19"/>
  <c r="Y27" i="19"/>
  <c r="X27" i="19"/>
  <c r="Z26" i="19"/>
  <c r="Y26" i="19"/>
  <c r="X26" i="19"/>
  <c r="Z25" i="19"/>
  <c r="Y25" i="19"/>
  <c r="X25" i="19"/>
  <c r="Z24" i="19"/>
  <c r="Y24" i="19"/>
  <c r="X24" i="19"/>
  <c r="Z23" i="19"/>
  <c r="Y23" i="19"/>
  <c r="X23" i="19"/>
  <c r="Z22" i="19"/>
  <c r="Y22" i="19"/>
  <c r="X22" i="19"/>
  <c r="Z21" i="19"/>
  <c r="Y21" i="19"/>
  <c r="X21" i="19"/>
  <c r="Z20" i="19"/>
  <c r="Y20" i="19"/>
  <c r="X20" i="19"/>
  <c r="Z19" i="19"/>
  <c r="Y19" i="19"/>
  <c r="X19" i="19"/>
  <c r="Z18" i="19"/>
  <c r="Y18" i="19"/>
  <c r="X18" i="19"/>
  <c r="Z17" i="19"/>
  <c r="Y17" i="19"/>
  <c r="X17" i="19"/>
  <c r="Z16" i="19"/>
  <c r="Y16" i="19"/>
  <c r="X16" i="19"/>
  <c r="Z15" i="19"/>
  <c r="Y15" i="19"/>
  <c r="X15" i="19"/>
  <c r="Z14" i="19"/>
  <c r="Y14" i="19"/>
  <c r="X14" i="19"/>
  <c r="Z13" i="19"/>
  <c r="Y13" i="19"/>
  <c r="X13" i="19"/>
  <c r="Z12" i="19"/>
  <c r="Y12" i="19"/>
  <c r="X12" i="19"/>
  <c r="Z11" i="19"/>
  <c r="Y11" i="19"/>
  <c r="X11" i="19"/>
  <c r="Z10" i="19"/>
  <c r="Y10" i="19"/>
  <c r="X10" i="19"/>
  <c r="Z9" i="19"/>
  <c r="Y9" i="19"/>
  <c r="X9" i="19"/>
  <c r="Z8" i="19"/>
  <c r="Y8" i="19"/>
  <c r="X8" i="19"/>
  <c r="Z7" i="19"/>
  <c r="Y7" i="19"/>
  <c r="X7" i="19"/>
  <c r="Z6" i="19"/>
  <c r="Y6" i="19"/>
  <c r="X6" i="19"/>
  <c r="Z5" i="19"/>
  <c r="Y5" i="19"/>
  <c r="X5" i="19"/>
  <c r="V38" i="18"/>
  <c r="U38" i="18"/>
  <c r="T38" i="18"/>
  <c r="S38" i="18"/>
  <c r="P38" i="18"/>
  <c r="O38" i="18"/>
  <c r="N38" i="18"/>
  <c r="M38" i="18"/>
  <c r="L38" i="18"/>
  <c r="K38" i="18"/>
  <c r="J38" i="18"/>
  <c r="I38" i="18"/>
  <c r="H38" i="18"/>
  <c r="F38" i="18"/>
  <c r="E38" i="18"/>
  <c r="D38" i="18"/>
  <c r="C38" i="18"/>
  <c r="B38" i="18"/>
  <c r="Z36" i="18"/>
  <c r="Y36" i="18"/>
  <c r="X36" i="18"/>
  <c r="Z35" i="18"/>
  <c r="Y35" i="18"/>
  <c r="X35" i="18"/>
  <c r="Z34" i="18"/>
  <c r="Y34" i="18"/>
  <c r="X34" i="18"/>
  <c r="Z33" i="18"/>
  <c r="Y33" i="18"/>
  <c r="X33" i="18"/>
  <c r="Z32" i="18"/>
  <c r="Y32" i="18"/>
  <c r="X32" i="18"/>
  <c r="Z31" i="18"/>
  <c r="Y31" i="18"/>
  <c r="X31" i="18"/>
  <c r="Z30" i="18"/>
  <c r="Y30" i="18"/>
  <c r="X30" i="18"/>
  <c r="Z29" i="18"/>
  <c r="Y29" i="18"/>
  <c r="X29" i="18"/>
  <c r="Z28" i="18"/>
  <c r="Y28" i="18"/>
  <c r="X28" i="18"/>
  <c r="Z27" i="18"/>
  <c r="Y27" i="18"/>
  <c r="X27" i="18"/>
  <c r="Z26" i="18"/>
  <c r="Y26" i="18"/>
  <c r="X26" i="18"/>
  <c r="Z25" i="18"/>
  <c r="Y25" i="18"/>
  <c r="X25" i="18"/>
  <c r="Z24" i="18"/>
  <c r="Y24" i="18"/>
  <c r="X24" i="18"/>
  <c r="Z23" i="18"/>
  <c r="Y23" i="18"/>
  <c r="X23" i="18"/>
  <c r="Z22" i="18"/>
  <c r="Y22" i="18"/>
  <c r="X22" i="18"/>
  <c r="Z21" i="18"/>
  <c r="Y21" i="18"/>
  <c r="X21" i="18"/>
  <c r="Z20" i="18"/>
  <c r="Y20" i="18"/>
  <c r="X20" i="18"/>
  <c r="Z19" i="18"/>
  <c r="Y19" i="18"/>
  <c r="X19" i="18"/>
  <c r="Z18" i="18"/>
  <c r="Y18" i="18"/>
  <c r="X18" i="18"/>
  <c r="Z17" i="18"/>
  <c r="Y17" i="18"/>
  <c r="X17" i="18"/>
  <c r="Z16" i="18"/>
  <c r="Y16" i="18"/>
  <c r="X16" i="18"/>
  <c r="Z15" i="18"/>
  <c r="Y15" i="18"/>
  <c r="X15" i="18"/>
  <c r="Z14" i="18"/>
  <c r="Y14" i="18"/>
  <c r="X14" i="18"/>
  <c r="Z13" i="18"/>
  <c r="Y13" i="18"/>
  <c r="X13" i="18"/>
  <c r="Z12" i="18"/>
  <c r="Y12" i="18"/>
  <c r="X12" i="18"/>
  <c r="Z11" i="18"/>
  <c r="Y11" i="18"/>
  <c r="X11" i="18"/>
  <c r="Z10" i="18"/>
  <c r="Y10" i="18"/>
  <c r="X10" i="18"/>
  <c r="Z9" i="18"/>
  <c r="Y9" i="18"/>
  <c r="X9" i="18"/>
  <c r="Z8" i="18"/>
  <c r="Y8" i="18"/>
  <c r="X8" i="18"/>
  <c r="Z7" i="18"/>
  <c r="Y7" i="18"/>
  <c r="X7" i="18"/>
  <c r="Z6" i="18"/>
  <c r="Y6" i="18"/>
  <c r="X6" i="18"/>
  <c r="Z5" i="18"/>
  <c r="Y5" i="18"/>
  <c r="X5" i="18"/>
  <c r="Y5" i="11"/>
  <c r="J38" i="11"/>
  <c r="J38" i="9"/>
  <c r="J38" i="8"/>
  <c r="J38" i="7"/>
  <c r="J38" i="6"/>
  <c r="J38" i="5"/>
  <c r="M5" i="7"/>
  <c r="Y25" i="1"/>
  <c r="Y17" i="14"/>
  <c r="Y18" i="14"/>
  <c r="Y19" i="14"/>
  <c r="Y20" i="14"/>
  <c r="Y21" i="14"/>
  <c r="Y22" i="14"/>
  <c r="Y23" i="14"/>
  <c r="Y24" i="14"/>
  <c r="Y25" i="14"/>
  <c r="Y26" i="14"/>
  <c r="Y27" i="14"/>
  <c r="Y28" i="14"/>
  <c r="Y29" i="14"/>
  <c r="Y30" i="14"/>
  <c r="Y31" i="14"/>
  <c r="Y32" i="14"/>
  <c r="Y33" i="14"/>
  <c r="Y34" i="14"/>
  <c r="Y35" i="14"/>
  <c r="Y36" i="14"/>
  <c r="Z6" i="16"/>
  <c r="AA6" i="16"/>
  <c r="AB6" i="16"/>
  <c r="Z7" i="16"/>
  <c r="AA7" i="16"/>
  <c r="AB7" i="16"/>
  <c r="Z8" i="16"/>
  <c r="AA8" i="16"/>
  <c r="AB8" i="16"/>
  <c r="Z9" i="16"/>
  <c r="AA9" i="16"/>
  <c r="AB9" i="16"/>
  <c r="Z10" i="16"/>
  <c r="AA10" i="16"/>
  <c r="AB10" i="16"/>
  <c r="Z11" i="16"/>
  <c r="AA11" i="16"/>
  <c r="AB11" i="16"/>
  <c r="Z12" i="16"/>
  <c r="AA12" i="16"/>
  <c r="AB12" i="16"/>
  <c r="Z13" i="16"/>
  <c r="AA13" i="16"/>
  <c r="AB13" i="16"/>
  <c r="Z14" i="16"/>
  <c r="AA14" i="16"/>
  <c r="AB14" i="16"/>
  <c r="Z15" i="16"/>
  <c r="AA15" i="16"/>
  <c r="AB15" i="16"/>
  <c r="Z16" i="16"/>
  <c r="AA16" i="16"/>
  <c r="AB16" i="16"/>
  <c r="Z17" i="16"/>
  <c r="AA17" i="16"/>
  <c r="AB17" i="16"/>
  <c r="Z18" i="16"/>
  <c r="AA18" i="16"/>
  <c r="AB18" i="16"/>
  <c r="Z19" i="16"/>
  <c r="AA19" i="16"/>
  <c r="AB19" i="16"/>
  <c r="Z20" i="16"/>
  <c r="AA20" i="16"/>
  <c r="AB20" i="16"/>
  <c r="Z21" i="16"/>
  <c r="AA21" i="16"/>
  <c r="AB21" i="16"/>
  <c r="Z22" i="16"/>
  <c r="AA22" i="16"/>
  <c r="AB22" i="16"/>
  <c r="Z23" i="16"/>
  <c r="AA23" i="16"/>
  <c r="AB23" i="16"/>
  <c r="Z24" i="16"/>
  <c r="AA24" i="16"/>
  <c r="AB24" i="16"/>
  <c r="Z25" i="16"/>
  <c r="AA25" i="16"/>
  <c r="AB25" i="16"/>
  <c r="Z26" i="16"/>
  <c r="AA26" i="16"/>
  <c r="AB26" i="16"/>
  <c r="Z27" i="16"/>
  <c r="AA27" i="16"/>
  <c r="AB27" i="16"/>
  <c r="Z28" i="16"/>
  <c r="AA28" i="16"/>
  <c r="AB28" i="16"/>
  <c r="Z29" i="16"/>
  <c r="AA29" i="16"/>
  <c r="AB29" i="16"/>
  <c r="Z30" i="16"/>
  <c r="AA30" i="16"/>
  <c r="AB30" i="16"/>
  <c r="Z31" i="16"/>
  <c r="AA31" i="16"/>
  <c r="AB31" i="16"/>
  <c r="Z32" i="16"/>
  <c r="AA32" i="16"/>
  <c r="AB32" i="16"/>
  <c r="Z33" i="16"/>
  <c r="AA33" i="16"/>
  <c r="AB33" i="16"/>
  <c r="Z34" i="16"/>
  <c r="AA34" i="16"/>
  <c r="AB34" i="16"/>
  <c r="Z35" i="16"/>
  <c r="AA35" i="16"/>
  <c r="AB35" i="16"/>
  <c r="Z36" i="16"/>
  <c r="AA36" i="16"/>
  <c r="AB36" i="16"/>
  <c r="AB5" i="16"/>
  <c r="AA5" i="16"/>
  <c r="Z5" i="16"/>
  <c r="Y6" i="16"/>
  <c r="Y7" i="16"/>
  <c r="Y8" i="16"/>
  <c r="Y9" i="16"/>
  <c r="Y10" i="16"/>
  <c r="Y11" i="16"/>
  <c r="Y12" i="16"/>
  <c r="Y13" i="16"/>
  <c r="Y14" i="16"/>
  <c r="Y15" i="16"/>
  <c r="Y16" i="16"/>
  <c r="Y17" i="16"/>
  <c r="Y18" i="16"/>
  <c r="Y19" i="16"/>
  <c r="Y20" i="16"/>
  <c r="Y21" i="16"/>
  <c r="Y22" i="16"/>
  <c r="Y23" i="16"/>
  <c r="Y24" i="16"/>
  <c r="Y25" i="16"/>
  <c r="Y26" i="16"/>
  <c r="Y27" i="16"/>
  <c r="Y28" i="16"/>
  <c r="Y29" i="16"/>
  <c r="Y30" i="16"/>
  <c r="Y31" i="16"/>
  <c r="Y32" i="16"/>
  <c r="Y33" i="16"/>
  <c r="Y34" i="16"/>
  <c r="Y35" i="16"/>
  <c r="Y36" i="16"/>
  <c r="Y5" i="16"/>
  <c r="X6" i="16"/>
  <c r="X7" i="16"/>
  <c r="X8" i="16"/>
  <c r="X9" i="16"/>
  <c r="X10" i="16"/>
  <c r="X11" i="16"/>
  <c r="X12" i="16"/>
  <c r="X13" i="16"/>
  <c r="X14" i="16"/>
  <c r="X15" i="16"/>
  <c r="X16" i="16"/>
  <c r="X17" i="16"/>
  <c r="X18" i="16"/>
  <c r="X19" i="16"/>
  <c r="X20" i="16"/>
  <c r="X21" i="16"/>
  <c r="X22" i="16"/>
  <c r="X23" i="16"/>
  <c r="X24" i="16"/>
  <c r="X25" i="16"/>
  <c r="X26" i="16"/>
  <c r="X27" i="16"/>
  <c r="X28" i="16"/>
  <c r="X29" i="16"/>
  <c r="X30" i="16"/>
  <c r="X31" i="16"/>
  <c r="X32" i="16"/>
  <c r="X33" i="16"/>
  <c r="X34" i="16"/>
  <c r="X35" i="16"/>
  <c r="X36" i="16"/>
  <c r="X5" i="16"/>
  <c r="J38" i="14"/>
  <c r="V38" i="17"/>
  <c r="U38" i="17"/>
  <c r="T38" i="17"/>
  <c r="S38" i="17"/>
  <c r="P38" i="17"/>
  <c r="O38" i="17"/>
  <c r="N38" i="17"/>
  <c r="M38" i="17"/>
  <c r="L38" i="17"/>
  <c r="J38" i="17"/>
  <c r="I38" i="17"/>
  <c r="H38" i="17"/>
  <c r="F38" i="17"/>
  <c r="E38" i="17"/>
  <c r="D38" i="17"/>
  <c r="C38" i="17"/>
  <c r="B38" i="17"/>
  <c r="AG36" i="17"/>
  <c r="Z36" i="17"/>
  <c r="Y36" i="17"/>
  <c r="X36" i="17"/>
  <c r="AG35" i="17"/>
  <c r="Z35" i="17"/>
  <c r="Y35" i="17"/>
  <c r="X35" i="17"/>
  <c r="AG34" i="17"/>
  <c r="Z34" i="17"/>
  <c r="Y34" i="17"/>
  <c r="X34" i="17"/>
  <c r="AG33" i="17"/>
  <c r="Z33" i="17"/>
  <c r="Y33" i="17"/>
  <c r="X33" i="17"/>
  <c r="AG32" i="17"/>
  <c r="Z32" i="17"/>
  <c r="Y32" i="17"/>
  <c r="X32" i="17"/>
  <c r="AG31" i="17"/>
  <c r="Z31" i="17"/>
  <c r="Y31" i="17"/>
  <c r="X31" i="17"/>
  <c r="AG30" i="17"/>
  <c r="Z30" i="17"/>
  <c r="Y30" i="17"/>
  <c r="X30" i="17"/>
  <c r="AG29" i="17"/>
  <c r="Z29" i="17"/>
  <c r="Y29" i="17"/>
  <c r="X29" i="17"/>
  <c r="AG28" i="17"/>
  <c r="Z28" i="17"/>
  <c r="Y28" i="17"/>
  <c r="X28" i="17"/>
  <c r="AG27" i="17"/>
  <c r="Z27" i="17"/>
  <c r="Y27" i="17"/>
  <c r="X27" i="17"/>
  <c r="AG26" i="17"/>
  <c r="Z26" i="17"/>
  <c r="Y26" i="17"/>
  <c r="X26" i="17"/>
  <c r="AG25" i="17"/>
  <c r="Z25" i="17"/>
  <c r="Y25" i="17"/>
  <c r="X25" i="17"/>
  <c r="AG24" i="17"/>
  <c r="Z24" i="17"/>
  <c r="Y24" i="17"/>
  <c r="X24" i="17"/>
  <c r="AG23" i="17"/>
  <c r="Z23" i="17"/>
  <c r="Y23" i="17"/>
  <c r="X23" i="17"/>
  <c r="AG22" i="17"/>
  <c r="Z22" i="17"/>
  <c r="Y22" i="17"/>
  <c r="X22" i="17"/>
  <c r="AG21" i="17"/>
  <c r="Z21" i="17"/>
  <c r="Y21" i="17"/>
  <c r="X21" i="17"/>
  <c r="AG20" i="17"/>
  <c r="Z20" i="17"/>
  <c r="Y20" i="17"/>
  <c r="X20" i="17"/>
  <c r="AG19" i="17"/>
  <c r="Z19" i="17"/>
  <c r="Y19" i="17"/>
  <c r="X19" i="17"/>
  <c r="AG18" i="17"/>
  <c r="Z18" i="17"/>
  <c r="Y18" i="17"/>
  <c r="X18" i="17"/>
  <c r="AG17" i="17"/>
  <c r="Z17" i="17"/>
  <c r="Y17" i="17"/>
  <c r="X17" i="17"/>
  <c r="AG16" i="17"/>
  <c r="Z16" i="17"/>
  <c r="Y16" i="17"/>
  <c r="X16" i="17"/>
  <c r="AG15" i="17"/>
  <c r="Z15" i="17"/>
  <c r="Y15" i="17"/>
  <c r="X15" i="17"/>
  <c r="AG14" i="17"/>
  <c r="Z14" i="17"/>
  <c r="Y14" i="17"/>
  <c r="X14" i="17"/>
  <c r="AG13" i="17"/>
  <c r="Z13" i="17"/>
  <c r="Y13" i="17"/>
  <c r="X13" i="17"/>
  <c r="AG12" i="17"/>
  <c r="Z12" i="17"/>
  <c r="Y12" i="17"/>
  <c r="X12" i="17"/>
  <c r="AG11" i="17"/>
  <c r="Z11" i="17"/>
  <c r="Y11" i="17"/>
  <c r="X11" i="17"/>
  <c r="AG10" i="17"/>
  <c r="Z10" i="17"/>
  <c r="Y10" i="17"/>
  <c r="X10" i="17"/>
  <c r="AG9" i="17"/>
  <c r="Z9" i="17"/>
  <c r="Y9" i="17"/>
  <c r="X9" i="17"/>
  <c r="AG8" i="17"/>
  <c r="Z8" i="17"/>
  <c r="Y8" i="17"/>
  <c r="X8" i="17"/>
  <c r="AG7" i="17"/>
  <c r="Z7" i="17"/>
  <c r="Y7" i="17"/>
  <c r="X7" i="17"/>
  <c r="AG6" i="17"/>
  <c r="Z6" i="17"/>
  <c r="Y6" i="17"/>
  <c r="X6" i="17"/>
  <c r="AG5" i="17"/>
  <c r="Z5" i="17"/>
  <c r="Y5" i="17"/>
  <c r="X5" i="17"/>
  <c r="V38" i="16"/>
  <c r="U38" i="16"/>
  <c r="T38" i="16"/>
  <c r="S38" i="16"/>
  <c r="P38" i="16"/>
  <c r="O38" i="16"/>
  <c r="N38" i="16"/>
  <c r="M38" i="16"/>
  <c r="L38" i="16"/>
  <c r="J38" i="16"/>
  <c r="I38" i="16"/>
  <c r="H38" i="16"/>
  <c r="F38" i="16"/>
  <c r="E38" i="16"/>
  <c r="D38" i="16"/>
  <c r="C38" i="16"/>
  <c r="B38" i="16"/>
  <c r="V38" i="14"/>
  <c r="U38" i="14"/>
  <c r="T38" i="14"/>
  <c r="S38" i="14"/>
  <c r="P38" i="14"/>
  <c r="O38" i="14"/>
  <c r="N38" i="14"/>
  <c r="M38" i="14"/>
  <c r="L38" i="14"/>
  <c r="I38" i="14"/>
  <c r="H38" i="14"/>
  <c r="F38" i="14"/>
  <c r="E38" i="14"/>
  <c r="D38" i="14"/>
  <c r="C38" i="14"/>
  <c r="B38" i="14"/>
  <c r="AG36" i="14"/>
  <c r="Z36" i="14"/>
  <c r="X36" i="14"/>
  <c r="AG35" i="14"/>
  <c r="Z35" i="14"/>
  <c r="X35" i="14"/>
  <c r="AG34" i="14"/>
  <c r="Z34" i="14"/>
  <c r="X34" i="14"/>
  <c r="AG33" i="14"/>
  <c r="Z33" i="14"/>
  <c r="X33" i="14"/>
  <c r="AG32" i="14"/>
  <c r="Z32" i="14"/>
  <c r="X32" i="14"/>
  <c r="AG31" i="14"/>
  <c r="Z31" i="14"/>
  <c r="X31" i="14"/>
  <c r="AG30" i="14"/>
  <c r="Z30" i="14"/>
  <c r="X30" i="14"/>
  <c r="AG29" i="14"/>
  <c r="Z29" i="14"/>
  <c r="X29" i="14"/>
  <c r="AG28" i="14"/>
  <c r="Z28" i="14"/>
  <c r="X28" i="14"/>
  <c r="AG27" i="14"/>
  <c r="Z27" i="14"/>
  <c r="X27" i="14"/>
  <c r="AG26" i="14"/>
  <c r="Z26" i="14"/>
  <c r="X26" i="14"/>
  <c r="AG25" i="14"/>
  <c r="Z25" i="14"/>
  <c r="X25" i="14"/>
  <c r="AG24" i="14"/>
  <c r="Z24" i="14"/>
  <c r="X24" i="14"/>
  <c r="AG23" i="14"/>
  <c r="Z23" i="14"/>
  <c r="X23" i="14"/>
  <c r="AG22" i="14"/>
  <c r="Z22" i="14"/>
  <c r="X22" i="14"/>
  <c r="AG21" i="14"/>
  <c r="Z21" i="14"/>
  <c r="X21" i="14"/>
  <c r="AG20" i="14"/>
  <c r="Z20" i="14"/>
  <c r="X20" i="14"/>
  <c r="AG19" i="14"/>
  <c r="Z19" i="14"/>
  <c r="X19" i="14"/>
  <c r="AG18" i="14"/>
  <c r="Z18" i="14"/>
  <c r="X18" i="14"/>
  <c r="AG17" i="14"/>
  <c r="Z17" i="14"/>
  <c r="X17" i="14"/>
  <c r="AG16" i="14"/>
  <c r="Z16" i="14"/>
  <c r="Y16" i="14"/>
  <c r="X16" i="14"/>
  <c r="AG15" i="14"/>
  <c r="Z15" i="14"/>
  <c r="Y15" i="14"/>
  <c r="X15" i="14"/>
  <c r="AG14" i="14"/>
  <c r="Z14" i="14"/>
  <c r="Y14" i="14"/>
  <c r="X14" i="14"/>
  <c r="AG13" i="14"/>
  <c r="Z13" i="14"/>
  <c r="Y13" i="14"/>
  <c r="X13" i="14"/>
  <c r="AG12" i="14"/>
  <c r="Z12" i="14"/>
  <c r="Y12" i="14"/>
  <c r="X12" i="14"/>
  <c r="AG11" i="14"/>
  <c r="Z11" i="14"/>
  <c r="Y11" i="14"/>
  <c r="X11" i="14"/>
  <c r="AG10" i="14"/>
  <c r="Z10" i="14"/>
  <c r="Y10" i="14"/>
  <c r="X10" i="14"/>
  <c r="AG9" i="14"/>
  <c r="Z9" i="14"/>
  <c r="Y9" i="14"/>
  <c r="X9" i="14"/>
  <c r="AG8" i="14"/>
  <c r="Z8" i="14"/>
  <c r="Y8" i="14"/>
  <c r="X8" i="14"/>
  <c r="AG7" i="14"/>
  <c r="Z7" i="14"/>
  <c r="Y7" i="14"/>
  <c r="X7" i="14"/>
  <c r="AG6" i="14"/>
  <c r="Z6" i="14"/>
  <c r="Y6" i="14"/>
  <c r="X6" i="14"/>
  <c r="AG5" i="14"/>
  <c r="Z5" i="14"/>
  <c r="Y5" i="14"/>
  <c r="X5" i="14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5" i="10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5" i="1"/>
  <c r="X25" i="11"/>
  <c r="V38" i="11"/>
  <c r="U38" i="11"/>
  <c r="T38" i="11"/>
  <c r="S38" i="11"/>
  <c r="P38" i="11"/>
  <c r="O38" i="11"/>
  <c r="N38" i="11"/>
  <c r="M38" i="11"/>
  <c r="L38" i="11"/>
  <c r="K38" i="11"/>
  <c r="I38" i="11"/>
  <c r="H38" i="11"/>
  <c r="F38" i="11"/>
  <c r="E38" i="11"/>
  <c r="D38" i="11"/>
  <c r="C38" i="11"/>
  <c r="B38" i="11"/>
  <c r="Z36" i="11"/>
  <c r="Y36" i="11"/>
  <c r="X36" i="11"/>
  <c r="Z35" i="11"/>
  <c r="Y35" i="11"/>
  <c r="X35" i="11"/>
  <c r="Z34" i="11"/>
  <c r="Y34" i="11"/>
  <c r="X34" i="11"/>
  <c r="Z33" i="11"/>
  <c r="Y33" i="11"/>
  <c r="X33" i="11"/>
  <c r="Z32" i="11"/>
  <c r="Y32" i="11"/>
  <c r="X32" i="11"/>
  <c r="Z31" i="11"/>
  <c r="Y31" i="11"/>
  <c r="X31" i="11"/>
  <c r="Z30" i="11"/>
  <c r="Y30" i="11"/>
  <c r="X30" i="11"/>
  <c r="Z29" i="11"/>
  <c r="Y29" i="11"/>
  <c r="X29" i="11"/>
  <c r="Z28" i="11"/>
  <c r="Y28" i="11"/>
  <c r="X28" i="11"/>
  <c r="Z27" i="11"/>
  <c r="Y27" i="11"/>
  <c r="X27" i="11"/>
  <c r="Z26" i="11"/>
  <c r="Y26" i="11"/>
  <c r="X26" i="11"/>
  <c r="Z25" i="11"/>
  <c r="Y25" i="11"/>
  <c r="Z24" i="11"/>
  <c r="Y24" i="11"/>
  <c r="X24" i="11"/>
  <c r="Z23" i="11"/>
  <c r="Y23" i="11"/>
  <c r="X23" i="11"/>
  <c r="Z22" i="11"/>
  <c r="Y22" i="11"/>
  <c r="X22" i="11"/>
  <c r="Z21" i="11"/>
  <c r="Y21" i="11"/>
  <c r="X21" i="11"/>
  <c r="Z20" i="11"/>
  <c r="Y20" i="11"/>
  <c r="X20" i="11"/>
  <c r="Z19" i="11"/>
  <c r="Y19" i="11"/>
  <c r="X19" i="11"/>
  <c r="Z18" i="11"/>
  <c r="Y18" i="11"/>
  <c r="X18" i="11"/>
  <c r="Z17" i="11"/>
  <c r="Y17" i="11"/>
  <c r="X17" i="11"/>
  <c r="Z16" i="11"/>
  <c r="Y16" i="11"/>
  <c r="X16" i="11"/>
  <c r="Z15" i="11"/>
  <c r="Y15" i="11"/>
  <c r="X15" i="11"/>
  <c r="Z14" i="11"/>
  <c r="Y14" i="11"/>
  <c r="X14" i="11"/>
  <c r="Z13" i="11"/>
  <c r="Y13" i="11"/>
  <c r="X13" i="11"/>
  <c r="Z12" i="11"/>
  <c r="Y12" i="11"/>
  <c r="X12" i="11"/>
  <c r="Z11" i="11"/>
  <c r="Y11" i="11"/>
  <c r="X11" i="11"/>
  <c r="Z10" i="11"/>
  <c r="Y10" i="11"/>
  <c r="X10" i="11"/>
  <c r="Z9" i="11"/>
  <c r="Y9" i="11"/>
  <c r="X9" i="11"/>
  <c r="Z8" i="11"/>
  <c r="Y8" i="11"/>
  <c r="X8" i="11"/>
  <c r="Z7" i="11"/>
  <c r="Y7" i="11"/>
  <c r="X7" i="11"/>
  <c r="Z6" i="11"/>
  <c r="Y6" i="11"/>
  <c r="X6" i="11"/>
  <c r="Z5" i="11"/>
  <c r="X5" i="11"/>
  <c r="B38" i="9"/>
  <c r="C38" i="9"/>
  <c r="V38" i="10"/>
  <c r="U38" i="10"/>
  <c r="T38" i="10"/>
  <c r="S38" i="10"/>
  <c r="P38" i="10"/>
  <c r="O38" i="10"/>
  <c r="N38" i="10"/>
  <c r="M38" i="10"/>
  <c r="L38" i="10"/>
  <c r="J38" i="10"/>
  <c r="I38" i="10"/>
  <c r="H38" i="10"/>
  <c r="F38" i="10"/>
  <c r="E38" i="10"/>
  <c r="D38" i="10"/>
  <c r="C38" i="10"/>
  <c r="B38" i="10"/>
  <c r="Z36" i="10"/>
  <c r="Y36" i="10"/>
  <c r="X36" i="10"/>
  <c r="Z35" i="10"/>
  <c r="Y35" i="10"/>
  <c r="X35" i="10"/>
  <c r="Z34" i="10"/>
  <c r="Y34" i="10"/>
  <c r="X34" i="10"/>
  <c r="Z33" i="10"/>
  <c r="Y33" i="10"/>
  <c r="X33" i="10"/>
  <c r="Z32" i="10"/>
  <c r="Y32" i="10"/>
  <c r="X32" i="10"/>
  <c r="Z31" i="10"/>
  <c r="Y31" i="10"/>
  <c r="X31" i="10"/>
  <c r="Z30" i="10"/>
  <c r="Y30" i="10"/>
  <c r="X30" i="10"/>
  <c r="Z29" i="10"/>
  <c r="Y29" i="10"/>
  <c r="X29" i="10"/>
  <c r="Z28" i="10"/>
  <c r="Y28" i="10"/>
  <c r="X28" i="10"/>
  <c r="Z27" i="10"/>
  <c r="Y27" i="10"/>
  <c r="X27" i="10"/>
  <c r="Z26" i="10"/>
  <c r="Y26" i="10"/>
  <c r="X26" i="10"/>
  <c r="Z25" i="10"/>
  <c r="Y25" i="10"/>
  <c r="X25" i="10"/>
  <c r="Z24" i="10"/>
  <c r="Y24" i="10"/>
  <c r="X24" i="10"/>
  <c r="Z23" i="10"/>
  <c r="Y23" i="10"/>
  <c r="X23" i="10"/>
  <c r="Z22" i="10"/>
  <c r="Y22" i="10"/>
  <c r="X22" i="10"/>
  <c r="Z21" i="10"/>
  <c r="Y21" i="10"/>
  <c r="X21" i="10"/>
  <c r="Z20" i="10"/>
  <c r="Y20" i="10"/>
  <c r="X20" i="10"/>
  <c r="Z19" i="10"/>
  <c r="Y19" i="10"/>
  <c r="X19" i="10"/>
  <c r="Z18" i="10"/>
  <c r="Y18" i="10"/>
  <c r="X18" i="10"/>
  <c r="Z17" i="10"/>
  <c r="Y17" i="10"/>
  <c r="X17" i="10"/>
  <c r="Z16" i="10"/>
  <c r="Y16" i="10"/>
  <c r="X16" i="10"/>
  <c r="Z15" i="10"/>
  <c r="Y15" i="10"/>
  <c r="X15" i="10"/>
  <c r="Z14" i="10"/>
  <c r="Y14" i="10"/>
  <c r="X14" i="10"/>
  <c r="Z13" i="10"/>
  <c r="Y13" i="10"/>
  <c r="X13" i="10"/>
  <c r="Z12" i="10"/>
  <c r="Y12" i="10"/>
  <c r="X12" i="10"/>
  <c r="Z11" i="10"/>
  <c r="Y11" i="10"/>
  <c r="X11" i="10"/>
  <c r="Z10" i="10"/>
  <c r="Y10" i="10"/>
  <c r="X10" i="10"/>
  <c r="Z9" i="10"/>
  <c r="Y9" i="10"/>
  <c r="X9" i="10"/>
  <c r="Z8" i="10"/>
  <c r="Y8" i="10"/>
  <c r="X8" i="10"/>
  <c r="Z7" i="10"/>
  <c r="Y7" i="10"/>
  <c r="X7" i="10"/>
  <c r="Z6" i="10"/>
  <c r="Y6" i="10"/>
  <c r="X6" i="10"/>
  <c r="Z5" i="10"/>
  <c r="Y5" i="10"/>
  <c r="X5" i="10"/>
  <c r="Z15" i="8"/>
  <c r="Z31" i="8"/>
  <c r="M5" i="8"/>
  <c r="Z5" i="8" s="1"/>
  <c r="Z5" i="9"/>
  <c r="X10" i="9"/>
  <c r="V38" i="9"/>
  <c r="U38" i="9"/>
  <c r="T38" i="9"/>
  <c r="S38" i="9"/>
  <c r="P38" i="9"/>
  <c r="O38" i="9"/>
  <c r="N38" i="9"/>
  <c r="L38" i="9"/>
  <c r="K38" i="9"/>
  <c r="I38" i="9"/>
  <c r="H38" i="9"/>
  <c r="E38" i="9"/>
  <c r="D38" i="9"/>
  <c r="Z36" i="9"/>
  <c r="Y36" i="9"/>
  <c r="X36" i="9"/>
  <c r="X35" i="9"/>
  <c r="Z35" i="9"/>
  <c r="Y34" i="9"/>
  <c r="X34" i="9"/>
  <c r="Z34" i="9"/>
  <c r="Z33" i="9"/>
  <c r="Y33" i="9"/>
  <c r="X33" i="9"/>
  <c r="Z32" i="9"/>
  <c r="Y32" i="9"/>
  <c r="X32" i="9"/>
  <c r="Z31" i="9"/>
  <c r="X31" i="9"/>
  <c r="Y31" i="9"/>
  <c r="Y30" i="9"/>
  <c r="X30" i="9"/>
  <c r="Z30" i="9"/>
  <c r="Z29" i="9"/>
  <c r="Y29" i="9"/>
  <c r="X29" i="9"/>
  <c r="Z28" i="9"/>
  <c r="Y28" i="9"/>
  <c r="X28" i="9"/>
  <c r="Z27" i="9"/>
  <c r="X27" i="9"/>
  <c r="Y27" i="9"/>
  <c r="Y26" i="9"/>
  <c r="X26" i="9"/>
  <c r="Z26" i="9"/>
  <c r="Z25" i="9"/>
  <c r="Y25" i="9"/>
  <c r="X25" i="9"/>
  <c r="Z24" i="9"/>
  <c r="Y24" i="9"/>
  <c r="X24" i="9"/>
  <c r="Z23" i="9"/>
  <c r="X23" i="9"/>
  <c r="Y23" i="9"/>
  <c r="X22" i="9"/>
  <c r="Y22" i="9"/>
  <c r="Z21" i="9"/>
  <c r="Y21" i="9"/>
  <c r="X21" i="9"/>
  <c r="Y20" i="9"/>
  <c r="X20" i="9"/>
  <c r="Z20" i="9"/>
  <c r="Y19" i="9"/>
  <c r="X19" i="9"/>
  <c r="Z19" i="9"/>
  <c r="X18" i="9"/>
  <c r="Z18" i="9"/>
  <c r="Z17" i="9"/>
  <c r="Y17" i="9"/>
  <c r="X17" i="9"/>
  <c r="Y16" i="9"/>
  <c r="X16" i="9"/>
  <c r="Z16" i="9"/>
  <c r="Y15" i="9"/>
  <c r="X15" i="9"/>
  <c r="Z15" i="9"/>
  <c r="X14" i="9"/>
  <c r="Y14" i="9"/>
  <c r="Z13" i="9"/>
  <c r="Y13" i="9"/>
  <c r="X13" i="9"/>
  <c r="Y12" i="9"/>
  <c r="X12" i="9"/>
  <c r="Z12" i="9"/>
  <c r="X11" i="9"/>
  <c r="Z11" i="9"/>
  <c r="Y11" i="9"/>
  <c r="Z10" i="9"/>
  <c r="Y10" i="9"/>
  <c r="X9" i="9"/>
  <c r="Z9" i="9"/>
  <c r="Z8" i="9"/>
  <c r="X8" i="9"/>
  <c r="Y8" i="9"/>
  <c r="X7" i="9"/>
  <c r="Y7" i="9"/>
  <c r="Z6" i="9"/>
  <c r="Y6" i="9"/>
  <c r="X6" i="9"/>
  <c r="Y5" i="9"/>
  <c r="X5" i="9"/>
  <c r="F38" i="9"/>
  <c r="M6" i="8"/>
  <c r="Z6" i="8" s="1"/>
  <c r="M7" i="8"/>
  <c r="Y7" i="8" s="1"/>
  <c r="M8" i="8"/>
  <c r="Z8" i="8" s="1"/>
  <c r="M9" i="8"/>
  <c r="Z9" i="8" s="1"/>
  <c r="M10" i="8"/>
  <c r="Z10" i="8" s="1"/>
  <c r="M11" i="8"/>
  <c r="Z11" i="8" s="1"/>
  <c r="M12" i="8"/>
  <c r="Z12" i="8" s="1"/>
  <c r="M13" i="8"/>
  <c r="Z13" i="8" s="1"/>
  <c r="M14" i="8"/>
  <c r="Z14" i="8" s="1"/>
  <c r="M15" i="8"/>
  <c r="M16" i="8"/>
  <c r="Y16" i="8" s="1"/>
  <c r="M17" i="8"/>
  <c r="Z17" i="8" s="1"/>
  <c r="M18" i="8"/>
  <c r="Z18" i="8" s="1"/>
  <c r="M19" i="8"/>
  <c r="Z19" i="8" s="1"/>
  <c r="M20" i="8"/>
  <c r="Y20" i="8" s="1"/>
  <c r="M21" i="8"/>
  <c r="Z21" i="8" s="1"/>
  <c r="M22" i="8"/>
  <c r="Z22" i="8" s="1"/>
  <c r="M23" i="8"/>
  <c r="Z23" i="8" s="1"/>
  <c r="M24" i="8"/>
  <c r="Z24" i="8" s="1"/>
  <c r="M25" i="8"/>
  <c r="Z25" i="8" s="1"/>
  <c r="M26" i="8"/>
  <c r="Z26" i="8" s="1"/>
  <c r="M27" i="8"/>
  <c r="Z27" i="8" s="1"/>
  <c r="M28" i="8"/>
  <c r="Z28" i="8" s="1"/>
  <c r="M29" i="8"/>
  <c r="Z29" i="8" s="1"/>
  <c r="M30" i="8"/>
  <c r="Z30" i="8" s="1"/>
  <c r="M31" i="8"/>
  <c r="Y31" i="8" s="1"/>
  <c r="M32" i="8"/>
  <c r="Y32" i="8" s="1"/>
  <c r="M33" i="8"/>
  <c r="Z33" i="8" s="1"/>
  <c r="M34" i="8"/>
  <c r="Z34" i="8" s="1"/>
  <c r="M35" i="8"/>
  <c r="Z35" i="8" s="1"/>
  <c r="M36" i="8"/>
  <c r="Z36" i="8" s="1"/>
  <c r="X30" i="8"/>
  <c r="Y22" i="8"/>
  <c r="V38" i="8"/>
  <c r="U38" i="8"/>
  <c r="T38" i="8"/>
  <c r="S38" i="8"/>
  <c r="P38" i="8"/>
  <c r="O38" i="8"/>
  <c r="N38" i="8"/>
  <c r="L38" i="8"/>
  <c r="K38" i="8"/>
  <c r="I38" i="8"/>
  <c r="H38" i="8"/>
  <c r="E38" i="8"/>
  <c r="D38" i="8"/>
  <c r="C38" i="8"/>
  <c r="B38" i="8"/>
  <c r="X36" i="8"/>
  <c r="X35" i="8"/>
  <c r="X34" i="8"/>
  <c r="X33" i="8"/>
  <c r="X32" i="8"/>
  <c r="X31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Y15" i="8"/>
  <c r="X15" i="8"/>
  <c r="X14" i="8"/>
  <c r="X13" i="8"/>
  <c r="X12" i="8"/>
  <c r="X11" i="8"/>
  <c r="X10" i="8"/>
  <c r="X9" i="8"/>
  <c r="X8" i="8"/>
  <c r="X7" i="8"/>
  <c r="X6" i="8"/>
  <c r="X5" i="8"/>
  <c r="U38" i="7"/>
  <c r="V38" i="7"/>
  <c r="X20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5" i="7"/>
  <c r="M6" i="7"/>
  <c r="Y6" i="7" s="1"/>
  <c r="M7" i="7"/>
  <c r="Z7" i="7" s="1"/>
  <c r="M8" i="7"/>
  <c r="Z8" i="7" s="1"/>
  <c r="M9" i="7"/>
  <c r="Z9" i="7" s="1"/>
  <c r="M10" i="7"/>
  <c r="Z10" i="7" s="1"/>
  <c r="M11" i="7"/>
  <c r="Y11" i="7" s="1"/>
  <c r="M12" i="7"/>
  <c r="M13" i="7"/>
  <c r="Y13" i="7" s="1"/>
  <c r="M14" i="7"/>
  <c r="Z14" i="7" s="1"/>
  <c r="M15" i="7"/>
  <c r="Z15" i="7" s="1"/>
  <c r="M16" i="7"/>
  <c r="Y16" i="7" s="1"/>
  <c r="M17" i="7"/>
  <c r="Z17" i="7" s="1"/>
  <c r="M18" i="7"/>
  <c r="Z18" i="7" s="1"/>
  <c r="M19" i="7"/>
  <c r="Z19" i="7" s="1"/>
  <c r="M20" i="7"/>
  <c r="Y20" i="7" s="1"/>
  <c r="M21" i="7"/>
  <c r="Z21" i="7" s="1"/>
  <c r="M22" i="7"/>
  <c r="Z22" i="7" s="1"/>
  <c r="M23" i="7"/>
  <c r="Z23" i="7" s="1"/>
  <c r="M24" i="7"/>
  <c r="Z24" i="7" s="1"/>
  <c r="M25" i="7"/>
  <c r="Z25" i="7" s="1"/>
  <c r="M26" i="7"/>
  <c r="Z26" i="7" s="1"/>
  <c r="M27" i="7"/>
  <c r="Z27" i="7" s="1"/>
  <c r="M28" i="7"/>
  <c r="Z28" i="7" s="1"/>
  <c r="M29" i="7"/>
  <c r="Y29" i="7" s="1"/>
  <c r="M30" i="7"/>
  <c r="Z30" i="7" s="1"/>
  <c r="M31" i="7"/>
  <c r="Z31" i="7" s="1"/>
  <c r="M32" i="7"/>
  <c r="Z32" i="7" s="1"/>
  <c r="M33" i="7"/>
  <c r="Z33" i="7" s="1"/>
  <c r="M34" i="7"/>
  <c r="Z34" i="7" s="1"/>
  <c r="M35" i="7"/>
  <c r="Z35" i="7" s="1"/>
  <c r="M36" i="7"/>
  <c r="Y36" i="7" s="1"/>
  <c r="Y5" i="7"/>
  <c r="T38" i="7"/>
  <c r="S38" i="7"/>
  <c r="P38" i="7"/>
  <c r="O38" i="7"/>
  <c r="N38" i="7"/>
  <c r="L38" i="7"/>
  <c r="K38" i="7"/>
  <c r="I38" i="7"/>
  <c r="H38" i="7"/>
  <c r="F38" i="7"/>
  <c r="E38" i="7"/>
  <c r="D38" i="7"/>
  <c r="C38" i="7"/>
  <c r="B38" i="7"/>
  <c r="Z36" i="7"/>
  <c r="Z20" i="7"/>
  <c r="Y14" i="7"/>
  <c r="Z12" i="7"/>
  <c r="Y12" i="7"/>
  <c r="V38" i="6"/>
  <c r="U38" i="6"/>
  <c r="T38" i="6"/>
  <c r="S38" i="6"/>
  <c r="P38" i="6"/>
  <c r="O38" i="6"/>
  <c r="N38" i="6"/>
  <c r="M38" i="6"/>
  <c r="L38" i="6"/>
  <c r="K38" i="6"/>
  <c r="I38" i="6"/>
  <c r="H38" i="6"/>
  <c r="F38" i="6"/>
  <c r="E38" i="6"/>
  <c r="D38" i="6"/>
  <c r="C38" i="6"/>
  <c r="B38" i="6"/>
  <c r="Z36" i="6"/>
  <c r="Y36" i="6"/>
  <c r="X36" i="6"/>
  <c r="Z35" i="6"/>
  <c r="Y35" i="6"/>
  <c r="X35" i="6"/>
  <c r="Z34" i="6"/>
  <c r="Y34" i="6"/>
  <c r="X34" i="6"/>
  <c r="Z33" i="6"/>
  <c r="Y33" i="6"/>
  <c r="X33" i="6"/>
  <c r="Z32" i="6"/>
  <c r="Y32" i="6"/>
  <c r="X32" i="6"/>
  <c r="Z31" i="6"/>
  <c r="Y31" i="6"/>
  <c r="X31" i="6"/>
  <c r="Z30" i="6"/>
  <c r="Y30" i="6"/>
  <c r="X30" i="6"/>
  <c r="Z29" i="6"/>
  <c r="Y29" i="6"/>
  <c r="X29" i="6"/>
  <c r="Z28" i="6"/>
  <c r="Y28" i="6"/>
  <c r="X28" i="6"/>
  <c r="Z27" i="6"/>
  <c r="Y27" i="6"/>
  <c r="X27" i="6"/>
  <c r="Z26" i="6"/>
  <c r="Y26" i="6"/>
  <c r="X26" i="6"/>
  <c r="Z25" i="6"/>
  <c r="Y25" i="6"/>
  <c r="X25" i="6"/>
  <c r="Z24" i="6"/>
  <c r="Y24" i="6"/>
  <c r="X24" i="6"/>
  <c r="Z23" i="6"/>
  <c r="Y23" i="6"/>
  <c r="X23" i="6"/>
  <c r="Z22" i="6"/>
  <c r="Y22" i="6"/>
  <c r="X22" i="6"/>
  <c r="Z21" i="6"/>
  <c r="Y21" i="6"/>
  <c r="X21" i="6"/>
  <c r="Z20" i="6"/>
  <c r="Y20" i="6"/>
  <c r="X20" i="6"/>
  <c r="Z19" i="6"/>
  <c r="Y19" i="6"/>
  <c r="X19" i="6"/>
  <c r="Z18" i="6"/>
  <c r="Y18" i="6"/>
  <c r="X18" i="6"/>
  <c r="Z17" i="6"/>
  <c r="Y17" i="6"/>
  <c r="X17" i="6"/>
  <c r="Z16" i="6"/>
  <c r="Y16" i="6"/>
  <c r="X16" i="6"/>
  <c r="Z15" i="6"/>
  <c r="Y15" i="6"/>
  <c r="X15" i="6"/>
  <c r="Z14" i="6"/>
  <c r="Y14" i="6"/>
  <c r="X14" i="6"/>
  <c r="Z13" i="6"/>
  <c r="Y13" i="6"/>
  <c r="X13" i="6"/>
  <c r="Z12" i="6"/>
  <c r="Y12" i="6"/>
  <c r="X12" i="6"/>
  <c r="Z11" i="6"/>
  <c r="Y11" i="6"/>
  <c r="X11" i="6"/>
  <c r="Z10" i="6"/>
  <c r="Y10" i="6"/>
  <c r="X10" i="6"/>
  <c r="Z9" i="6"/>
  <c r="Y9" i="6"/>
  <c r="X9" i="6"/>
  <c r="Z8" i="6"/>
  <c r="Y8" i="6"/>
  <c r="X8" i="6"/>
  <c r="Z7" i="6"/>
  <c r="Y7" i="6"/>
  <c r="X7" i="6"/>
  <c r="Z6" i="6"/>
  <c r="Y6" i="6"/>
  <c r="X6" i="6"/>
  <c r="Z5" i="6"/>
  <c r="Y5" i="6"/>
  <c r="X5" i="6"/>
  <c r="V38" i="5"/>
  <c r="U38" i="5"/>
  <c r="T38" i="5"/>
  <c r="S38" i="5"/>
  <c r="P38" i="5"/>
  <c r="O38" i="5"/>
  <c r="N38" i="5"/>
  <c r="M38" i="5"/>
  <c r="L38" i="5"/>
  <c r="K38" i="5"/>
  <c r="I38" i="5"/>
  <c r="H38" i="5"/>
  <c r="F38" i="5"/>
  <c r="E38" i="5"/>
  <c r="D38" i="5"/>
  <c r="C38" i="5"/>
  <c r="B38" i="5"/>
  <c r="Z36" i="5"/>
  <c r="Y36" i="5"/>
  <c r="X36" i="5"/>
  <c r="Z35" i="5"/>
  <c r="Y35" i="5"/>
  <c r="X35" i="5"/>
  <c r="Z34" i="5"/>
  <c r="Y34" i="5"/>
  <c r="X34" i="5"/>
  <c r="Z33" i="5"/>
  <c r="Y33" i="5"/>
  <c r="X33" i="5"/>
  <c r="Z32" i="5"/>
  <c r="Y32" i="5"/>
  <c r="X32" i="5"/>
  <c r="Z31" i="5"/>
  <c r="Y31" i="5"/>
  <c r="X31" i="5"/>
  <c r="Z30" i="5"/>
  <c r="Y30" i="5"/>
  <c r="X30" i="5"/>
  <c r="Z29" i="5"/>
  <c r="Y29" i="5"/>
  <c r="X29" i="5"/>
  <c r="Z28" i="5"/>
  <c r="Y28" i="5"/>
  <c r="X28" i="5"/>
  <c r="Z27" i="5"/>
  <c r="Y27" i="5"/>
  <c r="X27" i="5"/>
  <c r="Z26" i="5"/>
  <c r="Y26" i="5"/>
  <c r="X26" i="5"/>
  <c r="Z25" i="5"/>
  <c r="Y25" i="5"/>
  <c r="X25" i="5"/>
  <c r="Z24" i="5"/>
  <c r="Y24" i="5"/>
  <c r="X24" i="5"/>
  <c r="Z23" i="5"/>
  <c r="Y23" i="5"/>
  <c r="X23" i="5"/>
  <c r="Z22" i="5"/>
  <c r="Y22" i="5"/>
  <c r="X22" i="5"/>
  <c r="Z21" i="5"/>
  <c r="Y21" i="5"/>
  <c r="X21" i="5"/>
  <c r="Z20" i="5"/>
  <c r="Y20" i="5"/>
  <c r="X20" i="5"/>
  <c r="Z19" i="5"/>
  <c r="Y19" i="5"/>
  <c r="X19" i="5"/>
  <c r="Z18" i="5"/>
  <c r="Y18" i="5"/>
  <c r="X18" i="5"/>
  <c r="Z17" i="5"/>
  <c r="Y17" i="5"/>
  <c r="X17" i="5"/>
  <c r="Z16" i="5"/>
  <c r="Y16" i="5"/>
  <c r="X16" i="5"/>
  <c r="Z15" i="5"/>
  <c r="Y15" i="5"/>
  <c r="X15" i="5"/>
  <c r="Z14" i="5"/>
  <c r="Y14" i="5"/>
  <c r="X14" i="5"/>
  <c r="Z13" i="5"/>
  <c r="Y13" i="5"/>
  <c r="X13" i="5"/>
  <c r="Z12" i="5"/>
  <c r="Y12" i="5"/>
  <c r="X12" i="5"/>
  <c r="Z11" i="5"/>
  <c r="Y11" i="5"/>
  <c r="X11" i="5"/>
  <c r="Z10" i="5"/>
  <c r="Y10" i="5"/>
  <c r="X10" i="5"/>
  <c r="Z9" i="5"/>
  <c r="Y9" i="5"/>
  <c r="X9" i="5"/>
  <c r="Z8" i="5"/>
  <c r="Y8" i="5"/>
  <c r="X8" i="5"/>
  <c r="Z7" i="5"/>
  <c r="Y7" i="5"/>
  <c r="X7" i="5"/>
  <c r="Z6" i="5"/>
  <c r="Y6" i="5"/>
  <c r="X6" i="5"/>
  <c r="Z5" i="5"/>
  <c r="Y5" i="5"/>
  <c r="X5" i="5"/>
  <c r="X8" i="4"/>
  <c r="Y8" i="4"/>
  <c r="Z8" i="4"/>
  <c r="X9" i="4"/>
  <c r="Y9" i="4"/>
  <c r="Z9" i="4"/>
  <c r="X10" i="4"/>
  <c r="Y10" i="4"/>
  <c r="Z10" i="4"/>
  <c r="X11" i="4"/>
  <c r="Y11" i="4"/>
  <c r="Z11" i="4"/>
  <c r="X12" i="4"/>
  <c r="Y12" i="4"/>
  <c r="Z12" i="4"/>
  <c r="X13" i="4"/>
  <c r="Y13" i="4"/>
  <c r="Z13" i="4"/>
  <c r="X14" i="4"/>
  <c r="Y14" i="4"/>
  <c r="Z14" i="4"/>
  <c r="X15" i="4"/>
  <c r="Y15" i="4"/>
  <c r="Z15" i="4"/>
  <c r="X16" i="4"/>
  <c r="Y16" i="4"/>
  <c r="Z16" i="4"/>
  <c r="X17" i="4"/>
  <c r="Y17" i="4"/>
  <c r="Z17" i="4"/>
  <c r="X18" i="4"/>
  <c r="Y18" i="4"/>
  <c r="Z18" i="4"/>
  <c r="X19" i="4"/>
  <c r="Y19" i="4"/>
  <c r="Z19" i="4"/>
  <c r="X20" i="4"/>
  <c r="Y20" i="4"/>
  <c r="Z20" i="4"/>
  <c r="X21" i="4"/>
  <c r="Y21" i="4"/>
  <c r="Z21" i="4"/>
  <c r="X22" i="4"/>
  <c r="Y22" i="4"/>
  <c r="Z22" i="4"/>
  <c r="X23" i="4"/>
  <c r="Y23" i="4"/>
  <c r="Z23" i="4"/>
  <c r="X24" i="4"/>
  <c r="Y24" i="4"/>
  <c r="Z24" i="4"/>
  <c r="X25" i="4"/>
  <c r="Y25" i="4"/>
  <c r="Z25" i="4"/>
  <c r="X26" i="4"/>
  <c r="Y26" i="4"/>
  <c r="Z26" i="4"/>
  <c r="X27" i="4"/>
  <c r="Y27" i="4"/>
  <c r="Z27" i="4"/>
  <c r="X28" i="4"/>
  <c r="Y28" i="4"/>
  <c r="Z28" i="4"/>
  <c r="X29" i="4"/>
  <c r="Y29" i="4"/>
  <c r="Z29" i="4"/>
  <c r="X30" i="4"/>
  <c r="Y30" i="4"/>
  <c r="Z30" i="4"/>
  <c r="X31" i="4"/>
  <c r="Y31" i="4"/>
  <c r="Z31" i="4"/>
  <c r="X32" i="4"/>
  <c r="Y32" i="4"/>
  <c r="Z32" i="4"/>
  <c r="X33" i="4"/>
  <c r="Y33" i="4"/>
  <c r="Z33" i="4"/>
  <c r="X34" i="4"/>
  <c r="Y34" i="4"/>
  <c r="Z34" i="4"/>
  <c r="X35" i="4"/>
  <c r="Y35" i="4"/>
  <c r="Z35" i="4"/>
  <c r="X36" i="4"/>
  <c r="Y36" i="4"/>
  <c r="Z36" i="4"/>
  <c r="V38" i="4"/>
  <c r="U38" i="4"/>
  <c r="T38" i="4"/>
  <c r="S38" i="4"/>
  <c r="P38" i="4"/>
  <c r="O38" i="4"/>
  <c r="N38" i="4"/>
  <c r="M38" i="4"/>
  <c r="L38" i="4"/>
  <c r="J38" i="4"/>
  <c r="I38" i="4"/>
  <c r="H38" i="4"/>
  <c r="F38" i="4"/>
  <c r="E38" i="4"/>
  <c r="D38" i="4"/>
  <c r="C38" i="4"/>
  <c r="B38" i="4"/>
  <c r="Z7" i="4"/>
  <c r="Y7" i="4"/>
  <c r="X7" i="4"/>
  <c r="Z6" i="4"/>
  <c r="Y6" i="4"/>
  <c r="X6" i="4"/>
  <c r="Z5" i="4"/>
  <c r="Y5" i="4"/>
  <c r="X5" i="4"/>
  <c r="V38" i="3"/>
  <c r="U38" i="3"/>
  <c r="T38" i="3"/>
  <c r="S38" i="3"/>
  <c r="P38" i="3"/>
  <c r="O38" i="3"/>
  <c r="N38" i="3"/>
  <c r="M38" i="3"/>
  <c r="L38" i="3"/>
  <c r="J38" i="3"/>
  <c r="I38" i="3"/>
  <c r="H38" i="3"/>
  <c r="F38" i="3"/>
  <c r="E38" i="3"/>
  <c r="D38" i="3"/>
  <c r="C38" i="3"/>
  <c r="B38" i="3"/>
  <c r="Z36" i="3"/>
  <c r="Y36" i="3"/>
  <c r="X36" i="3"/>
  <c r="Z35" i="3"/>
  <c r="Y35" i="3"/>
  <c r="X35" i="3"/>
  <c r="Z34" i="3"/>
  <c r="Y34" i="3"/>
  <c r="X34" i="3"/>
  <c r="Z33" i="3"/>
  <c r="Y33" i="3"/>
  <c r="X33" i="3"/>
  <c r="Z32" i="3"/>
  <c r="Y32" i="3"/>
  <c r="X32" i="3"/>
  <c r="Z31" i="3"/>
  <c r="Y31" i="3"/>
  <c r="X31" i="3"/>
  <c r="Z30" i="3"/>
  <c r="Y30" i="3"/>
  <c r="X30" i="3"/>
  <c r="Z29" i="3"/>
  <c r="Y29" i="3"/>
  <c r="X29" i="3"/>
  <c r="Z28" i="3"/>
  <c r="Y28" i="3"/>
  <c r="X28" i="3"/>
  <c r="Z27" i="3"/>
  <c r="Y27" i="3"/>
  <c r="X27" i="3"/>
  <c r="Z26" i="3"/>
  <c r="Y26" i="3"/>
  <c r="X26" i="3"/>
  <c r="Z25" i="3"/>
  <c r="Y25" i="3"/>
  <c r="X25" i="3"/>
  <c r="Z24" i="3"/>
  <c r="Y24" i="3"/>
  <c r="X24" i="3"/>
  <c r="Z23" i="3"/>
  <c r="Y23" i="3"/>
  <c r="X23" i="3"/>
  <c r="Z22" i="3"/>
  <c r="Y22" i="3"/>
  <c r="X22" i="3"/>
  <c r="Z21" i="3"/>
  <c r="Y21" i="3"/>
  <c r="X21" i="3"/>
  <c r="Z20" i="3"/>
  <c r="Y20" i="3"/>
  <c r="X20" i="3"/>
  <c r="Z19" i="3"/>
  <c r="Y19" i="3"/>
  <c r="X19" i="3"/>
  <c r="Z18" i="3"/>
  <c r="Y18" i="3"/>
  <c r="X18" i="3"/>
  <c r="Z17" i="3"/>
  <c r="Y17" i="3"/>
  <c r="X17" i="3"/>
  <c r="Z16" i="3"/>
  <c r="Y16" i="3"/>
  <c r="X16" i="3"/>
  <c r="Z15" i="3"/>
  <c r="Y15" i="3"/>
  <c r="X15" i="3"/>
  <c r="Z14" i="3"/>
  <c r="Y14" i="3"/>
  <c r="X14" i="3"/>
  <c r="Z13" i="3"/>
  <c r="Y13" i="3"/>
  <c r="X13" i="3"/>
  <c r="Z12" i="3"/>
  <c r="Y12" i="3"/>
  <c r="X12" i="3"/>
  <c r="Z11" i="3"/>
  <c r="Y11" i="3"/>
  <c r="X11" i="3"/>
  <c r="Z10" i="3"/>
  <c r="Y10" i="3"/>
  <c r="X10" i="3"/>
  <c r="Z9" i="3"/>
  <c r="Y9" i="3"/>
  <c r="X9" i="3"/>
  <c r="Z8" i="3"/>
  <c r="Y8" i="3"/>
  <c r="X8" i="3"/>
  <c r="Z7" i="3"/>
  <c r="Y7" i="3"/>
  <c r="X7" i="3"/>
  <c r="Z6" i="3"/>
  <c r="Y6" i="3"/>
  <c r="X6" i="3"/>
  <c r="Z5" i="3"/>
  <c r="Y5" i="3"/>
  <c r="X5" i="3"/>
  <c r="Y30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1" i="2"/>
  <c r="Y32" i="2"/>
  <c r="Y33" i="2"/>
  <c r="Y34" i="2"/>
  <c r="Y35" i="2"/>
  <c r="Y36" i="2"/>
  <c r="V38" i="2"/>
  <c r="U38" i="2"/>
  <c r="T38" i="2"/>
  <c r="S38" i="2"/>
  <c r="P38" i="2"/>
  <c r="O38" i="2"/>
  <c r="N38" i="2"/>
  <c r="M38" i="2"/>
  <c r="L38" i="2"/>
  <c r="J38" i="2"/>
  <c r="I38" i="2"/>
  <c r="H38" i="2"/>
  <c r="F38" i="2"/>
  <c r="E38" i="2"/>
  <c r="D38" i="2"/>
  <c r="C38" i="2"/>
  <c r="B38" i="2"/>
  <c r="Z36" i="2"/>
  <c r="X36" i="2"/>
  <c r="Z35" i="2"/>
  <c r="X35" i="2"/>
  <c r="Z34" i="2"/>
  <c r="X34" i="2"/>
  <c r="Z33" i="2"/>
  <c r="X33" i="2"/>
  <c r="Z32" i="2"/>
  <c r="X32" i="2"/>
  <c r="Z31" i="2"/>
  <c r="X31" i="2"/>
  <c r="Z30" i="2"/>
  <c r="X30" i="2"/>
  <c r="Z29" i="2"/>
  <c r="X29" i="2"/>
  <c r="Z28" i="2"/>
  <c r="X28" i="2"/>
  <c r="Z27" i="2"/>
  <c r="X27" i="2"/>
  <c r="Z26" i="2"/>
  <c r="X26" i="2"/>
  <c r="Z25" i="2"/>
  <c r="X25" i="2"/>
  <c r="Z24" i="2"/>
  <c r="X24" i="2"/>
  <c r="Z23" i="2"/>
  <c r="X23" i="2"/>
  <c r="Z22" i="2"/>
  <c r="X22" i="2"/>
  <c r="Z21" i="2"/>
  <c r="X21" i="2"/>
  <c r="Z20" i="2"/>
  <c r="X20" i="2"/>
  <c r="Z19" i="2"/>
  <c r="X19" i="2"/>
  <c r="Z18" i="2"/>
  <c r="X18" i="2"/>
  <c r="Z17" i="2"/>
  <c r="X17" i="2"/>
  <c r="Z16" i="2"/>
  <c r="X16" i="2"/>
  <c r="Z15" i="2"/>
  <c r="X15" i="2"/>
  <c r="Z14" i="2"/>
  <c r="X14" i="2"/>
  <c r="Z13" i="2"/>
  <c r="Y13" i="2"/>
  <c r="X13" i="2"/>
  <c r="Z12" i="2"/>
  <c r="Y12" i="2"/>
  <c r="X12" i="2"/>
  <c r="Z11" i="2"/>
  <c r="Y11" i="2"/>
  <c r="X11" i="2"/>
  <c r="Z10" i="2"/>
  <c r="Y10" i="2"/>
  <c r="X10" i="2"/>
  <c r="Z9" i="2"/>
  <c r="Y9" i="2"/>
  <c r="X9" i="2"/>
  <c r="Z8" i="2"/>
  <c r="Y8" i="2"/>
  <c r="X8" i="2"/>
  <c r="Z7" i="2"/>
  <c r="Y7" i="2"/>
  <c r="X7" i="2"/>
  <c r="Z6" i="2"/>
  <c r="Y6" i="2"/>
  <c r="X6" i="2"/>
  <c r="Z5" i="2"/>
  <c r="Y5" i="2"/>
  <c r="X5" i="2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5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6" i="1"/>
  <c r="Y27" i="1"/>
  <c r="Y28" i="1"/>
  <c r="Y29" i="1"/>
  <c r="Y30" i="1"/>
  <c r="Y31" i="1"/>
  <c r="Y32" i="1"/>
  <c r="Y33" i="1"/>
  <c r="Y34" i="1"/>
  <c r="Y35" i="1"/>
  <c r="Y36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5" i="1"/>
  <c r="C38" i="1"/>
  <c r="D38" i="1"/>
  <c r="E38" i="1"/>
  <c r="F38" i="1"/>
  <c r="H38" i="1"/>
  <c r="I38" i="1"/>
  <c r="J38" i="1"/>
  <c r="L38" i="1"/>
  <c r="M38" i="1"/>
  <c r="N38" i="1"/>
  <c r="O38" i="1"/>
  <c r="P38" i="1"/>
  <c r="S38" i="1"/>
  <c r="T38" i="1"/>
  <c r="U38" i="1"/>
  <c r="V38" i="1"/>
  <c r="B38" i="1"/>
  <c r="Y26" i="8" l="1"/>
  <c r="Y28" i="8"/>
  <c r="Y12" i="8"/>
  <c r="Z7" i="8"/>
  <c r="Z20" i="8"/>
  <c r="Z32" i="8"/>
  <c r="Z16" i="8"/>
  <c r="Y32" i="7"/>
  <c r="Y8" i="7"/>
  <c r="Y9" i="7"/>
  <c r="Y24" i="7"/>
  <c r="Y25" i="7"/>
  <c r="Z11" i="7"/>
  <c r="Y26" i="7"/>
  <c r="Y27" i="7"/>
  <c r="Y18" i="9"/>
  <c r="Z7" i="9"/>
  <c r="Z14" i="9"/>
  <c r="Z22" i="9"/>
  <c r="M38" i="9"/>
  <c r="Y35" i="9"/>
  <c r="Y9" i="9"/>
  <c r="Y19" i="7"/>
  <c r="Y28" i="7"/>
  <c r="Y35" i="7"/>
  <c r="Z13" i="7"/>
  <c r="Y15" i="7"/>
  <c r="Z29" i="7"/>
  <c r="Y30" i="7"/>
  <c r="Z16" i="7"/>
  <c r="Y7" i="7"/>
  <c r="Y18" i="7"/>
  <c r="Y31" i="7"/>
  <c r="Y23" i="7"/>
  <c r="Y10" i="7"/>
  <c r="Y14" i="8"/>
  <c r="Y30" i="8"/>
  <c r="Y11" i="8"/>
  <c r="Y27" i="8"/>
  <c r="Y19" i="8"/>
  <c r="Y6" i="8"/>
  <c r="Y10" i="8"/>
  <c r="Y5" i="8"/>
  <c r="M38" i="8"/>
  <c r="Y35" i="8"/>
  <c r="Y18" i="8"/>
  <c r="Y24" i="8"/>
  <c r="Y36" i="8"/>
  <c r="Y23" i="8"/>
  <c r="F38" i="8"/>
  <c r="Y8" i="8"/>
  <c r="Y9" i="8"/>
  <c r="Y13" i="8"/>
  <c r="Y17" i="8"/>
  <c r="Y21" i="8"/>
  <c r="Y25" i="8"/>
  <c r="Y29" i="8"/>
  <c r="Y33" i="8"/>
  <c r="Y34" i="8"/>
  <c r="Y21" i="7"/>
  <c r="M38" i="7"/>
  <c r="Y22" i="7"/>
  <c r="Z6" i="7"/>
  <c r="Y17" i="7"/>
  <c r="Y33" i="7"/>
  <c r="Y34" i="7"/>
  <c r="Z5" i="7"/>
</calcChain>
</file>

<file path=xl/sharedStrings.xml><?xml version="1.0" encoding="utf-8"?>
<sst xmlns="http://schemas.openxmlformats.org/spreadsheetml/2006/main" count="1823" uniqueCount="173">
  <si>
    <t>煤矸石发电</t>
    <phoneticPr fontId="2" type="noConversion"/>
  </si>
  <si>
    <t>太阳能发电</t>
    <phoneticPr fontId="2" type="noConversion"/>
  </si>
  <si>
    <t>内蒙古</t>
  </si>
  <si>
    <t>吉林</t>
  </si>
  <si>
    <t>黑龙江</t>
  </si>
  <si>
    <t>全国</t>
  </si>
  <si>
    <t>北京</t>
  </si>
  <si>
    <t>天津</t>
  </si>
  <si>
    <t>河北</t>
  </si>
  <si>
    <t>山西</t>
  </si>
  <si>
    <t>辽宁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</si>
  <si>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</si>
  <si>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</si>
  <si>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</si>
  <si>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</si>
  <si>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</si>
  <si>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</si>
  <si>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</si>
  <si>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</si>
  <si>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</si>
  <si>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</si>
  <si>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</si>
  <si>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</si>
  <si>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</si>
  <si>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</si>
  <si>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</si>
  <si>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</si>
  <si>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</si>
  <si>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</si>
  <si>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</si>
  <si>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</si>
  <si>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</si>
  <si>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</si>
  <si>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</si>
  <si>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地区</t>
    <phoneticPr fontId="2" type="noConversion"/>
  </si>
  <si>
    <t>合计</t>
  </si>
  <si>
    <t>水电</t>
  </si>
  <si>
    <t>火电</t>
  </si>
  <si>
    <t>核电</t>
  </si>
  <si>
    <t>风电</t>
  </si>
  <si>
    <t>其他</t>
  </si>
  <si>
    <t>抽水蓄能</t>
  </si>
  <si>
    <t>燃煤</t>
  </si>
  <si>
    <t>燃气</t>
  </si>
  <si>
    <t>燃油</t>
  </si>
  <si>
    <t>分地区新增发电装机容量（万KW）</t>
    <phoneticPr fontId="2" type="noConversion"/>
  </si>
  <si>
    <t>煤层气发电</t>
    <phoneticPr fontId="2" type="noConversion"/>
  </si>
  <si>
    <t>沼气</t>
    <phoneticPr fontId="2" type="noConversion"/>
  </si>
  <si>
    <t>技改增容</t>
    <phoneticPr fontId="2" type="noConversion"/>
  </si>
  <si>
    <t>2016 年</t>
  </si>
  <si>
    <t>2017 年</t>
  </si>
  <si>
    <t>2018 年</t>
  </si>
  <si>
    <t>2019 年</t>
  </si>
  <si>
    <t>2020年</t>
  </si>
  <si>
    <t>地区</t>
  </si>
  <si>
    <t>水</t>
    <phoneticPr fontId="2" type="noConversion"/>
  </si>
  <si>
    <t>火</t>
    <phoneticPr fontId="2" type="noConversion"/>
  </si>
  <si>
    <t>风</t>
    <phoneticPr fontId="2" type="noConversion"/>
  </si>
  <si>
    <t>光</t>
    <phoneticPr fontId="2" type="noConversion"/>
  </si>
  <si>
    <t>万千瓦</t>
    <phoneticPr fontId="2" type="noConversion"/>
  </si>
  <si>
    <t>合计</t>
    <phoneticPr fontId="2" type="noConversion"/>
  </si>
  <si>
    <t>垃圾焚烧发电</t>
    <phoneticPr fontId="2" type="noConversion"/>
  </si>
  <si>
    <t>余温、余气、余压发电</t>
  </si>
  <si>
    <t>秸秆、蔗渣、林木质发电</t>
  </si>
  <si>
    <t>常规燃气</t>
    <phoneticPr fontId="2" type="noConversion"/>
  </si>
  <si>
    <t>常规燃煤</t>
    <phoneticPr fontId="2" type="noConversion"/>
  </si>
  <si>
    <t>燃煤</t>
    <phoneticPr fontId="2" type="noConversion"/>
  </si>
  <si>
    <t>燃气</t>
    <phoneticPr fontId="2" type="noConversion"/>
  </si>
  <si>
    <t>机组类型</t>
    <phoneticPr fontId="2" type="noConversion"/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</si>
  <si>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</si>
  <si>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</si>
  <si>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</si>
  <si>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</si>
  <si>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</si>
  <si>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</si>
  <si>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</si>
  <si>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</si>
  <si>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</si>
  <si>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</si>
  <si>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</si>
  <si>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</si>
  <si>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</si>
  <si>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</si>
  <si>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</si>
  <si>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</si>
  <si>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光伏电站</t>
  </si>
  <si>
    <t>分布式光伏</t>
  </si>
  <si>
    <t>Crude Oil</t>
  </si>
  <si>
    <t>Petroleum</t>
  </si>
  <si>
    <t>Heavy or Residual Fuel Oil</t>
  </si>
  <si>
    <t>Total</t>
  </si>
  <si>
    <t>项目名称</t>
    <phoneticPr fontId="1" type="noConversion"/>
  </si>
  <si>
    <t>装机容量（MW）</t>
    <phoneticPr fontId="1" type="noConversion"/>
  </si>
  <si>
    <t>年设计发电量（亿千瓦时）</t>
    <phoneticPr fontId="1" type="noConversion"/>
  </si>
  <si>
    <t>塔/线/槽式</t>
    <phoneticPr fontId="1" type="noConversion"/>
  </si>
  <si>
    <t>建成时间（预计）</t>
    <phoneticPr fontId="1" type="noConversion"/>
  </si>
  <si>
    <t>建设状态</t>
    <phoneticPr fontId="1" type="noConversion"/>
  </si>
  <si>
    <t>开工时间</t>
    <phoneticPr fontId="1" type="noConversion"/>
  </si>
  <si>
    <t>中广核太阳能德令哈有限公司导热油槽式5万千瓦光热发电项目</t>
    <phoneticPr fontId="1" type="noConversion"/>
  </si>
  <si>
    <t>槽式</t>
    <phoneticPr fontId="1" type="noConversion"/>
  </si>
  <si>
    <t>2018年6月30日并网</t>
    <phoneticPr fontId="1" type="noConversion"/>
  </si>
  <si>
    <t>建成投运</t>
    <phoneticPr fontId="1" type="noConversion"/>
  </si>
  <si>
    <t>首航高科能源技术股份有限公司（原北京首航艾启威节能技术股份有限公司）敦煌熔盐塔式10万千瓦光热发电示范项目</t>
    <phoneticPr fontId="1" type="noConversion"/>
  </si>
  <si>
    <t>塔式</t>
    <phoneticPr fontId="1" type="noConversion"/>
  </si>
  <si>
    <t>2019 年 6 月</t>
    <phoneticPr fontId="1" type="noConversion"/>
  </si>
  <si>
    <t>青海中控太阳能发电有限公司德令哈熔盐塔式5万千万光热发电项目</t>
    <phoneticPr fontId="1" type="noConversion"/>
  </si>
  <si>
    <t>2018 年 12 月 30 日并网发电，2019 年 4 月 17 日实现了满
负荷运行</t>
    <phoneticPr fontId="1" type="noConversion"/>
  </si>
  <si>
    <t>中国电建西北勘测设计研究院有限公司共和熔盐塔式5万千瓦光热发电项目（中电建青海共和 50MW 塔式项目）</t>
    <phoneticPr fontId="1" type="noConversion"/>
  </si>
  <si>
    <t>2020 年 11 月 6 日实现满负荷运行 2021 年 4 月通过国家光热
发电项目示范性验收</t>
    <phoneticPr fontId="1" type="noConversion"/>
  </si>
  <si>
    <t>中国电力工程顾问集团西北电力设计院有限公司哈密熔盐塔式5万千瓦光热发电项目（中能建哈密 50MW 塔式项目）</t>
    <phoneticPr fontId="1" type="noConversion"/>
  </si>
  <si>
    <t>2019 年 12 月 29 日实现首次并网。2021 年 6 月 18 日凌
晨 01 时 26 分并网发电，9 月 6 日实现全容量发电。</t>
    <phoneticPr fontId="1" type="noConversion"/>
  </si>
  <si>
    <t>2017 年 10 月 19 日</t>
    <phoneticPr fontId="1" type="noConversion"/>
  </si>
  <si>
    <t>兰州大成科技股份有限公司敦煌熔盐线性菲涅尔式5万千瓦光热发电示范项目（兰州大成敦煌 50MW 线菲项目）</t>
    <phoneticPr fontId="1" type="noConversion"/>
  </si>
  <si>
    <t>线性
菲涅耳式</t>
    <phoneticPr fontId="1" type="noConversion"/>
  </si>
  <si>
    <t>2019 年 12 月 31 日实现并网发电。2020年 6 月 18 日太阳能集热场系统整体并网发电投运 [17</t>
    <phoneticPr fontId="1" type="noConversion"/>
  </si>
  <si>
    <t>内蒙古中核龙腾新能源有限公司乌拉特中旗导热油槽式10万千瓦光热发电项目（乌拉特中旗 100MW 槽式项目）</t>
    <phoneticPr fontId="1" type="noConversion"/>
  </si>
  <si>
    <t>2020 年 1 月 8 日首次
实现并网发电，2020 年 12 月 16 日实现满负荷发电，2021 年 10 月 20 日通过国家示范性验收。</t>
    <phoneticPr fontId="1" type="noConversion"/>
  </si>
  <si>
    <t>2018 年 6 月</t>
    <phoneticPr fontId="1" type="noConversion"/>
  </si>
  <si>
    <t>鲁能格尔木多能互补 50MW 塔式项目</t>
    <phoneticPr fontId="1" type="noConversion"/>
  </si>
  <si>
    <t xml:space="preserve"> 2019年 9 月 19 日成功一次并网， 2020 年 8 月 27 日完成了 120 小时可靠性运行， 2021 年 5 月 14 日，光热电站完成涉网联合试验。</t>
    <phoneticPr fontId="1" type="noConversion"/>
  </si>
  <si>
    <t>玉门鑫能光热第一电力有限公司熔盐塔式5万千瓦光热发电项目</t>
    <phoneticPr fontId="1" type="noConversion"/>
  </si>
  <si>
    <t>2017年8月31 日，常规动力岛正式开工建设</t>
    <phoneticPr fontId="1" type="noConversion"/>
  </si>
  <si>
    <t>深圳市金钒能源科技有限公司阿克塞5万千瓦熔盐槽式光热发电项目</t>
    <phoneticPr fontId="1" type="noConversion"/>
  </si>
  <si>
    <t>在建</t>
    <phoneticPr fontId="1" type="noConversion"/>
  </si>
  <si>
    <t>主体工程2017年6月份开工建设</t>
    <phoneticPr fontId="1" type="noConversion"/>
  </si>
  <si>
    <t>2021年3月25日项目正式开建。</t>
    <phoneticPr fontId="1" type="noConversion"/>
  </si>
  <si>
    <t>中国三峡新能源有限公司金塔熔盐塔式10万千瓦光热发电项目（现由中控太阳能接续开发）</t>
    <phoneticPr fontId="1" type="noConversion"/>
  </si>
  <si>
    <t>计划于2023年底实现全容量并网发电</t>
    <phoneticPr fontId="1" type="noConversion"/>
  </si>
  <si>
    <t>达华工程管理（集团）有限公司尚义水工质塔式5万千瓦光热发电项目</t>
    <phoneticPr fontId="1" type="noConversion"/>
  </si>
  <si>
    <t>　　北京国华电力有限责任公司玉门熔盐塔式10万千瓦光热发电项目（现由首航高科接续开发）</t>
    <phoneticPr fontId="1" type="noConversion"/>
  </si>
  <si>
    <t>退出首批</t>
    <phoneticPr fontId="1" type="noConversion"/>
  </si>
  <si>
    <t>　　常州龙腾太阳能热电设备有限公司玉门东镇导热油槽式5万千瓦光热发电项目</t>
    <phoneticPr fontId="1" type="noConversion"/>
  </si>
  <si>
    <t>2018年6月19日奠基</t>
    <phoneticPr fontId="1" type="noConversion"/>
  </si>
  <si>
    <t>2017年8月12日，前期场平工程正式启动，项目正式进入全面建设阶段。</t>
    <phoneticPr fontId="1" type="noConversion"/>
  </si>
  <si>
    <t>　中节能甘肃武威太阳能发电有限公司古浪导热油槽式10万千瓦光热发电项目</t>
    <phoneticPr fontId="1" type="noConversion"/>
  </si>
  <si>
    <t>中阳张家口察北能源有限公司熔盐槽式6.4万千瓦光热发电项目</t>
    <phoneticPr fontId="1" type="noConversion"/>
  </si>
  <si>
    <t>2017年4月17日（2014年7月举行开工仪式。）</t>
    <phoneticPr fontId="1" type="noConversion"/>
  </si>
  <si>
    <t>北方联合电力有限责任公司乌拉特旗导热油菲涅尔式5万千瓦光热发电项目</t>
    <phoneticPr fontId="1" type="noConversion"/>
  </si>
  <si>
    <t>　　中信张北新能源开发有限公司水工质类菲涅尔式5万千瓦光热发电项目</t>
    <phoneticPr fontId="1" type="noConversion"/>
  </si>
  <si>
    <t>　　张北华强兆阳能源有限公司张家口水工质类菲涅尔式5万千瓦太阳能热发电项目</t>
    <phoneticPr fontId="1" type="noConversion"/>
  </si>
  <si>
    <t>国电投黄河上游水电开发有限责任公司德令哈水工质塔式13.5万千瓦光热发电项目（现由中控太阳能接续开发）</t>
  </si>
  <si>
    <t>中海阳能源集团股份有限公司玉门东镇导热油槽式5万千瓦光热发电项目</t>
  </si>
  <si>
    <t>Region</t>
  </si>
  <si>
    <t>Type</t>
  </si>
  <si>
    <t>项目名称</t>
  </si>
  <si>
    <t>建设地址</t>
  </si>
  <si>
    <t>建设规模.台</t>
  </si>
  <si>
    <t>建设规模.万千瓦</t>
  </si>
  <si>
    <t>累计新增生产能力.台</t>
  </si>
  <si>
    <t>累计新增生产能力.万千瓦</t>
  </si>
  <si>
    <t>Statistical</t>
  </si>
  <si>
    <t>（一）水电</t>
  </si>
  <si>
    <t>常规水电</t>
  </si>
  <si>
    <t>（二）火电</t>
  </si>
  <si>
    <t>常规燃煤</t>
  </si>
  <si>
    <t>煤研石发电</t>
  </si>
  <si>
    <t>常规燃气</t>
  </si>
  <si>
    <t>煤层气发电</t>
  </si>
  <si>
    <t>沼气发电</t>
  </si>
  <si>
    <t>余温、余压、余气发电</t>
  </si>
  <si>
    <t>垃圾焚烧发电</t>
  </si>
  <si>
    <t>秸杆、蔗渣、林木质发电</t>
  </si>
  <si>
    <t>（三）核电</t>
  </si>
  <si>
    <t>（四）风电</t>
  </si>
  <si>
    <t>（五）太阳能发电</t>
  </si>
  <si>
    <t>（六）其他</t>
  </si>
  <si>
    <t>地热能</t>
  </si>
  <si>
    <t>海洋能</t>
  </si>
  <si>
    <t>海上风电累计装机</t>
    <phoneticPr fontId="2" type="noConversion"/>
  </si>
  <si>
    <r>
      <rPr>
        <sz val="10"/>
        <rFont val="微软雅黑"/>
        <family val="2"/>
        <charset val="134"/>
      </rPr>
      <t>2020</t>
    </r>
    <r>
      <rPr>
        <sz val="10"/>
        <rFont val="宋体"/>
        <family val="2"/>
        <charset val="134"/>
      </rPr>
      <t>年</t>
    </r>
    <r>
      <rPr>
        <sz val="10"/>
        <rFont val="微软雅黑"/>
        <family val="2"/>
        <charset val="134"/>
      </rPr>
      <t>建设规模</t>
    </r>
    <r>
      <rPr>
        <sz val="10"/>
        <rFont val="Arial"/>
        <family val="2"/>
      </rPr>
      <t xml:space="preserve"> MW</t>
    </r>
    <phoneticPr fontId="2" type="noConversion"/>
  </si>
  <si>
    <r>
      <t>2023</t>
    </r>
    <r>
      <rPr>
        <sz val="10"/>
        <rFont val="宋体"/>
        <family val="3"/>
        <charset val="134"/>
      </rPr>
      <t>年后剩余</t>
    </r>
    <phoneticPr fontId="2" type="noConversion"/>
  </si>
  <si>
    <t>预计工期</t>
    <phoneticPr fontId="2" type="noConversion"/>
  </si>
  <si>
    <t>Mandated Construction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</si>
</sst>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13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color theme="1"/>
      <name val="等线"/>
      <family val="2"/>
      <charset val="134"/>
      <scheme val="minor"/>
    </font>
    <font>
      <sz val="10.5"/>
      <color rgb="FF231F20"/>
      <name val="SimSun"/>
      <family val="3"/>
      <charset val="134"/>
    </font>
    <font>
      <sz val="12"/>
      <color theme="1"/>
      <name val="等线"/>
      <family val="4"/>
      <charset val="134"/>
      <scheme val="minor"/>
    </font>
    <font>
      <sz val="12"/>
      <color rgb="FF333333"/>
      <name val="等线"/>
      <family val="4"/>
      <charset val="134"/>
      <scheme val="minor"/>
    </font>
    <font>
      <sz val="10"/>
      <color rgb="FFFF0000"/>
      <name val="Arial"/>
      <family val="2"/>
    </font>
    <font>
      <sz val="10"/>
      <name val="微软雅黑"/>
      <family val="2"/>
      <charset val="134"/>
    </font>
    <font>
      <sz val="10"/>
      <name val="Arial"/>
      <family val="2"/>
      <charset val="134"/>
    </font>
    <font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10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4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>
      <alignment vertical="center"/>
    </xf>
    <xf numFmtId="0" fontId="0" fillId="0" borderId="0" xfId="0" applyAlignment="1">
      <alignment vertical="center" wrapText="1"/>
    </xf>
    <xf numFmtId="177" fontId="0" fillId="2" borderId="1" xfId="0" applyNumberForma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9" fontId="0" fillId="0" borderId="0" xfId="0" applyNumberFormat="1">
      <alignment vertical="center"/>
    </xf>
    <xf numFmtId="0" fontId="0" fillId="0" borderId="0" xfId="0" applyAlignment="1"/>
    <xf numFmtId="10" fontId="0" fillId="0" borderId="0" xfId="0" applyNumberFormat="1">
      <alignment vertical="center"/>
    </xf>
    <xf numFmtId="0" fontId="5" fillId="0" borderId="0" xfId="1" applyAlignment="1">
      <alignment horizontal="center" vertical="center"/>
    </xf>
    <xf numFmtId="0" fontId="5" fillId="0" borderId="0" xfId="1">
      <alignment vertical="center"/>
    </xf>
    <xf numFmtId="0" fontId="5" fillId="0" borderId="0" xfId="1" applyAlignment="1">
      <alignment horizontal="left" vertical="center"/>
    </xf>
    <xf numFmtId="0" fontId="5" fillId="0" borderId="0" xfId="1" applyAlignment="1">
      <alignment vertical="center" wrapText="1"/>
    </xf>
    <xf numFmtId="0" fontId="7" fillId="0" borderId="0" xfId="1" applyFont="1">
      <alignment vertical="center"/>
    </xf>
    <xf numFmtId="14" fontId="5" fillId="0" borderId="0" xfId="1" applyNumberFormat="1" applyAlignment="1">
      <alignment horizontal="left" vertical="center"/>
    </xf>
    <xf numFmtId="0" fontId="8" fillId="0" borderId="0" xfId="1" applyFont="1">
      <alignment vertical="center"/>
    </xf>
    <xf numFmtId="0" fontId="7" fillId="0" borderId="0" xfId="1" applyFont="1" applyAlignment="1">
      <alignment horizontal="center" vertical="center" wrapText="1"/>
    </xf>
    <xf numFmtId="0" fontId="6" fillId="0" borderId="0" xfId="1" applyFont="1" applyAlignment="1">
      <alignment horizontal="left" vertical="center" wrapText="1"/>
    </xf>
    <xf numFmtId="0" fontId="5" fillId="0" borderId="0" xfId="1" applyAlignment="1">
      <alignment horizontal="left" vertical="center" wrapText="1"/>
    </xf>
    <xf numFmtId="0" fontId="5" fillId="0" borderId="0" xfId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9" fillId="0" borderId="1" xfId="0" applyNumberFormat="1" applyFont="1" applyBorder="1">
      <alignment vertical="center"/>
    </xf>
    <xf numFmtId="177" fontId="9" fillId="0" borderId="0" xfId="0" applyNumberFormat="1" applyFont="1">
      <alignment vertical="center"/>
    </xf>
    <xf numFmtId="176" fontId="1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" fillId="0" borderId="0" xfId="1" applyAlignment="1">
      <alignment horizontal="center" vertical="center"/>
    </xf>
  </cellXfs>
  <cellStyles count="2">
    <cellStyle name="Normal 2" xfId="1" xr:uid="{F4355571-B182-413F-928D-F460AFB13C22}"/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447675</xdr:colOff>
      <xdr:row>28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71975F1-70B2-43BE-A980-2ECEC2FC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"/>
          <a:ext cx="6543675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457200</xdr:colOff>
      <xdr:row>27</xdr:row>
      <xdr:rowOff>142875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DE0F8B5F-4918-4BFE-BE63-8B5F2DAA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1925"/>
          <a:ext cx="6553200" cy="435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3D49-7BE6-476D-89A4-2E59D0FAC6AF}">
  <dimension ref="A1:Z38"/>
  <sheetViews>
    <sheetView zoomScaleNormal="100" workbookViewId="0">
      <selection activeCell="L25" sqref="L25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FD95-19AE-4E9F-B615-DEC360D33DE1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C917-37A4-43F1-962C-00A769D62BAF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CB57-925E-430F-879D-AD031A454383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56E6-5301-4FFC-880B-06F02DA8E524}">
  <dimension ref="A1:Z38"/>
  <sheetViews>
    <sheetView zoomScaleNormal="100" workbookViewId="0">
      <selection activeCell="B5" sqref="B5:V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6BD2-72B8-4136-9F09-E60C1149B26A}">
  <dimension ref="A1:Z38"/>
  <sheetViews>
    <sheetView zoomScaleNormal="100" workbookViewId="0">
      <selection activeCell="H20" sqref="H20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/>
      <c r="C5" s="7"/>
      <c r="D5" s="3"/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/>
      <c r="U5" s="11"/>
      <c r="V5" s="7"/>
      <c r="X5" s="5">
        <f t="shared" ref="X5:X36" si="0">B5-C5-E5-S5-T5-U5-V5</f>
        <v>0</v>
      </c>
      <c r="Y5">
        <f>E5-F5-I5-L5-M5</f>
        <v>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/>
      <c r="C7" s="3"/>
      <c r="D7" s="3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9" t="s">
        <v>8</v>
      </c>
      <c r="B8" s="7"/>
      <c r="C8" s="3"/>
      <c r="D8" s="3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/>
      <c r="U8" s="11"/>
      <c r="V8" s="7"/>
      <c r="X8" s="5">
        <f t="shared" si="0"/>
        <v>0</v>
      </c>
      <c r="Y8">
        <f t="shared" si="1"/>
        <v>0</v>
      </c>
      <c r="Z8">
        <f t="shared" si="2"/>
        <v>0</v>
      </c>
    </row>
    <row r="9" spans="1:26" ht="12.75" customHeight="1">
      <c r="A9" s="9" t="s">
        <v>9</v>
      </c>
      <c r="B9" s="7"/>
      <c r="C9" s="3"/>
      <c r="D9" s="3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0</v>
      </c>
      <c r="Z9">
        <f t="shared" si="2"/>
        <v>0</v>
      </c>
    </row>
    <row r="10" spans="1:26" ht="12.75" customHeight="1">
      <c r="A10" s="9" t="s">
        <v>2</v>
      </c>
      <c r="B10" s="7"/>
      <c r="C10" s="3"/>
      <c r="D10" s="3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/>
      <c r="U10" s="11"/>
      <c r="V10" s="3"/>
      <c r="X10" s="5">
        <f t="shared" si="0"/>
        <v>0</v>
      </c>
      <c r="Y10">
        <f t="shared" si="1"/>
        <v>0</v>
      </c>
      <c r="Z10">
        <f t="shared" si="2"/>
        <v>0</v>
      </c>
    </row>
    <row r="11" spans="1:26" ht="12.75" customHeight="1">
      <c r="A11" s="9" t="s">
        <v>10</v>
      </c>
      <c r="B11" s="7"/>
      <c r="C11" s="3"/>
      <c r="D11" s="3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/>
      <c r="U11" s="11"/>
      <c r="V11" s="3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9" t="s">
        <v>3</v>
      </c>
      <c r="B12" s="7"/>
      <c r="C12" s="7"/>
      <c r="D12" s="3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/>
      <c r="U12" s="11"/>
      <c r="V12" s="3"/>
      <c r="X12" s="5">
        <f t="shared" si="0"/>
        <v>0</v>
      </c>
      <c r="Y12">
        <f t="shared" si="1"/>
        <v>0</v>
      </c>
      <c r="Z12">
        <f t="shared" si="2"/>
        <v>0</v>
      </c>
    </row>
    <row r="13" spans="1:26" ht="12.75" customHeight="1">
      <c r="A13" s="9" t="s">
        <v>4</v>
      </c>
      <c r="B13" s="7"/>
      <c r="C13" s="7"/>
      <c r="D13" s="3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/>
      <c r="U13" s="11"/>
      <c r="V13" s="7"/>
      <c r="X13" s="5">
        <f t="shared" si="0"/>
        <v>0</v>
      </c>
      <c r="Y13">
        <f t="shared" si="1"/>
        <v>0</v>
      </c>
      <c r="Z13">
        <f t="shared" si="2"/>
        <v>0</v>
      </c>
    </row>
    <row r="14" spans="1:26" ht="12.75" customHeight="1">
      <c r="A14" s="9" t="s">
        <v>11</v>
      </c>
      <c r="B14" s="7"/>
      <c r="C14" s="3"/>
      <c r="D14" s="3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9" t="s">
        <v>12</v>
      </c>
      <c r="B15" s="7"/>
      <c r="C15" s="3"/>
      <c r="D15" s="3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/>
      <c r="U15" s="11"/>
      <c r="V15" s="7"/>
      <c r="X15" s="5">
        <f t="shared" si="0"/>
        <v>0</v>
      </c>
      <c r="Y15">
        <f t="shared" si="1"/>
        <v>0</v>
      </c>
      <c r="Z15">
        <f t="shared" si="2"/>
        <v>0</v>
      </c>
    </row>
    <row r="16" spans="1:26" ht="12.75" customHeight="1">
      <c r="A16" s="9" t="s">
        <v>13</v>
      </c>
      <c r="B16" s="7"/>
      <c r="C16" s="3"/>
      <c r="D16" s="3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9" t="s">
        <v>14</v>
      </c>
      <c r="B17" s="7"/>
      <c r="C17" s="7"/>
      <c r="D17" s="3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0</v>
      </c>
      <c r="Z17">
        <f t="shared" si="2"/>
        <v>0</v>
      </c>
    </row>
    <row r="18" spans="1:26" ht="12.75" customHeight="1">
      <c r="A18" s="9" t="s">
        <v>15</v>
      </c>
      <c r="B18" s="7"/>
      <c r="C18" s="7"/>
      <c r="D18" s="3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/>
      <c r="U18" s="11"/>
      <c r="V18" s="3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9" t="s">
        <v>16</v>
      </c>
      <c r="B19" s="7"/>
      <c r="C19" s="3"/>
      <c r="D19" s="3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9" t="s">
        <v>17</v>
      </c>
      <c r="B20" s="7"/>
      <c r="C20" s="7"/>
      <c r="D20" s="3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/>
      <c r="U20" s="11"/>
      <c r="V20" s="7"/>
      <c r="X20" s="5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9" t="s">
        <v>18</v>
      </c>
      <c r="B21" s="7"/>
      <c r="C21" s="7"/>
      <c r="D21" s="3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9" t="s">
        <v>19</v>
      </c>
      <c r="B22" s="7"/>
      <c r="C22" s="7"/>
      <c r="D22" s="3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9" t="s">
        <v>20</v>
      </c>
      <c r="B23" s="7"/>
      <c r="C23" s="7"/>
      <c r="D23" s="3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9" t="s">
        <v>21</v>
      </c>
      <c r="B24" s="7"/>
      <c r="C24" s="3"/>
      <c r="D24" s="3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/>
      <c r="U24" s="11"/>
      <c r="V24" s="3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9" t="s">
        <v>22</v>
      </c>
      <c r="B25" s="7"/>
      <c r="C25" s="7"/>
      <c r="D25" s="3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0</v>
      </c>
      <c r="Z25">
        <f t="shared" si="2"/>
        <v>0</v>
      </c>
    </row>
    <row r="26" spans="1:26" ht="12.75" customHeight="1">
      <c r="A26" s="9" t="s">
        <v>23</v>
      </c>
      <c r="B26" s="7"/>
      <c r="C26" s="7"/>
      <c r="D26" s="3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9" t="s">
        <v>24</v>
      </c>
      <c r="B27" s="7"/>
      <c r="C27" s="3"/>
      <c r="D27" s="3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9" t="s">
        <v>25</v>
      </c>
      <c r="B28" s="7"/>
      <c r="C28" s="7"/>
      <c r="D28" s="3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9" t="s">
        <v>26</v>
      </c>
      <c r="B29" s="7"/>
      <c r="C29" s="7"/>
      <c r="D29" s="3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9" t="s">
        <v>27</v>
      </c>
      <c r="B30" s="7"/>
      <c r="C30" s="7"/>
      <c r="D30" s="3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9" t="s">
        <v>28</v>
      </c>
      <c r="B31" s="7"/>
      <c r="C31" s="7"/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/>
      <c r="C32" s="3"/>
      <c r="D32" s="3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0</v>
      </c>
      <c r="Z32">
        <f t="shared" si="2"/>
        <v>0</v>
      </c>
    </row>
    <row r="33" spans="1:26" ht="12.75" customHeight="1">
      <c r="A33" s="9" t="s">
        <v>30</v>
      </c>
      <c r="B33" s="7"/>
      <c r="C33" s="7"/>
      <c r="D33" s="3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/>
      <c r="U33" s="11"/>
      <c r="V33" s="3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9" t="s">
        <v>31</v>
      </c>
      <c r="B34" s="7"/>
      <c r="C34" s="7"/>
      <c r="D34" s="3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9" t="s">
        <v>32</v>
      </c>
      <c r="B35" s="7"/>
      <c r="C35" s="3"/>
      <c r="D35" s="3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9" t="s">
        <v>33</v>
      </c>
      <c r="B36" s="7"/>
      <c r="C36" s="7"/>
      <c r="D36" s="3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/>
      <c r="U36" s="11"/>
      <c r="V36" s="3"/>
      <c r="X36" s="5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15A3-AFF1-42FB-9783-10DBD5F2E435}">
  <dimension ref="A1:Z38"/>
  <sheetViews>
    <sheetView zoomScaleNormal="100" workbookViewId="0">
      <selection activeCell="Q24" sqref="Q24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>
        <v>10424</v>
      </c>
      <c r="C5" s="7">
        <v>1100</v>
      </c>
      <c r="D5" s="3"/>
      <c r="E5" s="7">
        <v>9207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/>
      <c r="T5" s="7">
        <v>110</v>
      </c>
      <c r="U5" s="11"/>
      <c r="V5" s="7">
        <v>6</v>
      </c>
      <c r="X5" s="5">
        <f t="shared" ref="X5:X36" si="0">B5-C5-E5-S5-T5-U5-V5</f>
        <v>1</v>
      </c>
      <c r="Y5">
        <f>E5-F5-I5-L5-M5</f>
        <v>9207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>
        <v>30</v>
      </c>
      <c r="C7" s="3"/>
      <c r="D7" s="3"/>
      <c r="E7" s="7">
        <v>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30</v>
      </c>
      <c r="Z7">
        <f t="shared" si="2"/>
        <v>0</v>
      </c>
    </row>
    <row r="8" spans="1:26" ht="12.75" customHeight="1">
      <c r="A8" s="9" t="s">
        <v>8</v>
      </c>
      <c r="B8" s="7">
        <v>386</v>
      </c>
      <c r="C8" s="3">
        <v>19</v>
      </c>
      <c r="D8" s="3"/>
      <c r="E8" s="7">
        <v>352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>
        <v>14</v>
      </c>
      <c r="U8" s="11"/>
      <c r="V8" s="7">
        <v>1</v>
      </c>
      <c r="X8" s="5">
        <f t="shared" si="0"/>
        <v>0</v>
      </c>
      <c r="Y8">
        <f t="shared" si="1"/>
        <v>352</v>
      </c>
      <c r="Z8">
        <f t="shared" si="2"/>
        <v>0</v>
      </c>
    </row>
    <row r="9" spans="1:26" ht="12.75" customHeight="1">
      <c r="A9" s="9" t="s">
        <v>9</v>
      </c>
      <c r="B9" s="7">
        <v>386</v>
      </c>
      <c r="C9" s="3"/>
      <c r="D9" s="3"/>
      <c r="E9" s="7">
        <v>386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386</v>
      </c>
      <c r="Z9">
        <f t="shared" si="2"/>
        <v>0</v>
      </c>
    </row>
    <row r="10" spans="1:26" ht="12.75" customHeight="1">
      <c r="A10" s="9" t="s">
        <v>2</v>
      </c>
      <c r="B10" s="7">
        <v>1004</v>
      </c>
      <c r="C10" s="3"/>
      <c r="D10" s="3"/>
      <c r="E10" s="7">
        <v>971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>
        <v>32</v>
      </c>
      <c r="U10" s="11"/>
      <c r="V10" s="3"/>
      <c r="X10" s="5">
        <f t="shared" si="0"/>
        <v>1</v>
      </c>
      <c r="Y10">
        <f t="shared" si="1"/>
        <v>971</v>
      </c>
      <c r="Z10">
        <f t="shared" si="2"/>
        <v>0</v>
      </c>
    </row>
    <row r="11" spans="1:26" ht="12.75" customHeight="1">
      <c r="A11" s="9" t="s">
        <v>10</v>
      </c>
      <c r="B11" s="7">
        <v>81</v>
      </c>
      <c r="C11" s="3"/>
      <c r="D11" s="3"/>
      <c r="E11" s="7">
        <v>70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>
        <v>11</v>
      </c>
      <c r="U11" s="11"/>
      <c r="V11" s="3"/>
      <c r="X11" s="5">
        <f t="shared" si="0"/>
        <v>0</v>
      </c>
      <c r="Y11">
        <f t="shared" si="1"/>
        <v>70</v>
      </c>
      <c r="Z11">
        <f t="shared" si="2"/>
        <v>0</v>
      </c>
    </row>
    <row r="12" spans="1:26" ht="12.75" customHeight="1">
      <c r="A12" s="9" t="s">
        <v>3</v>
      </c>
      <c r="B12" s="7">
        <v>93</v>
      </c>
      <c r="C12" s="7">
        <v>15</v>
      </c>
      <c r="D12" s="3"/>
      <c r="E12" s="7">
        <v>69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>
        <v>9</v>
      </c>
      <c r="U12" s="11"/>
      <c r="V12" s="3"/>
      <c r="X12" s="5">
        <f t="shared" si="0"/>
        <v>0</v>
      </c>
      <c r="Y12">
        <f t="shared" si="1"/>
        <v>69</v>
      </c>
      <c r="Z12">
        <f t="shared" si="2"/>
        <v>0</v>
      </c>
    </row>
    <row r="13" spans="1:26" ht="12.75" customHeight="1">
      <c r="A13" s="9" t="s">
        <v>4</v>
      </c>
      <c r="B13" s="7">
        <v>114</v>
      </c>
      <c r="C13" s="7"/>
      <c r="D13" s="3"/>
      <c r="E13" s="7">
        <v>111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>
        <v>4</v>
      </c>
      <c r="U13" s="11"/>
      <c r="V13" s="7"/>
      <c r="X13" s="5">
        <f t="shared" si="0"/>
        <v>-1</v>
      </c>
      <c r="Y13">
        <f t="shared" si="1"/>
        <v>111</v>
      </c>
      <c r="Z13">
        <f t="shared" si="2"/>
        <v>0</v>
      </c>
    </row>
    <row r="14" spans="1:26" ht="12.75" customHeight="1">
      <c r="A14" s="9" t="s">
        <v>11</v>
      </c>
      <c r="B14" s="7">
        <v>138</v>
      </c>
      <c r="C14" s="3"/>
      <c r="D14" s="3"/>
      <c r="E14" s="7">
        <v>138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138</v>
      </c>
      <c r="Z14">
        <f>M14-N14-O14-P14</f>
        <v>0</v>
      </c>
    </row>
    <row r="15" spans="1:26" ht="12.75" customHeight="1">
      <c r="A15" s="9" t="s">
        <v>12</v>
      </c>
      <c r="B15" s="7">
        <v>868</v>
      </c>
      <c r="C15" s="3"/>
      <c r="D15" s="3"/>
      <c r="E15" s="7">
        <v>855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/>
      <c r="T15" s="7">
        <v>8</v>
      </c>
      <c r="U15" s="11"/>
      <c r="V15" s="7">
        <v>5</v>
      </c>
      <c r="X15" s="5">
        <f t="shared" si="0"/>
        <v>0</v>
      </c>
      <c r="Y15">
        <f t="shared" si="1"/>
        <v>855</v>
      </c>
      <c r="Z15">
        <f t="shared" si="2"/>
        <v>0</v>
      </c>
    </row>
    <row r="16" spans="1:26" ht="12.75" customHeight="1">
      <c r="A16" s="9" t="s">
        <v>13</v>
      </c>
      <c r="B16" s="7">
        <v>1010</v>
      </c>
      <c r="C16" s="3">
        <v>120</v>
      </c>
      <c r="D16" s="3"/>
      <c r="E16" s="7">
        <v>890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0</v>
      </c>
      <c r="Y16">
        <f t="shared" si="1"/>
        <v>890</v>
      </c>
      <c r="Z16">
        <f t="shared" si="2"/>
        <v>0</v>
      </c>
    </row>
    <row r="17" spans="1:26" ht="12.75" customHeight="1">
      <c r="A17" s="9" t="s">
        <v>14</v>
      </c>
      <c r="B17" s="7">
        <v>264</v>
      </c>
      <c r="C17" s="7">
        <v>24</v>
      </c>
      <c r="D17" s="3"/>
      <c r="E17" s="7">
        <v>240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240</v>
      </c>
      <c r="Z17">
        <f t="shared" si="2"/>
        <v>0</v>
      </c>
    </row>
    <row r="18" spans="1:26" ht="12.75" customHeight="1">
      <c r="A18" s="9" t="s">
        <v>15</v>
      </c>
      <c r="B18" s="7">
        <v>410</v>
      </c>
      <c r="C18" s="7">
        <v>18</v>
      </c>
      <c r="D18" s="3"/>
      <c r="E18" s="7">
        <v>383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>
        <v>9</v>
      </c>
      <c r="U18" s="11"/>
      <c r="V18" s="3"/>
      <c r="X18" s="5">
        <f t="shared" si="0"/>
        <v>0</v>
      </c>
      <c r="Y18">
        <f t="shared" si="1"/>
        <v>383</v>
      </c>
      <c r="Z18">
        <f t="shared" si="2"/>
        <v>0</v>
      </c>
    </row>
    <row r="19" spans="1:26" ht="12.75" customHeight="1">
      <c r="A19" s="9" t="s">
        <v>16</v>
      </c>
      <c r="B19" s="7">
        <v>61</v>
      </c>
      <c r="C19" s="3">
        <v>5</v>
      </c>
      <c r="D19" s="3"/>
      <c r="E19" s="7">
        <v>56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56</v>
      </c>
      <c r="Z19">
        <f t="shared" si="2"/>
        <v>0</v>
      </c>
    </row>
    <row r="20" spans="1:26" ht="12.75" customHeight="1">
      <c r="A20" s="9" t="s">
        <v>17</v>
      </c>
      <c r="B20" s="7">
        <v>1207</v>
      </c>
      <c r="C20" s="7">
        <v>75</v>
      </c>
      <c r="D20" s="3"/>
      <c r="E20" s="7">
        <v>1128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>
        <v>3</v>
      </c>
      <c r="U20" s="11"/>
      <c r="V20" s="7"/>
      <c r="X20" s="5">
        <f t="shared" si="0"/>
        <v>1</v>
      </c>
      <c r="Y20">
        <f t="shared" si="1"/>
        <v>1128</v>
      </c>
      <c r="Z20">
        <f t="shared" si="2"/>
        <v>0</v>
      </c>
    </row>
    <row r="21" spans="1:26" ht="12.75" customHeight="1">
      <c r="A21" s="9" t="s">
        <v>18</v>
      </c>
      <c r="B21" s="7">
        <v>580</v>
      </c>
      <c r="C21" s="7"/>
      <c r="D21" s="3"/>
      <c r="E21" s="7">
        <v>580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/>
      <c r="U21" s="11"/>
      <c r="V21" s="3"/>
      <c r="X21" s="5">
        <f t="shared" si="0"/>
        <v>0</v>
      </c>
      <c r="Y21">
        <f t="shared" si="1"/>
        <v>580</v>
      </c>
      <c r="Z21">
        <f t="shared" si="2"/>
        <v>0</v>
      </c>
    </row>
    <row r="22" spans="1:26" ht="12.75" customHeight="1">
      <c r="A22" s="9" t="s">
        <v>19</v>
      </c>
      <c r="B22" s="7">
        <v>237</v>
      </c>
      <c r="C22" s="7">
        <v>39</v>
      </c>
      <c r="D22" s="3"/>
      <c r="E22" s="7">
        <v>199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/>
      <c r="U22" s="11"/>
      <c r="V22" s="3"/>
      <c r="X22" s="5">
        <f t="shared" si="0"/>
        <v>-1</v>
      </c>
      <c r="Y22">
        <f t="shared" si="1"/>
        <v>199</v>
      </c>
      <c r="Z22">
        <f t="shared" si="2"/>
        <v>0</v>
      </c>
    </row>
    <row r="23" spans="1:26" ht="12.75" customHeight="1">
      <c r="A23" s="9" t="s">
        <v>20</v>
      </c>
      <c r="B23" s="7">
        <v>343</v>
      </c>
      <c r="C23" s="7">
        <v>13</v>
      </c>
      <c r="D23" s="3"/>
      <c r="E23" s="7">
        <v>330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330</v>
      </c>
      <c r="Z23">
        <f>M23-N23-O23-P23</f>
        <v>0</v>
      </c>
    </row>
    <row r="24" spans="1:26" ht="12.75" customHeight="1">
      <c r="A24" s="9" t="s">
        <v>21</v>
      </c>
      <c r="B24" s="7">
        <v>646</v>
      </c>
      <c r="C24" s="3">
        <v>36</v>
      </c>
      <c r="D24" s="3"/>
      <c r="E24" s="7">
        <v>604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>
        <v>6</v>
      </c>
      <c r="U24" s="11"/>
      <c r="V24" s="3"/>
      <c r="X24" s="5">
        <f t="shared" si="0"/>
        <v>0</v>
      </c>
      <c r="Y24">
        <f t="shared" si="1"/>
        <v>604</v>
      </c>
      <c r="Z24">
        <f t="shared" si="2"/>
        <v>0</v>
      </c>
    </row>
    <row r="25" spans="1:26" ht="12.75" customHeight="1">
      <c r="A25" s="9" t="s">
        <v>22</v>
      </c>
      <c r="B25" s="7">
        <v>175</v>
      </c>
      <c r="C25" s="7">
        <v>145</v>
      </c>
      <c r="D25" s="3"/>
      <c r="E25" s="7">
        <v>30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0</v>
      </c>
      <c r="Y25">
        <f t="shared" si="1"/>
        <v>30</v>
      </c>
      <c r="Z25">
        <f t="shared" si="2"/>
        <v>0</v>
      </c>
    </row>
    <row r="26" spans="1:26" ht="12.75" customHeight="1">
      <c r="A26" s="9" t="s">
        <v>23</v>
      </c>
      <c r="B26" s="7">
        <v>33</v>
      </c>
      <c r="C26" s="7"/>
      <c r="D26" s="3"/>
      <c r="E26" s="7">
        <v>33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33</v>
      </c>
      <c r="Z26">
        <f t="shared" si="2"/>
        <v>0</v>
      </c>
    </row>
    <row r="27" spans="1:26" ht="12.75" customHeight="1">
      <c r="A27" s="9" t="s">
        <v>24</v>
      </c>
      <c r="B27" s="7">
        <v>191</v>
      </c>
      <c r="C27" s="3">
        <v>2</v>
      </c>
      <c r="D27" s="3"/>
      <c r="E27" s="7">
        <v>189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189</v>
      </c>
      <c r="Z27">
        <f t="shared" si="2"/>
        <v>0</v>
      </c>
    </row>
    <row r="28" spans="1:26" ht="12.75" customHeight="1">
      <c r="A28" s="9" t="s">
        <v>25</v>
      </c>
      <c r="B28" s="7">
        <v>505</v>
      </c>
      <c r="C28" s="7">
        <v>262</v>
      </c>
      <c r="D28" s="3"/>
      <c r="E28" s="7">
        <v>243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243</v>
      </c>
      <c r="Z28">
        <f t="shared" si="2"/>
        <v>0</v>
      </c>
    </row>
    <row r="29" spans="1:26" ht="12.75" customHeight="1">
      <c r="A29" s="9" t="s">
        <v>26</v>
      </c>
      <c r="B29" s="7">
        <v>594</v>
      </c>
      <c r="C29" s="7">
        <v>124</v>
      </c>
      <c r="D29" s="3"/>
      <c r="E29" s="7">
        <v>470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470</v>
      </c>
      <c r="Z29">
        <f t="shared" si="2"/>
        <v>0</v>
      </c>
    </row>
    <row r="30" spans="1:26" ht="12.75" customHeight="1">
      <c r="A30" s="9" t="s">
        <v>27</v>
      </c>
      <c r="B30" s="7">
        <v>433</v>
      </c>
      <c r="C30" s="7">
        <v>73</v>
      </c>
      <c r="D30" s="3"/>
      <c r="E30" s="7">
        <v>360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360</v>
      </c>
      <c r="Z30">
        <f t="shared" si="2"/>
        <v>0</v>
      </c>
    </row>
    <row r="31" spans="1:26" ht="12.75" customHeight="1">
      <c r="A31" s="9" t="s">
        <v>28</v>
      </c>
      <c r="B31" s="7">
        <v>6</v>
      </c>
      <c r="C31" s="7">
        <v>6</v>
      </c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>
        <v>92</v>
      </c>
      <c r="C32" s="3">
        <v>18</v>
      </c>
      <c r="D32" s="3"/>
      <c r="E32" s="7">
        <v>74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74</v>
      </c>
      <c r="Z32">
        <f t="shared" si="2"/>
        <v>0</v>
      </c>
    </row>
    <row r="33" spans="1:26" ht="12.75" customHeight="1">
      <c r="A33" s="9" t="s">
        <v>30</v>
      </c>
      <c r="B33" s="7">
        <v>106</v>
      </c>
      <c r="C33" s="7">
        <v>14</v>
      </c>
      <c r="D33" s="3"/>
      <c r="E33" s="7">
        <v>81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>
        <v>11</v>
      </c>
      <c r="U33" s="11"/>
      <c r="V33" s="3"/>
      <c r="X33" s="5">
        <f t="shared" si="0"/>
        <v>0</v>
      </c>
      <c r="Y33">
        <f t="shared" si="1"/>
        <v>81</v>
      </c>
      <c r="Z33">
        <f t="shared" si="2"/>
        <v>0</v>
      </c>
    </row>
    <row r="34" spans="1:26" ht="12.75" customHeight="1">
      <c r="A34" s="9" t="s">
        <v>31</v>
      </c>
      <c r="B34" s="7">
        <v>113</v>
      </c>
      <c r="C34" s="7">
        <v>53</v>
      </c>
      <c r="D34" s="3"/>
      <c r="E34" s="7">
        <v>60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0</v>
      </c>
      <c r="Y34">
        <f t="shared" si="1"/>
        <v>60</v>
      </c>
      <c r="Z34">
        <f t="shared" si="2"/>
        <v>0</v>
      </c>
    </row>
    <row r="35" spans="1:26" ht="12.75" customHeight="1">
      <c r="A35" s="9" t="s">
        <v>32</v>
      </c>
      <c r="B35" s="7">
        <v>189</v>
      </c>
      <c r="C35" s="3"/>
      <c r="D35" s="3"/>
      <c r="E35" s="7">
        <v>189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/>
      <c r="U35" s="11"/>
      <c r="V35" s="3"/>
      <c r="X35" s="5">
        <f t="shared" si="0"/>
        <v>0</v>
      </c>
      <c r="Y35">
        <f t="shared" si="1"/>
        <v>189</v>
      </c>
      <c r="Z35">
        <f t="shared" si="2"/>
        <v>0</v>
      </c>
    </row>
    <row r="36" spans="1:26" ht="12.75" customHeight="1">
      <c r="A36" s="9" t="s">
        <v>33</v>
      </c>
      <c r="B36" s="7">
        <v>132</v>
      </c>
      <c r="C36" s="7">
        <v>41</v>
      </c>
      <c r="D36" s="3"/>
      <c r="E36" s="7">
        <v>89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>
        <v>2</v>
      </c>
      <c r="U36" s="11"/>
      <c r="V36" s="3"/>
      <c r="X36" s="5">
        <f t="shared" si="0"/>
        <v>0</v>
      </c>
      <c r="Y36">
        <f t="shared" si="1"/>
        <v>89</v>
      </c>
      <c r="Z36">
        <f t="shared" si="2"/>
        <v>0</v>
      </c>
    </row>
    <row r="37" spans="1:26" ht="12.75" customHeight="1"/>
    <row r="38" spans="1:26">
      <c r="B38">
        <f>B5-SUM(B6:B36)</f>
        <v>-3</v>
      </c>
      <c r="C38">
        <f>C5-SUM(C6:C36)</f>
        <v>-2</v>
      </c>
      <c r="D38">
        <f t="shared" ref="D38:V38" si="3">D5-SUM(D6:D36)</f>
        <v>0</v>
      </c>
      <c r="E38">
        <f t="shared" si="3"/>
        <v>-3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1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A27D-B0E3-4A07-8F6D-409B6305F0B5}">
  <dimension ref="A1:Z38"/>
  <sheetViews>
    <sheetView zoomScaleNormal="100" workbookViewId="0">
      <selection activeCell="J33" sqref="J33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8" t="s">
        <v>5</v>
      </c>
      <c r="B5" s="7">
        <v>10190</v>
      </c>
      <c r="C5" s="7">
        <v>1307</v>
      </c>
      <c r="D5" s="3"/>
      <c r="E5" s="7">
        <v>8360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7">
        <v>200</v>
      </c>
      <c r="T5" s="7">
        <v>303</v>
      </c>
      <c r="U5" s="11"/>
      <c r="V5" s="7">
        <v>18</v>
      </c>
      <c r="X5" s="5">
        <f t="shared" ref="X5:X36" si="0">B5-C5-E5-S5-T5-U5-V5</f>
        <v>2</v>
      </c>
      <c r="Y5">
        <f>E5-F5-I5-L5-M5</f>
        <v>8360</v>
      </c>
      <c r="Z5">
        <f>M5-N5-O5-P5</f>
        <v>0</v>
      </c>
    </row>
    <row r="6" spans="1:26" ht="12.75" customHeight="1">
      <c r="A6" s="9" t="s">
        <v>6</v>
      </c>
      <c r="B6" s="3"/>
      <c r="C6" s="3"/>
      <c r="D6" s="3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11"/>
      <c r="V6" s="3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9" t="s">
        <v>7</v>
      </c>
      <c r="B7" s="7">
        <v>30</v>
      </c>
      <c r="C7" s="3"/>
      <c r="D7" s="3"/>
      <c r="E7" s="7">
        <v>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11"/>
      <c r="V7" s="3"/>
      <c r="X7" s="5">
        <f t="shared" si="0"/>
        <v>0</v>
      </c>
      <c r="Y7">
        <f t="shared" si="1"/>
        <v>30</v>
      </c>
      <c r="Z7">
        <f t="shared" si="2"/>
        <v>0</v>
      </c>
    </row>
    <row r="8" spans="1:26" ht="12.75" customHeight="1">
      <c r="A8" s="9" t="s">
        <v>8</v>
      </c>
      <c r="B8" s="7">
        <v>395</v>
      </c>
      <c r="C8" s="3"/>
      <c r="D8" s="3"/>
      <c r="E8" s="7">
        <v>382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7">
        <v>8</v>
      </c>
      <c r="U8" s="11"/>
      <c r="V8" s="7">
        <v>5</v>
      </c>
      <c r="X8" s="5">
        <f t="shared" si="0"/>
        <v>0</v>
      </c>
      <c r="Y8">
        <f t="shared" si="1"/>
        <v>382</v>
      </c>
      <c r="Z8">
        <f t="shared" si="2"/>
        <v>0</v>
      </c>
    </row>
    <row r="9" spans="1:26" ht="12.75" customHeight="1">
      <c r="A9" s="9" t="s">
        <v>9</v>
      </c>
      <c r="B9" s="7">
        <v>376</v>
      </c>
      <c r="C9" s="3"/>
      <c r="D9" s="3"/>
      <c r="E9" s="7">
        <v>376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11"/>
      <c r="V9" s="3"/>
      <c r="X9" s="5">
        <f t="shared" si="0"/>
        <v>0</v>
      </c>
      <c r="Y9">
        <f t="shared" si="1"/>
        <v>376</v>
      </c>
      <c r="Z9">
        <f t="shared" si="2"/>
        <v>0</v>
      </c>
    </row>
    <row r="10" spans="1:26" ht="12.75" customHeight="1">
      <c r="A10" s="9" t="s">
        <v>2</v>
      </c>
      <c r="B10" s="7">
        <v>1055</v>
      </c>
      <c r="C10" s="3"/>
      <c r="D10" s="3"/>
      <c r="E10" s="7">
        <v>960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7">
        <v>95</v>
      </c>
      <c r="U10" s="11"/>
      <c r="V10" s="3"/>
      <c r="X10" s="5">
        <f t="shared" si="0"/>
        <v>0</v>
      </c>
      <c r="Y10">
        <f t="shared" si="1"/>
        <v>960</v>
      </c>
      <c r="Z10">
        <f t="shared" si="2"/>
        <v>0</v>
      </c>
    </row>
    <row r="11" spans="1:26" ht="12.75" customHeight="1">
      <c r="A11" s="9" t="s">
        <v>10</v>
      </c>
      <c r="B11" s="7">
        <v>386</v>
      </c>
      <c r="C11" s="3"/>
      <c r="D11" s="3"/>
      <c r="E11" s="7">
        <v>364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7">
        <v>22</v>
      </c>
      <c r="U11" s="11"/>
      <c r="V11" s="3"/>
      <c r="X11" s="5">
        <f t="shared" si="0"/>
        <v>0</v>
      </c>
      <c r="Y11">
        <f t="shared" si="1"/>
        <v>364</v>
      </c>
      <c r="Z11">
        <f t="shared" si="2"/>
        <v>0</v>
      </c>
    </row>
    <row r="12" spans="1:26" ht="12.75" customHeight="1">
      <c r="A12" s="9" t="s">
        <v>3</v>
      </c>
      <c r="B12" s="7">
        <v>179</v>
      </c>
      <c r="C12" s="7">
        <v>1</v>
      </c>
      <c r="D12" s="3"/>
      <c r="E12" s="7">
        <v>123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7">
        <v>55</v>
      </c>
      <c r="U12" s="11"/>
      <c r="V12" s="3"/>
      <c r="X12" s="5">
        <f t="shared" si="0"/>
        <v>0</v>
      </c>
      <c r="Y12">
        <f t="shared" si="1"/>
        <v>123</v>
      </c>
      <c r="Z12">
        <f t="shared" si="2"/>
        <v>0</v>
      </c>
    </row>
    <row r="13" spans="1:26" ht="12.75" customHeight="1">
      <c r="A13" s="9" t="s">
        <v>4</v>
      </c>
      <c r="B13" s="7">
        <v>212</v>
      </c>
      <c r="C13" s="7">
        <v>1</v>
      </c>
      <c r="D13" s="3"/>
      <c r="E13" s="7">
        <v>186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7">
        <v>24</v>
      </c>
      <c r="U13" s="11"/>
      <c r="V13" s="7">
        <v>2</v>
      </c>
      <c r="X13" s="5">
        <f t="shared" si="0"/>
        <v>-1</v>
      </c>
      <c r="Y13">
        <f t="shared" si="1"/>
        <v>186</v>
      </c>
      <c r="Z13">
        <f t="shared" si="2"/>
        <v>0</v>
      </c>
    </row>
    <row r="14" spans="1:26" ht="12.75" customHeight="1">
      <c r="A14" s="9" t="s">
        <v>11</v>
      </c>
      <c r="B14" s="7">
        <v>2</v>
      </c>
      <c r="C14" s="3"/>
      <c r="D14" s="3"/>
      <c r="E14" s="7">
        <v>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11"/>
      <c r="V14" s="3"/>
      <c r="X14" s="5">
        <f t="shared" si="0"/>
        <v>0</v>
      </c>
      <c r="Y14">
        <f t="shared" si="1"/>
        <v>2</v>
      </c>
      <c r="Z14">
        <f>M14-N14-O14-P14</f>
        <v>0</v>
      </c>
    </row>
    <row r="15" spans="1:26" ht="12.75" customHeight="1">
      <c r="A15" s="9" t="s">
        <v>12</v>
      </c>
      <c r="B15" s="7">
        <v>551</v>
      </c>
      <c r="C15" s="3"/>
      <c r="D15" s="3"/>
      <c r="E15" s="7">
        <v>323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7">
        <v>200</v>
      </c>
      <c r="T15" s="7">
        <v>21</v>
      </c>
      <c r="U15" s="11"/>
      <c r="V15" s="7">
        <v>7</v>
      </c>
      <c r="X15" s="5">
        <f t="shared" si="0"/>
        <v>0</v>
      </c>
      <c r="Y15">
        <f t="shared" si="1"/>
        <v>323</v>
      </c>
      <c r="Z15">
        <f t="shared" si="2"/>
        <v>0</v>
      </c>
    </row>
    <row r="16" spans="1:26" ht="12.75" customHeight="1">
      <c r="A16" s="9" t="s">
        <v>13</v>
      </c>
      <c r="B16" s="7">
        <v>297</v>
      </c>
      <c r="C16" s="3"/>
      <c r="D16" s="3"/>
      <c r="E16" s="7">
        <v>296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11"/>
      <c r="V16" s="3"/>
      <c r="X16" s="5">
        <f t="shared" si="0"/>
        <v>1</v>
      </c>
      <c r="Y16">
        <f t="shared" si="1"/>
        <v>296</v>
      </c>
      <c r="Z16">
        <f t="shared" si="2"/>
        <v>0</v>
      </c>
    </row>
    <row r="17" spans="1:26" ht="12.75" customHeight="1">
      <c r="A17" s="9" t="s">
        <v>14</v>
      </c>
      <c r="B17" s="7">
        <v>618</v>
      </c>
      <c r="C17" s="7">
        <v>45</v>
      </c>
      <c r="D17" s="3"/>
      <c r="E17" s="7">
        <v>573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11"/>
      <c r="V17" s="3"/>
      <c r="X17" s="5">
        <f t="shared" si="0"/>
        <v>0</v>
      </c>
      <c r="Y17">
        <f t="shared" si="1"/>
        <v>573</v>
      </c>
      <c r="Z17">
        <f t="shared" si="2"/>
        <v>0</v>
      </c>
    </row>
    <row r="18" spans="1:26" ht="12.75" customHeight="1">
      <c r="A18" s="9" t="s">
        <v>15</v>
      </c>
      <c r="B18" s="7">
        <v>162</v>
      </c>
      <c r="C18" s="7">
        <v>22</v>
      </c>
      <c r="D18" s="3"/>
      <c r="E18" s="7">
        <v>125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7">
        <v>15</v>
      </c>
      <c r="U18" s="11"/>
      <c r="V18" s="3"/>
      <c r="X18" s="5">
        <f t="shared" si="0"/>
        <v>0</v>
      </c>
      <c r="Y18">
        <f t="shared" si="1"/>
        <v>125</v>
      </c>
      <c r="Z18">
        <f t="shared" si="2"/>
        <v>0</v>
      </c>
    </row>
    <row r="19" spans="1:26" ht="12.75" customHeight="1">
      <c r="A19" s="9" t="s">
        <v>16</v>
      </c>
      <c r="B19" s="7">
        <v>252</v>
      </c>
      <c r="C19" s="3"/>
      <c r="D19" s="3"/>
      <c r="E19" s="7">
        <v>252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11"/>
      <c r="V19" s="3"/>
      <c r="X19" s="5">
        <f t="shared" si="0"/>
        <v>0</v>
      </c>
      <c r="Y19">
        <f t="shared" si="1"/>
        <v>252</v>
      </c>
      <c r="Z19">
        <f t="shared" si="2"/>
        <v>0</v>
      </c>
    </row>
    <row r="20" spans="1:26" ht="12.75" customHeight="1">
      <c r="A20" s="9" t="s">
        <v>17</v>
      </c>
      <c r="B20" s="7">
        <v>586</v>
      </c>
      <c r="C20" s="7">
        <v>25</v>
      </c>
      <c r="D20" s="3"/>
      <c r="E20" s="7">
        <v>542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7">
        <v>14</v>
      </c>
      <c r="U20" s="11"/>
      <c r="V20" s="7">
        <v>5</v>
      </c>
      <c r="X20" s="5">
        <f t="shared" si="0"/>
        <v>0</v>
      </c>
      <c r="Y20">
        <f t="shared" si="1"/>
        <v>542</v>
      </c>
      <c r="Z20">
        <f t="shared" si="2"/>
        <v>0</v>
      </c>
    </row>
    <row r="21" spans="1:26" ht="12.75" customHeight="1">
      <c r="A21" s="9" t="s">
        <v>18</v>
      </c>
      <c r="B21" s="7">
        <v>931</v>
      </c>
      <c r="C21" s="7">
        <v>4</v>
      </c>
      <c r="D21" s="3"/>
      <c r="E21" s="7">
        <v>925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7">
        <v>3</v>
      </c>
      <c r="U21" s="11"/>
      <c r="V21" s="3"/>
      <c r="X21" s="5">
        <f t="shared" si="0"/>
        <v>-1</v>
      </c>
      <c r="Y21">
        <f t="shared" si="1"/>
        <v>925</v>
      </c>
      <c r="Z21">
        <f t="shared" si="2"/>
        <v>0</v>
      </c>
    </row>
    <row r="22" spans="1:26" ht="12.75" customHeight="1">
      <c r="A22" s="9" t="s">
        <v>19</v>
      </c>
      <c r="B22" s="7">
        <v>741</v>
      </c>
      <c r="C22" s="7">
        <v>554</v>
      </c>
      <c r="D22" s="3"/>
      <c r="E22" s="7">
        <v>186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7">
        <v>1</v>
      </c>
      <c r="U22" s="11"/>
      <c r="V22" s="3"/>
      <c r="X22" s="5">
        <f t="shared" si="0"/>
        <v>0</v>
      </c>
      <c r="Y22">
        <f t="shared" si="1"/>
        <v>186</v>
      </c>
      <c r="Z22">
        <f t="shared" si="2"/>
        <v>0</v>
      </c>
    </row>
    <row r="23" spans="1:26" ht="12.75" customHeight="1">
      <c r="A23" s="9" t="s">
        <v>20</v>
      </c>
      <c r="B23" s="7">
        <v>345</v>
      </c>
      <c r="C23" s="7">
        <v>28</v>
      </c>
      <c r="D23" s="3"/>
      <c r="E23" s="7">
        <v>317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11"/>
      <c r="V23" s="3"/>
      <c r="X23" s="5">
        <f t="shared" si="0"/>
        <v>0</v>
      </c>
      <c r="Y23">
        <f t="shared" si="1"/>
        <v>317</v>
      </c>
      <c r="Z23">
        <f>M23-N23-O23-P23</f>
        <v>0</v>
      </c>
    </row>
    <row r="24" spans="1:26" ht="12.75" customHeight="1">
      <c r="A24" s="9" t="s">
        <v>21</v>
      </c>
      <c r="B24" s="7">
        <v>705</v>
      </c>
      <c r="C24" s="3"/>
      <c r="D24" s="3"/>
      <c r="E24" s="7">
        <v>697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7">
        <v>8</v>
      </c>
      <c r="U24" s="11"/>
      <c r="V24" s="3"/>
      <c r="X24" s="5">
        <f t="shared" si="0"/>
        <v>0</v>
      </c>
      <c r="Y24">
        <f t="shared" si="1"/>
        <v>697</v>
      </c>
      <c r="Z24">
        <f t="shared" si="2"/>
        <v>0</v>
      </c>
    </row>
    <row r="25" spans="1:26" ht="12.75" customHeight="1">
      <c r="A25" s="9" t="s">
        <v>22</v>
      </c>
      <c r="B25" s="7">
        <v>566</v>
      </c>
      <c r="C25" s="7">
        <v>260</v>
      </c>
      <c r="D25" s="3"/>
      <c r="E25" s="7">
        <v>300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11"/>
      <c r="V25" s="3"/>
      <c r="X25" s="5">
        <f>B25-C25-E25-S25-T25-U25-V25</f>
        <v>6</v>
      </c>
      <c r="Y25">
        <f t="shared" si="1"/>
        <v>300</v>
      </c>
      <c r="Z25">
        <f t="shared" si="2"/>
        <v>0</v>
      </c>
    </row>
    <row r="26" spans="1:26" ht="12.75" customHeight="1">
      <c r="A26" s="9" t="s">
        <v>23</v>
      </c>
      <c r="B26" s="7">
        <v>35</v>
      </c>
      <c r="C26" s="7">
        <v>2</v>
      </c>
      <c r="D26" s="3"/>
      <c r="E26" s="7">
        <v>33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11"/>
      <c r="V26" s="3"/>
      <c r="X26" s="5">
        <f t="shared" si="0"/>
        <v>0</v>
      </c>
      <c r="Y26">
        <f t="shared" si="1"/>
        <v>33</v>
      </c>
      <c r="Z26">
        <f t="shared" si="2"/>
        <v>0</v>
      </c>
    </row>
    <row r="27" spans="1:26" ht="12.75" customHeight="1">
      <c r="A27" s="9" t="s">
        <v>24</v>
      </c>
      <c r="B27" s="7">
        <v>90</v>
      </c>
      <c r="C27" s="3"/>
      <c r="D27" s="3"/>
      <c r="E27" s="7">
        <v>90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11"/>
      <c r="V27" s="3"/>
      <c r="X27" s="5">
        <f t="shared" si="0"/>
        <v>0</v>
      </c>
      <c r="Y27">
        <f t="shared" si="1"/>
        <v>90</v>
      </c>
      <c r="Z27">
        <f t="shared" si="2"/>
        <v>0</v>
      </c>
    </row>
    <row r="28" spans="1:26" ht="12.75" customHeight="1">
      <c r="A28" s="9" t="s">
        <v>25</v>
      </c>
      <c r="B28" s="7">
        <v>443</v>
      </c>
      <c r="C28" s="7">
        <v>139</v>
      </c>
      <c r="D28" s="3"/>
      <c r="E28" s="7">
        <v>304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11"/>
      <c r="V28" s="3"/>
      <c r="X28" s="5">
        <f t="shared" si="0"/>
        <v>0</v>
      </c>
      <c r="Y28">
        <f t="shared" si="1"/>
        <v>304</v>
      </c>
      <c r="Z28">
        <f t="shared" si="2"/>
        <v>0</v>
      </c>
    </row>
    <row r="29" spans="1:26" ht="12.75" customHeight="1">
      <c r="A29" s="9" t="s">
        <v>26</v>
      </c>
      <c r="B29" s="7">
        <v>221</v>
      </c>
      <c r="C29" s="7">
        <v>41</v>
      </c>
      <c r="D29" s="3"/>
      <c r="E29" s="7">
        <v>180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11"/>
      <c r="V29" s="3"/>
      <c r="X29" s="5">
        <f t="shared" si="0"/>
        <v>0</v>
      </c>
      <c r="Y29">
        <f t="shared" si="1"/>
        <v>180</v>
      </c>
      <c r="Z29">
        <f t="shared" si="2"/>
        <v>0</v>
      </c>
    </row>
    <row r="30" spans="1:26" ht="12.75" customHeight="1">
      <c r="A30" s="9" t="s">
        <v>27</v>
      </c>
      <c r="B30" s="7">
        <v>335</v>
      </c>
      <c r="C30" s="7">
        <v>125</v>
      </c>
      <c r="D30" s="3"/>
      <c r="E30" s="7">
        <v>210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11"/>
      <c r="V30" s="3"/>
      <c r="X30" s="5">
        <f t="shared" si="0"/>
        <v>0</v>
      </c>
      <c r="Y30">
        <f t="shared" si="1"/>
        <v>210</v>
      </c>
      <c r="Z30">
        <f t="shared" si="2"/>
        <v>0</v>
      </c>
    </row>
    <row r="31" spans="1:26" ht="12.75" customHeight="1">
      <c r="A31" s="9" t="s">
        <v>28</v>
      </c>
      <c r="B31" s="7">
        <v>6</v>
      </c>
      <c r="C31" s="7">
        <v>6</v>
      </c>
      <c r="D31" s="3"/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11"/>
      <c r="V31" s="3"/>
      <c r="X31" s="5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9" t="s">
        <v>29</v>
      </c>
      <c r="B32" s="7">
        <v>273</v>
      </c>
      <c r="C32" s="3"/>
      <c r="D32" s="3"/>
      <c r="E32" s="7">
        <v>273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11"/>
      <c r="V32" s="3"/>
      <c r="X32" s="5">
        <f t="shared" si="0"/>
        <v>0</v>
      </c>
      <c r="Y32">
        <f>E32-F32-I32-L32-M32</f>
        <v>273</v>
      </c>
      <c r="Z32">
        <f t="shared" si="2"/>
        <v>0</v>
      </c>
    </row>
    <row r="33" spans="1:26" ht="12.75" customHeight="1">
      <c r="A33" s="9" t="s">
        <v>30</v>
      </c>
      <c r="B33" s="7">
        <v>157</v>
      </c>
      <c r="C33" s="7">
        <v>20</v>
      </c>
      <c r="D33" s="3"/>
      <c r="E33" s="7">
        <v>123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7">
        <v>15</v>
      </c>
      <c r="U33" s="11"/>
      <c r="V33" s="3"/>
      <c r="X33" s="5">
        <f t="shared" si="0"/>
        <v>-1</v>
      </c>
      <c r="Y33">
        <f t="shared" si="1"/>
        <v>123</v>
      </c>
      <c r="Z33">
        <f t="shared" si="2"/>
        <v>0</v>
      </c>
    </row>
    <row r="34" spans="1:26" ht="12.75" customHeight="1">
      <c r="A34" s="9" t="s">
        <v>31</v>
      </c>
      <c r="B34" s="7">
        <v>63</v>
      </c>
      <c r="C34" s="7">
        <v>26</v>
      </c>
      <c r="D34" s="3"/>
      <c r="E34" s="7">
        <v>38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11"/>
      <c r="V34" s="3"/>
      <c r="X34" s="5">
        <f t="shared" si="0"/>
        <v>-1</v>
      </c>
      <c r="Y34">
        <f t="shared" si="1"/>
        <v>38</v>
      </c>
      <c r="Z34">
        <f t="shared" si="2"/>
        <v>0</v>
      </c>
    </row>
    <row r="35" spans="1:26" ht="12.75" customHeight="1">
      <c r="A35" s="9" t="s">
        <v>32</v>
      </c>
      <c r="B35" s="7">
        <v>135</v>
      </c>
      <c r="C35" s="3"/>
      <c r="D35" s="3"/>
      <c r="E35" s="7">
        <v>120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7">
        <v>15</v>
      </c>
      <c r="U35" s="11"/>
      <c r="V35" s="3"/>
      <c r="X35" s="5">
        <f t="shared" si="0"/>
        <v>0</v>
      </c>
      <c r="Y35">
        <f t="shared" si="1"/>
        <v>120</v>
      </c>
      <c r="Z35">
        <f t="shared" si="2"/>
        <v>0</v>
      </c>
    </row>
    <row r="36" spans="1:26" ht="12.75" customHeight="1">
      <c r="A36" s="9" t="s">
        <v>33</v>
      </c>
      <c r="B36" s="7">
        <v>49</v>
      </c>
      <c r="C36" s="7">
        <v>10</v>
      </c>
      <c r="D36" s="3"/>
      <c r="E36" s="7">
        <v>30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7">
        <v>9</v>
      </c>
      <c r="U36" s="11"/>
      <c r="V36" s="3"/>
      <c r="X36" s="5">
        <f t="shared" si="0"/>
        <v>0</v>
      </c>
      <c r="Y36">
        <f t="shared" si="1"/>
        <v>30</v>
      </c>
      <c r="Z36">
        <f t="shared" si="2"/>
        <v>0</v>
      </c>
    </row>
    <row r="37" spans="1:26" ht="12.75" customHeight="1"/>
    <row r="38" spans="1:26">
      <c r="B38">
        <f>B5-SUM(B6:B36)</f>
        <v>-6</v>
      </c>
      <c r="C38">
        <f>C5-SUM(C6:C36)</f>
        <v>-2</v>
      </c>
      <c r="D38">
        <f t="shared" ref="D38:V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-2</v>
      </c>
      <c r="U38">
        <f t="shared" si="3"/>
        <v>0</v>
      </c>
      <c r="V38">
        <f t="shared" si="3"/>
        <v>-1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E2C0-9B43-42DB-8611-6E55EBE294E7}">
  <dimension ref="A1:Z38"/>
  <sheetViews>
    <sheetView zoomScaleNormal="100" workbookViewId="0">
      <selection activeCell="I5" sqref="I5:I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9202</v>
      </c>
      <c r="C5" s="1">
        <v>2148</v>
      </c>
      <c r="D5" s="1">
        <v>175</v>
      </c>
      <c r="E5" s="7">
        <v>6555</v>
      </c>
      <c r="F5" s="1">
        <v>6040</v>
      </c>
      <c r="G5" s="1"/>
      <c r="H5" s="1"/>
      <c r="I5" s="1">
        <v>321</v>
      </c>
      <c r="J5" s="1"/>
      <c r="K5" s="1"/>
      <c r="L5" s="1">
        <v>8</v>
      </c>
      <c r="M5" s="1">
        <v>185</v>
      </c>
      <c r="N5" s="1"/>
      <c r="O5" s="1"/>
      <c r="P5" s="1"/>
      <c r="Q5" s="1"/>
      <c r="R5" s="1"/>
      <c r="S5" s="1"/>
      <c r="T5" s="1">
        <v>499</v>
      </c>
      <c r="U5" s="6"/>
      <c r="V5" s="1"/>
      <c r="X5" s="5">
        <f t="shared" ref="X5:X36" si="0">B5-C5-E5-S5-T5-U5-V5</f>
        <v>0</v>
      </c>
      <c r="Y5">
        <f>E5-F5-I5-L5-M5</f>
        <v>1</v>
      </c>
      <c r="Z5">
        <f>M5-N5-O5-P5</f>
        <v>185</v>
      </c>
    </row>
    <row r="6" spans="1:26" ht="12.75" customHeight="1">
      <c r="A6" s="2" t="s">
        <v>6</v>
      </c>
      <c r="B6" s="1">
        <v>145</v>
      </c>
      <c r="C6" s="1"/>
      <c r="D6" s="1"/>
      <c r="E6" s="1">
        <v>145</v>
      </c>
      <c r="F6" s="1">
        <v>16</v>
      </c>
      <c r="G6" s="1"/>
      <c r="H6" s="1"/>
      <c r="I6" s="1">
        <v>129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6"/>
      <c r="V6" s="1"/>
      <c r="X6" s="5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>
        <v>60</v>
      </c>
      <c r="C7" s="1"/>
      <c r="D7" s="1"/>
      <c r="E7" s="1">
        <v>60</v>
      </c>
      <c r="F7" s="1">
        <v>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6"/>
      <c r="V7" s="1"/>
      <c r="X7" s="5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>
        <v>365</v>
      </c>
      <c r="C8" s="1">
        <v>75</v>
      </c>
      <c r="D8" s="1">
        <v>75</v>
      </c>
      <c r="E8" s="1">
        <v>261</v>
      </c>
      <c r="F8" s="1">
        <v>257</v>
      </c>
      <c r="G8" s="1"/>
      <c r="H8" s="1"/>
      <c r="I8" s="1">
        <v>2</v>
      </c>
      <c r="J8" s="1"/>
      <c r="K8" s="1"/>
      <c r="L8" s="1"/>
      <c r="M8" s="1">
        <v>2</v>
      </c>
      <c r="N8" s="1"/>
      <c r="O8" s="1"/>
      <c r="P8" s="1"/>
      <c r="Q8" s="1"/>
      <c r="R8" s="1"/>
      <c r="S8" s="1"/>
      <c r="T8" s="1">
        <v>30</v>
      </c>
      <c r="U8" s="6"/>
      <c r="V8" s="1"/>
      <c r="X8" s="5">
        <f t="shared" si="0"/>
        <v>-1</v>
      </c>
      <c r="Y8">
        <f t="shared" si="1"/>
        <v>0</v>
      </c>
      <c r="Z8">
        <f t="shared" si="2"/>
        <v>2</v>
      </c>
    </row>
    <row r="9" spans="1:26" ht="12.75" customHeight="1">
      <c r="A9" s="2" t="s">
        <v>9</v>
      </c>
      <c r="B9" s="1">
        <v>459</v>
      </c>
      <c r="C9" s="1"/>
      <c r="D9" s="1"/>
      <c r="E9" s="1">
        <v>450</v>
      </c>
      <c r="F9" s="1">
        <v>418</v>
      </c>
      <c r="G9" s="1"/>
      <c r="H9" s="1"/>
      <c r="I9" s="1"/>
      <c r="J9" s="1"/>
      <c r="K9" s="1"/>
      <c r="L9" s="1"/>
      <c r="M9" s="1">
        <v>32</v>
      </c>
      <c r="N9" s="1"/>
      <c r="O9" s="1"/>
      <c r="P9" s="1"/>
      <c r="Q9" s="1"/>
      <c r="R9" s="1"/>
      <c r="S9" s="1"/>
      <c r="T9" s="1">
        <v>10</v>
      </c>
      <c r="U9" s="6"/>
      <c r="V9" s="1"/>
      <c r="X9" s="5">
        <f t="shared" si="0"/>
        <v>-1</v>
      </c>
      <c r="Y9">
        <f t="shared" si="1"/>
        <v>0</v>
      </c>
      <c r="Z9">
        <f t="shared" si="2"/>
        <v>32</v>
      </c>
    </row>
    <row r="10" spans="1:26" ht="12.75" customHeight="1">
      <c r="A10" s="2" t="s">
        <v>2</v>
      </c>
      <c r="B10" s="1">
        <v>773</v>
      </c>
      <c r="C10" s="1"/>
      <c r="D10" s="1"/>
      <c r="E10" s="1">
        <v>611</v>
      </c>
      <c r="F10" s="1">
        <v>515</v>
      </c>
      <c r="G10" s="1"/>
      <c r="H10" s="1"/>
      <c r="I10" s="1"/>
      <c r="J10" s="1"/>
      <c r="K10" s="1"/>
      <c r="L10" s="1"/>
      <c r="M10" s="1">
        <v>96</v>
      </c>
      <c r="N10" s="1"/>
      <c r="O10" s="1"/>
      <c r="P10" s="1"/>
      <c r="Q10" s="1"/>
      <c r="R10" s="1"/>
      <c r="S10" s="1"/>
      <c r="T10" s="1">
        <v>162</v>
      </c>
      <c r="U10" s="6"/>
      <c r="V10" s="1"/>
      <c r="X10" s="5">
        <f t="shared" si="0"/>
        <v>0</v>
      </c>
      <c r="Y10">
        <f t="shared" si="1"/>
        <v>0</v>
      </c>
      <c r="Z10">
        <f t="shared" si="2"/>
        <v>96</v>
      </c>
    </row>
    <row r="11" spans="1:26" ht="12.75" customHeight="1">
      <c r="A11" s="2" t="s">
        <v>10</v>
      </c>
      <c r="B11" s="1">
        <v>290</v>
      </c>
      <c r="C11" s="1"/>
      <c r="D11" s="1"/>
      <c r="E11" s="1">
        <v>240</v>
      </c>
      <c r="F11" s="1">
        <v>240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50</v>
      </c>
      <c r="U11" s="6"/>
      <c r="V11" s="1"/>
      <c r="X11" s="5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>
        <v>112</v>
      </c>
      <c r="C12" s="1"/>
      <c r="D12" s="1"/>
      <c r="E12" s="1">
        <v>70</v>
      </c>
      <c r="F12" s="1">
        <v>69</v>
      </c>
      <c r="G12" s="1"/>
      <c r="H12" s="1"/>
      <c r="I12" s="1"/>
      <c r="J12" s="1"/>
      <c r="K12" s="1"/>
      <c r="L12" s="1"/>
      <c r="M12" s="1">
        <v>1</v>
      </c>
      <c r="N12" s="1"/>
      <c r="O12" s="1"/>
      <c r="P12" s="1"/>
      <c r="Q12" s="1"/>
      <c r="R12" s="1"/>
      <c r="S12" s="1"/>
      <c r="T12" s="1">
        <v>42</v>
      </c>
      <c r="U12" s="6"/>
      <c r="V12" s="1"/>
      <c r="X12" s="5">
        <f t="shared" si="0"/>
        <v>0</v>
      </c>
      <c r="Y12">
        <f t="shared" si="1"/>
        <v>0</v>
      </c>
      <c r="Z12">
        <f t="shared" si="2"/>
        <v>1</v>
      </c>
    </row>
    <row r="13" spans="1:26" ht="12.75" customHeight="1">
      <c r="A13" s="2" t="s">
        <v>4</v>
      </c>
      <c r="B13" s="1">
        <v>219</v>
      </c>
      <c r="C13" s="1">
        <v>1</v>
      </c>
      <c r="D13" s="1"/>
      <c r="E13" s="1">
        <v>189</v>
      </c>
      <c r="F13" s="1">
        <v>184</v>
      </c>
      <c r="G13" s="1"/>
      <c r="H13" s="1"/>
      <c r="I13" s="1"/>
      <c r="J13" s="1"/>
      <c r="K13" s="1"/>
      <c r="L13" s="1"/>
      <c r="M13" s="1">
        <v>6</v>
      </c>
      <c r="N13" s="1"/>
      <c r="O13" s="1"/>
      <c r="P13" s="1"/>
      <c r="Q13" s="1"/>
      <c r="R13" s="1"/>
      <c r="S13" s="1"/>
      <c r="T13" s="1">
        <v>29</v>
      </c>
      <c r="U13" s="6"/>
      <c r="V13" s="1"/>
      <c r="X13" s="5">
        <f t="shared" si="0"/>
        <v>0</v>
      </c>
      <c r="Y13">
        <f t="shared" si="1"/>
        <v>-1</v>
      </c>
      <c r="Z13">
        <f t="shared" si="2"/>
        <v>6</v>
      </c>
    </row>
    <row r="14" spans="1:26" ht="12.75" customHeight="1">
      <c r="A14" s="2" t="s">
        <v>11</v>
      </c>
      <c r="B14" s="1">
        <v>267</v>
      </c>
      <c r="C14" s="1"/>
      <c r="D14" s="1"/>
      <c r="E14" s="1">
        <v>266</v>
      </c>
      <c r="F14" s="1">
        <v>266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1</v>
      </c>
      <c r="U14" s="6"/>
      <c r="V14" s="1"/>
      <c r="X14" s="5">
        <f t="shared" si="0"/>
        <v>0</v>
      </c>
      <c r="Y14">
        <f t="shared" si="1"/>
        <v>0</v>
      </c>
      <c r="Z14">
        <f>M14-N14-O14-P14</f>
        <v>0</v>
      </c>
    </row>
    <row r="15" spans="1:26" ht="12.75" customHeight="1">
      <c r="A15" s="2" t="s">
        <v>12</v>
      </c>
      <c r="B15" s="1">
        <v>343</v>
      </c>
      <c r="C15" s="1">
        <v>100</v>
      </c>
      <c r="D15" s="1">
        <v>100</v>
      </c>
      <c r="E15" s="1">
        <v>192</v>
      </c>
      <c r="F15" s="1">
        <v>179</v>
      </c>
      <c r="G15" s="1"/>
      <c r="H15" s="1"/>
      <c r="I15" s="1"/>
      <c r="J15" s="1"/>
      <c r="K15" s="1"/>
      <c r="L15" s="1"/>
      <c r="M15" s="1">
        <v>13</v>
      </c>
      <c r="N15" s="1"/>
      <c r="O15" s="1"/>
      <c r="P15" s="1"/>
      <c r="Q15" s="1"/>
      <c r="R15" s="1"/>
      <c r="S15" s="1"/>
      <c r="T15" s="1">
        <v>50</v>
      </c>
      <c r="U15" s="6"/>
      <c r="V15" s="1"/>
      <c r="X15" s="5">
        <f t="shared" si="0"/>
        <v>1</v>
      </c>
      <c r="Y15">
        <f t="shared" si="1"/>
        <v>0</v>
      </c>
      <c r="Z15">
        <f t="shared" si="2"/>
        <v>13</v>
      </c>
    </row>
    <row r="16" spans="1:26" ht="12.75" customHeight="1">
      <c r="A16" s="2" t="s">
        <v>13</v>
      </c>
      <c r="B16" s="1">
        <v>417</v>
      </c>
      <c r="C16" s="1">
        <v>55</v>
      </c>
      <c r="D16" s="1"/>
      <c r="E16" s="1">
        <v>347</v>
      </c>
      <c r="F16" s="1">
        <v>269</v>
      </c>
      <c r="G16" s="1"/>
      <c r="H16" s="1"/>
      <c r="I16" s="1">
        <v>78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14</v>
      </c>
      <c r="U16" s="6"/>
      <c r="V16" s="1"/>
      <c r="X16" s="5">
        <f t="shared" si="0"/>
        <v>1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>
        <v>750</v>
      </c>
      <c r="C17" s="1"/>
      <c r="D17" s="1"/>
      <c r="E17" s="1">
        <v>750</v>
      </c>
      <c r="F17" s="1">
        <v>744</v>
      </c>
      <c r="G17" s="1"/>
      <c r="H17" s="1"/>
      <c r="I17" s="1"/>
      <c r="J17" s="1"/>
      <c r="K17" s="1"/>
      <c r="L17" s="1"/>
      <c r="M17" s="1">
        <v>6</v>
      </c>
      <c r="N17" s="1"/>
      <c r="O17" s="1"/>
      <c r="P17" s="1"/>
      <c r="Q17" s="1"/>
      <c r="R17" s="1"/>
      <c r="S17" s="1"/>
      <c r="T17" s="1"/>
      <c r="U17" s="6"/>
      <c r="V17" s="1"/>
      <c r="X17" s="5">
        <f t="shared" si="0"/>
        <v>0</v>
      </c>
      <c r="Y17">
        <f t="shared" si="1"/>
        <v>0</v>
      </c>
      <c r="Z17">
        <f t="shared" si="2"/>
        <v>6</v>
      </c>
    </row>
    <row r="18" spans="1:26" ht="12.75" customHeight="1">
      <c r="A18" s="2" t="s">
        <v>15</v>
      </c>
      <c r="B18" s="1">
        <v>372</v>
      </c>
      <c r="C18" s="1">
        <v>41</v>
      </c>
      <c r="D18" s="1"/>
      <c r="E18" s="1">
        <v>316</v>
      </c>
      <c r="F18" s="1">
        <v>246</v>
      </c>
      <c r="G18" s="1"/>
      <c r="H18" s="1"/>
      <c r="I18" s="1">
        <v>70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15</v>
      </c>
      <c r="U18" s="6"/>
      <c r="V18" s="1"/>
      <c r="X18" s="5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>
        <v>73</v>
      </c>
      <c r="C19" s="1"/>
      <c r="D19" s="1"/>
      <c r="E19" s="1">
        <v>70</v>
      </c>
      <c r="F19" s="1">
        <v>70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3</v>
      </c>
      <c r="U19" s="6"/>
      <c r="V19" s="1"/>
      <c r="X19" s="5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>
        <v>326</v>
      </c>
      <c r="C20" s="1"/>
      <c r="D20" s="1"/>
      <c r="E20" s="1">
        <v>309</v>
      </c>
      <c r="F20" s="1">
        <v>307</v>
      </c>
      <c r="G20" s="1"/>
      <c r="H20" s="1"/>
      <c r="I20" s="1"/>
      <c r="J20" s="1"/>
      <c r="K20" s="1"/>
      <c r="L20" s="1"/>
      <c r="M20" s="1">
        <v>2</v>
      </c>
      <c r="N20" s="1"/>
      <c r="O20" s="1"/>
      <c r="P20" s="1"/>
      <c r="Q20" s="1"/>
      <c r="R20" s="1"/>
      <c r="S20" s="1"/>
      <c r="T20" s="1">
        <v>17</v>
      </c>
      <c r="U20" s="6"/>
      <c r="V20" s="1"/>
      <c r="X20" s="5">
        <f t="shared" si="0"/>
        <v>0</v>
      </c>
      <c r="Y20">
        <f t="shared" si="1"/>
        <v>0</v>
      </c>
      <c r="Z20">
        <f t="shared" si="2"/>
        <v>2</v>
      </c>
    </row>
    <row r="21" spans="1:26" ht="12.75" customHeight="1">
      <c r="A21" s="2" t="s">
        <v>18</v>
      </c>
      <c r="B21" s="1">
        <v>460</v>
      </c>
      <c r="C21" s="1">
        <v>4</v>
      </c>
      <c r="D21" s="1"/>
      <c r="E21" s="1">
        <v>457</v>
      </c>
      <c r="F21" s="1">
        <v>418</v>
      </c>
      <c r="G21" s="1"/>
      <c r="H21" s="1"/>
      <c r="I21" s="1">
        <v>39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6"/>
      <c r="V21" s="1"/>
      <c r="X21" s="5">
        <f t="shared" si="0"/>
        <v>-1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>
        <v>608</v>
      </c>
      <c r="C22" s="1">
        <v>488</v>
      </c>
      <c r="D22" s="1"/>
      <c r="E22" s="1">
        <v>120</v>
      </c>
      <c r="F22" s="1">
        <v>120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6"/>
      <c r="V22" s="1"/>
      <c r="X22" s="5">
        <f t="shared" si="0"/>
        <v>0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>
        <v>241</v>
      </c>
      <c r="C23" s="1">
        <v>115</v>
      </c>
      <c r="D23" s="1"/>
      <c r="E23" s="1">
        <v>126</v>
      </c>
      <c r="F23" s="1">
        <v>126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6"/>
      <c r="V23" s="1"/>
      <c r="X23" s="5">
        <f t="shared" si="0"/>
        <v>0</v>
      </c>
      <c r="Y23">
        <f t="shared" si="1"/>
        <v>0</v>
      </c>
      <c r="Z23">
        <f>M23-N23-O23-P23</f>
        <v>0</v>
      </c>
    </row>
    <row r="24" spans="1:26" ht="12.75" customHeight="1">
      <c r="A24" s="2" t="s">
        <v>21</v>
      </c>
      <c r="B24" s="1">
        <v>300</v>
      </c>
      <c r="C24" s="1"/>
      <c r="D24" s="1"/>
      <c r="E24" s="1">
        <v>300</v>
      </c>
      <c r="F24" s="1">
        <v>300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6"/>
      <c r="V24" s="1"/>
      <c r="X24" s="5">
        <f t="shared" si="0"/>
        <v>0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>
        <v>403</v>
      </c>
      <c r="C25" s="1">
        <v>342</v>
      </c>
      <c r="D25" s="1"/>
      <c r="E25" s="1">
        <v>62</v>
      </c>
      <c r="F25" s="1">
        <v>60</v>
      </c>
      <c r="G25" s="1"/>
      <c r="H25" s="1"/>
      <c r="I25" s="1"/>
      <c r="J25" s="1"/>
      <c r="K25" s="1"/>
      <c r="L25" s="1"/>
      <c r="M25" s="1">
        <v>2</v>
      </c>
      <c r="N25" s="1"/>
      <c r="O25" s="1"/>
      <c r="P25" s="1"/>
      <c r="Q25" s="1"/>
      <c r="R25" s="1"/>
      <c r="S25" s="1"/>
      <c r="T25" s="1"/>
      <c r="U25" s="6"/>
      <c r="V25" s="1"/>
      <c r="X25" s="5">
        <f t="shared" si="0"/>
        <v>-1</v>
      </c>
      <c r="Y25">
        <f t="shared" si="1"/>
        <v>0</v>
      </c>
      <c r="Z25">
        <f t="shared" si="2"/>
        <v>2</v>
      </c>
    </row>
    <row r="26" spans="1:26" ht="12.75" customHeight="1">
      <c r="A26" s="2" t="s">
        <v>23</v>
      </c>
      <c r="B26" s="1">
        <v>17</v>
      </c>
      <c r="C26" s="1">
        <v>0</v>
      </c>
      <c r="D26" s="1"/>
      <c r="E26" s="1">
        <v>12</v>
      </c>
      <c r="F26" s="1"/>
      <c r="G26" s="1"/>
      <c r="H26" s="1"/>
      <c r="I26" s="1"/>
      <c r="J26" s="1"/>
      <c r="K26" s="1"/>
      <c r="L26" s="1">
        <v>2</v>
      </c>
      <c r="M26" s="1">
        <v>10</v>
      </c>
      <c r="N26" s="1"/>
      <c r="O26" s="1"/>
      <c r="P26" s="1"/>
      <c r="Q26" s="1"/>
      <c r="R26" s="1"/>
      <c r="S26" s="1"/>
      <c r="T26" s="1">
        <v>5</v>
      </c>
      <c r="U26" s="6"/>
      <c r="V26" s="1"/>
      <c r="X26" s="5">
        <f t="shared" si="0"/>
        <v>0</v>
      </c>
      <c r="Y26">
        <f t="shared" si="1"/>
        <v>0</v>
      </c>
      <c r="Z26">
        <f t="shared" si="2"/>
        <v>10</v>
      </c>
    </row>
    <row r="27" spans="1:26" ht="12.75" customHeight="1">
      <c r="A27" s="2" t="s">
        <v>24</v>
      </c>
      <c r="B27" s="1">
        <v>218</v>
      </c>
      <c r="C27" s="1">
        <v>185</v>
      </c>
      <c r="D27" s="1"/>
      <c r="E27" s="1">
        <v>33</v>
      </c>
      <c r="F27" s="1">
        <v>33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6"/>
      <c r="V27" s="1"/>
      <c r="X27" s="5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>
        <v>292</v>
      </c>
      <c r="C28" s="1">
        <v>200</v>
      </c>
      <c r="D28" s="1"/>
      <c r="E28" s="1">
        <v>92</v>
      </c>
      <c r="F28" s="1">
        <v>92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6"/>
      <c r="V28" s="1"/>
      <c r="X28" s="5">
        <f t="shared" si="0"/>
        <v>0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>
        <v>306</v>
      </c>
      <c r="C29" s="1">
        <v>126</v>
      </c>
      <c r="D29" s="1"/>
      <c r="E29" s="1">
        <v>180</v>
      </c>
      <c r="F29" s="1">
        <v>180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6"/>
      <c r="V29" s="1"/>
      <c r="X29" s="5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>
        <v>316</v>
      </c>
      <c r="C30" s="1">
        <v>306</v>
      </c>
      <c r="D30" s="1"/>
      <c r="E30" s="1">
        <v>3</v>
      </c>
      <c r="F30" s="1"/>
      <c r="G30" s="1"/>
      <c r="H30" s="1"/>
      <c r="I30" s="1"/>
      <c r="J30" s="1"/>
      <c r="K30" s="1"/>
      <c r="L30" s="1"/>
      <c r="M30" s="1">
        <v>3</v>
      </c>
      <c r="N30" s="1"/>
      <c r="O30" s="1"/>
      <c r="P30" s="1"/>
      <c r="Q30" s="1"/>
      <c r="R30" s="1"/>
      <c r="S30" s="1"/>
      <c r="T30" s="1">
        <v>8</v>
      </c>
      <c r="U30" s="6"/>
      <c r="V30" s="1"/>
      <c r="X30" s="5">
        <f t="shared" si="0"/>
        <v>-1</v>
      </c>
      <c r="Y30">
        <f t="shared" si="1"/>
        <v>0</v>
      </c>
      <c r="Z30">
        <f t="shared" si="2"/>
        <v>3</v>
      </c>
    </row>
    <row r="31" spans="1:26" ht="12.75" customHeight="1">
      <c r="A31" s="2" t="s">
        <v>28</v>
      </c>
      <c r="B31" s="1">
        <v>11</v>
      </c>
      <c r="C31" s="1">
        <v>3</v>
      </c>
      <c r="D31" s="1"/>
      <c r="E31" s="1">
        <v>8</v>
      </c>
      <c r="F31" s="1"/>
      <c r="G31" s="1"/>
      <c r="H31" s="1"/>
      <c r="I31" s="1"/>
      <c r="J31" s="1"/>
      <c r="K31" s="1"/>
      <c r="L31" s="1">
        <v>7</v>
      </c>
      <c r="M31" s="1">
        <v>2</v>
      </c>
      <c r="N31" s="1"/>
      <c r="O31" s="1"/>
      <c r="P31" s="1"/>
      <c r="Q31" s="1"/>
      <c r="R31" s="1"/>
      <c r="S31" s="1"/>
      <c r="T31" s="1"/>
      <c r="U31" s="6"/>
      <c r="V31" s="1"/>
      <c r="X31" s="5">
        <f t="shared" si="0"/>
        <v>0</v>
      </c>
      <c r="Y31">
        <f t="shared" si="1"/>
        <v>-1</v>
      </c>
      <c r="Z31">
        <f t="shared" si="2"/>
        <v>2</v>
      </c>
    </row>
    <row r="32" spans="1:26" ht="12.75" customHeight="1">
      <c r="A32" s="2" t="s">
        <v>29</v>
      </c>
      <c r="B32" s="1">
        <v>535</v>
      </c>
      <c r="C32" s="1"/>
      <c r="D32" s="1"/>
      <c r="E32" s="1">
        <v>535</v>
      </c>
      <c r="F32" s="1">
        <v>522</v>
      </c>
      <c r="G32" s="1"/>
      <c r="H32" s="1"/>
      <c r="I32" s="1">
        <v>3</v>
      </c>
      <c r="J32" s="1"/>
      <c r="K32" s="1"/>
      <c r="L32" s="1"/>
      <c r="M32" s="1">
        <v>10</v>
      </c>
      <c r="N32" s="1"/>
      <c r="O32" s="1"/>
      <c r="P32" s="1"/>
      <c r="Q32" s="1"/>
      <c r="R32" s="1"/>
      <c r="S32" s="1"/>
      <c r="T32" s="1"/>
      <c r="U32" s="6"/>
      <c r="V32" s="1"/>
      <c r="X32" s="5">
        <f t="shared" si="0"/>
        <v>0</v>
      </c>
      <c r="Y32">
        <f>E32-F32-I32-L32-M32</f>
        <v>0</v>
      </c>
      <c r="Z32">
        <f t="shared" si="2"/>
        <v>10</v>
      </c>
    </row>
    <row r="33" spans="1:26" ht="12.75" customHeight="1">
      <c r="A33" s="2" t="s">
        <v>30</v>
      </c>
      <c r="B33" s="1">
        <v>231</v>
      </c>
      <c r="C33" s="1">
        <v>77</v>
      </c>
      <c r="D33" s="1"/>
      <c r="E33" s="1">
        <v>120</v>
      </c>
      <c r="F33" s="1">
        <v>120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v>34</v>
      </c>
      <c r="U33" s="6"/>
      <c r="V33" s="1"/>
      <c r="X33" s="5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>
        <v>22</v>
      </c>
      <c r="C34" s="1">
        <v>9</v>
      </c>
      <c r="D34" s="1"/>
      <c r="E34" s="1">
        <v>14</v>
      </c>
      <c r="F34" s="1">
        <v>14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6"/>
      <c r="V34" s="1"/>
      <c r="X34" s="5">
        <f t="shared" si="0"/>
        <v>-1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>
        <v>57</v>
      </c>
      <c r="C35" s="1"/>
      <c r="D35" s="1"/>
      <c r="E35" s="1">
        <v>43</v>
      </c>
      <c r="F35" s="1">
        <v>43</v>
      </c>
      <c r="G35" s="1"/>
      <c r="H35" s="1"/>
      <c r="I35" s="1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13</v>
      </c>
      <c r="U35" s="6"/>
      <c r="V35" s="1"/>
      <c r="X35" s="5">
        <f t="shared" si="0"/>
        <v>1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>
        <v>214</v>
      </c>
      <c r="C36" s="1">
        <v>23</v>
      </c>
      <c r="D36" s="1"/>
      <c r="E36" s="1">
        <v>175</v>
      </c>
      <c r="F36" s="1">
        <v>174</v>
      </c>
      <c r="G36" s="1"/>
      <c r="H36" s="1"/>
      <c r="I36" s="1"/>
      <c r="J36" s="1"/>
      <c r="K36" s="1"/>
      <c r="L36" s="1"/>
      <c r="M36" s="1">
        <v>1</v>
      </c>
      <c r="N36" s="1"/>
      <c r="O36" s="1"/>
      <c r="P36" s="1"/>
      <c r="Q36" s="1"/>
      <c r="R36" s="1"/>
      <c r="S36" s="1"/>
      <c r="T36" s="1">
        <v>17</v>
      </c>
      <c r="U36" s="6"/>
      <c r="V36" s="1"/>
      <c r="X36" s="5">
        <f t="shared" si="0"/>
        <v>-1</v>
      </c>
      <c r="Y36">
        <f t="shared" si="1"/>
        <v>0</v>
      </c>
      <c r="Z36">
        <f t="shared" si="2"/>
        <v>1</v>
      </c>
    </row>
    <row r="37" spans="1:26" ht="12.75" customHeight="1"/>
    <row r="38" spans="1:26">
      <c r="B38">
        <f>B5-SUM(B6:B36)</f>
        <v>0</v>
      </c>
      <c r="C38">
        <f>C5-SUM(C6:C36)</f>
        <v>-2</v>
      </c>
      <c r="D38">
        <f t="shared" ref="D38:V38" si="3">D5-SUM(D6:D36)</f>
        <v>0</v>
      </c>
      <c r="E38">
        <f t="shared" si="3"/>
        <v>-1</v>
      </c>
      <c r="F38">
        <f t="shared" si="3"/>
        <v>-2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-1</v>
      </c>
      <c r="M38">
        <f t="shared" si="3"/>
        <v>-1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-1</v>
      </c>
      <c r="U38">
        <f t="shared" si="3"/>
        <v>0</v>
      </c>
      <c r="V38">
        <f t="shared" si="3"/>
        <v>0</v>
      </c>
    </row>
  </sheetData>
  <mergeCells count="16">
    <mergeCell ref="M3:R3"/>
    <mergeCell ref="A1:V1"/>
    <mergeCell ref="A2:A4"/>
    <mergeCell ref="B2:B4"/>
    <mergeCell ref="C2:D2"/>
    <mergeCell ref="E2:R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C6AD-EB81-4E8D-87B4-9272B4EDFE40}">
  <dimension ref="A1:Z38"/>
  <sheetViews>
    <sheetView zoomScaleNormal="100" workbookViewId="0">
      <selection activeCell="F5" sqref="F5:F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9667.35</v>
      </c>
      <c r="C5" s="1">
        <v>2105.6999999999998</v>
      </c>
      <c r="D5" s="1">
        <v>385</v>
      </c>
      <c r="E5" s="7">
        <v>6585.76</v>
      </c>
      <c r="F5" s="1">
        <f>H5+G5</f>
        <v>6341.71</v>
      </c>
      <c r="G5" s="1">
        <v>6186.71</v>
      </c>
      <c r="H5" s="1">
        <v>155</v>
      </c>
      <c r="I5" s="1">
        <v>127.34</v>
      </c>
      <c r="J5" s="1"/>
      <c r="K5" s="1"/>
      <c r="L5" s="1">
        <v>0.17</v>
      </c>
      <c r="M5" s="1">
        <f>SUM(N5:R5)</f>
        <v>116.54</v>
      </c>
      <c r="N5" s="1">
        <v>68.25</v>
      </c>
      <c r="O5" s="1">
        <v>11.34</v>
      </c>
      <c r="P5" s="1">
        <v>23.2</v>
      </c>
      <c r="Q5" s="1">
        <v>0.05</v>
      </c>
      <c r="R5" s="1">
        <v>13.7</v>
      </c>
      <c r="S5" s="1"/>
      <c r="T5" s="1">
        <v>973</v>
      </c>
      <c r="U5" s="6">
        <v>2.79</v>
      </c>
      <c r="V5" s="1"/>
      <c r="X5" s="5">
        <f t="shared" ref="X5:X36" si="0">B5-C5-E5-S5-T5-U5-V5</f>
        <v>0.10000000000032738</v>
      </c>
      <c r="Y5">
        <f>E5-F5-I5-L5-M5</f>
        <v>1.7053025658242404E-13</v>
      </c>
      <c r="Z5">
        <f>M5-SUM(N5:R5)</f>
        <v>0</v>
      </c>
    </row>
    <row r="6" spans="1:26" ht="12.75" customHeight="1">
      <c r="A6" s="2" t="s">
        <v>6</v>
      </c>
      <c r="B6" s="1"/>
      <c r="C6" s="1"/>
      <c r="D6" s="1"/>
      <c r="E6" s="1"/>
      <c r="F6" s="1">
        <f t="shared" ref="F6:F36" si="1">H6+G6</f>
        <v>0</v>
      </c>
      <c r="G6" s="1"/>
      <c r="H6" s="1"/>
      <c r="I6" s="1"/>
      <c r="J6" s="1"/>
      <c r="K6" s="1"/>
      <c r="L6" s="1"/>
      <c r="M6" s="1">
        <f t="shared" ref="M6:M36" si="2">SUM(N6:R6)</f>
        <v>0</v>
      </c>
      <c r="N6" s="1"/>
      <c r="O6" s="1"/>
      <c r="P6" s="1"/>
      <c r="Q6" s="1"/>
      <c r="R6" s="1"/>
      <c r="S6" s="1"/>
      <c r="T6" s="1"/>
      <c r="U6" s="6"/>
      <c r="V6" s="1"/>
      <c r="X6" s="5">
        <f t="shared" si="0"/>
        <v>0</v>
      </c>
      <c r="Y6">
        <f t="shared" ref="Y6:Y36" si="3">E6-F6-I6-L6-M6</f>
        <v>0</v>
      </c>
      <c r="Z6">
        <f t="shared" ref="Z6:Z36" si="4">M6-SUM(N6:R6)</f>
        <v>0</v>
      </c>
    </row>
    <row r="7" spans="1:26" ht="12.75" customHeight="1">
      <c r="A7" s="2" t="s">
        <v>7</v>
      </c>
      <c r="B7" s="1">
        <v>266</v>
      </c>
      <c r="C7" s="1"/>
      <c r="D7" s="1"/>
      <c r="E7" s="1">
        <v>266</v>
      </c>
      <c r="F7" s="1">
        <f t="shared" si="1"/>
        <v>266</v>
      </c>
      <c r="G7" s="1">
        <v>266</v>
      </c>
      <c r="H7" s="1"/>
      <c r="I7" s="1"/>
      <c r="J7" s="1"/>
      <c r="K7" s="1"/>
      <c r="L7" s="1"/>
      <c r="M7" s="1">
        <f t="shared" si="2"/>
        <v>0</v>
      </c>
      <c r="N7" s="1"/>
      <c r="O7" s="1"/>
      <c r="P7" s="1"/>
      <c r="Q7" s="1"/>
      <c r="R7" s="1"/>
      <c r="S7" s="1"/>
      <c r="T7" s="1"/>
      <c r="U7" s="6"/>
      <c r="V7" s="1"/>
      <c r="X7" s="5">
        <f t="shared" si="0"/>
        <v>0</v>
      </c>
      <c r="Y7">
        <f t="shared" si="3"/>
        <v>0</v>
      </c>
      <c r="Z7">
        <f t="shared" si="4"/>
        <v>0</v>
      </c>
    </row>
    <row r="8" spans="1:26" ht="12.75" customHeight="1">
      <c r="A8" s="2" t="s">
        <v>8</v>
      </c>
      <c r="B8" s="1">
        <v>699.78</v>
      </c>
      <c r="C8" s="1">
        <v>25</v>
      </c>
      <c r="D8" s="1">
        <v>25</v>
      </c>
      <c r="E8" s="1">
        <v>579.6</v>
      </c>
      <c r="F8" s="1">
        <f t="shared" si="1"/>
        <v>579</v>
      </c>
      <c r="G8" s="1">
        <v>552</v>
      </c>
      <c r="H8" s="1">
        <v>27</v>
      </c>
      <c r="I8" s="1"/>
      <c r="J8" s="1"/>
      <c r="K8" s="1"/>
      <c r="L8" s="1"/>
      <c r="M8" s="1">
        <f t="shared" si="2"/>
        <v>0.6</v>
      </c>
      <c r="N8" s="1"/>
      <c r="O8" s="1">
        <v>0.6</v>
      </c>
      <c r="P8" s="1"/>
      <c r="Q8" s="1"/>
      <c r="R8" s="1"/>
      <c r="S8" s="1"/>
      <c r="T8" s="1">
        <v>95.18</v>
      </c>
      <c r="U8" s="6"/>
      <c r="V8" s="1"/>
      <c r="X8" s="5">
        <f t="shared" si="0"/>
        <v>-5.6843418860808015E-14</v>
      </c>
      <c r="Y8">
        <f t="shared" si="3"/>
        <v>2.2759572004815709E-14</v>
      </c>
      <c r="Z8">
        <f t="shared" si="4"/>
        <v>0</v>
      </c>
    </row>
    <row r="9" spans="1:26" ht="12.75" customHeight="1">
      <c r="A9" s="2" t="s">
        <v>9</v>
      </c>
      <c r="B9" s="1">
        <v>519.5</v>
      </c>
      <c r="C9" s="1">
        <v>80</v>
      </c>
      <c r="D9" s="1">
        <v>60</v>
      </c>
      <c r="E9" s="1">
        <v>432</v>
      </c>
      <c r="F9" s="1">
        <f t="shared" si="1"/>
        <v>432</v>
      </c>
      <c r="G9" s="1">
        <v>372</v>
      </c>
      <c r="H9" s="1">
        <v>60</v>
      </c>
      <c r="I9" s="1"/>
      <c r="J9" s="1"/>
      <c r="K9" s="1"/>
      <c r="L9" s="1"/>
      <c r="M9" s="1">
        <f t="shared" si="2"/>
        <v>0</v>
      </c>
      <c r="N9" s="1"/>
      <c r="O9" s="1"/>
      <c r="P9" s="1"/>
      <c r="Q9" s="1"/>
      <c r="R9" s="1"/>
      <c r="S9" s="1"/>
      <c r="T9" s="1">
        <v>7.5</v>
      </c>
      <c r="U9" s="6"/>
      <c r="V9" s="1"/>
      <c r="X9" s="5">
        <f t="shared" si="0"/>
        <v>0</v>
      </c>
      <c r="Y9">
        <f t="shared" si="3"/>
        <v>0</v>
      </c>
      <c r="Z9">
        <f t="shared" si="4"/>
        <v>0</v>
      </c>
    </row>
    <row r="10" spans="1:26" ht="12.75" customHeight="1">
      <c r="A10" s="2" t="s">
        <v>2</v>
      </c>
      <c r="B10" s="1">
        <v>667.57</v>
      </c>
      <c r="C10" s="1"/>
      <c r="D10" s="1"/>
      <c r="E10" s="1">
        <v>291.45999999999998</v>
      </c>
      <c r="F10" s="1">
        <f t="shared" si="1"/>
        <v>290.26</v>
      </c>
      <c r="G10" s="1">
        <v>258.26</v>
      </c>
      <c r="H10" s="1">
        <v>32</v>
      </c>
      <c r="I10" s="1"/>
      <c r="J10" s="1"/>
      <c r="K10" s="1"/>
      <c r="L10" s="1"/>
      <c r="M10" s="1">
        <f t="shared" si="2"/>
        <v>1.2</v>
      </c>
      <c r="N10" s="1"/>
      <c r="O10" s="1"/>
      <c r="P10" s="1">
        <v>1.2</v>
      </c>
      <c r="Q10" s="1"/>
      <c r="R10" s="1"/>
      <c r="S10" s="1"/>
      <c r="T10" s="1">
        <v>376.11</v>
      </c>
      <c r="U10" s="6"/>
      <c r="V10" s="1"/>
      <c r="X10" s="5">
        <f t="shared" si="0"/>
        <v>5.6843418860808015E-14</v>
      </c>
      <c r="Y10">
        <f t="shared" si="3"/>
        <v>-1.1324274851176597E-14</v>
      </c>
      <c r="Z10">
        <f t="shared" si="4"/>
        <v>0</v>
      </c>
    </row>
    <row r="11" spans="1:26" ht="12.75" customHeight="1">
      <c r="A11" s="2" t="s">
        <v>10</v>
      </c>
      <c r="B11" s="1">
        <v>394.19</v>
      </c>
      <c r="C11" s="1">
        <v>1.31</v>
      </c>
      <c r="D11" s="1"/>
      <c r="E11" s="1">
        <v>271.7</v>
      </c>
      <c r="F11" s="1">
        <f t="shared" si="1"/>
        <v>242.5</v>
      </c>
      <c r="G11" s="1">
        <v>212.5</v>
      </c>
      <c r="H11" s="1">
        <v>30</v>
      </c>
      <c r="I11" s="1"/>
      <c r="J11" s="1"/>
      <c r="K11" s="1"/>
      <c r="L11" s="1"/>
      <c r="M11" s="1">
        <f t="shared" si="2"/>
        <v>29.2</v>
      </c>
      <c r="N11" s="1">
        <v>29.2</v>
      </c>
      <c r="O11" s="1"/>
      <c r="P11" s="1"/>
      <c r="Q11" s="1"/>
      <c r="R11" s="1"/>
      <c r="S11" s="1"/>
      <c r="T11" s="1">
        <v>121.18</v>
      </c>
      <c r="U11" s="6"/>
      <c r="V11" s="1"/>
      <c r="X11" s="5">
        <f t="shared" si="0"/>
        <v>0</v>
      </c>
      <c r="Y11">
        <f t="shared" si="3"/>
        <v>0</v>
      </c>
      <c r="Z11">
        <f t="shared" si="4"/>
        <v>0</v>
      </c>
    </row>
    <row r="12" spans="1:26" ht="12.75" customHeight="1">
      <c r="A12" s="2" t="s">
        <v>3</v>
      </c>
      <c r="B12" s="1">
        <v>410.73</v>
      </c>
      <c r="C12" s="1">
        <v>0.3</v>
      </c>
      <c r="D12" s="1"/>
      <c r="E12" s="1">
        <v>346.7</v>
      </c>
      <c r="F12" s="1">
        <f t="shared" si="1"/>
        <v>338</v>
      </c>
      <c r="G12" s="1">
        <v>338</v>
      </c>
      <c r="H12" s="1"/>
      <c r="I12" s="1"/>
      <c r="J12" s="1"/>
      <c r="K12" s="1"/>
      <c r="L12" s="1"/>
      <c r="M12" s="1">
        <f t="shared" si="2"/>
        <v>8.6999999999999993</v>
      </c>
      <c r="N12" s="1"/>
      <c r="O12" s="1">
        <v>4.2</v>
      </c>
      <c r="P12" s="1">
        <v>3</v>
      </c>
      <c r="Q12" s="1"/>
      <c r="R12" s="1">
        <v>1.5</v>
      </c>
      <c r="S12" s="1"/>
      <c r="T12" s="1">
        <v>63.73</v>
      </c>
      <c r="U12" s="6"/>
      <c r="V12" s="1"/>
      <c r="X12" s="5">
        <f t="shared" si="0"/>
        <v>2.1316282072803006E-14</v>
      </c>
      <c r="Y12">
        <f t="shared" si="3"/>
        <v>0</v>
      </c>
      <c r="Z12">
        <f t="shared" si="4"/>
        <v>0</v>
      </c>
    </row>
    <row r="13" spans="1:26" ht="12.75" customHeight="1">
      <c r="A13" s="2" t="s">
        <v>4</v>
      </c>
      <c r="B13" s="1">
        <v>134.13999999999999</v>
      </c>
      <c r="C13" s="1">
        <v>0.24</v>
      </c>
      <c r="D13" s="1"/>
      <c r="E13" s="1">
        <v>63.24</v>
      </c>
      <c r="F13" s="1">
        <f t="shared" si="1"/>
        <v>62.85</v>
      </c>
      <c r="G13" s="1">
        <v>62.85</v>
      </c>
      <c r="H13" s="1"/>
      <c r="I13" s="1"/>
      <c r="J13" s="1"/>
      <c r="K13" s="1"/>
      <c r="L13" s="1"/>
      <c r="M13" s="1">
        <f t="shared" si="2"/>
        <v>0.39</v>
      </c>
      <c r="N13" s="1"/>
      <c r="O13" s="1">
        <v>0.09</v>
      </c>
      <c r="P13" s="1">
        <v>0.3</v>
      </c>
      <c r="Q13" s="1"/>
      <c r="R13" s="1"/>
      <c r="S13" s="1"/>
      <c r="T13" s="1">
        <v>70.66</v>
      </c>
      <c r="U13" s="6"/>
      <c r="V13" s="1"/>
      <c r="X13" s="5">
        <f t="shared" si="0"/>
        <v>-2.8421709430404007E-14</v>
      </c>
      <c r="Y13">
        <f t="shared" si="3"/>
        <v>5.5511151231257827E-16</v>
      </c>
      <c r="Z13">
        <f t="shared" si="4"/>
        <v>0</v>
      </c>
    </row>
    <row r="14" spans="1:26" ht="12.75" customHeight="1">
      <c r="A14" s="2" t="s">
        <v>11</v>
      </c>
      <c r="B14" s="1">
        <v>142.24</v>
      </c>
      <c r="C14" s="1"/>
      <c r="D14" s="1"/>
      <c r="E14" s="1">
        <v>141.19999999999999</v>
      </c>
      <c r="F14" s="1">
        <f t="shared" si="1"/>
        <v>132</v>
      </c>
      <c r="G14" s="1">
        <v>132</v>
      </c>
      <c r="H14" s="1"/>
      <c r="I14" s="1"/>
      <c r="J14" s="1"/>
      <c r="K14" s="1"/>
      <c r="L14" s="1"/>
      <c r="M14" s="1">
        <f t="shared" si="2"/>
        <v>9.1999999999999993</v>
      </c>
      <c r="N14" s="1"/>
      <c r="O14" s="1"/>
      <c r="P14" s="1"/>
      <c r="Q14" s="1"/>
      <c r="R14" s="1">
        <v>9.1999999999999993</v>
      </c>
      <c r="S14" s="1"/>
      <c r="T14" s="1">
        <v>0.9</v>
      </c>
      <c r="U14" s="6">
        <v>0.14000000000000001</v>
      </c>
      <c r="V14" s="1"/>
      <c r="X14" s="5">
        <f t="shared" si="0"/>
        <v>2.042810365310288E-14</v>
      </c>
      <c r="Y14">
        <f t="shared" si="3"/>
        <v>0</v>
      </c>
      <c r="Z14">
        <f t="shared" si="4"/>
        <v>0</v>
      </c>
    </row>
    <row r="15" spans="1:26" ht="12.75" customHeight="1">
      <c r="A15" s="2" t="s">
        <v>12</v>
      </c>
      <c r="B15" s="1">
        <v>296.14999999999998</v>
      </c>
      <c r="C15" s="1"/>
      <c r="D15" s="1"/>
      <c r="E15" s="1">
        <v>264.75</v>
      </c>
      <c r="F15" s="1">
        <f t="shared" si="1"/>
        <v>224.3</v>
      </c>
      <c r="G15" s="1">
        <v>224.3</v>
      </c>
      <c r="H15" s="1"/>
      <c r="I15" s="1"/>
      <c r="J15" s="1"/>
      <c r="K15" s="1"/>
      <c r="L15" s="1"/>
      <c r="M15" s="1">
        <f t="shared" si="2"/>
        <v>40.450000000000003</v>
      </c>
      <c r="N15" s="1">
        <v>26</v>
      </c>
      <c r="O15" s="1">
        <v>4.55</v>
      </c>
      <c r="P15" s="1">
        <v>6.9</v>
      </c>
      <c r="Q15" s="1"/>
      <c r="R15" s="1">
        <v>3</v>
      </c>
      <c r="S15" s="1"/>
      <c r="T15" s="1">
        <v>31.15</v>
      </c>
      <c r="U15" s="6">
        <v>0.25</v>
      </c>
      <c r="V15" s="1"/>
      <c r="X15" s="5">
        <f t="shared" si="0"/>
        <v>-2.1316282072803006E-14</v>
      </c>
      <c r="Y15">
        <f t="shared" si="3"/>
        <v>0</v>
      </c>
      <c r="Z15">
        <f t="shared" si="4"/>
        <v>0</v>
      </c>
    </row>
    <row r="16" spans="1:26" ht="12.75" customHeight="1">
      <c r="A16" s="2" t="s">
        <v>13</v>
      </c>
      <c r="B16" s="1">
        <v>342.44</v>
      </c>
      <c r="C16" s="1">
        <v>40</v>
      </c>
      <c r="D16" s="1"/>
      <c r="E16" s="1">
        <v>300</v>
      </c>
      <c r="F16" s="1">
        <f t="shared" si="1"/>
        <v>300</v>
      </c>
      <c r="G16" s="1">
        <v>300</v>
      </c>
      <c r="H16" s="1"/>
      <c r="I16" s="1"/>
      <c r="J16" s="1"/>
      <c r="K16" s="1"/>
      <c r="L16" s="1"/>
      <c r="M16" s="1">
        <f t="shared" si="2"/>
        <v>0</v>
      </c>
      <c r="N16" s="1"/>
      <c r="O16" s="1"/>
      <c r="P16" s="1"/>
      <c r="Q16" s="1"/>
      <c r="R16" s="1"/>
      <c r="S16" s="1"/>
      <c r="T16" s="1">
        <v>2.44</v>
      </c>
      <c r="U16" s="6"/>
      <c r="V16" s="1"/>
      <c r="X16" s="5">
        <f t="shared" si="0"/>
        <v>-2.2204460492503131E-15</v>
      </c>
      <c r="Y16">
        <f t="shared" si="3"/>
        <v>0</v>
      </c>
      <c r="Z16">
        <f t="shared" si="4"/>
        <v>0</v>
      </c>
    </row>
    <row r="17" spans="1:26" ht="12.75" customHeight="1">
      <c r="A17" s="2" t="s">
        <v>14</v>
      </c>
      <c r="B17" s="1">
        <v>230.9</v>
      </c>
      <c r="C17" s="1">
        <v>7.8</v>
      </c>
      <c r="D17" s="1"/>
      <c r="E17" s="1">
        <v>223.1</v>
      </c>
      <c r="F17" s="1">
        <f t="shared" si="1"/>
        <v>214.5</v>
      </c>
      <c r="G17" s="1">
        <v>214.5</v>
      </c>
      <c r="H17" s="1"/>
      <c r="I17" s="1"/>
      <c r="J17" s="1"/>
      <c r="K17" s="1"/>
      <c r="L17" s="1"/>
      <c r="M17" s="1">
        <f t="shared" si="2"/>
        <v>8.6000000000000014</v>
      </c>
      <c r="N17" s="1">
        <v>3.7</v>
      </c>
      <c r="O17" s="1"/>
      <c r="P17" s="1">
        <v>4.9000000000000004</v>
      </c>
      <c r="Q17" s="1"/>
      <c r="R17" s="1"/>
      <c r="S17" s="1"/>
      <c r="T17" s="1"/>
      <c r="U17" s="6"/>
      <c r="V17" s="1"/>
      <c r="X17" s="5">
        <f t="shared" si="0"/>
        <v>0</v>
      </c>
      <c r="Y17">
        <f t="shared" si="3"/>
        <v>0</v>
      </c>
      <c r="Z17">
        <f t="shared" si="4"/>
        <v>0</v>
      </c>
    </row>
    <row r="18" spans="1:26" ht="12.75" customHeight="1">
      <c r="A18" s="2" t="s">
        <v>15</v>
      </c>
      <c r="B18" s="1">
        <v>272.95</v>
      </c>
      <c r="C18" s="1"/>
      <c r="D18" s="1"/>
      <c r="E18" s="1">
        <v>266</v>
      </c>
      <c r="F18" s="1">
        <f t="shared" si="1"/>
        <v>161</v>
      </c>
      <c r="G18" s="1">
        <v>161</v>
      </c>
      <c r="H18" s="1"/>
      <c r="I18" s="1">
        <v>105</v>
      </c>
      <c r="J18" s="1"/>
      <c r="K18" s="1"/>
      <c r="L18" s="1"/>
      <c r="M18" s="1">
        <f t="shared" si="2"/>
        <v>0</v>
      </c>
      <c r="N18" s="1"/>
      <c r="O18" s="1"/>
      <c r="P18" s="1"/>
      <c r="Q18" s="1"/>
      <c r="R18" s="1"/>
      <c r="S18" s="1"/>
      <c r="T18" s="1">
        <v>6.95</v>
      </c>
      <c r="U18" s="6"/>
      <c r="V18" s="1"/>
      <c r="X18" s="5">
        <f t="shared" si="0"/>
        <v>-1.1546319456101628E-14</v>
      </c>
      <c r="Y18">
        <f t="shared" si="3"/>
        <v>0</v>
      </c>
      <c r="Z18">
        <f t="shared" si="4"/>
        <v>0</v>
      </c>
    </row>
    <row r="19" spans="1:26" ht="12.75" customHeight="1">
      <c r="A19" s="2" t="s">
        <v>16</v>
      </c>
      <c r="B19" s="1">
        <v>236.4</v>
      </c>
      <c r="C19" s="1"/>
      <c r="D19" s="1"/>
      <c r="E19" s="1">
        <v>231</v>
      </c>
      <c r="F19" s="1">
        <f t="shared" si="1"/>
        <v>231</v>
      </c>
      <c r="G19" s="1">
        <v>231</v>
      </c>
      <c r="H19" s="1"/>
      <c r="I19" s="1"/>
      <c r="J19" s="1"/>
      <c r="K19" s="1"/>
      <c r="L19" s="1"/>
      <c r="M19" s="1">
        <f t="shared" si="2"/>
        <v>0</v>
      </c>
      <c r="N19" s="1"/>
      <c r="O19" s="1"/>
      <c r="P19" s="1"/>
      <c r="Q19" s="1"/>
      <c r="R19" s="1"/>
      <c r="S19" s="1"/>
      <c r="T19" s="1">
        <v>5.4</v>
      </c>
      <c r="U19" s="6"/>
      <c r="V19" s="1"/>
      <c r="X19" s="5">
        <f t="shared" si="0"/>
        <v>5.3290705182007514E-15</v>
      </c>
      <c r="Y19">
        <f t="shared" si="3"/>
        <v>0</v>
      </c>
      <c r="Z19">
        <f t="shared" si="4"/>
        <v>0</v>
      </c>
    </row>
    <row r="20" spans="1:26" ht="12.75" customHeight="1">
      <c r="A20" s="2" t="s">
        <v>17</v>
      </c>
      <c r="B20" s="1">
        <v>504.49</v>
      </c>
      <c r="C20" s="1"/>
      <c r="D20" s="1"/>
      <c r="E20" s="1">
        <v>447.4</v>
      </c>
      <c r="F20" s="1">
        <f t="shared" si="1"/>
        <v>442.3</v>
      </c>
      <c r="G20" s="1">
        <v>442.3</v>
      </c>
      <c r="H20" s="1"/>
      <c r="I20" s="1"/>
      <c r="J20" s="1"/>
      <c r="K20" s="1"/>
      <c r="L20" s="1"/>
      <c r="M20" s="1">
        <f t="shared" si="2"/>
        <v>5.0999999999999996</v>
      </c>
      <c r="N20" s="1"/>
      <c r="O20" s="1">
        <v>1.8</v>
      </c>
      <c r="P20" s="1">
        <v>3.3</v>
      </c>
      <c r="Q20" s="1"/>
      <c r="R20" s="1"/>
      <c r="S20" s="1"/>
      <c r="T20" s="1">
        <v>57.09</v>
      </c>
      <c r="U20" s="6"/>
      <c r="V20" s="1"/>
      <c r="X20" s="5">
        <f t="shared" si="0"/>
        <v>2.8421709430404007E-14</v>
      </c>
      <c r="Y20">
        <f t="shared" si="3"/>
        <v>-3.3750779948604759E-14</v>
      </c>
      <c r="Z20">
        <f t="shared" si="4"/>
        <v>0</v>
      </c>
    </row>
    <row r="21" spans="1:26" ht="12.75" customHeight="1">
      <c r="A21" s="2" t="s">
        <v>18</v>
      </c>
      <c r="B21" s="1">
        <v>493.33</v>
      </c>
      <c r="C21" s="1">
        <v>90</v>
      </c>
      <c r="D21" s="1">
        <v>90</v>
      </c>
      <c r="E21" s="1">
        <v>401</v>
      </c>
      <c r="F21" s="1">
        <f t="shared" si="1"/>
        <v>401</v>
      </c>
      <c r="G21" s="1">
        <v>401</v>
      </c>
      <c r="H21" s="1"/>
      <c r="I21" s="1"/>
      <c r="J21" s="1"/>
      <c r="K21" s="1"/>
      <c r="L21" s="1"/>
      <c r="M21" s="1">
        <f t="shared" si="2"/>
        <v>5.25</v>
      </c>
      <c r="N21" s="1">
        <v>1.65</v>
      </c>
      <c r="O21" s="1"/>
      <c r="P21" s="1">
        <v>3.6</v>
      </c>
      <c r="Q21" s="1"/>
      <c r="R21" s="1"/>
      <c r="S21" s="1"/>
      <c r="T21" s="1">
        <v>2.33</v>
      </c>
      <c r="U21" s="6"/>
      <c r="V21" s="1"/>
      <c r="X21" s="5">
        <f t="shared" si="0"/>
        <v>-1.5987211554602254E-14</v>
      </c>
      <c r="Y21">
        <f t="shared" si="3"/>
        <v>-5.25</v>
      </c>
      <c r="Z21">
        <f t="shared" si="4"/>
        <v>0</v>
      </c>
    </row>
    <row r="22" spans="1:26" ht="12.75" customHeight="1">
      <c r="A22" s="2" t="s">
        <v>19</v>
      </c>
      <c r="B22" s="1">
        <v>242.04</v>
      </c>
      <c r="C22" s="1">
        <v>83.19</v>
      </c>
      <c r="D22" s="1">
        <v>60</v>
      </c>
      <c r="E22" s="1">
        <v>158.4</v>
      </c>
      <c r="F22" s="1">
        <f t="shared" si="1"/>
        <v>153.15</v>
      </c>
      <c r="G22" s="1">
        <v>153.15</v>
      </c>
      <c r="H22" s="1"/>
      <c r="I22" s="1"/>
      <c r="J22" s="1"/>
      <c r="K22" s="1"/>
      <c r="L22" s="1"/>
      <c r="M22" s="1">
        <f t="shared" si="2"/>
        <v>0</v>
      </c>
      <c r="N22" s="1"/>
      <c r="O22" s="1"/>
      <c r="P22" s="1"/>
      <c r="Q22" s="1"/>
      <c r="R22" s="1"/>
      <c r="S22" s="1"/>
      <c r="T22" s="1">
        <v>0.45</v>
      </c>
      <c r="U22" s="6"/>
      <c r="V22" s="1"/>
      <c r="X22" s="5">
        <f t="shared" si="0"/>
        <v>-1.1379786002407855E-14</v>
      </c>
      <c r="Y22">
        <f t="shared" si="3"/>
        <v>5.25</v>
      </c>
      <c r="Z22">
        <f t="shared" si="4"/>
        <v>0</v>
      </c>
    </row>
    <row r="23" spans="1:26" ht="12.75" customHeight="1">
      <c r="A23" s="2" t="s">
        <v>20</v>
      </c>
      <c r="B23" s="1">
        <v>232.25</v>
      </c>
      <c r="C23" s="1">
        <v>90.7</v>
      </c>
      <c r="D23" s="1">
        <v>60</v>
      </c>
      <c r="E23" s="1">
        <v>141.55000000000001</v>
      </c>
      <c r="F23" s="1">
        <f t="shared" si="1"/>
        <v>139.25</v>
      </c>
      <c r="G23" s="1">
        <v>133.25</v>
      </c>
      <c r="H23" s="1">
        <v>6</v>
      </c>
      <c r="I23" s="1"/>
      <c r="J23" s="1"/>
      <c r="K23" s="1"/>
      <c r="L23" s="1"/>
      <c r="M23" s="1">
        <f t="shared" si="2"/>
        <v>2.3000000000000003</v>
      </c>
      <c r="N23" s="1">
        <v>2.2000000000000002</v>
      </c>
      <c r="O23" s="1">
        <v>0.1</v>
      </c>
      <c r="P23" s="1"/>
      <c r="Q23" s="1"/>
      <c r="R23" s="1"/>
      <c r="S23" s="1"/>
      <c r="T23" s="1"/>
      <c r="U23" s="6"/>
      <c r="V23" s="1"/>
      <c r="X23" s="5">
        <f t="shared" si="0"/>
        <v>0</v>
      </c>
      <c r="Y23">
        <f t="shared" si="3"/>
        <v>1.1102230246251565E-14</v>
      </c>
      <c r="Z23">
        <f t="shared" si="4"/>
        <v>0</v>
      </c>
    </row>
    <row r="24" spans="1:26" ht="12.75" customHeight="1">
      <c r="A24" s="2" t="s">
        <v>21</v>
      </c>
      <c r="B24" s="1">
        <v>823.45</v>
      </c>
      <c r="C24" s="1">
        <v>90</v>
      </c>
      <c r="D24" s="1">
        <v>90</v>
      </c>
      <c r="E24" s="1">
        <v>716.8</v>
      </c>
      <c r="F24" s="1">
        <f t="shared" si="1"/>
        <v>701.2</v>
      </c>
      <c r="G24" s="1">
        <v>701.2</v>
      </c>
      <c r="H24" s="1"/>
      <c r="I24" s="1">
        <v>15.6</v>
      </c>
      <c r="J24" s="1"/>
      <c r="K24" s="1"/>
      <c r="L24" s="1"/>
      <c r="M24" s="1">
        <f t="shared" si="2"/>
        <v>0</v>
      </c>
      <c r="N24" s="1"/>
      <c r="O24" s="1"/>
      <c r="P24" s="1"/>
      <c r="Q24" s="1"/>
      <c r="R24" s="1"/>
      <c r="S24" s="1"/>
      <c r="T24" s="1">
        <v>16.649999999999999</v>
      </c>
      <c r="U24" s="6"/>
      <c r="V24" s="1"/>
      <c r="X24" s="5">
        <f t="shared" si="0"/>
        <v>9.2370555648813024E-14</v>
      </c>
      <c r="Y24">
        <f t="shared" si="3"/>
        <v>-9.0594198809412774E-14</v>
      </c>
      <c r="Z24">
        <f t="shared" si="4"/>
        <v>0</v>
      </c>
    </row>
    <row r="25" spans="1:26" ht="12.75" customHeight="1">
      <c r="A25" s="2" t="s">
        <v>22</v>
      </c>
      <c r="B25" s="1">
        <v>73.319999999999993</v>
      </c>
      <c r="C25" s="1">
        <v>72.42</v>
      </c>
      <c r="D25" s="1"/>
      <c r="E25" s="1">
        <v>0.9</v>
      </c>
      <c r="F25" s="1">
        <f t="shared" si="1"/>
        <v>0.9</v>
      </c>
      <c r="G25" s="1">
        <v>0.9</v>
      </c>
      <c r="H25" s="1"/>
      <c r="I25" s="1"/>
      <c r="J25" s="1"/>
      <c r="K25" s="1"/>
      <c r="L25" s="1"/>
      <c r="M25" s="1">
        <f t="shared" si="2"/>
        <v>0</v>
      </c>
      <c r="N25" s="1"/>
      <c r="O25" s="1"/>
      <c r="P25" s="1"/>
      <c r="Q25" s="1"/>
      <c r="R25" s="1"/>
      <c r="S25" s="1"/>
      <c r="T25" s="1"/>
      <c r="U25" s="6"/>
      <c r="V25" s="1"/>
      <c r="X25" s="5">
        <f t="shared" si="0"/>
        <v>-8.5487172896137054E-15</v>
      </c>
      <c r="Y25">
        <f t="shared" si="3"/>
        <v>0</v>
      </c>
      <c r="Z25">
        <f t="shared" si="4"/>
        <v>0</v>
      </c>
    </row>
    <row r="26" spans="1:26" ht="12.75" customHeight="1">
      <c r="A26" s="2" t="s">
        <v>23</v>
      </c>
      <c r="B26" s="1">
        <v>87.32</v>
      </c>
      <c r="C26" s="1">
        <v>8.1999999999999993</v>
      </c>
      <c r="D26" s="1"/>
      <c r="E26" s="1">
        <v>71.37</v>
      </c>
      <c r="F26" s="1">
        <f t="shared" si="1"/>
        <v>70</v>
      </c>
      <c r="G26" s="1">
        <v>70</v>
      </c>
      <c r="H26" s="1"/>
      <c r="I26" s="1"/>
      <c r="J26" s="1"/>
      <c r="K26" s="1"/>
      <c r="L26" s="1">
        <v>0.17</v>
      </c>
      <c r="M26" s="1">
        <f t="shared" si="2"/>
        <v>1.2</v>
      </c>
      <c r="N26" s="1">
        <v>1.2</v>
      </c>
      <c r="O26" s="1"/>
      <c r="P26" s="1"/>
      <c r="Q26" s="1"/>
      <c r="R26" s="1"/>
      <c r="S26" s="1"/>
      <c r="T26" s="1">
        <v>7.75</v>
      </c>
      <c r="U26" s="6"/>
      <c r="V26" s="1"/>
      <c r="X26" s="5">
        <f t="shared" si="0"/>
        <v>-1.4210854715202004E-14</v>
      </c>
      <c r="Y26">
        <f t="shared" si="3"/>
        <v>4.6629367034256575E-15</v>
      </c>
      <c r="Z26">
        <f t="shared" si="4"/>
        <v>0</v>
      </c>
    </row>
    <row r="27" spans="1:26" ht="12.75" customHeight="1">
      <c r="A27" s="2" t="s">
        <v>24</v>
      </c>
      <c r="B27" s="1">
        <v>31.53</v>
      </c>
      <c r="C27" s="1">
        <v>26.6</v>
      </c>
      <c r="D27" s="1"/>
      <c r="E27" s="1"/>
      <c r="F27" s="1"/>
      <c r="G27" s="1"/>
      <c r="H27" s="1"/>
      <c r="I27" s="1"/>
      <c r="J27" s="1"/>
      <c r="K27" s="1"/>
      <c r="L27" s="1"/>
      <c r="M27" s="1">
        <f t="shared" si="2"/>
        <v>0</v>
      </c>
      <c r="N27" s="1"/>
      <c r="O27" s="1"/>
      <c r="P27" s="1"/>
      <c r="Q27" s="1"/>
      <c r="R27" s="1"/>
      <c r="S27" s="1"/>
      <c r="T27" s="1">
        <v>4.93</v>
      </c>
      <c r="U27" s="6"/>
      <c r="V27" s="1"/>
      <c r="X27" s="5">
        <f t="shared" si="0"/>
        <v>0</v>
      </c>
      <c r="Y27">
        <f t="shared" si="3"/>
        <v>0</v>
      </c>
      <c r="Z27">
        <f t="shared" si="4"/>
        <v>0</v>
      </c>
    </row>
    <row r="28" spans="1:26" ht="12.75" customHeight="1">
      <c r="A28" s="2" t="s">
        <v>25</v>
      </c>
      <c r="B28" s="1">
        <v>400</v>
      </c>
      <c r="C28" s="1">
        <v>398.7</v>
      </c>
      <c r="D28" s="1"/>
      <c r="E28" s="1">
        <v>1.3</v>
      </c>
      <c r="F28" s="1"/>
      <c r="G28" s="1"/>
      <c r="H28" s="1"/>
      <c r="I28" s="1"/>
      <c r="J28" s="1"/>
      <c r="K28" s="1"/>
      <c r="L28" s="1"/>
      <c r="M28" s="1">
        <f t="shared" si="2"/>
        <v>1.3</v>
      </c>
      <c r="N28" s="1">
        <v>1.3</v>
      </c>
      <c r="O28" s="1"/>
      <c r="P28" s="1"/>
      <c r="Q28" s="1"/>
      <c r="R28" s="1"/>
      <c r="S28" s="1"/>
      <c r="T28" s="1"/>
      <c r="U28" s="6"/>
      <c r="V28" s="1"/>
      <c r="X28" s="5">
        <f t="shared" si="0"/>
        <v>1.1324274851176597E-14</v>
      </c>
      <c r="Y28">
        <f t="shared" si="3"/>
        <v>0</v>
      </c>
      <c r="Z28">
        <f t="shared" si="4"/>
        <v>0</v>
      </c>
    </row>
    <row r="29" spans="1:26" ht="12.75" customHeight="1">
      <c r="A29" s="2" t="s">
        <v>26</v>
      </c>
      <c r="B29" s="1">
        <v>466.05</v>
      </c>
      <c r="C29" s="1">
        <v>316.05</v>
      </c>
      <c r="D29" s="1"/>
      <c r="E29" s="1">
        <v>150</v>
      </c>
      <c r="F29" s="1">
        <f t="shared" si="1"/>
        <v>150</v>
      </c>
      <c r="G29" s="1">
        <v>150</v>
      </c>
      <c r="H29" s="1"/>
      <c r="I29" s="1"/>
      <c r="J29" s="1"/>
      <c r="K29" s="1"/>
      <c r="L29" s="1"/>
      <c r="M29" s="1">
        <f t="shared" si="2"/>
        <v>0</v>
      </c>
      <c r="N29" s="1"/>
      <c r="O29" s="1"/>
      <c r="P29" s="1"/>
      <c r="Q29" s="1"/>
      <c r="R29" s="1"/>
      <c r="S29" s="1"/>
      <c r="T29" s="1"/>
      <c r="U29" s="6"/>
      <c r="V29" s="1"/>
      <c r="X29" s="5">
        <f t="shared" si="0"/>
        <v>0</v>
      </c>
      <c r="Y29">
        <f t="shared" si="3"/>
        <v>0</v>
      </c>
      <c r="Z29">
        <f t="shared" si="4"/>
        <v>0</v>
      </c>
    </row>
    <row r="30" spans="1:26" ht="12.75" customHeight="1">
      <c r="A30" s="2" t="s">
        <v>27</v>
      </c>
      <c r="B30" s="1">
        <v>495.53</v>
      </c>
      <c r="C30" s="1">
        <v>430.33</v>
      </c>
      <c r="D30" s="1"/>
      <c r="E30" s="1">
        <v>60.05</v>
      </c>
      <c r="F30" s="1">
        <f t="shared" si="1"/>
        <v>60</v>
      </c>
      <c r="G30" s="1">
        <v>60</v>
      </c>
      <c r="H30" s="1"/>
      <c r="I30" s="1"/>
      <c r="J30" s="1"/>
      <c r="K30" s="1"/>
      <c r="L30" s="1"/>
      <c r="M30" s="1">
        <f t="shared" si="2"/>
        <v>0.05</v>
      </c>
      <c r="N30" s="1"/>
      <c r="O30" s="1"/>
      <c r="P30" s="1"/>
      <c r="Q30" s="1">
        <v>0.05</v>
      </c>
      <c r="R30" s="1"/>
      <c r="S30" s="1"/>
      <c r="T30" s="1">
        <v>4.95</v>
      </c>
      <c r="U30" s="6">
        <v>0.2</v>
      </c>
      <c r="V30" s="1"/>
      <c r="X30" s="5">
        <f t="shared" si="0"/>
        <v>-8.7152507433074788E-15</v>
      </c>
      <c r="Y30">
        <f t="shared" si="3"/>
        <v>-2.8449465006019636E-15</v>
      </c>
      <c r="Z30">
        <f t="shared" si="4"/>
        <v>0</v>
      </c>
    </row>
    <row r="31" spans="1:26" ht="12.75" customHeight="1">
      <c r="A31" s="2" t="s">
        <v>28</v>
      </c>
      <c r="B31" s="1">
        <v>0.1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>
        <f t="shared" si="2"/>
        <v>0</v>
      </c>
      <c r="N31" s="1"/>
      <c r="O31" s="1"/>
      <c r="P31" s="1"/>
      <c r="Q31" s="1"/>
      <c r="R31" s="1"/>
      <c r="S31" s="1"/>
      <c r="T31" s="1"/>
      <c r="U31" s="6"/>
      <c r="V31" s="1"/>
      <c r="X31" s="5">
        <f t="shared" si="0"/>
        <v>0.1</v>
      </c>
      <c r="Y31">
        <f t="shared" si="3"/>
        <v>0</v>
      </c>
      <c r="Z31">
        <f t="shared" si="4"/>
        <v>0</v>
      </c>
    </row>
    <row r="32" spans="1:26" ht="12.75" customHeight="1">
      <c r="A32" s="2" t="s">
        <v>29</v>
      </c>
      <c r="B32" s="1">
        <v>257.89999999999998</v>
      </c>
      <c r="C32" s="1">
        <v>5.9</v>
      </c>
      <c r="D32" s="1"/>
      <c r="E32" s="1">
        <v>252</v>
      </c>
      <c r="F32" s="1">
        <f t="shared" si="1"/>
        <v>252</v>
      </c>
      <c r="G32" s="1">
        <v>252</v>
      </c>
      <c r="H32" s="1"/>
      <c r="I32" s="1"/>
      <c r="J32" s="1"/>
      <c r="K32" s="1"/>
      <c r="L32" s="1"/>
      <c r="M32" s="1">
        <f t="shared" si="2"/>
        <v>0</v>
      </c>
      <c r="N32" s="1"/>
      <c r="O32" s="1"/>
      <c r="P32" s="1"/>
      <c r="Q32" s="1"/>
      <c r="R32" s="1"/>
      <c r="S32" s="1"/>
      <c r="T32" s="1"/>
      <c r="U32" s="6"/>
      <c r="V32" s="1"/>
      <c r="X32" s="5">
        <f t="shared" si="0"/>
        <v>-2.8421709430404007E-14</v>
      </c>
      <c r="Y32">
        <f>E32-F32-I32-L32-M32</f>
        <v>0</v>
      </c>
      <c r="Z32">
        <f t="shared" si="4"/>
        <v>0</v>
      </c>
    </row>
    <row r="33" spans="1:26" ht="12.75" customHeight="1">
      <c r="A33" s="2" t="s">
        <v>30</v>
      </c>
      <c r="B33" s="1">
        <v>348.27</v>
      </c>
      <c r="C33" s="1">
        <v>45.27</v>
      </c>
      <c r="D33" s="1"/>
      <c r="E33" s="1">
        <v>258</v>
      </c>
      <c r="F33" s="1">
        <f t="shared" si="1"/>
        <v>258</v>
      </c>
      <c r="G33" s="1">
        <v>258</v>
      </c>
      <c r="H33" s="1"/>
      <c r="I33" s="1"/>
      <c r="J33" s="1"/>
      <c r="K33" s="1"/>
      <c r="L33" s="1"/>
      <c r="M33" s="1">
        <f t="shared" si="2"/>
        <v>0</v>
      </c>
      <c r="N33" s="1"/>
      <c r="O33" s="1"/>
      <c r="P33" s="1"/>
      <c r="Q33" s="1"/>
      <c r="R33" s="1"/>
      <c r="S33" s="1"/>
      <c r="T33" s="1">
        <v>45</v>
      </c>
      <c r="U33" s="6"/>
      <c r="V33" s="1"/>
      <c r="X33" s="5">
        <f t="shared" si="0"/>
        <v>0</v>
      </c>
      <c r="Y33">
        <f t="shared" si="3"/>
        <v>0</v>
      </c>
      <c r="Z33">
        <f t="shared" si="4"/>
        <v>0</v>
      </c>
    </row>
    <row r="34" spans="1:26" ht="12.75" customHeight="1">
      <c r="A34" s="2" t="s">
        <v>31</v>
      </c>
      <c r="B34" s="1">
        <v>282.42</v>
      </c>
      <c r="C34" s="1">
        <v>282.42</v>
      </c>
      <c r="D34" s="1"/>
      <c r="E34" s="1"/>
      <c r="F34" s="1"/>
      <c r="G34" s="1"/>
      <c r="H34" s="1"/>
      <c r="I34" s="1"/>
      <c r="J34" s="1"/>
      <c r="K34" s="1"/>
      <c r="L34" s="1"/>
      <c r="M34" s="1">
        <f t="shared" si="2"/>
        <v>0</v>
      </c>
      <c r="N34" s="1"/>
      <c r="O34" s="1"/>
      <c r="P34" s="1"/>
      <c r="Q34" s="1"/>
      <c r="R34" s="1"/>
      <c r="S34" s="1"/>
      <c r="T34" s="1"/>
      <c r="U34" s="6"/>
      <c r="V34" s="1"/>
      <c r="X34" s="5">
        <f t="shared" si="0"/>
        <v>0</v>
      </c>
      <c r="Y34">
        <f t="shared" si="3"/>
        <v>0</v>
      </c>
      <c r="Z34">
        <f t="shared" si="4"/>
        <v>0</v>
      </c>
    </row>
    <row r="35" spans="1:26" ht="12.75" customHeight="1">
      <c r="A35" s="2" t="s">
        <v>32</v>
      </c>
      <c r="B35" s="1">
        <v>144.05000000000001</v>
      </c>
      <c r="C35" s="1"/>
      <c r="D35" s="1"/>
      <c r="E35" s="1">
        <v>126.4</v>
      </c>
      <c r="F35" s="1">
        <f t="shared" si="1"/>
        <v>120</v>
      </c>
      <c r="G35" s="1">
        <v>120</v>
      </c>
      <c r="H35" s="1"/>
      <c r="I35" s="1">
        <v>6.4</v>
      </c>
      <c r="J35" s="1"/>
      <c r="K35" s="1"/>
      <c r="L35" s="1"/>
      <c r="M35" s="1">
        <f t="shared" si="2"/>
        <v>0</v>
      </c>
      <c r="N35" s="1"/>
      <c r="O35" s="1"/>
      <c r="P35" s="1"/>
      <c r="Q35" s="1"/>
      <c r="R35" s="1"/>
      <c r="S35" s="1"/>
      <c r="T35" s="1">
        <v>15.45</v>
      </c>
      <c r="U35" s="6">
        <v>2.2000000000000002</v>
      </c>
      <c r="V35" s="1"/>
      <c r="X35" s="5">
        <f t="shared" si="0"/>
        <v>6.2172489379008766E-15</v>
      </c>
      <c r="Y35">
        <f t="shared" si="3"/>
        <v>5.3290705182007514E-15</v>
      </c>
      <c r="Z35">
        <f t="shared" si="4"/>
        <v>0</v>
      </c>
    </row>
    <row r="36" spans="1:26" ht="12.75" customHeight="1">
      <c r="A36" s="2" t="s">
        <v>33</v>
      </c>
      <c r="B36" s="1">
        <v>172.31</v>
      </c>
      <c r="C36" s="1">
        <v>11.27</v>
      </c>
      <c r="D36" s="1"/>
      <c r="E36" s="1">
        <v>123.84</v>
      </c>
      <c r="F36" s="1">
        <f t="shared" si="1"/>
        <v>120.5</v>
      </c>
      <c r="G36" s="1">
        <v>120.5</v>
      </c>
      <c r="H36" s="1"/>
      <c r="I36" s="1">
        <v>0.34</v>
      </c>
      <c r="J36" s="1"/>
      <c r="K36" s="1"/>
      <c r="L36" s="1"/>
      <c r="M36" s="1">
        <f t="shared" si="2"/>
        <v>3</v>
      </c>
      <c r="N36" s="1">
        <v>3</v>
      </c>
      <c r="O36" s="1"/>
      <c r="P36" s="1"/>
      <c r="Q36" s="1"/>
      <c r="R36" s="1"/>
      <c r="S36" s="1"/>
      <c r="T36" s="1">
        <v>37.200000000000003</v>
      </c>
      <c r="U36" s="6"/>
      <c r="V36" s="1"/>
      <c r="X36" s="5">
        <f t="shared" si="0"/>
        <v>-1.4210854715202004E-14</v>
      </c>
      <c r="Y36">
        <f t="shared" si="3"/>
        <v>3.5527136788005009E-15</v>
      </c>
      <c r="Z36">
        <f t="shared" si="4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V38" si="5">D5-SUM(D6:D36)</f>
        <v>0</v>
      </c>
      <c r="E38">
        <f t="shared" si="5"/>
        <v>0</v>
      </c>
      <c r="F38">
        <f t="shared" si="5"/>
        <v>0</v>
      </c>
      <c r="H38">
        <f t="shared" si="5"/>
        <v>0</v>
      </c>
      <c r="I38">
        <f t="shared" si="5"/>
        <v>0</v>
      </c>
      <c r="J38">
        <f t="shared" si="5"/>
        <v>0</v>
      </c>
      <c r="K38">
        <f t="shared" si="5"/>
        <v>0</v>
      </c>
      <c r="L38">
        <f t="shared" si="5"/>
        <v>0</v>
      </c>
      <c r="M38">
        <f t="shared" si="5"/>
        <v>0</v>
      </c>
      <c r="N38">
        <f t="shared" si="5"/>
        <v>0</v>
      </c>
      <c r="O38">
        <f t="shared" si="5"/>
        <v>0</v>
      </c>
      <c r="P38">
        <f t="shared" si="5"/>
        <v>0</v>
      </c>
      <c r="S38">
        <f t="shared" si="5"/>
        <v>0</v>
      </c>
      <c r="T38">
        <f t="shared" si="5"/>
        <v>0</v>
      </c>
      <c r="U38">
        <f t="shared" si="5"/>
        <v>0</v>
      </c>
      <c r="V38">
        <f t="shared" si="5"/>
        <v>0</v>
      </c>
    </row>
  </sheetData>
  <mergeCells count="16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E2:R2"/>
    <mergeCell ref="D3:D4"/>
    <mergeCell ref="E3:E4"/>
    <mergeCell ref="F3:H3"/>
    <mergeCell ref="I3:K3"/>
    <mergeCell ref="L3:L4"/>
    <mergeCell ref="M3:R3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9478-0FC5-451E-BCD2-6639BD399DC2}">
  <dimension ref="A1:Z38"/>
  <sheetViews>
    <sheetView zoomScaleNormal="100" workbookViewId="0">
      <selection activeCell="I5" sqref="I5:I36"/>
    </sheetView>
  </sheetViews>
  <sheetFormatPr defaultRowHeight="12.75"/>
  <cols>
    <col min="1" max="22" width="7.5703125" customWidth="1"/>
    <col min="24" max="24" width="9.28515625" bestFit="1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9124</v>
      </c>
      <c r="C5" s="1">
        <v>1642.85</v>
      </c>
      <c r="D5" s="1">
        <v>240</v>
      </c>
      <c r="E5" s="7">
        <v>5830.56</v>
      </c>
      <c r="F5" s="1">
        <v>5555.98</v>
      </c>
      <c r="G5" s="1"/>
      <c r="H5" s="1">
        <v>130.13999999999999</v>
      </c>
      <c r="I5" s="1">
        <v>123.5</v>
      </c>
      <c r="J5" s="1"/>
      <c r="K5" s="1"/>
      <c r="L5" s="1">
        <v>2.98</v>
      </c>
      <c r="M5" s="1">
        <f>SUM(N5:P5)</f>
        <v>138.91</v>
      </c>
      <c r="N5" s="1">
        <v>81.77</v>
      </c>
      <c r="O5" s="1">
        <v>14.03</v>
      </c>
      <c r="P5" s="1">
        <v>43.11</v>
      </c>
      <c r="Q5" s="1">
        <v>0.19</v>
      </c>
      <c r="R5" s="1"/>
      <c r="S5" s="1">
        <v>173.69</v>
      </c>
      <c r="T5" s="1">
        <v>1457.31</v>
      </c>
      <c r="U5" s="1">
        <v>19.59</v>
      </c>
      <c r="V5" s="1"/>
      <c r="X5" s="5">
        <f t="shared" ref="X5:X36" si="0">B5-C5-E5-S5-T5-U5-V5</f>
        <v>-7.638334409421077E-13</v>
      </c>
      <c r="Y5">
        <f>E5-F5-I5-L5-M5</f>
        <v>9.1900000000008504</v>
      </c>
      <c r="Z5">
        <f>M5-N5-O5-P5</f>
        <v>0</v>
      </c>
    </row>
    <row r="6" spans="1:26" ht="12.75" customHeight="1">
      <c r="A6" s="2" t="s">
        <v>6</v>
      </c>
      <c r="B6" s="1">
        <v>8.5500000000000007</v>
      </c>
      <c r="C6" s="1"/>
      <c r="D6" s="1"/>
      <c r="E6" s="1"/>
      <c r="F6" s="1"/>
      <c r="G6" s="1"/>
      <c r="H6" s="1"/>
      <c r="I6" s="1"/>
      <c r="J6" s="1"/>
      <c r="K6" s="1"/>
      <c r="L6" s="1"/>
      <c r="M6" s="1">
        <f t="shared" ref="M6:M36" si="1">SUM(N6:P6)</f>
        <v>0</v>
      </c>
      <c r="N6" s="1"/>
      <c r="O6" s="1"/>
      <c r="P6" s="1"/>
      <c r="Q6" s="1"/>
      <c r="R6" s="1"/>
      <c r="S6" s="1"/>
      <c r="T6" s="1">
        <v>8.5500000000000007</v>
      </c>
      <c r="U6" s="1"/>
      <c r="V6" s="1"/>
      <c r="X6" s="5">
        <f t="shared" si="0"/>
        <v>0</v>
      </c>
      <c r="Y6">
        <f t="shared" ref="Y6:Y36" si="2">E6-F6-I6-L6-M6</f>
        <v>0</v>
      </c>
      <c r="Z6">
        <f t="shared" ref="Z6:Z36" si="3">M6-N6-O6-P6</f>
        <v>0</v>
      </c>
    </row>
    <row r="7" spans="1:26" ht="12.75" customHeight="1">
      <c r="A7" s="2" t="s">
        <v>7</v>
      </c>
      <c r="B7" s="1">
        <v>97.55</v>
      </c>
      <c r="C7" s="1"/>
      <c r="D7" s="1"/>
      <c r="E7" s="1">
        <v>90</v>
      </c>
      <c r="F7" s="1">
        <v>90</v>
      </c>
      <c r="G7" s="1"/>
      <c r="H7" s="1"/>
      <c r="I7" s="1"/>
      <c r="J7" s="1"/>
      <c r="K7" s="1"/>
      <c r="L7" s="1"/>
      <c r="M7" s="1">
        <f t="shared" si="1"/>
        <v>0</v>
      </c>
      <c r="N7" s="1"/>
      <c r="O7" s="1"/>
      <c r="P7" s="1"/>
      <c r="Q7" s="1"/>
      <c r="R7" s="1"/>
      <c r="S7" s="1"/>
      <c r="T7" s="1">
        <v>7.55</v>
      </c>
      <c r="U7" s="1"/>
      <c r="V7" s="1"/>
      <c r="X7" s="5">
        <f t="shared" si="0"/>
        <v>-2.6645352591003757E-15</v>
      </c>
      <c r="Y7">
        <f t="shared" si="2"/>
        <v>0</v>
      </c>
      <c r="Z7">
        <f t="shared" si="3"/>
        <v>0</v>
      </c>
    </row>
    <row r="8" spans="1:26" ht="12.75" customHeight="1">
      <c r="A8" s="2" t="s">
        <v>8</v>
      </c>
      <c r="B8" s="1">
        <v>373.51</v>
      </c>
      <c r="C8" s="1"/>
      <c r="D8" s="1"/>
      <c r="E8" s="1">
        <v>164.8</v>
      </c>
      <c r="F8" s="1">
        <v>154</v>
      </c>
      <c r="G8" s="1"/>
      <c r="H8" s="1"/>
      <c r="I8" s="1"/>
      <c r="J8" s="1"/>
      <c r="K8" s="1"/>
      <c r="L8" s="1"/>
      <c r="M8" s="1">
        <f t="shared" si="1"/>
        <v>10.8</v>
      </c>
      <c r="N8" s="1">
        <v>3</v>
      </c>
      <c r="O8" s="1">
        <v>1.8</v>
      </c>
      <c r="P8" s="1">
        <v>6</v>
      </c>
      <c r="Q8" s="1"/>
      <c r="R8" s="1"/>
      <c r="S8" s="1"/>
      <c r="T8" s="1">
        <v>208.71</v>
      </c>
      <c r="U8" s="1"/>
      <c r="V8" s="1"/>
      <c r="X8" s="5">
        <f t="shared" si="0"/>
        <v>-2.8421709430404007E-14</v>
      </c>
      <c r="Y8">
        <f t="shared" si="2"/>
        <v>0</v>
      </c>
      <c r="Z8">
        <f t="shared" si="3"/>
        <v>0</v>
      </c>
    </row>
    <row r="9" spans="1:26" ht="12.75" customHeight="1">
      <c r="A9" s="2" t="s">
        <v>9</v>
      </c>
      <c r="B9" s="1">
        <v>214.4</v>
      </c>
      <c r="C9" s="1">
        <v>22</v>
      </c>
      <c r="D9" s="1"/>
      <c r="E9" s="1">
        <v>155.5</v>
      </c>
      <c r="F9" s="1">
        <v>153</v>
      </c>
      <c r="G9" s="1"/>
      <c r="H9" s="1"/>
      <c r="I9" s="1"/>
      <c r="J9" s="1"/>
      <c r="K9" s="1"/>
      <c r="L9" s="1"/>
      <c r="M9" s="1">
        <f t="shared" si="1"/>
        <v>2.5</v>
      </c>
      <c r="N9" s="1">
        <v>1.9</v>
      </c>
      <c r="O9" s="1"/>
      <c r="P9" s="1">
        <v>0.6</v>
      </c>
      <c r="Q9" s="1"/>
      <c r="R9" s="1"/>
      <c r="S9" s="1"/>
      <c r="T9" s="1">
        <v>36.9</v>
      </c>
      <c r="U9" s="1"/>
      <c r="V9" s="1"/>
      <c r="X9" s="5">
        <f t="shared" si="0"/>
        <v>7.1054273576010019E-15</v>
      </c>
      <c r="Y9">
        <f t="shared" si="2"/>
        <v>0</v>
      </c>
      <c r="Z9">
        <f t="shared" si="3"/>
        <v>0</v>
      </c>
    </row>
    <row r="10" spans="1:26" ht="12.75" customHeight="1">
      <c r="A10" s="2" t="s">
        <v>2</v>
      </c>
      <c r="B10" s="1">
        <v>1008.42</v>
      </c>
      <c r="C10" s="1">
        <v>1.35</v>
      </c>
      <c r="D10" s="1"/>
      <c r="E10" s="1">
        <v>575.79999999999995</v>
      </c>
      <c r="F10" s="1">
        <v>574</v>
      </c>
      <c r="G10" s="1"/>
      <c r="H10" s="1">
        <v>60</v>
      </c>
      <c r="I10" s="1"/>
      <c r="J10" s="1"/>
      <c r="K10" s="1"/>
      <c r="L10" s="1"/>
      <c r="M10" s="1">
        <f t="shared" si="1"/>
        <v>1.8</v>
      </c>
      <c r="N10" s="1"/>
      <c r="O10" s="1"/>
      <c r="P10" s="1">
        <v>1.8</v>
      </c>
      <c r="Q10" s="1"/>
      <c r="R10" s="1"/>
      <c r="S10" s="1"/>
      <c r="T10" s="1">
        <v>431.27</v>
      </c>
      <c r="U10" s="1"/>
      <c r="V10" s="1"/>
      <c r="X10" s="5">
        <f t="shared" si="0"/>
        <v>0</v>
      </c>
      <c r="Y10">
        <f t="shared" si="2"/>
        <v>-4.5519144009631418E-14</v>
      </c>
      <c r="Z10">
        <f t="shared" si="3"/>
        <v>0</v>
      </c>
    </row>
    <row r="11" spans="1:26" ht="12.75" customHeight="1">
      <c r="A11" s="2" t="s">
        <v>10</v>
      </c>
      <c r="B11" s="1">
        <v>602.98</v>
      </c>
      <c r="C11" s="1"/>
      <c r="D11" s="1"/>
      <c r="E11" s="1">
        <v>486.25</v>
      </c>
      <c r="F11" s="1">
        <v>482.4</v>
      </c>
      <c r="G11" s="1"/>
      <c r="H11" s="1">
        <v>30</v>
      </c>
      <c r="I11" s="1"/>
      <c r="J11" s="1"/>
      <c r="K11" s="1"/>
      <c r="L11" s="1"/>
      <c r="M11" s="1">
        <f t="shared" si="1"/>
        <v>3.85</v>
      </c>
      <c r="N11" s="1">
        <v>3.85</v>
      </c>
      <c r="O11" s="1"/>
      <c r="P11" s="1"/>
      <c r="Q11" s="1"/>
      <c r="R11" s="1"/>
      <c r="S11" s="1"/>
      <c r="T11" s="1">
        <v>116.73</v>
      </c>
      <c r="U11" s="1"/>
      <c r="V11" s="1"/>
      <c r="X11" s="5">
        <f t="shared" si="0"/>
        <v>1.4210854715202004E-14</v>
      </c>
      <c r="Y11">
        <f t="shared" si="2"/>
        <v>2.2648549702353193E-14</v>
      </c>
      <c r="Z11">
        <f t="shared" si="3"/>
        <v>0</v>
      </c>
    </row>
    <row r="12" spans="1:26" ht="12.75" customHeight="1">
      <c r="A12" s="2" t="s">
        <v>3</v>
      </c>
      <c r="B12" s="1">
        <v>449.48</v>
      </c>
      <c r="C12" s="1">
        <v>9.44</v>
      </c>
      <c r="D12" s="1"/>
      <c r="E12" s="1">
        <v>359.74</v>
      </c>
      <c r="F12" s="1">
        <v>349.7</v>
      </c>
      <c r="G12" s="1"/>
      <c r="H12" s="1"/>
      <c r="I12" s="1"/>
      <c r="J12" s="1"/>
      <c r="K12" s="1"/>
      <c r="L12" s="1"/>
      <c r="M12" s="1">
        <f t="shared" si="1"/>
        <v>10.040000000000001</v>
      </c>
      <c r="N12" s="1">
        <v>6.05</v>
      </c>
      <c r="O12" s="1">
        <v>3.1</v>
      </c>
      <c r="P12" s="1">
        <v>0.89</v>
      </c>
      <c r="Q12" s="1"/>
      <c r="R12" s="1"/>
      <c r="S12" s="1"/>
      <c r="T12" s="1">
        <v>80.3</v>
      </c>
      <c r="U12" s="1"/>
      <c r="V12" s="1"/>
      <c r="X12" s="5">
        <f t="shared" si="0"/>
        <v>1.4210854715202004E-14</v>
      </c>
      <c r="Y12">
        <f t="shared" si="2"/>
        <v>1.9539925233402755E-14</v>
      </c>
      <c r="Z12">
        <f t="shared" si="3"/>
        <v>9.9920072216264089E-16</v>
      </c>
    </row>
    <row r="13" spans="1:26" ht="12.75" customHeight="1">
      <c r="A13" s="2" t="s">
        <v>4</v>
      </c>
      <c r="B13" s="1">
        <v>120.73</v>
      </c>
      <c r="C13" s="1"/>
      <c r="D13" s="1"/>
      <c r="E13" s="1">
        <v>52.5</v>
      </c>
      <c r="F13" s="1">
        <v>41.1</v>
      </c>
      <c r="G13" s="1"/>
      <c r="H13" s="1">
        <v>5</v>
      </c>
      <c r="I13" s="1"/>
      <c r="J13" s="1"/>
      <c r="K13" s="1"/>
      <c r="L13" s="1"/>
      <c r="M13" s="1">
        <f t="shared" si="1"/>
        <v>11.4</v>
      </c>
      <c r="N13" s="1">
        <v>2.4</v>
      </c>
      <c r="O13" s="1"/>
      <c r="P13" s="1">
        <v>9</v>
      </c>
      <c r="Q13" s="1"/>
      <c r="R13" s="1"/>
      <c r="S13" s="1"/>
      <c r="T13" s="1">
        <v>68.23</v>
      </c>
      <c r="U13" s="1"/>
      <c r="V13" s="1"/>
      <c r="X13" s="5">
        <f t="shared" si="0"/>
        <v>0</v>
      </c>
      <c r="Y13">
        <f t="shared" si="2"/>
        <v>0</v>
      </c>
      <c r="Z13">
        <f t="shared" si="3"/>
        <v>0</v>
      </c>
    </row>
    <row r="14" spans="1:26" ht="12.75" customHeight="1">
      <c r="A14" s="2" t="s">
        <v>11</v>
      </c>
      <c r="B14" s="1">
        <v>272.61</v>
      </c>
      <c r="C14" s="1"/>
      <c r="D14" s="1"/>
      <c r="E14" s="1">
        <v>263</v>
      </c>
      <c r="F14" s="1">
        <v>260</v>
      </c>
      <c r="G14" s="1"/>
      <c r="H14" s="1"/>
      <c r="I14" s="1"/>
      <c r="J14" s="1"/>
      <c r="K14" s="1"/>
      <c r="L14" s="1"/>
      <c r="M14" s="1">
        <f t="shared" si="1"/>
        <v>0</v>
      </c>
      <c r="N14" s="1"/>
      <c r="O14" s="1"/>
      <c r="P14" s="1"/>
      <c r="Q14" s="1"/>
      <c r="R14" s="1"/>
      <c r="S14" s="1"/>
      <c r="T14" s="1">
        <v>9.3000000000000007</v>
      </c>
      <c r="U14" s="1">
        <v>0.31</v>
      </c>
      <c r="V14" s="1"/>
      <c r="X14" s="5">
        <f t="shared" si="0"/>
        <v>1.2934098236883074E-14</v>
      </c>
      <c r="Y14">
        <f t="shared" si="2"/>
        <v>3</v>
      </c>
      <c r="Z14">
        <f t="shared" si="3"/>
        <v>0</v>
      </c>
    </row>
    <row r="15" spans="1:26" ht="12.75" customHeight="1">
      <c r="A15" s="2" t="s">
        <v>12</v>
      </c>
      <c r="B15" s="1">
        <v>932.21</v>
      </c>
      <c r="C15" s="1"/>
      <c r="D15" s="1"/>
      <c r="E15" s="1">
        <v>865.08</v>
      </c>
      <c r="F15" s="1">
        <v>837.1</v>
      </c>
      <c r="G15" s="1"/>
      <c r="H15" s="1">
        <v>0.14000000000000001</v>
      </c>
      <c r="I15" s="1"/>
      <c r="J15" s="1"/>
      <c r="K15" s="1"/>
      <c r="L15" s="1"/>
      <c r="M15" s="1">
        <f t="shared" si="1"/>
        <v>26.24</v>
      </c>
      <c r="N15" s="1">
        <v>20.04</v>
      </c>
      <c r="O15" s="1">
        <v>6.2</v>
      </c>
      <c r="P15" s="1"/>
      <c r="Q15" s="1"/>
      <c r="R15" s="1"/>
      <c r="S15" s="1"/>
      <c r="T15" s="1">
        <v>60.05</v>
      </c>
      <c r="U15" s="1">
        <v>7.08</v>
      </c>
      <c r="V15" s="1"/>
      <c r="X15" s="5">
        <f t="shared" si="0"/>
        <v>-1.7763568394002505E-15</v>
      </c>
      <c r="Y15">
        <f t="shared" si="2"/>
        <v>1.7400000000000198</v>
      </c>
      <c r="Z15">
        <f t="shared" si="3"/>
        <v>-8.8817841970012523E-16</v>
      </c>
    </row>
    <row r="16" spans="1:26" ht="12.75" customHeight="1">
      <c r="A16" s="2" t="s">
        <v>13</v>
      </c>
      <c r="B16" s="1">
        <v>231</v>
      </c>
      <c r="C16" s="1">
        <v>2.4</v>
      </c>
      <c r="D16" s="1"/>
      <c r="E16" s="1">
        <v>162</v>
      </c>
      <c r="F16" s="1">
        <v>162</v>
      </c>
      <c r="G16" s="1"/>
      <c r="H16" s="1"/>
      <c r="I16" s="1"/>
      <c r="J16" s="1"/>
      <c r="K16" s="1"/>
      <c r="L16" s="1"/>
      <c r="M16" s="1">
        <f t="shared" si="1"/>
        <v>0</v>
      </c>
      <c r="N16" s="1"/>
      <c r="O16" s="1"/>
      <c r="P16" s="1"/>
      <c r="Q16" s="1"/>
      <c r="R16" s="1"/>
      <c r="S16" s="1">
        <v>65</v>
      </c>
      <c r="T16" s="1">
        <v>1.6</v>
      </c>
      <c r="U16" s="1"/>
      <c r="V16" s="1"/>
      <c r="X16" s="5">
        <f t="shared" si="0"/>
        <v>-5.773159728050814E-15</v>
      </c>
      <c r="Y16">
        <f t="shared" si="2"/>
        <v>0</v>
      </c>
      <c r="Z16">
        <f t="shared" si="3"/>
        <v>0</v>
      </c>
    </row>
    <row r="17" spans="1:26" ht="12.75" customHeight="1">
      <c r="A17" s="2" t="s">
        <v>14</v>
      </c>
      <c r="B17" s="1">
        <v>98.8</v>
      </c>
      <c r="C17" s="1"/>
      <c r="D17" s="1"/>
      <c r="E17" s="1">
        <v>79</v>
      </c>
      <c r="F17" s="1">
        <v>66.900000000000006</v>
      </c>
      <c r="G17" s="1"/>
      <c r="H17" s="1"/>
      <c r="I17" s="1"/>
      <c r="J17" s="1"/>
      <c r="K17" s="1"/>
      <c r="L17" s="1"/>
      <c r="M17" s="1">
        <f t="shared" si="1"/>
        <v>12.1</v>
      </c>
      <c r="N17" s="1">
        <v>8.5</v>
      </c>
      <c r="O17" s="1"/>
      <c r="P17" s="1">
        <v>3.6</v>
      </c>
      <c r="Q17" s="1"/>
      <c r="R17" s="1"/>
      <c r="S17" s="1"/>
      <c r="T17" s="1">
        <v>19.8</v>
      </c>
      <c r="U17" s="1"/>
      <c r="V17" s="1"/>
      <c r="X17" s="5">
        <f t="shared" si="0"/>
        <v>-3.5527136788005009E-15</v>
      </c>
      <c r="Y17">
        <f t="shared" si="2"/>
        <v>0</v>
      </c>
      <c r="Z17">
        <f t="shared" si="3"/>
        <v>0</v>
      </c>
    </row>
    <row r="18" spans="1:26" ht="12.75" customHeight="1">
      <c r="A18" s="2" t="s">
        <v>15</v>
      </c>
      <c r="B18" s="1">
        <v>348.4</v>
      </c>
      <c r="C18" s="1">
        <v>3</v>
      </c>
      <c r="D18" s="1"/>
      <c r="E18" s="1">
        <v>332</v>
      </c>
      <c r="F18" s="1">
        <v>227</v>
      </c>
      <c r="G18" s="1"/>
      <c r="H18" s="1"/>
      <c r="I18" s="1">
        <v>105</v>
      </c>
      <c r="J18" s="1"/>
      <c r="K18" s="1"/>
      <c r="L18" s="1"/>
      <c r="M18" s="1">
        <f t="shared" si="1"/>
        <v>0</v>
      </c>
      <c r="N18" s="1"/>
      <c r="O18" s="1"/>
      <c r="P18" s="1"/>
      <c r="Q18" s="1"/>
      <c r="R18" s="1"/>
      <c r="S18" s="1"/>
      <c r="T18" s="1">
        <v>13.4</v>
      </c>
      <c r="U18" s="1"/>
      <c r="V18" s="1"/>
      <c r="X18" s="5">
        <f t="shared" si="0"/>
        <v>-2.3092638912203256E-14</v>
      </c>
      <c r="Y18">
        <f t="shared" si="2"/>
        <v>0</v>
      </c>
      <c r="Z18">
        <f t="shared" si="3"/>
        <v>0</v>
      </c>
    </row>
    <row r="19" spans="1:26" ht="12.75" customHeight="1">
      <c r="A19" s="2" t="s">
        <v>16</v>
      </c>
      <c r="B19" s="1">
        <v>132</v>
      </c>
      <c r="C19" s="1"/>
      <c r="D19" s="1"/>
      <c r="E19" s="1">
        <v>132</v>
      </c>
      <c r="F19" s="1">
        <v>132</v>
      </c>
      <c r="G19" s="1"/>
      <c r="H19" s="1"/>
      <c r="I19" s="1"/>
      <c r="J19" s="1"/>
      <c r="K19" s="1"/>
      <c r="L19" s="1"/>
      <c r="M19" s="1">
        <f t="shared" si="1"/>
        <v>0</v>
      </c>
      <c r="N19" s="1"/>
      <c r="O19" s="1"/>
      <c r="P19" s="1"/>
      <c r="Q19" s="1"/>
      <c r="R19" s="1"/>
      <c r="S19" s="1"/>
      <c r="T19" s="1"/>
      <c r="U19" s="1"/>
      <c r="V19" s="1"/>
      <c r="X19" s="5">
        <f t="shared" si="0"/>
        <v>0</v>
      </c>
      <c r="Y19">
        <f t="shared" si="2"/>
        <v>0</v>
      </c>
      <c r="Z19">
        <f t="shared" si="3"/>
        <v>0</v>
      </c>
    </row>
    <row r="20" spans="1:26" ht="12.75" customHeight="1">
      <c r="A20" s="2" t="s">
        <v>17</v>
      </c>
      <c r="B20" s="1">
        <v>271.83999999999997</v>
      </c>
      <c r="C20" s="1">
        <v>0.01</v>
      </c>
      <c r="D20" s="1"/>
      <c r="E20" s="1">
        <v>183.06</v>
      </c>
      <c r="F20" s="1">
        <v>166.06</v>
      </c>
      <c r="G20" s="1"/>
      <c r="H20" s="1"/>
      <c r="I20" s="1"/>
      <c r="J20" s="1"/>
      <c r="K20" s="1"/>
      <c r="L20" s="1"/>
      <c r="M20" s="1">
        <f t="shared" si="1"/>
        <v>17</v>
      </c>
      <c r="N20" s="1">
        <v>15.8</v>
      </c>
      <c r="O20" s="1">
        <v>0.3</v>
      </c>
      <c r="P20" s="1">
        <v>0.9</v>
      </c>
      <c r="Q20" s="1"/>
      <c r="R20" s="1"/>
      <c r="S20" s="1"/>
      <c r="T20" s="1">
        <v>86.97</v>
      </c>
      <c r="U20" s="1">
        <v>1.8</v>
      </c>
      <c r="V20" s="1"/>
      <c r="X20" s="5">
        <f t="shared" si="0"/>
        <v>-1.7097434579227411E-14</v>
      </c>
      <c r="Y20">
        <f t="shared" si="2"/>
        <v>0</v>
      </c>
      <c r="Z20">
        <f t="shared" si="3"/>
        <v>0</v>
      </c>
    </row>
    <row r="21" spans="1:26" ht="12.75" customHeight="1">
      <c r="A21" s="2" t="s">
        <v>18</v>
      </c>
      <c r="B21" s="1">
        <v>356.03</v>
      </c>
      <c r="C21" s="1"/>
      <c r="D21" s="1"/>
      <c r="E21" s="1">
        <v>353</v>
      </c>
      <c r="F21" s="1">
        <v>353</v>
      </c>
      <c r="G21" s="1"/>
      <c r="H21" s="1"/>
      <c r="I21" s="1"/>
      <c r="J21" s="1"/>
      <c r="K21" s="1"/>
      <c r="L21" s="1"/>
      <c r="M21" s="1">
        <f t="shared" si="1"/>
        <v>0</v>
      </c>
      <c r="N21" s="1"/>
      <c r="O21" s="1"/>
      <c r="P21" s="1"/>
      <c r="Q21" s="1"/>
      <c r="R21" s="1"/>
      <c r="S21" s="1"/>
      <c r="T21" s="1">
        <v>3.03</v>
      </c>
      <c r="U21" s="1"/>
      <c r="V21" s="1"/>
      <c r="X21" s="5">
        <f t="shared" si="0"/>
        <v>-2.708944180085382E-14</v>
      </c>
      <c r="Y21">
        <f t="shared" si="2"/>
        <v>0</v>
      </c>
      <c r="Z21">
        <f t="shared" si="3"/>
        <v>0</v>
      </c>
    </row>
    <row r="22" spans="1:26" ht="12.75" customHeight="1">
      <c r="A22" s="2" t="s">
        <v>19</v>
      </c>
      <c r="B22" s="1">
        <v>304.25</v>
      </c>
      <c r="C22" s="1">
        <v>72.75</v>
      </c>
      <c r="D22" s="1">
        <v>60</v>
      </c>
      <c r="E22" s="1">
        <v>224.14</v>
      </c>
      <c r="F22" s="1">
        <v>194.6</v>
      </c>
      <c r="G22" s="1"/>
      <c r="H22" s="1"/>
      <c r="I22" s="1">
        <v>18.5</v>
      </c>
      <c r="J22" s="1"/>
      <c r="K22" s="1"/>
      <c r="L22" s="1"/>
      <c r="M22" s="1">
        <f t="shared" si="1"/>
        <v>10.85</v>
      </c>
      <c r="N22" s="1">
        <v>6.05</v>
      </c>
      <c r="O22" s="1">
        <v>2.4</v>
      </c>
      <c r="P22" s="1">
        <v>2.4</v>
      </c>
      <c r="Q22" s="1">
        <v>0.19</v>
      </c>
      <c r="R22" s="1"/>
      <c r="S22" s="1"/>
      <c r="T22" s="1">
        <v>7.36</v>
      </c>
      <c r="U22" s="1"/>
      <c r="V22" s="1"/>
      <c r="X22" s="5">
        <f t="shared" si="0"/>
        <v>1.3322676295501878E-14</v>
      </c>
      <c r="Y22">
        <f t="shared" si="2"/>
        <v>0.1899999999999924</v>
      </c>
      <c r="Z22">
        <f t="shared" si="3"/>
        <v>0</v>
      </c>
    </row>
    <row r="23" spans="1:26" ht="12.75" customHeight="1">
      <c r="A23" s="2" t="s">
        <v>20</v>
      </c>
      <c r="B23" s="1">
        <v>95.56</v>
      </c>
      <c r="C23" s="1">
        <v>77.03</v>
      </c>
      <c r="D23" s="1">
        <v>60</v>
      </c>
      <c r="E23" s="1">
        <v>14.9</v>
      </c>
      <c r="F23" s="1"/>
      <c r="G23" s="1"/>
      <c r="H23" s="1"/>
      <c r="I23" s="1"/>
      <c r="J23" s="1"/>
      <c r="K23" s="1"/>
      <c r="L23" s="1"/>
      <c r="M23" s="1">
        <f t="shared" si="1"/>
        <v>14.899999999999999</v>
      </c>
      <c r="N23" s="1">
        <v>10</v>
      </c>
      <c r="O23" s="1">
        <v>0.1</v>
      </c>
      <c r="P23" s="1">
        <v>4.8</v>
      </c>
      <c r="Q23" s="1"/>
      <c r="R23" s="1"/>
      <c r="S23" s="1"/>
      <c r="T23" s="1">
        <v>3.63</v>
      </c>
      <c r="U23" s="1"/>
      <c r="V23" s="1"/>
      <c r="X23" s="5">
        <f t="shared" si="0"/>
        <v>8.8817841970012523E-16</v>
      </c>
      <c r="Y23">
        <f t="shared" si="2"/>
        <v>0</v>
      </c>
      <c r="Z23">
        <f>M23-N23-O23-P23</f>
        <v>0</v>
      </c>
    </row>
    <row r="24" spans="1:26" ht="12.75" customHeight="1">
      <c r="A24" s="2" t="s">
        <v>21</v>
      </c>
      <c r="B24" s="1">
        <v>581.16999999999996</v>
      </c>
      <c r="C24" s="1">
        <v>120</v>
      </c>
      <c r="D24" s="1">
        <v>120</v>
      </c>
      <c r="E24" s="1">
        <v>337</v>
      </c>
      <c r="F24" s="1">
        <v>337</v>
      </c>
      <c r="G24" s="1"/>
      <c r="H24" s="1"/>
      <c r="I24" s="1"/>
      <c r="J24" s="1"/>
      <c r="K24" s="1"/>
      <c r="L24" s="1"/>
      <c r="M24" s="1">
        <f t="shared" si="1"/>
        <v>0</v>
      </c>
      <c r="N24" s="1"/>
      <c r="O24" s="1"/>
      <c r="P24" s="1"/>
      <c r="Q24" s="1"/>
      <c r="R24" s="1"/>
      <c r="S24" s="1">
        <v>108.69</v>
      </c>
      <c r="T24" s="1">
        <v>15.48</v>
      </c>
      <c r="U24" s="1"/>
      <c r="V24" s="1"/>
      <c r="X24" s="5">
        <f t="shared" si="0"/>
        <v>-3.907985046680551E-14</v>
      </c>
      <c r="Y24">
        <f t="shared" si="2"/>
        <v>0</v>
      </c>
      <c r="Z24">
        <f t="shared" si="3"/>
        <v>0</v>
      </c>
    </row>
    <row r="25" spans="1:26" ht="12.75" customHeight="1">
      <c r="A25" s="2" t="s">
        <v>22</v>
      </c>
      <c r="B25" s="1">
        <v>38.729999999999997</v>
      </c>
      <c r="C25" s="1">
        <v>21.53</v>
      </c>
      <c r="D25" s="1"/>
      <c r="E25" s="1">
        <v>17.2</v>
      </c>
      <c r="F25" s="1"/>
      <c r="G25" s="1"/>
      <c r="H25" s="1"/>
      <c r="I25" s="1"/>
      <c r="J25" s="1"/>
      <c r="K25" s="1"/>
      <c r="L25" s="1"/>
      <c r="M25" s="1">
        <f t="shared" si="1"/>
        <v>14.2</v>
      </c>
      <c r="N25" s="1">
        <v>1.08</v>
      </c>
      <c r="O25" s="1"/>
      <c r="P25" s="1">
        <v>13.12</v>
      </c>
      <c r="Q25" s="1"/>
      <c r="R25" s="1"/>
      <c r="S25" s="1"/>
      <c r="T25" s="1"/>
      <c r="U25" s="1"/>
      <c r="V25" s="1"/>
      <c r="X25" s="5">
        <f t="shared" si="0"/>
        <v>-3.5527136788005009E-15</v>
      </c>
      <c r="Y25">
        <f t="shared" si="2"/>
        <v>3</v>
      </c>
      <c r="Z25">
        <f t="shared" si="3"/>
        <v>0</v>
      </c>
    </row>
    <row r="26" spans="1:26" ht="12.75" customHeight="1">
      <c r="A26" s="2" t="s">
        <v>23</v>
      </c>
      <c r="B26" s="1">
        <v>14.73</v>
      </c>
      <c r="C26" s="6">
        <v>0.6</v>
      </c>
      <c r="D26" s="1"/>
      <c r="E26" s="1">
        <v>0.48</v>
      </c>
      <c r="F26" s="1"/>
      <c r="G26" s="1"/>
      <c r="H26" s="1"/>
      <c r="I26" s="1"/>
      <c r="J26" s="1"/>
      <c r="K26" s="1"/>
      <c r="L26" s="1">
        <v>0.48</v>
      </c>
      <c r="M26" s="1">
        <f t="shared" si="1"/>
        <v>0</v>
      </c>
      <c r="N26" s="1"/>
      <c r="O26" s="1"/>
      <c r="P26" s="1"/>
      <c r="Q26" s="1"/>
      <c r="R26" s="1"/>
      <c r="S26" s="1"/>
      <c r="T26" s="1">
        <v>13.65</v>
      </c>
      <c r="U26" s="1"/>
      <c r="V26" s="1"/>
      <c r="X26" s="5">
        <f t="shared" si="0"/>
        <v>0</v>
      </c>
      <c r="Y26">
        <f t="shared" si="2"/>
        <v>0</v>
      </c>
      <c r="Z26">
        <f t="shared" si="3"/>
        <v>0</v>
      </c>
    </row>
    <row r="27" spans="1:26" ht="12.75" customHeight="1">
      <c r="A27" s="2" t="s">
        <v>24</v>
      </c>
      <c r="B27" s="1">
        <v>16.899999999999999</v>
      </c>
      <c r="C27" s="1">
        <v>13.5</v>
      </c>
      <c r="D27" s="1"/>
      <c r="E27" s="1"/>
      <c r="F27" s="1"/>
      <c r="G27" s="1"/>
      <c r="H27" s="1"/>
      <c r="I27" s="1"/>
      <c r="J27" s="1"/>
      <c r="K27" s="1"/>
      <c r="L27" s="1"/>
      <c r="M27" s="1">
        <f t="shared" si="1"/>
        <v>0</v>
      </c>
      <c r="N27" s="1"/>
      <c r="O27" s="1"/>
      <c r="P27" s="1"/>
      <c r="Q27" s="1"/>
      <c r="R27" s="1"/>
      <c r="S27" s="1"/>
      <c r="T27" s="1">
        <v>3.4</v>
      </c>
      <c r="U27" s="1"/>
      <c r="V27" s="1"/>
      <c r="X27" s="5">
        <f t="shared" si="0"/>
        <v>-1.3322676295501878E-15</v>
      </c>
      <c r="Y27">
        <f t="shared" si="2"/>
        <v>0</v>
      </c>
      <c r="Z27">
        <f t="shared" si="3"/>
        <v>0</v>
      </c>
    </row>
    <row r="28" spans="1:26" ht="12.75" customHeight="1">
      <c r="A28" s="2" t="s">
        <v>25</v>
      </c>
      <c r="B28" s="1">
        <v>396.66</v>
      </c>
      <c r="C28" s="1">
        <v>396.66</v>
      </c>
      <c r="D28" s="1"/>
      <c r="E28" s="1"/>
      <c r="F28" s="1"/>
      <c r="G28" s="1"/>
      <c r="H28" s="1"/>
      <c r="I28" s="1"/>
      <c r="J28" s="1"/>
      <c r="K28" s="1"/>
      <c r="L28" s="1"/>
      <c r="M28" s="1">
        <f t="shared" si="1"/>
        <v>0</v>
      </c>
      <c r="N28" s="1"/>
      <c r="O28" s="1"/>
      <c r="P28" s="1"/>
      <c r="Q28" s="1"/>
      <c r="R28" s="1"/>
      <c r="S28" s="1"/>
      <c r="T28" s="1"/>
      <c r="U28" s="1"/>
      <c r="V28" s="1"/>
      <c r="X28" s="5">
        <f t="shared" si="0"/>
        <v>0</v>
      </c>
      <c r="Y28">
        <f t="shared" si="2"/>
        <v>0</v>
      </c>
      <c r="Z28">
        <f t="shared" si="3"/>
        <v>0</v>
      </c>
    </row>
    <row r="29" spans="1:26" ht="12.75" customHeight="1">
      <c r="A29" s="2" t="s">
        <v>26</v>
      </c>
      <c r="B29" s="1">
        <v>297.95</v>
      </c>
      <c r="C29" s="1">
        <v>232.95</v>
      </c>
      <c r="D29" s="1"/>
      <c r="E29" s="1">
        <v>65</v>
      </c>
      <c r="F29" s="1">
        <v>65</v>
      </c>
      <c r="G29" s="1"/>
      <c r="H29" s="1">
        <v>5</v>
      </c>
      <c r="I29" s="1"/>
      <c r="J29" s="1"/>
      <c r="K29" s="1"/>
      <c r="L29" s="1"/>
      <c r="M29" s="1">
        <f t="shared" si="1"/>
        <v>0</v>
      </c>
      <c r="N29" s="1"/>
      <c r="O29" s="1"/>
      <c r="P29" s="1"/>
      <c r="Q29" s="1"/>
      <c r="R29" s="1"/>
      <c r="S29" s="1"/>
      <c r="T29" s="1"/>
      <c r="U29" s="1"/>
      <c r="V29" s="1"/>
      <c r="X29" s="5">
        <f t="shared" si="0"/>
        <v>0</v>
      </c>
      <c r="Y29">
        <f t="shared" si="2"/>
        <v>0</v>
      </c>
      <c r="Z29">
        <f t="shared" si="3"/>
        <v>0</v>
      </c>
    </row>
    <row r="30" spans="1:26" ht="12.75" customHeight="1">
      <c r="A30" s="2" t="s">
        <v>27</v>
      </c>
      <c r="B30" s="1">
        <v>445.03</v>
      </c>
      <c r="C30" s="1">
        <v>363</v>
      </c>
      <c r="D30" s="1"/>
      <c r="E30" s="1">
        <v>60</v>
      </c>
      <c r="F30" s="1">
        <v>60</v>
      </c>
      <c r="G30" s="1"/>
      <c r="H30" s="1"/>
      <c r="I30" s="1"/>
      <c r="J30" s="1"/>
      <c r="K30" s="1"/>
      <c r="L30" s="1"/>
      <c r="M30" s="1">
        <f t="shared" si="1"/>
        <v>0</v>
      </c>
      <c r="N30" s="1"/>
      <c r="O30" s="1"/>
      <c r="P30" s="1"/>
      <c r="Q30" s="1"/>
      <c r="R30" s="1"/>
      <c r="S30" s="1"/>
      <c r="T30" s="1">
        <v>21.23</v>
      </c>
      <c r="U30" s="1">
        <v>0.8</v>
      </c>
      <c r="V30" s="1"/>
      <c r="X30" s="5">
        <f t="shared" si="0"/>
        <v>-2.7755575615628914E-14</v>
      </c>
      <c r="Y30">
        <f t="shared" si="2"/>
        <v>0</v>
      </c>
      <c r="Z30">
        <f t="shared" si="3"/>
        <v>0</v>
      </c>
    </row>
    <row r="31" spans="1:26" ht="12.75" customHeight="1">
      <c r="A31" s="2" t="s">
        <v>28</v>
      </c>
      <c r="B31" s="1">
        <v>22.48</v>
      </c>
      <c r="C31" s="6"/>
      <c r="D31" s="1"/>
      <c r="E31" s="1">
        <v>20.88</v>
      </c>
      <c r="F31" s="1">
        <v>20.88</v>
      </c>
      <c r="G31" s="1"/>
      <c r="H31" s="1"/>
      <c r="I31" s="1"/>
      <c r="J31" s="1"/>
      <c r="K31" s="1"/>
      <c r="L31" s="1"/>
      <c r="M31" s="1">
        <f t="shared" si="1"/>
        <v>0</v>
      </c>
      <c r="N31" s="1"/>
      <c r="O31" s="1"/>
      <c r="P31" s="1"/>
      <c r="Q31" s="1"/>
      <c r="R31" s="1"/>
      <c r="S31" s="1"/>
      <c r="T31" s="1"/>
      <c r="U31" s="1">
        <v>1.6</v>
      </c>
      <c r="V31" s="1"/>
      <c r="X31" s="5">
        <f t="shared" si="0"/>
        <v>1.3322676295501878E-15</v>
      </c>
      <c r="Y31">
        <f t="shared" si="2"/>
        <v>0</v>
      </c>
      <c r="Z31">
        <f t="shared" si="3"/>
        <v>0</v>
      </c>
    </row>
    <row r="32" spans="1:26" ht="12.75" customHeight="1">
      <c r="A32" s="2" t="s">
        <v>29</v>
      </c>
      <c r="B32" s="1">
        <v>196.58</v>
      </c>
      <c r="C32" s="6">
        <v>22.5</v>
      </c>
      <c r="D32" s="1"/>
      <c r="E32" s="1">
        <v>169.13</v>
      </c>
      <c r="F32" s="1">
        <v>169</v>
      </c>
      <c r="G32" s="1"/>
      <c r="H32" s="1">
        <v>30</v>
      </c>
      <c r="I32" s="1"/>
      <c r="J32" s="1"/>
      <c r="K32" s="1"/>
      <c r="L32" s="1"/>
      <c r="M32" s="1">
        <f t="shared" si="1"/>
        <v>0.13</v>
      </c>
      <c r="N32" s="1"/>
      <c r="O32" s="1">
        <v>0.13</v>
      </c>
      <c r="P32" s="1"/>
      <c r="Q32" s="1"/>
      <c r="R32" s="1"/>
      <c r="S32" s="1"/>
      <c r="T32" s="1">
        <v>4.95</v>
      </c>
      <c r="U32" s="1"/>
      <c r="V32" s="1"/>
      <c r="X32" s="5">
        <f t="shared" si="0"/>
        <v>1.6875389974302379E-14</v>
      </c>
      <c r="Y32">
        <f>E32-F32-I32-L32-M32</f>
        <v>-4.5519144009631418E-15</v>
      </c>
      <c r="Z32">
        <f t="shared" si="3"/>
        <v>0</v>
      </c>
    </row>
    <row r="33" spans="1:26" ht="12.75" customHeight="1">
      <c r="A33" s="2" t="s">
        <v>30</v>
      </c>
      <c r="B33" s="1">
        <v>409.95</v>
      </c>
      <c r="C33" s="1">
        <v>25.9</v>
      </c>
      <c r="D33" s="1"/>
      <c r="E33" s="1">
        <v>213</v>
      </c>
      <c r="F33" s="1">
        <v>213</v>
      </c>
      <c r="G33" s="1"/>
      <c r="H33" s="1"/>
      <c r="I33" s="1"/>
      <c r="J33" s="1"/>
      <c r="K33" s="1"/>
      <c r="L33" s="1"/>
      <c r="M33" s="1">
        <f t="shared" si="1"/>
        <v>0</v>
      </c>
      <c r="N33" s="1"/>
      <c r="O33" s="1"/>
      <c r="P33" s="1"/>
      <c r="Q33" s="1"/>
      <c r="R33" s="1"/>
      <c r="S33" s="1"/>
      <c r="T33" s="1">
        <v>170.05</v>
      </c>
      <c r="U33" s="1">
        <v>1</v>
      </c>
      <c r="V33" s="1"/>
      <c r="X33" s="5">
        <f t="shared" si="0"/>
        <v>0</v>
      </c>
      <c r="Y33">
        <f t="shared" si="2"/>
        <v>0</v>
      </c>
      <c r="Z33">
        <f t="shared" si="3"/>
        <v>0</v>
      </c>
    </row>
    <row r="34" spans="1:26" ht="12.75" customHeight="1">
      <c r="A34" s="2" t="s">
        <v>31</v>
      </c>
      <c r="B34" s="1">
        <v>204.7</v>
      </c>
      <c r="C34" s="1">
        <v>203.5</v>
      </c>
      <c r="D34" s="1"/>
      <c r="E34" s="1"/>
      <c r="F34" s="1"/>
      <c r="G34" s="1"/>
      <c r="H34" s="1"/>
      <c r="I34" s="1"/>
      <c r="J34" s="1"/>
      <c r="K34" s="1"/>
      <c r="L34" s="1"/>
      <c r="M34" s="1">
        <f t="shared" si="1"/>
        <v>0</v>
      </c>
      <c r="N34" s="1"/>
      <c r="O34" s="1"/>
      <c r="P34" s="1"/>
      <c r="Q34" s="1"/>
      <c r="R34" s="1"/>
      <c r="S34" s="1"/>
      <c r="T34" s="1"/>
      <c r="U34" s="1">
        <v>1.2</v>
      </c>
      <c r="V34" s="1"/>
      <c r="X34" s="5">
        <f t="shared" si="0"/>
        <v>-1.1324274851176597E-14</v>
      </c>
      <c r="Y34">
        <f t="shared" si="2"/>
        <v>0</v>
      </c>
      <c r="Z34">
        <f t="shared" si="3"/>
        <v>0</v>
      </c>
    </row>
    <row r="35" spans="1:26" ht="12.75" customHeight="1">
      <c r="A35" s="2" t="s">
        <v>32</v>
      </c>
      <c r="B35" s="1">
        <v>408.35</v>
      </c>
      <c r="C35" s="1"/>
      <c r="D35" s="1"/>
      <c r="E35" s="1">
        <v>370</v>
      </c>
      <c r="F35" s="1">
        <v>370</v>
      </c>
      <c r="G35" s="1"/>
      <c r="H35" s="1"/>
      <c r="I35" s="1"/>
      <c r="J35" s="1"/>
      <c r="K35" s="1"/>
      <c r="L35" s="1"/>
      <c r="M35" s="1">
        <f t="shared" si="1"/>
        <v>0</v>
      </c>
      <c r="N35" s="1"/>
      <c r="O35" s="1"/>
      <c r="P35" s="1"/>
      <c r="Q35" s="1"/>
      <c r="R35" s="1"/>
      <c r="S35" s="1"/>
      <c r="T35" s="1">
        <v>32.549999999999997</v>
      </c>
      <c r="U35" s="1">
        <v>5.8</v>
      </c>
      <c r="V35" s="1"/>
      <c r="X35" s="5">
        <f t="shared" si="0"/>
        <v>2.5757174171303632E-14</v>
      </c>
      <c r="Y35">
        <f t="shared" si="2"/>
        <v>0</v>
      </c>
      <c r="Z35">
        <f t="shared" si="3"/>
        <v>0</v>
      </c>
    </row>
    <row r="36" spans="1:26" ht="12.75" customHeight="1">
      <c r="A36" s="2" t="s">
        <v>33</v>
      </c>
      <c r="B36" s="1">
        <v>172.45</v>
      </c>
      <c r="C36" s="1">
        <v>54.73</v>
      </c>
      <c r="D36" s="1"/>
      <c r="E36" s="1">
        <v>85.1</v>
      </c>
      <c r="F36" s="1">
        <v>79.5</v>
      </c>
      <c r="G36" s="1"/>
      <c r="H36" s="1"/>
      <c r="I36" s="1"/>
      <c r="J36" s="1"/>
      <c r="K36" s="1"/>
      <c r="L36" s="1">
        <v>2.5</v>
      </c>
      <c r="M36" s="1">
        <f t="shared" si="1"/>
        <v>3.1</v>
      </c>
      <c r="N36" s="1">
        <v>3.1</v>
      </c>
      <c r="O36" s="1"/>
      <c r="P36" s="1"/>
      <c r="Q36" s="1"/>
      <c r="R36" s="1"/>
      <c r="S36" s="1"/>
      <c r="T36" s="1">
        <v>32.619999999999997</v>
      </c>
      <c r="U36" s="1"/>
      <c r="V36" s="1"/>
      <c r="X36" s="5">
        <f t="shared" si="0"/>
        <v>7.1054273576010019E-15</v>
      </c>
      <c r="Y36">
        <f t="shared" si="2"/>
        <v>-5.773159728050814E-15</v>
      </c>
      <c r="Z36">
        <f t="shared" si="3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T38" si="4">D5-SUM(D6:D36)</f>
        <v>0</v>
      </c>
      <c r="E38">
        <f t="shared" si="4"/>
        <v>0</v>
      </c>
      <c r="F38">
        <f t="shared" si="4"/>
        <v>-1.2600000000002183</v>
      </c>
      <c r="H38">
        <f t="shared" si="4"/>
        <v>0</v>
      </c>
      <c r="I38">
        <f t="shared" si="4"/>
        <v>0</v>
      </c>
      <c r="J38">
        <f t="shared" si="4"/>
        <v>0</v>
      </c>
      <c r="K38">
        <f t="shared" si="4"/>
        <v>0</v>
      </c>
      <c r="L38">
        <f t="shared" si="4"/>
        <v>0</v>
      </c>
      <c r="M38">
        <f t="shared" si="4"/>
        <v>0</v>
      </c>
      <c r="N38">
        <f t="shared" si="4"/>
        <v>0</v>
      </c>
      <c r="O38">
        <f t="shared" si="4"/>
        <v>0</v>
      </c>
      <c r="P38">
        <f t="shared" si="4"/>
        <v>0</v>
      </c>
      <c r="S38">
        <f t="shared" si="4"/>
        <v>0</v>
      </c>
      <c r="T38">
        <f t="shared" si="4"/>
        <v>0</v>
      </c>
      <c r="U38">
        <f>U5-SUM(U6:U36)</f>
        <v>0</v>
      </c>
      <c r="V38">
        <f>V5-SUM(V6:V36)</f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2E7F-DEDD-4746-93E8-9F18BC5DD1F6}">
  <dimension ref="A1:Z38"/>
  <sheetViews>
    <sheetView zoomScaleNormal="100" workbookViewId="0">
      <selection activeCell="I5" sqref="I5:I36"/>
    </sheetView>
  </sheetViews>
  <sheetFormatPr defaultRowHeight="12.75"/>
  <cols>
    <col min="1" max="22" width="7.5703125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9435.65</v>
      </c>
      <c r="C5" s="1">
        <v>1282.77</v>
      </c>
      <c r="D5" s="1">
        <v>175</v>
      </c>
      <c r="E5" s="1">
        <v>6241.34</v>
      </c>
      <c r="F5" s="1">
        <v>5653.6</v>
      </c>
      <c r="G5" s="1"/>
      <c r="H5" s="1">
        <v>183</v>
      </c>
      <c r="I5" s="1">
        <v>236.64</v>
      </c>
      <c r="J5" s="1"/>
      <c r="K5" s="1"/>
      <c r="L5" s="1"/>
      <c r="M5" s="1"/>
      <c r="N5" s="1">
        <v>77.02</v>
      </c>
      <c r="O5" s="1">
        <v>25.68</v>
      </c>
      <c r="P5" s="1">
        <v>65.400000000000006</v>
      </c>
      <c r="Q5" s="1"/>
      <c r="R5" s="1"/>
      <c r="S5" s="1">
        <v>174.69</v>
      </c>
      <c r="T5" s="1">
        <v>1527.77</v>
      </c>
      <c r="U5" s="1"/>
      <c r="V5" s="1">
        <v>209.08</v>
      </c>
      <c r="X5">
        <f t="shared" ref="X5:X36" si="0">B5-C5-E5-S5-T5-U5-V5</f>
        <v>-9.9475983006414026E-13</v>
      </c>
      <c r="Y5">
        <f>E5-F5-I5-L5-M5</f>
        <v>351.0999999999998</v>
      </c>
      <c r="Z5">
        <f>M5-N5-O5-P5</f>
        <v>-168.1</v>
      </c>
    </row>
    <row r="6" spans="1:26" ht="12.75" customHeight="1">
      <c r="A6" s="2" t="s">
        <v>6</v>
      </c>
      <c r="B6" s="1">
        <v>92.34</v>
      </c>
      <c r="C6" s="1"/>
      <c r="D6" s="1"/>
      <c r="E6" s="1">
        <v>92.34</v>
      </c>
      <c r="F6" s="1"/>
      <c r="G6" s="1"/>
      <c r="H6" s="1"/>
      <c r="I6" s="1">
        <v>92.34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>
        <f t="shared" si="0"/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>
        <v>65.400000000000006</v>
      </c>
      <c r="C7" s="1"/>
      <c r="D7" s="1"/>
      <c r="E7" s="1">
        <v>60</v>
      </c>
      <c r="F7" s="1">
        <v>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5.4</v>
      </c>
      <c r="U7" s="1"/>
      <c r="V7" s="1"/>
      <c r="X7">
        <f t="shared" si="0"/>
        <v>5.3290705182007514E-15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>
        <v>234.73</v>
      </c>
      <c r="C8" s="1"/>
      <c r="D8" s="1"/>
      <c r="E8" s="1">
        <v>132.9</v>
      </c>
      <c r="F8" s="1">
        <v>126</v>
      </c>
      <c r="G8" s="1"/>
      <c r="H8" s="1"/>
      <c r="I8" s="1"/>
      <c r="J8" s="1"/>
      <c r="K8" s="1"/>
      <c r="L8" s="1"/>
      <c r="M8" s="1"/>
      <c r="N8" s="1">
        <v>1.5</v>
      </c>
      <c r="O8" s="1"/>
      <c r="P8" s="1">
        <v>5.4</v>
      </c>
      <c r="Q8" s="1"/>
      <c r="R8" s="1"/>
      <c r="S8" s="1"/>
      <c r="T8" s="1">
        <v>88.78</v>
      </c>
      <c r="U8" s="1"/>
      <c r="V8" s="1">
        <v>13.05</v>
      </c>
      <c r="X8">
        <f t="shared" si="0"/>
        <v>-1.7763568394002505E-14</v>
      </c>
      <c r="Y8">
        <f t="shared" si="1"/>
        <v>6.9000000000000057</v>
      </c>
      <c r="Z8">
        <f t="shared" si="2"/>
        <v>-6.9</v>
      </c>
    </row>
    <row r="9" spans="1:26" ht="12.75" customHeight="1">
      <c r="A9" s="2" t="s">
        <v>9</v>
      </c>
      <c r="B9" s="1">
        <v>677.7</v>
      </c>
      <c r="C9" s="1">
        <v>60</v>
      </c>
      <c r="D9" s="1">
        <v>60</v>
      </c>
      <c r="E9" s="1">
        <v>511.8</v>
      </c>
      <c r="F9" s="1">
        <v>448.8</v>
      </c>
      <c r="G9" s="1"/>
      <c r="H9" s="1">
        <v>63</v>
      </c>
      <c r="I9" s="1"/>
      <c r="J9" s="1"/>
      <c r="K9" s="1"/>
      <c r="L9" s="1"/>
      <c r="M9" s="1"/>
      <c r="N9" s="1">
        <v>0</v>
      </c>
      <c r="O9" s="1"/>
      <c r="P9" s="1"/>
      <c r="Q9" s="1"/>
      <c r="R9" s="1"/>
      <c r="S9" s="1"/>
      <c r="T9" s="1">
        <v>104.4</v>
      </c>
      <c r="U9" s="1"/>
      <c r="V9" s="1">
        <v>1.5</v>
      </c>
      <c r="X9">
        <f t="shared" si="0"/>
        <v>2.8421709430404007E-14</v>
      </c>
      <c r="Y9">
        <f t="shared" si="1"/>
        <v>63</v>
      </c>
      <c r="Z9">
        <f t="shared" si="2"/>
        <v>0</v>
      </c>
    </row>
    <row r="10" spans="1:26" ht="12.75" customHeight="1">
      <c r="A10" s="2" t="s">
        <v>2</v>
      </c>
      <c r="B10" s="1">
        <v>839.14</v>
      </c>
      <c r="C10" s="1">
        <v>0.05</v>
      </c>
      <c r="D10" s="1"/>
      <c r="E10" s="1">
        <v>464.3</v>
      </c>
      <c r="F10" s="1">
        <v>457.7</v>
      </c>
      <c r="G10" s="1"/>
      <c r="H10" s="1"/>
      <c r="I10" s="1"/>
      <c r="J10" s="1"/>
      <c r="K10" s="1"/>
      <c r="L10" s="1"/>
      <c r="M10" s="1"/>
      <c r="N10" s="1">
        <v>1.8</v>
      </c>
      <c r="O10" s="1"/>
      <c r="P10" s="1">
        <v>4.8</v>
      </c>
      <c r="Q10" s="1"/>
      <c r="R10" s="1"/>
      <c r="S10" s="1"/>
      <c r="T10" s="1">
        <v>368.39</v>
      </c>
      <c r="U10" s="1"/>
      <c r="V10" s="1">
        <v>6.4</v>
      </c>
      <c r="X10">
        <f t="shared" si="0"/>
        <v>3.3750779948604759E-14</v>
      </c>
      <c r="Y10">
        <f t="shared" si="1"/>
        <v>6.6000000000000227</v>
      </c>
      <c r="Z10">
        <f t="shared" si="2"/>
        <v>-6.6</v>
      </c>
    </row>
    <row r="11" spans="1:26" ht="12.75" customHeight="1">
      <c r="A11" s="2" t="s">
        <v>10</v>
      </c>
      <c r="B11" s="1">
        <v>296.7</v>
      </c>
      <c r="C11" s="1">
        <v>30</v>
      </c>
      <c r="D11" s="1">
        <v>30</v>
      </c>
      <c r="E11" s="1">
        <v>157.9</v>
      </c>
      <c r="F11" s="1">
        <v>155.19999999999999</v>
      </c>
      <c r="G11" s="1"/>
      <c r="H11" s="1"/>
      <c r="I11" s="1"/>
      <c r="J11" s="1"/>
      <c r="K11" s="1"/>
      <c r="L11" s="1"/>
      <c r="M11" s="1"/>
      <c r="N11" s="1">
        <v>2.7</v>
      </c>
      <c r="O11" s="1"/>
      <c r="P11" s="1"/>
      <c r="Q11" s="1"/>
      <c r="R11" s="1"/>
      <c r="S11" s="1"/>
      <c r="T11" s="1">
        <v>108.8</v>
      </c>
      <c r="U11" s="1"/>
      <c r="V11" s="1"/>
      <c r="X11">
        <f t="shared" si="0"/>
        <v>-1.4210854715202004E-14</v>
      </c>
      <c r="Y11">
        <f t="shared" si="1"/>
        <v>2.7000000000000171</v>
      </c>
      <c r="Z11">
        <f t="shared" si="2"/>
        <v>-2.7</v>
      </c>
    </row>
    <row r="12" spans="1:26" ht="12.75" customHeight="1">
      <c r="A12" s="2" t="s">
        <v>3</v>
      </c>
      <c r="B12" s="1">
        <v>216.43</v>
      </c>
      <c r="C12" s="1">
        <v>6.33</v>
      </c>
      <c r="D12" s="1"/>
      <c r="E12" s="1">
        <v>160.6</v>
      </c>
      <c r="F12" s="1">
        <v>149.4</v>
      </c>
      <c r="G12" s="1"/>
      <c r="H12" s="1"/>
      <c r="I12" s="1"/>
      <c r="J12" s="1"/>
      <c r="K12" s="1"/>
      <c r="L12" s="1"/>
      <c r="M12" s="1"/>
      <c r="N12" s="1">
        <v>5.7</v>
      </c>
      <c r="O12" s="1"/>
      <c r="P12" s="1">
        <v>5.5</v>
      </c>
      <c r="Q12" s="1"/>
      <c r="R12" s="1"/>
      <c r="S12" s="1"/>
      <c r="T12" s="1">
        <v>49.5</v>
      </c>
      <c r="U12" s="1"/>
      <c r="V12" s="1"/>
      <c r="X12">
        <f t="shared" si="0"/>
        <v>0</v>
      </c>
      <c r="Y12">
        <f t="shared" si="1"/>
        <v>11.199999999999989</v>
      </c>
      <c r="Z12">
        <f t="shared" si="2"/>
        <v>-11.2</v>
      </c>
    </row>
    <row r="13" spans="1:26" ht="12.75" customHeight="1">
      <c r="A13" s="2" t="s">
        <v>4</v>
      </c>
      <c r="B13" s="1">
        <v>167.29</v>
      </c>
      <c r="C13" s="1">
        <v>1.2</v>
      </c>
      <c r="D13" s="1"/>
      <c r="E13" s="1">
        <v>103.55</v>
      </c>
      <c r="F13" s="1">
        <v>42.95</v>
      </c>
      <c r="G13" s="1"/>
      <c r="H13" s="1">
        <v>60</v>
      </c>
      <c r="I13" s="1"/>
      <c r="J13" s="1"/>
      <c r="K13" s="1"/>
      <c r="L13" s="1"/>
      <c r="M13" s="1"/>
      <c r="N13" s="1"/>
      <c r="O13" s="1"/>
      <c r="P13" s="1">
        <v>0.6</v>
      </c>
      <c r="Q13" s="1"/>
      <c r="R13" s="1"/>
      <c r="S13" s="1"/>
      <c r="T13" s="1">
        <v>62.54</v>
      </c>
      <c r="U13" s="1"/>
      <c r="V13" s="1"/>
      <c r="X13">
        <f t="shared" si="0"/>
        <v>7.1054273576010019E-15</v>
      </c>
      <c r="Y13">
        <f t="shared" si="1"/>
        <v>60.599999999999994</v>
      </c>
      <c r="Z13">
        <f t="shared" si="2"/>
        <v>-0.6</v>
      </c>
    </row>
    <row r="14" spans="1:26" ht="12.75" customHeight="1">
      <c r="A14" s="2" t="s">
        <v>11</v>
      </c>
      <c r="B14" s="1">
        <v>136.93</v>
      </c>
      <c r="C14" s="1"/>
      <c r="D14" s="1"/>
      <c r="E14" s="1">
        <v>127.5</v>
      </c>
      <c r="F14" s="1">
        <v>4</v>
      </c>
      <c r="G14" s="1"/>
      <c r="H14" s="1"/>
      <c r="I14" s="1">
        <v>122.3</v>
      </c>
      <c r="J14" s="1"/>
      <c r="K14" s="1"/>
      <c r="L14" s="1"/>
      <c r="M14" s="1"/>
      <c r="N14" s="1">
        <v>1.2</v>
      </c>
      <c r="O14" s="1"/>
      <c r="P14" s="1"/>
      <c r="Q14" s="1"/>
      <c r="R14" s="1"/>
      <c r="S14" s="1"/>
      <c r="T14" s="1">
        <v>9.43</v>
      </c>
      <c r="U14" s="1"/>
      <c r="V14" s="1"/>
      <c r="X14">
        <f t="shared" si="0"/>
        <v>7.1054273576010019E-15</v>
      </c>
      <c r="Y14">
        <f t="shared" si="1"/>
        <v>1.2000000000000028</v>
      </c>
      <c r="Z14">
        <f t="shared" si="2"/>
        <v>-1.2</v>
      </c>
    </row>
    <row r="15" spans="1:26" ht="12.75" customHeight="1">
      <c r="A15" s="2" t="s">
        <v>12</v>
      </c>
      <c r="B15" s="1">
        <v>567.38</v>
      </c>
      <c r="C15" s="1"/>
      <c r="D15" s="1"/>
      <c r="E15" s="1">
        <v>525.1</v>
      </c>
      <c r="F15" s="1">
        <v>479.2</v>
      </c>
      <c r="G15" s="1"/>
      <c r="H15" s="1"/>
      <c r="I15" s="1">
        <v>22</v>
      </c>
      <c r="J15" s="1"/>
      <c r="K15" s="1"/>
      <c r="L15" s="1"/>
      <c r="M15" s="1"/>
      <c r="N15" s="1">
        <v>15.45</v>
      </c>
      <c r="O15" s="1">
        <v>6.85</v>
      </c>
      <c r="P15" s="1">
        <v>1.6</v>
      </c>
      <c r="Q15" s="1"/>
      <c r="R15" s="1"/>
      <c r="S15" s="1"/>
      <c r="T15" s="1">
        <v>12.15</v>
      </c>
      <c r="U15" s="1"/>
      <c r="V15" s="1">
        <v>30.13</v>
      </c>
      <c r="X15">
        <f t="shared" si="0"/>
        <v>0</v>
      </c>
      <c r="Y15">
        <f t="shared" si="1"/>
        <v>23.900000000000034</v>
      </c>
      <c r="Z15">
        <f t="shared" si="2"/>
        <v>-23.9</v>
      </c>
    </row>
    <row r="16" spans="1:26" ht="12.75" customHeight="1">
      <c r="A16" s="2" t="s">
        <v>13</v>
      </c>
      <c r="B16" s="1">
        <v>336.65</v>
      </c>
      <c r="C16" s="1"/>
      <c r="D16" s="1"/>
      <c r="E16" s="1">
        <v>260</v>
      </c>
      <c r="F16" s="1">
        <v>260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v>66</v>
      </c>
      <c r="T16" s="1">
        <v>10.65</v>
      </c>
      <c r="U16" s="1"/>
      <c r="V16" s="1"/>
      <c r="X16">
        <f t="shared" si="0"/>
        <v>-2.3092638912203256E-14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>
        <v>221.9</v>
      </c>
      <c r="C17" s="1">
        <v>25</v>
      </c>
      <c r="D17" s="1">
        <v>25</v>
      </c>
      <c r="E17" s="1">
        <v>186.8</v>
      </c>
      <c r="F17" s="1">
        <v>168.5</v>
      </c>
      <c r="G17" s="1"/>
      <c r="H17" s="1"/>
      <c r="I17" s="1"/>
      <c r="J17" s="1"/>
      <c r="K17" s="1"/>
      <c r="L17" s="1"/>
      <c r="M17" s="1"/>
      <c r="N17" s="1">
        <v>6.3</v>
      </c>
      <c r="O17" s="1"/>
      <c r="P17" s="1">
        <v>12</v>
      </c>
      <c r="Q17" s="1"/>
      <c r="R17" s="1"/>
      <c r="S17" s="1"/>
      <c r="T17" s="1">
        <v>9.9</v>
      </c>
      <c r="U17" s="1"/>
      <c r="V17" s="1">
        <v>0.2</v>
      </c>
      <c r="X17">
        <f t="shared" si="0"/>
        <v>-6.0507154842071031E-15</v>
      </c>
      <c r="Y17">
        <f t="shared" si="1"/>
        <v>18.300000000000011</v>
      </c>
      <c r="Z17">
        <f t="shared" si="2"/>
        <v>-18.3</v>
      </c>
    </row>
    <row r="18" spans="1:26" ht="12.75" customHeight="1">
      <c r="A18" s="2" t="s">
        <v>15</v>
      </c>
      <c r="B18" s="1">
        <v>142.4</v>
      </c>
      <c r="C18" s="1"/>
      <c r="D18" s="1"/>
      <c r="E18" s="1">
        <v>127</v>
      </c>
      <c r="F18" s="1">
        <v>127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15.4</v>
      </c>
      <c r="U18" s="1"/>
      <c r="V18" s="1"/>
      <c r="X18">
        <f t="shared" si="0"/>
        <v>5.3290705182007514E-15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>
        <v>134.94999999999999</v>
      </c>
      <c r="C19" s="1"/>
      <c r="D19" s="1"/>
      <c r="E19" s="1">
        <v>130</v>
      </c>
      <c r="F19" s="1">
        <v>130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4.95</v>
      </c>
      <c r="U19" s="1"/>
      <c r="V19" s="1"/>
      <c r="X19">
        <f t="shared" si="0"/>
        <v>-1.1546319456101628E-14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>
        <v>525.28</v>
      </c>
      <c r="C20" s="1">
        <v>0.21</v>
      </c>
      <c r="D20" s="1"/>
      <c r="E20" s="1">
        <v>406.18</v>
      </c>
      <c r="F20" s="1">
        <v>351.45</v>
      </c>
      <c r="G20" s="1"/>
      <c r="H20" s="1"/>
      <c r="I20" s="1"/>
      <c r="J20" s="1"/>
      <c r="K20" s="1"/>
      <c r="L20" s="1"/>
      <c r="M20" s="1"/>
      <c r="N20" s="1">
        <v>30.32</v>
      </c>
      <c r="O20" s="1">
        <v>4.91</v>
      </c>
      <c r="P20" s="1">
        <v>19.5</v>
      </c>
      <c r="Q20" s="1"/>
      <c r="R20" s="1"/>
      <c r="S20" s="1"/>
      <c r="T20" s="1">
        <v>116.76</v>
      </c>
      <c r="U20" s="1"/>
      <c r="V20" s="1">
        <v>2.13</v>
      </c>
      <c r="X20">
        <f t="shared" si="0"/>
        <v>-7.5495165674510645E-14</v>
      </c>
      <c r="Y20">
        <f t="shared" si="1"/>
        <v>54.730000000000018</v>
      </c>
      <c r="Z20">
        <f t="shared" si="2"/>
        <v>-54.730000000000004</v>
      </c>
    </row>
    <row r="21" spans="1:26" ht="12.75" customHeight="1">
      <c r="A21" s="2" t="s">
        <v>18</v>
      </c>
      <c r="B21" s="1">
        <v>385</v>
      </c>
      <c r="C21" s="1">
        <v>30</v>
      </c>
      <c r="D21" s="1">
        <v>30</v>
      </c>
      <c r="E21" s="1">
        <v>347.5</v>
      </c>
      <c r="F21" s="1">
        <v>346</v>
      </c>
      <c r="G21" s="1"/>
      <c r="H21" s="1"/>
      <c r="I21" s="1"/>
      <c r="J21" s="1"/>
      <c r="K21" s="1"/>
      <c r="L21" s="1"/>
      <c r="M21" s="1"/>
      <c r="N21" s="1"/>
      <c r="O21" s="1"/>
      <c r="P21" s="1">
        <v>1.5</v>
      </c>
      <c r="Q21" s="1"/>
      <c r="R21" s="1"/>
      <c r="S21" s="1"/>
      <c r="T21" s="1">
        <v>7.5</v>
      </c>
      <c r="U21" s="1"/>
      <c r="V21" s="1"/>
      <c r="X21">
        <f t="shared" si="0"/>
        <v>0</v>
      </c>
      <c r="Y21">
        <f t="shared" si="1"/>
        <v>1.5</v>
      </c>
      <c r="Z21">
        <f t="shared" si="2"/>
        <v>-1.5</v>
      </c>
    </row>
    <row r="22" spans="1:26" ht="12.75" customHeight="1">
      <c r="A22" s="2" t="s">
        <v>19</v>
      </c>
      <c r="B22" s="1">
        <v>387.83</v>
      </c>
      <c r="C22" s="7">
        <v>294.36</v>
      </c>
      <c r="D22" s="1"/>
      <c r="E22" s="1">
        <v>87.65</v>
      </c>
      <c r="F22" s="1">
        <v>81.099999999999994</v>
      </c>
      <c r="G22" s="1"/>
      <c r="H22" s="1"/>
      <c r="I22" s="1"/>
      <c r="J22" s="1"/>
      <c r="K22" s="1"/>
      <c r="L22" s="1"/>
      <c r="M22" s="1"/>
      <c r="N22" s="1">
        <v>6.55</v>
      </c>
      <c r="O22" s="1"/>
      <c r="P22" s="1"/>
      <c r="Q22" s="1"/>
      <c r="R22" s="1"/>
      <c r="S22" s="1"/>
      <c r="T22" s="1">
        <v>5.82</v>
      </c>
      <c r="U22" s="1"/>
      <c r="V22" s="1"/>
      <c r="X22">
        <f t="shared" si="0"/>
        <v>-3.5527136788005009E-14</v>
      </c>
      <c r="Y22">
        <f t="shared" si="1"/>
        <v>6.5500000000000114</v>
      </c>
      <c r="Z22">
        <f t="shared" si="2"/>
        <v>-6.55</v>
      </c>
    </row>
    <row r="23" spans="1:26" ht="12.75" customHeight="1">
      <c r="A23" s="2" t="s">
        <v>20</v>
      </c>
      <c r="B23" s="1">
        <v>219.17</v>
      </c>
      <c r="C23" s="1">
        <v>16.7</v>
      </c>
      <c r="D23" s="1"/>
      <c r="E23" s="1">
        <v>192.72</v>
      </c>
      <c r="F23" s="1">
        <v>188.7</v>
      </c>
      <c r="G23" s="1"/>
      <c r="H23" s="1"/>
      <c r="I23" s="1"/>
      <c r="J23" s="1"/>
      <c r="K23" s="1"/>
      <c r="L23" s="1"/>
      <c r="M23" s="1"/>
      <c r="N23" s="1"/>
      <c r="O23" s="1">
        <v>2.52</v>
      </c>
      <c r="P23" s="1">
        <v>1.5</v>
      </c>
      <c r="Q23" s="1"/>
      <c r="R23" s="1"/>
      <c r="S23" s="1"/>
      <c r="T23" s="1">
        <v>9.75</v>
      </c>
      <c r="U23" s="1"/>
      <c r="V23" s="1"/>
      <c r="X23">
        <f t="shared" si="0"/>
        <v>0</v>
      </c>
      <c r="Y23">
        <f t="shared" si="1"/>
        <v>4.0200000000000102</v>
      </c>
      <c r="Z23">
        <f t="shared" si="2"/>
        <v>-4.0199999999999996</v>
      </c>
    </row>
    <row r="24" spans="1:26" ht="12.75" customHeight="1">
      <c r="A24" s="2" t="s">
        <v>21</v>
      </c>
      <c r="B24" s="1">
        <v>753.48</v>
      </c>
      <c r="C24" s="1">
        <v>30</v>
      </c>
      <c r="D24" s="1">
        <v>30</v>
      </c>
      <c r="E24" s="1">
        <v>591</v>
      </c>
      <c r="F24" s="1">
        <v>575.6</v>
      </c>
      <c r="G24" s="1"/>
      <c r="H24" s="1"/>
      <c r="I24" s="1"/>
      <c r="J24" s="1"/>
      <c r="K24" s="1"/>
      <c r="L24" s="1"/>
      <c r="M24" s="1"/>
      <c r="N24" s="1"/>
      <c r="O24" s="1">
        <v>5.4</v>
      </c>
      <c r="P24" s="1">
        <v>10</v>
      </c>
      <c r="Q24" s="1"/>
      <c r="R24" s="1"/>
      <c r="S24" s="1">
        <v>108.69</v>
      </c>
      <c r="T24" s="1">
        <v>23.49</v>
      </c>
      <c r="U24" s="1"/>
      <c r="V24" s="1">
        <v>0.3</v>
      </c>
      <c r="X24">
        <f t="shared" si="0"/>
        <v>2.2037927038809357E-14</v>
      </c>
      <c r="Y24">
        <f t="shared" si="1"/>
        <v>15.399999999999977</v>
      </c>
      <c r="Z24">
        <f t="shared" si="2"/>
        <v>-15.4</v>
      </c>
    </row>
    <row r="25" spans="1:26" ht="12.75" customHeight="1">
      <c r="A25" s="2" t="s">
        <v>22</v>
      </c>
      <c r="B25" s="1">
        <v>158.1</v>
      </c>
      <c r="C25" s="1">
        <v>17.149999999999999</v>
      </c>
      <c r="D25" s="1"/>
      <c r="E25" s="1">
        <v>136</v>
      </c>
      <c r="F25" s="1">
        <v>133</v>
      </c>
      <c r="G25" s="1"/>
      <c r="H25" s="1"/>
      <c r="I25" s="1"/>
      <c r="J25" s="1"/>
      <c r="K25" s="1"/>
      <c r="L25" s="1"/>
      <c r="M25" s="1"/>
      <c r="N25" s="1"/>
      <c r="O25" s="1"/>
      <c r="P25" s="1">
        <v>3</v>
      </c>
      <c r="Q25" s="1"/>
      <c r="R25" s="1"/>
      <c r="S25" s="1"/>
      <c r="T25" s="1">
        <v>4.95</v>
      </c>
      <c r="U25" s="1"/>
      <c r="V25" s="1"/>
      <c r="X25">
        <f t="shared" si="0"/>
        <v>-1.1546319456101628E-14</v>
      </c>
      <c r="Y25">
        <f t="shared" si="1"/>
        <v>3</v>
      </c>
      <c r="Z25">
        <f t="shared" si="2"/>
        <v>-3</v>
      </c>
    </row>
    <row r="26" spans="1:26" ht="12.75" customHeight="1">
      <c r="A26" s="2" t="s">
        <v>23</v>
      </c>
      <c r="B26" s="1">
        <v>4.4000000000000004</v>
      </c>
      <c r="C26" s="6"/>
      <c r="D26" s="1"/>
      <c r="E26" s="1">
        <v>2.4</v>
      </c>
      <c r="F26" s="1">
        <v>0</v>
      </c>
      <c r="G26" s="1"/>
      <c r="H26" s="1"/>
      <c r="I26" s="1"/>
      <c r="J26" s="1"/>
      <c r="K26" s="1"/>
      <c r="L26" s="1"/>
      <c r="M26" s="1"/>
      <c r="N26" s="1"/>
      <c r="O26" s="1">
        <v>2.4</v>
      </c>
      <c r="P26" s="1"/>
      <c r="Q26" s="1"/>
      <c r="R26" s="1"/>
      <c r="S26" s="1"/>
      <c r="T26" s="1"/>
      <c r="U26" s="1"/>
      <c r="V26" s="1">
        <v>2</v>
      </c>
      <c r="X26">
        <f t="shared" si="0"/>
        <v>0</v>
      </c>
      <c r="Y26">
        <f t="shared" si="1"/>
        <v>2.4</v>
      </c>
      <c r="Z26">
        <f t="shared" si="2"/>
        <v>-2.4</v>
      </c>
    </row>
    <row r="27" spans="1:26" ht="12.75" customHeight="1">
      <c r="A27" s="2" t="s">
        <v>24</v>
      </c>
      <c r="B27" s="1">
        <v>123.3</v>
      </c>
      <c r="C27" s="1">
        <v>123.3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>
        <v>396.75</v>
      </c>
      <c r="C28" s="1">
        <v>206.05</v>
      </c>
      <c r="D28" s="1"/>
      <c r="E28" s="1">
        <v>189.1</v>
      </c>
      <c r="F28" s="1">
        <v>180</v>
      </c>
      <c r="G28" s="1"/>
      <c r="H28" s="1"/>
      <c r="I28" s="1"/>
      <c r="J28" s="1"/>
      <c r="K28" s="1"/>
      <c r="L28" s="1"/>
      <c r="M28" s="1"/>
      <c r="N28" s="1">
        <v>5.5</v>
      </c>
      <c r="O28" s="1">
        <v>3.6</v>
      </c>
      <c r="P28" s="1"/>
      <c r="Q28" s="1"/>
      <c r="R28" s="1"/>
      <c r="S28" s="1"/>
      <c r="T28" s="1">
        <v>1.6</v>
      </c>
      <c r="U28" s="1"/>
      <c r="V28" s="1"/>
      <c r="X28">
        <f t="shared" si="0"/>
        <v>-5.773159728050814E-15</v>
      </c>
      <c r="Y28">
        <f t="shared" si="1"/>
        <v>9.0999999999999943</v>
      </c>
      <c r="Z28">
        <f t="shared" si="2"/>
        <v>-9.1</v>
      </c>
    </row>
    <row r="29" spans="1:26" ht="12.75" customHeight="1">
      <c r="A29" s="2" t="s">
        <v>26</v>
      </c>
      <c r="B29" s="1">
        <v>141.63999999999999</v>
      </c>
      <c r="C29" s="1">
        <v>1.19</v>
      </c>
      <c r="D29" s="1"/>
      <c r="E29" s="1">
        <v>125</v>
      </c>
      <c r="F29" s="1">
        <v>125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15.45</v>
      </c>
      <c r="U29" s="1"/>
      <c r="V29" s="1"/>
      <c r="X29">
        <f t="shared" si="0"/>
        <v>-1.0658141036401503E-14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>
        <v>393.34</v>
      </c>
      <c r="C30" s="1">
        <v>353.36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39.979999999999997</v>
      </c>
      <c r="U30" s="1"/>
      <c r="V30" s="1"/>
      <c r="X30">
        <f t="shared" si="0"/>
        <v>-3.5527136788005009E-14</v>
      </c>
      <c r="Y30">
        <f t="shared" si="1"/>
        <v>0</v>
      </c>
      <c r="Z30">
        <f t="shared" si="2"/>
        <v>0</v>
      </c>
    </row>
    <row r="31" spans="1:26" ht="12.75" customHeight="1">
      <c r="A31" s="2" t="s">
        <v>28</v>
      </c>
      <c r="B31" s="1">
        <v>12.17</v>
      </c>
      <c r="C31" s="6">
        <v>10.199999999999999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>
        <v>1.97</v>
      </c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>
        <v>168</v>
      </c>
      <c r="C32" s="6">
        <v>2</v>
      </c>
      <c r="D32" s="1"/>
      <c r="E32" s="1">
        <v>137</v>
      </c>
      <c r="F32" s="1">
        <v>137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25.5</v>
      </c>
      <c r="U32" s="1"/>
      <c r="V32" s="1">
        <v>3.5</v>
      </c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>
        <v>420.09</v>
      </c>
      <c r="C33" s="1">
        <v>26.74</v>
      </c>
      <c r="D33" s="1"/>
      <c r="E33" s="1">
        <v>104</v>
      </c>
      <c r="F33" s="1">
        <v>104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v>281.35000000000002</v>
      </c>
      <c r="U33" s="1"/>
      <c r="V33" s="1">
        <v>8</v>
      </c>
      <c r="X33">
        <f t="shared" si="0"/>
        <v>-5.6843418860808015E-14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>
        <v>136.1</v>
      </c>
      <c r="C34" s="1">
        <v>13</v>
      </c>
      <c r="D34" s="1"/>
      <c r="E34" s="1">
        <v>27</v>
      </c>
      <c r="F34" s="1">
        <v>27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1.7</v>
      </c>
      <c r="U34" s="1"/>
      <c r="V34" s="1">
        <v>94.4</v>
      </c>
      <c r="X34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>
        <v>513.17999999999995</v>
      </c>
      <c r="C35" s="1"/>
      <c r="D35" s="1"/>
      <c r="E35" s="1">
        <v>374</v>
      </c>
      <c r="F35" s="1">
        <v>374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99.08</v>
      </c>
      <c r="U35" s="1"/>
      <c r="V35" s="1">
        <v>40.1</v>
      </c>
      <c r="X3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>
        <v>567.88</v>
      </c>
      <c r="C36" s="1">
        <v>35.93</v>
      </c>
      <c r="D36" s="1"/>
      <c r="E36" s="1">
        <v>482</v>
      </c>
      <c r="F36" s="1">
        <v>422</v>
      </c>
      <c r="G36" s="1"/>
      <c r="H36" s="1">
        <v>60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44.55</v>
      </c>
      <c r="U36" s="1"/>
      <c r="V36" s="1">
        <v>5.4</v>
      </c>
      <c r="X36">
        <f t="shared" si="0"/>
        <v>4.7961634663806763E-14</v>
      </c>
      <c r="Y36">
        <f t="shared" si="1"/>
        <v>60</v>
      </c>
      <c r="Z36">
        <f t="shared" si="2"/>
        <v>0</v>
      </c>
    </row>
    <row r="37" spans="1:26" ht="12.75" customHeight="1"/>
    <row r="38" spans="1:26">
      <c r="B38">
        <f>B5-SUM(B6:B36)</f>
        <v>0</v>
      </c>
      <c r="C38">
        <f>C5-SUM(C6:C36)</f>
        <v>0</v>
      </c>
      <c r="D38">
        <f t="shared" ref="D38:T38" si="3">D5-SUM(D6:D36)</f>
        <v>0</v>
      </c>
      <c r="E38">
        <f t="shared" si="3"/>
        <v>0</v>
      </c>
      <c r="F38">
        <f t="shared" si="3"/>
        <v>0</v>
      </c>
      <c r="H38">
        <f t="shared" si="3"/>
        <v>0</v>
      </c>
      <c r="I38">
        <f t="shared" si="3"/>
        <v>0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0</v>
      </c>
      <c r="N38">
        <f t="shared" si="3"/>
        <v>0</v>
      </c>
      <c r="O38">
        <f t="shared" si="3"/>
        <v>0</v>
      </c>
      <c r="P38">
        <f t="shared" si="3"/>
        <v>0</v>
      </c>
      <c r="S38">
        <f t="shared" si="3"/>
        <v>0</v>
      </c>
      <c r="T38">
        <f t="shared" si="3"/>
        <v>0</v>
      </c>
      <c r="U38">
        <f>U5-SUM(U6:U36)</f>
        <v>0</v>
      </c>
      <c r="V38">
        <f>V5-SUM(V6:V36)</f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0B45-1F10-4994-8EEC-B00041085975}">
  <dimension ref="A1:Z38"/>
  <sheetViews>
    <sheetView zoomScaleNormal="100" workbookViewId="0">
      <selection activeCell="I5" sqref="I5:I36"/>
    </sheetView>
  </sheetViews>
  <sheetFormatPr defaultRowHeight="12.75"/>
  <cols>
    <col min="1" max="22" width="7.5703125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8315</v>
      </c>
      <c r="C5" s="1">
        <v>1676</v>
      </c>
      <c r="D5" s="1">
        <v>165</v>
      </c>
      <c r="E5" s="1">
        <v>5236</v>
      </c>
      <c r="F5" s="1">
        <v>4788</v>
      </c>
      <c r="G5" s="1"/>
      <c r="H5" s="1">
        <v>156</v>
      </c>
      <c r="I5" s="1">
        <v>247</v>
      </c>
      <c r="J5" s="1"/>
      <c r="K5" s="1"/>
      <c r="L5" s="1"/>
      <c r="M5" s="1">
        <v>201</v>
      </c>
      <c r="N5" s="1">
        <v>105</v>
      </c>
      <c r="O5" s="1">
        <v>20</v>
      </c>
      <c r="P5" s="1">
        <v>75</v>
      </c>
      <c r="Q5" s="1"/>
      <c r="R5" s="1"/>
      <c r="S5" s="1"/>
      <c r="T5" s="1">
        <v>1296</v>
      </c>
      <c r="U5" s="1">
        <v>107</v>
      </c>
      <c r="V5" s="1"/>
      <c r="X5">
        <f>B5-C5-E5-S5-T5-U5-V5</f>
        <v>0</v>
      </c>
      <c r="Y5">
        <f>E5-F5-I5-L5-M5</f>
        <v>0</v>
      </c>
      <c r="Z5">
        <f>M5-N5-O5-P5</f>
        <v>1</v>
      </c>
    </row>
    <row r="6" spans="1:26" ht="12.75" customHeight="1">
      <c r="A6" s="2" t="s">
        <v>6</v>
      </c>
      <c r="B6" s="1"/>
      <c r="C6" s="1"/>
      <c r="D6" s="1"/>
      <c r="E6" s="1"/>
      <c r="F6" s="1">
        <v>0</v>
      </c>
      <c r="G6" s="1"/>
      <c r="H6" s="1"/>
      <c r="I6" s="1">
        <v>0</v>
      </c>
      <c r="J6" s="1"/>
      <c r="K6" s="1"/>
      <c r="L6" s="1"/>
      <c r="M6" s="1">
        <v>0</v>
      </c>
      <c r="N6" s="1"/>
      <c r="O6" s="1"/>
      <c r="P6" s="1"/>
      <c r="Q6" s="1"/>
      <c r="R6" s="1"/>
      <c r="S6" s="1"/>
      <c r="T6" s="1"/>
      <c r="U6" s="1"/>
      <c r="V6" s="1"/>
      <c r="X6">
        <f t="shared" ref="X6:X36" si="0">B6-C6-E6-S6-T6-U6-V6</f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>
        <v>31</v>
      </c>
      <c r="C7" s="1"/>
      <c r="D7" s="1"/>
      <c r="E7" s="1">
        <v>27</v>
      </c>
      <c r="F7" s="1">
        <v>27</v>
      </c>
      <c r="G7" s="1"/>
      <c r="H7" s="1"/>
      <c r="I7" s="1">
        <v>0</v>
      </c>
      <c r="J7" s="1"/>
      <c r="K7" s="1"/>
      <c r="L7" s="1"/>
      <c r="M7" s="1">
        <v>0</v>
      </c>
      <c r="N7" s="1"/>
      <c r="O7" s="1"/>
      <c r="P7" s="1"/>
      <c r="Q7" s="1"/>
      <c r="R7" s="1"/>
      <c r="S7" s="1"/>
      <c r="T7" s="1">
        <v>5</v>
      </c>
      <c r="U7" s="1"/>
      <c r="V7" s="1"/>
      <c r="X7">
        <f t="shared" si="0"/>
        <v>-1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>
        <v>334</v>
      </c>
      <c r="C8" s="1"/>
      <c r="D8" s="1"/>
      <c r="E8" s="1">
        <v>175</v>
      </c>
      <c r="F8" s="1">
        <v>153</v>
      </c>
      <c r="G8" s="1"/>
      <c r="H8" s="1">
        <v>60</v>
      </c>
      <c r="I8" s="1">
        <v>0</v>
      </c>
      <c r="J8" s="1"/>
      <c r="K8" s="1"/>
      <c r="L8" s="1"/>
      <c r="M8" s="1">
        <v>22</v>
      </c>
      <c r="N8" s="1">
        <v>0.6</v>
      </c>
      <c r="O8" s="1">
        <v>4</v>
      </c>
      <c r="P8" s="1">
        <v>18</v>
      </c>
      <c r="Q8" s="1"/>
      <c r="R8" s="1"/>
      <c r="S8" s="1"/>
      <c r="T8" s="1">
        <v>158</v>
      </c>
      <c r="U8" s="1">
        <v>0.1</v>
      </c>
      <c r="V8" s="1"/>
      <c r="X8">
        <f t="shared" si="0"/>
        <v>0.9</v>
      </c>
      <c r="Y8">
        <f t="shared" si="1"/>
        <v>0</v>
      </c>
      <c r="Z8">
        <f t="shared" si="2"/>
        <v>-0.60000000000000142</v>
      </c>
    </row>
    <row r="9" spans="1:26" ht="12.75" customHeight="1">
      <c r="A9" s="2" t="s">
        <v>9</v>
      </c>
      <c r="B9" s="1">
        <v>422</v>
      </c>
      <c r="C9" s="1"/>
      <c r="D9" s="1"/>
      <c r="E9" s="1">
        <v>318</v>
      </c>
      <c r="F9" s="1">
        <v>317</v>
      </c>
      <c r="G9" s="1"/>
      <c r="H9" s="1">
        <v>30</v>
      </c>
      <c r="I9" s="1">
        <v>0.5</v>
      </c>
      <c r="J9" s="1"/>
      <c r="K9" s="1"/>
      <c r="L9" s="1"/>
      <c r="M9" s="1">
        <v>0</v>
      </c>
      <c r="N9" s="1"/>
      <c r="O9" s="1"/>
      <c r="P9" s="1"/>
      <c r="Q9" s="1"/>
      <c r="R9" s="1"/>
      <c r="S9" s="1"/>
      <c r="T9" s="1">
        <v>103</v>
      </c>
      <c r="U9" s="1">
        <v>0.8</v>
      </c>
      <c r="V9" s="1"/>
      <c r="X9">
        <f t="shared" si="0"/>
        <v>0.19999999999999996</v>
      </c>
      <c r="Y9">
        <f t="shared" si="1"/>
        <v>0.5</v>
      </c>
      <c r="Z9">
        <f t="shared" si="2"/>
        <v>0</v>
      </c>
    </row>
    <row r="10" spans="1:26" ht="12.75" customHeight="1">
      <c r="A10" s="2" t="s">
        <v>2</v>
      </c>
      <c r="B10" s="1">
        <v>234</v>
      </c>
      <c r="C10" s="1">
        <v>1</v>
      </c>
      <c r="D10" s="1"/>
      <c r="E10" s="1">
        <v>71</v>
      </c>
      <c r="F10" s="1">
        <v>71</v>
      </c>
      <c r="G10" s="1"/>
      <c r="H10" s="1"/>
      <c r="I10" s="1">
        <v>0</v>
      </c>
      <c r="J10" s="1"/>
      <c r="K10" s="1"/>
      <c r="L10" s="1"/>
      <c r="M10" s="1">
        <v>0</v>
      </c>
      <c r="N10" s="1"/>
      <c r="O10" s="1"/>
      <c r="P10" s="1"/>
      <c r="Q10" s="1"/>
      <c r="R10" s="1"/>
      <c r="S10" s="1"/>
      <c r="T10" s="1">
        <v>152</v>
      </c>
      <c r="U10" s="1">
        <v>11</v>
      </c>
      <c r="V10" s="1"/>
      <c r="X10">
        <f t="shared" si="0"/>
        <v>-1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>
        <v>421</v>
      </c>
      <c r="C11" s="1">
        <v>95</v>
      </c>
      <c r="D11" s="1">
        <v>90</v>
      </c>
      <c r="E11" s="1">
        <v>257</v>
      </c>
      <c r="F11" s="1">
        <v>221</v>
      </c>
      <c r="G11" s="1"/>
      <c r="H11" s="1"/>
      <c r="I11" s="1">
        <v>0</v>
      </c>
      <c r="J11" s="1"/>
      <c r="K11" s="1"/>
      <c r="L11" s="1"/>
      <c r="M11" s="1">
        <v>36</v>
      </c>
      <c r="N11" s="1">
        <v>25</v>
      </c>
      <c r="O11" s="1"/>
      <c r="P11" s="1">
        <v>11</v>
      </c>
      <c r="Q11" s="1"/>
      <c r="R11" s="1"/>
      <c r="S11" s="1"/>
      <c r="T11" s="1">
        <v>69</v>
      </c>
      <c r="U11" s="1">
        <v>1</v>
      </c>
      <c r="V11" s="1"/>
      <c r="X11">
        <f t="shared" si="0"/>
        <v>-1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>
        <v>159</v>
      </c>
      <c r="C12" s="1">
        <v>9</v>
      </c>
      <c r="D12" s="1"/>
      <c r="E12" s="1">
        <v>111</v>
      </c>
      <c r="F12" s="1">
        <v>104</v>
      </c>
      <c r="G12" s="1"/>
      <c r="H12" s="1">
        <v>66</v>
      </c>
      <c r="I12" s="1">
        <v>0</v>
      </c>
      <c r="J12" s="1"/>
      <c r="K12" s="1"/>
      <c r="L12" s="1"/>
      <c r="M12" s="1">
        <v>8</v>
      </c>
      <c r="N12" s="1">
        <v>6</v>
      </c>
      <c r="O12" s="1"/>
      <c r="P12" s="1">
        <v>2</v>
      </c>
      <c r="Q12" s="1"/>
      <c r="R12" s="1"/>
      <c r="S12" s="1"/>
      <c r="T12" s="1">
        <v>39</v>
      </c>
      <c r="U12" s="1"/>
      <c r="V12" s="1"/>
      <c r="X12">
        <f t="shared" si="0"/>
        <v>0</v>
      </c>
      <c r="Y12">
        <f t="shared" si="1"/>
        <v>-1</v>
      </c>
      <c r="Z12">
        <f t="shared" si="2"/>
        <v>0</v>
      </c>
    </row>
    <row r="13" spans="1:26" ht="12.75" customHeight="1">
      <c r="A13" s="2" t="s">
        <v>4</v>
      </c>
      <c r="B13" s="1">
        <v>87</v>
      </c>
      <c r="C13" s="1">
        <v>0.4</v>
      </c>
      <c r="D13" s="1"/>
      <c r="E13" s="1">
        <v>16</v>
      </c>
      <c r="F13" s="1">
        <v>0</v>
      </c>
      <c r="G13" s="1"/>
      <c r="H13" s="1"/>
      <c r="I13" s="1">
        <v>2</v>
      </c>
      <c r="J13" s="1"/>
      <c r="K13" s="1"/>
      <c r="L13" s="1"/>
      <c r="M13" s="1">
        <v>13</v>
      </c>
      <c r="N13" s="1">
        <v>8</v>
      </c>
      <c r="O13" s="1"/>
      <c r="P13" s="1">
        <v>5</v>
      </c>
      <c r="Q13" s="1"/>
      <c r="R13" s="1"/>
      <c r="S13" s="1"/>
      <c r="T13" s="1">
        <v>71</v>
      </c>
      <c r="U13" s="1"/>
      <c r="V13" s="1"/>
      <c r="X13">
        <f t="shared" si="0"/>
        <v>-0.40000000000000568</v>
      </c>
      <c r="Y13">
        <f t="shared" si="1"/>
        <v>1</v>
      </c>
      <c r="Z13">
        <f t="shared" si="2"/>
        <v>0</v>
      </c>
    </row>
    <row r="14" spans="1:26" ht="12.75" customHeight="1">
      <c r="A14" s="2" t="s">
        <v>11</v>
      </c>
      <c r="B14" s="1">
        <v>42</v>
      </c>
      <c r="C14" s="1"/>
      <c r="D14" s="1"/>
      <c r="E14" s="1">
        <v>42</v>
      </c>
      <c r="F14" s="1">
        <v>42</v>
      </c>
      <c r="G14" s="1"/>
      <c r="H14" s="1"/>
      <c r="I14" s="1">
        <v>0</v>
      </c>
      <c r="J14" s="1"/>
      <c r="K14" s="1"/>
      <c r="L14" s="1"/>
      <c r="M14" s="1">
        <v>0</v>
      </c>
      <c r="N14" s="1"/>
      <c r="O14" s="1"/>
      <c r="P14" s="1"/>
      <c r="Q14" s="1"/>
      <c r="R14" s="1"/>
      <c r="S14" s="1"/>
      <c r="T14" s="1"/>
      <c r="U14" s="1"/>
      <c r="V14" s="1"/>
      <c r="X14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>
        <v>584</v>
      </c>
      <c r="C15" s="1">
        <v>0</v>
      </c>
      <c r="D15" s="1"/>
      <c r="E15" s="1">
        <v>540</v>
      </c>
      <c r="F15" s="1">
        <v>399</v>
      </c>
      <c r="G15" s="1"/>
      <c r="H15" s="1"/>
      <c r="I15" s="1">
        <v>117</v>
      </c>
      <c r="J15" s="1"/>
      <c r="K15" s="1"/>
      <c r="L15" s="1"/>
      <c r="M15" s="1">
        <v>24</v>
      </c>
      <c r="N15" s="1">
        <v>18</v>
      </c>
      <c r="O15" s="1">
        <v>0.8</v>
      </c>
      <c r="P15" s="1">
        <v>5</v>
      </c>
      <c r="Q15" s="1"/>
      <c r="R15" s="1"/>
      <c r="S15" s="1"/>
      <c r="T15" s="1">
        <v>37</v>
      </c>
      <c r="U15" s="1">
        <v>7</v>
      </c>
      <c r="V15" s="1"/>
      <c r="X15">
        <f t="shared" si="0"/>
        <v>0</v>
      </c>
      <c r="Y15">
        <f t="shared" si="1"/>
        <v>0</v>
      </c>
      <c r="Z15">
        <f t="shared" si="2"/>
        <v>0.20000000000000018</v>
      </c>
    </row>
    <row r="16" spans="1:26" ht="12.75" customHeight="1">
      <c r="A16" s="2" t="s">
        <v>13</v>
      </c>
      <c r="B16" s="1">
        <v>139</v>
      </c>
      <c r="C16" s="1"/>
      <c r="D16" s="1"/>
      <c r="E16" s="1">
        <v>131</v>
      </c>
      <c r="F16" s="1">
        <v>4</v>
      </c>
      <c r="G16" s="1"/>
      <c r="H16" s="1"/>
      <c r="I16" s="1">
        <v>127</v>
      </c>
      <c r="J16" s="1"/>
      <c r="K16" s="1"/>
      <c r="L16" s="1"/>
      <c r="M16" s="1">
        <v>0</v>
      </c>
      <c r="N16" s="1"/>
      <c r="O16" s="1"/>
      <c r="P16" s="1"/>
      <c r="Q16" s="1"/>
      <c r="R16" s="1"/>
      <c r="S16" s="1"/>
      <c r="T16" s="1">
        <v>8</v>
      </c>
      <c r="U16" s="1"/>
      <c r="V16" s="1"/>
      <c r="X16">
        <f t="shared" si="0"/>
        <v>0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>
        <v>352</v>
      </c>
      <c r="C17" s="1">
        <v>77</v>
      </c>
      <c r="D17" s="1">
        <v>75</v>
      </c>
      <c r="E17" s="1">
        <v>269</v>
      </c>
      <c r="F17" s="1">
        <v>263</v>
      </c>
      <c r="G17" s="1"/>
      <c r="H17" s="1"/>
      <c r="I17" s="1">
        <v>0</v>
      </c>
      <c r="J17" s="1"/>
      <c r="K17" s="1"/>
      <c r="L17" s="1"/>
      <c r="M17" s="1">
        <v>6</v>
      </c>
      <c r="N17" s="1">
        <v>2</v>
      </c>
      <c r="O17" s="1">
        <v>0.1</v>
      </c>
      <c r="P17" s="1">
        <v>3</v>
      </c>
      <c r="Q17" s="1"/>
      <c r="R17" s="1"/>
      <c r="S17" s="1"/>
      <c r="T17" s="1">
        <v>5</v>
      </c>
      <c r="U17" s="1">
        <v>1.5</v>
      </c>
      <c r="V17" s="1"/>
      <c r="X17">
        <f t="shared" si="0"/>
        <v>-0.5</v>
      </c>
      <c r="Y17">
        <f t="shared" si="1"/>
        <v>0</v>
      </c>
      <c r="Z17">
        <f t="shared" si="2"/>
        <v>0.89999999999999991</v>
      </c>
    </row>
    <row r="18" spans="1:26" ht="12.75" customHeight="1">
      <c r="A18" s="2" t="s">
        <v>15</v>
      </c>
      <c r="B18" s="1">
        <v>137</v>
      </c>
      <c r="C18" s="1"/>
      <c r="D18" s="1"/>
      <c r="E18" s="1">
        <v>127</v>
      </c>
      <c r="F18" s="1">
        <v>127</v>
      </c>
      <c r="G18" s="1"/>
      <c r="H18" s="1"/>
      <c r="I18" s="1">
        <v>0</v>
      </c>
      <c r="J18" s="1"/>
      <c r="K18" s="1"/>
      <c r="L18" s="1"/>
      <c r="M18" s="1">
        <v>0</v>
      </c>
      <c r="N18" s="1"/>
      <c r="O18" s="1"/>
      <c r="P18" s="1"/>
      <c r="Q18" s="1"/>
      <c r="R18" s="1"/>
      <c r="S18" s="1"/>
      <c r="T18" s="1">
        <v>10</v>
      </c>
      <c r="U18" s="1"/>
      <c r="V18" s="1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>
        <v>138</v>
      </c>
      <c r="C19" s="1">
        <v>4</v>
      </c>
      <c r="D19" s="1"/>
      <c r="E19" s="1">
        <v>130</v>
      </c>
      <c r="F19" s="1">
        <v>130</v>
      </c>
      <c r="G19" s="1"/>
      <c r="H19" s="1"/>
      <c r="I19" s="1">
        <v>0</v>
      </c>
      <c r="J19" s="1"/>
      <c r="K19" s="1"/>
      <c r="L19" s="1"/>
      <c r="M19" s="1">
        <v>0</v>
      </c>
      <c r="N19" s="1"/>
      <c r="O19" s="1"/>
      <c r="P19" s="1"/>
      <c r="Q19" s="1"/>
      <c r="R19" s="1"/>
      <c r="S19" s="1"/>
      <c r="T19" s="1">
        <v>3</v>
      </c>
      <c r="U19" s="1"/>
      <c r="V19" s="1"/>
      <c r="X19">
        <f t="shared" si="0"/>
        <v>1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>
        <v>521</v>
      </c>
      <c r="C20" s="1">
        <v>0.7</v>
      </c>
      <c r="D20" s="1"/>
      <c r="E20" s="1">
        <v>381</v>
      </c>
      <c r="F20" s="1">
        <v>337</v>
      </c>
      <c r="G20" s="1"/>
      <c r="H20" s="1"/>
      <c r="I20" s="1">
        <v>0.4</v>
      </c>
      <c r="J20" s="1"/>
      <c r="K20" s="1"/>
      <c r="L20" s="1"/>
      <c r="M20" s="1">
        <v>45</v>
      </c>
      <c r="N20" s="1">
        <v>28</v>
      </c>
      <c r="O20" s="1">
        <v>5</v>
      </c>
      <c r="P20" s="1">
        <v>11</v>
      </c>
      <c r="Q20" s="1"/>
      <c r="R20" s="1"/>
      <c r="S20" s="1"/>
      <c r="T20" s="1">
        <v>132</v>
      </c>
      <c r="U20" s="1">
        <v>7</v>
      </c>
      <c r="V20" s="1"/>
      <c r="X20">
        <f t="shared" si="0"/>
        <v>0.29999999999995453</v>
      </c>
      <c r="Y20">
        <f t="shared" si="1"/>
        <v>-1.3999999999999986</v>
      </c>
      <c r="Z20">
        <f t="shared" si="2"/>
        <v>1</v>
      </c>
    </row>
    <row r="21" spans="1:26" ht="12.75" customHeight="1">
      <c r="A21" s="2" t="s">
        <v>18</v>
      </c>
      <c r="B21" s="1">
        <v>620</v>
      </c>
      <c r="C21" s="1"/>
      <c r="D21" s="1"/>
      <c r="E21" s="1">
        <v>615</v>
      </c>
      <c r="F21" s="1">
        <v>613</v>
      </c>
      <c r="G21" s="1"/>
      <c r="H21" s="1"/>
      <c r="I21" s="1">
        <v>0</v>
      </c>
      <c r="J21" s="1"/>
      <c r="K21" s="1"/>
      <c r="L21" s="1"/>
      <c r="M21" s="1">
        <v>2</v>
      </c>
      <c r="N21" s="1"/>
      <c r="O21" s="1"/>
      <c r="P21" s="1">
        <v>2</v>
      </c>
      <c r="Q21" s="1"/>
      <c r="R21" s="1"/>
      <c r="S21" s="1"/>
      <c r="T21" s="1">
        <v>5</v>
      </c>
      <c r="U21" s="1"/>
      <c r="V21" s="1"/>
      <c r="X21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>
        <v>441</v>
      </c>
      <c r="C22" s="1">
        <v>196</v>
      </c>
      <c r="D22" s="1"/>
      <c r="E22" s="1">
        <v>239</v>
      </c>
      <c r="F22" s="1">
        <v>203</v>
      </c>
      <c r="G22" s="1"/>
      <c r="H22" s="1"/>
      <c r="I22" s="1">
        <v>0.2</v>
      </c>
      <c r="J22" s="1"/>
      <c r="K22" s="1"/>
      <c r="L22" s="1"/>
      <c r="M22" s="1">
        <v>35</v>
      </c>
      <c r="N22" s="1">
        <v>17</v>
      </c>
      <c r="O22" s="1">
        <v>6</v>
      </c>
      <c r="P22" s="1">
        <v>13</v>
      </c>
      <c r="Q22" s="1"/>
      <c r="R22" s="1"/>
      <c r="S22" s="1"/>
      <c r="T22" s="1">
        <v>5</v>
      </c>
      <c r="U22" s="1">
        <v>0.9</v>
      </c>
      <c r="V22" s="1"/>
      <c r="X22">
        <f t="shared" si="0"/>
        <v>9.9999999999999978E-2</v>
      </c>
      <c r="Y22">
        <f t="shared" si="1"/>
        <v>0.79999999999999716</v>
      </c>
      <c r="Z22">
        <f t="shared" si="2"/>
        <v>-1</v>
      </c>
    </row>
    <row r="23" spans="1:26" ht="12.75" customHeight="1">
      <c r="A23" s="2" t="s">
        <v>20</v>
      </c>
      <c r="B23" s="1">
        <v>95</v>
      </c>
      <c r="C23" s="1">
        <v>17</v>
      </c>
      <c r="D23" s="1"/>
      <c r="E23" s="1">
        <v>72</v>
      </c>
      <c r="F23" s="1">
        <v>66</v>
      </c>
      <c r="G23" s="1"/>
      <c r="H23" s="1"/>
      <c r="I23" s="1">
        <v>0</v>
      </c>
      <c r="J23" s="1"/>
      <c r="K23" s="1"/>
      <c r="L23" s="1"/>
      <c r="M23" s="1">
        <v>6</v>
      </c>
      <c r="N23" s="1"/>
      <c r="O23" s="1"/>
      <c r="P23" s="1">
        <v>6</v>
      </c>
      <c r="Q23" s="1"/>
      <c r="R23" s="1"/>
      <c r="S23" s="1"/>
      <c r="T23" s="1">
        <v>5</v>
      </c>
      <c r="U23" s="1"/>
      <c r="V23" s="1"/>
      <c r="X23">
        <f t="shared" si="0"/>
        <v>1</v>
      </c>
      <c r="Y23">
        <f t="shared" si="1"/>
        <v>0</v>
      </c>
      <c r="Z23">
        <f t="shared" si="2"/>
        <v>0</v>
      </c>
    </row>
    <row r="24" spans="1:26" ht="12.75" customHeight="1">
      <c r="A24" s="2" t="s">
        <v>21</v>
      </c>
      <c r="B24" s="1">
        <v>533</v>
      </c>
      <c r="C24" s="1"/>
      <c r="D24" s="1"/>
      <c r="E24" s="1">
        <v>496</v>
      </c>
      <c r="F24" s="1">
        <v>496</v>
      </c>
      <c r="G24" s="1"/>
      <c r="H24" s="1"/>
      <c r="I24" s="1">
        <v>0</v>
      </c>
      <c r="J24" s="1"/>
      <c r="K24" s="1"/>
      <c r="L24" s="1"/>
      <c r="M24" s="1">
        <v>0</v>
      </c>
      <c r="N24" s="1"/>
      <c r="O24" s="1"/>
      <c r="P24" s="1"/>
      <c r="Q24" s="1"/>
      <c r="R24" s="1"/>
      <c r="S24" s="1"/>
      <c r="T24" s="1">
        <v>36</v>
      </c>
      <c r="U24" s="1">
        <v>2</v>
      </c>
      <c r="V24" s="1"/>
      <c r="X24">
        <f t="shared" si="0"/>
        <v>-1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>
        <v>275</v>
      </c>
      <c r="C25" s="1">
        <v>4</v>
      </c>
      <c r="D25" s="1"/>
      <c r="E25" s="1">
        <v>266</v>
      </c>
      <c r="F25" s="1">
        <v>266</v>
      </c>
      <c r="G25" s="1"/>
      <c r="H25" s="1"/>
      <c r="I25" s="1">
        <v>0</v>
      </c>
      <c r="J25" s="1"/>
      <c r="K25" s="1"/>
      <c r="L25" s="1"/>
      <c r="M25" s="1">
        <v>0</v>
      </c>
      <c r="N25" s="1"/>
      <c r="O25" s="1"/>
      <c r="P25" s="1"/>
      <c r="Q25" s="1"/>
      <c r="R25" s="1"/>
      <c r="S25" s="1"/>
      <c r="T25" s="1">
        <v>5</v>
      </c>
      <c r="U25" s="1"/>
      <c r="V25" s="1"/>
      <c r="X2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>
        <v>75</v>
      </c>
      <c r="C26" s="6"/>
      <c r="D26" s="1"/>
      <c r="E26" s="1">
        <v>70</v>
      </c>
      <c r="F26" s="1">
        <v>70</v>
      </c>
      <c r="G26" s="1"/>
      <c r="H26" s="1"/>
      <c r="I26" s="1">
        <v>0</v>
      </c>
      <c r="J26" s="1"/>
      <c r="K26" s="1"/>
      <c r="L26" s="1"/>
      <c r="M26" s="1">
        <v>0</v>
      </c>
      <c r="N26" s="1"/>
      <c r="O26" s="1"/>
      <c r="P26" s="1"/>
      <c r="Q26" s="1"/>
      <c r="R26" s="1"/>
      <c r="S26" s="1"/>
      <c r="T26" s="1">
        <v>5</v>
      </c>
      <c r="U26" s="1"/>
      <c r="V26" s="1"/>
      <c r="X26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>
        <v>17</v>
      </c>
      <c r="C27" s="1">
        <v>17</v>
      </c>
      <c r="D27" s="1"/>
      <c r="E27" s="1"/>
      <c r="F27" s="1">
        <v>0</v>
      </c>
      <c r="G27" s="1"/>
      <c r="H27" s="1"/>
      <c r="I27" s="1">
        <v>0</v>
      </c>
      <c r="J27" s="1"/>
      <c r="K27" s="1"/>
      <c r="L27" s="1"/>
      <c r="M27" s="1">
        <v>0</v>
      </c>
      <c r="N27" s="1"/>
      <c r="O27" s="1"/>
      <c r="P27" s="1"/>
      <c r="Q27" s="1"/>
      <c r="R27" s="1"/>
      <c r="S27" s="1"/>
      <c r="T27" s="1"/>
      <c r="U27" s="1"/>
      <c r="V27" s="1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>
        <v>797</v>
      </c>
      <c r="C28" s="1">
        <v>730</v>
      </c>
      <c r="D28" s="1"/>
      <c r="E28" s="1">
        <v>67</v>
      </c>
      <c r="F28" s="1">
        <v>62</v>
      </c>
      <c r="G28" s="1"/>
      <c r="H28" s="1"/>
      <c r="I28" s="1">
        <v>0</v>
      </c>
      <c r="J28" s="1"/>
      <c r="K28" s="1"/>
      <c r="L28" s="1"/>
      <c r="M28" s="1">
        <v>5</v>
      </c>
      <c r="N28" s="1">
        <v>0.2</v>
      </c>
      <c r="O28" s="1">
        <v>5</v>
      </c>
      <c r="P28" s="1"/>
      <c r="Q28" s="1"/>
      <c r="R28" s="1"/>
      <c r="S28" s="1"/>
      <c r="T28" s="1"/>
      <c r="U28" s="1"/>
      <c r="V28" s="1"/>
      <c r="X28">
        <f t="shared" si="0"/>
        <v>0</v>
      </c>
      <c r="Y28">
        <f t="shared" si="1"/>
        <v>0</v>
      </c>
      <c r="Z28">
        <f t="shared" si="2"/>
        <v>-0.20000000000000018</v>
      </c>
    </row>
    <row r="29" spans="1:26" ht="12.75" customHeight="1">
      <c r="A29" s="2" t="s">
        <v>26</v>
      </c>
      <c r="B29" s="1">
        <v>182</v>
      </c>
      <c r="C29" s="1">
        <v>11</v>
      </c>
      <c r="D29" s="1"/>
      <c r="E29" s="1">
        <v>126</v>
      </c>
      <c r="F29" s="1">
        <v>126</v>
      </c>
      <c r="G29" s="1"/>
      <c r="H29" s="1"/>
      <c r="I29" s="1">
        <v>0</v>
      </c>
      <c r="J29" s="1"/>
      <c r="K29" s="1"/>
      <c r="L29" s="1"/>
      <c r="M29" s="1">
        <v>0</v>
      </c>
      <c r="N29" s="1"/>
      <c r="O29" s="1"/>
      <c r="P29" s="1"/>
      <c r="Q29" s="1"/>
      <c r="R29" s="1"/>
      <c r="S29" s="1"/>
      <c r="T29" s="1">
        <v>45</v>
      </c>
      <c r="U29" s="1"/>
      <c r="V29" s="1"/>
      <c r="X29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>
        <v>708</v>
      </c>
      <c r="C30" s="1">
        <v>397</v>
      </c>
      <c r="D30" s="1"/>
      <c r="E30" s="1">
        <v>180</v>
      </c>
      <c r="F30" s="1">
        <v>180</v>
      </c>
      <c r="G30" s="1"/>
      <c r="H30" s="1"/>
      <c r="I30" s="1">
        <v>0</v>
      </c>
      <c r="J30" s="1"/>
      <c r="K30" s="1"/>
      <c r="L30" s="1"/>
      <c r="M30" s="1">
        <v>0</v>
      </c>
      <c r="N30" s="1"/>
      <c r="O30" s="1"/>
      <c r="P30" s="1"/>
      <c r="Q30" s="1"/>
      <c r="R30" s="1"/>
      <c r="S30" s="1"/>
      <c r="T30" s="1">
        <v>130</v>
      </c>
      <c r="U30" s="1">
        <v>1</v>
      </c>
      <c r="V30" s="1"/>
      <c r="X30">
        <f t="shared" si="0"/>
        <v>0</v>
      </c>
      <c r="Y30">
        <f t="shared" si="1"/>
        <v>0</v>
      </c>
      <c r="Z30">
        <f t="shared" si="2"/>
        <v>0</v>
      </c>
    </row>
    <row r="31" spans="1:26" ht="12.75" customHeight="1">
      <c r="A31" s="2" t="s">
        <v>28</v>
      </c>
      <c r="B31" s="1">
        <v>4</v>
      </c>
      <c r="C31" s="6"/>
      <c r="D31" s="1"/>
      <c r="E31" s="1"/>
      <c r="F31" s="1">
        <v>0</v>
      </c>
      <c r="G31" s="1"/>
      <c r="H31" s="1"/>
      <c r="I31" s="1">
        <v>0</v>
      </c>
      <c r="J31" s="1"/>
      <c r="K31" s="1"/>
      <c r="L31" s="1"/>
      <c r="M31" s="1">
        <v>0</v>
      </c>
      <c r="N31" s="1"/>
      <c r="O31" s="1"/>
      <c r="P31" s="1"/>
      <c r="Q31" s="1"/>
      <c r="R31" s="1"/>
      <c r="S31" s="1"/>
      <c r="T31" s="1"/>
      <c r="U31" s="1">
        <v>4</v>
      </c>
      <c r="V31" s="1"/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>
        <v>90</v>
      </c>
      <c r="C32" s="6"/>
      <c r="D32" s="1"/>
      <c r="E32" s="1">
        <v>66</v>
      </c>
      <c r="F32" s="1">
        <v>66</v>
      </c>
      <c r="G32" s="1"/>
      <c r="H32" s="1"/>
      <c r="I32" s="1">
        <v>0</v>
      </c>
      <c r="J32" s="1"/>
      <c r="K32" s="1"/>
      <c r="L32" s="1"/>
      <c r="M32" s="1">
        <v>0</v>
      </c>
      <c r="N32" s="1"/>
      <c r="O32" s="1"/>
      <c r="P32" s="1"/>
      <c r="Q32" s="1"/>
      <c r="R32" s="1"/>
      <c r="S32" s="1"/>
      <c r="T32" s="1">
        <v>22</v>
      </c>
      <c r="U32" s="1">
        <v>3</v>
      </c>
      <c r="V32" s="1"/>
      <c r="X32">
        <f t="shared" si="0"/>
        <v>-1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>
        <v>156</v>
      </c>
      <c r="C33" s="1">
        <v>40</v>
      </c>
      <c r="D33" s="1"/>
      <c r="E33" s="1">
        <v>12</v>
      </c>
      <c r="F33" s="1">
        <v>12</v>
      </c>
      <c r="G33" s="1"/>
      <c r="H33" s="1"/>
      <c r="I33" s="1">
        <v>0</v>
      </c>
      <c r="J33" s="1"/>
      <c r="K33" s="1"/>
      <c r="L33" s="1"/>
      <c r="M33" s="1">
        <v>0</v>
      </c>
      <c r="N33" s="1"/>
      <c r="O33" s="1"/>
      <c r="P33" s="1"/>
      <c r="Q33" s="1"/>
      <c r="R33" s="1"/>
      <c r="S33" s="1"/>
      <c r="T33" s="1">
        <v>75</v>
      </c>
      <c r="U33" s="1">
        <v>29</v>
      </c>
      <c r="V33" s="1"/>
      <c r="X33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>
        <v>27</v>
      </c>
      <c r="C34" s="1">
        <v>4</v>
      </c>
      <c r="D34" s="1"/>
      <c r="E34" s="1"/>
      <c r="F34" s="1">
        <v>0</v>
      </c>
      <c r="G34" s="1"/>
      <c r="H34" s="1"/>
      <c r="I34" s="1">
        <v>0</v>
      </c>
      <c r="J34" s="1"/>
      <c r="K34" s="1"/>
      <c r="L34" s="1"/>
      <c r="M34" s="1">
        <v>0</v>
      </c>
      <c r="N34" s="1"/>
      <c r="O34" s="1"/>
      <c r="P34" s="1"/>
      <c r="Q34" s="1"/>
      <c r="R34" s="1"/>
      <c r="S34" s="1"/>
      <c r="T34" s="1">
        <v>0.2</v>
      </c>
      <c r="U34" s="1">
        <v>23</v>
      </c>
      <c r="V34" s="1"/>
      <c r="X34">
        <f t="shared" si="0"/>
        <v>-0.19999999999999929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>
        <v>95</v>
      </c>
      <c r="C35" s="1"/>
      <c r="D35" s="1"/>
      <c r="E35" s="1"/>
      <c r="F35" s="1">
        <v>0</v>
      </c>
      <c r="G35" s="1"/>
      <c r="H35" s="1"/>
      <c r="I35" s="1">
        <v>0</v>
      </c>
      <c r="J35" s="1"/>
      <c r="K35" s="1"/>
      <c r="L35" s="1"/>
      <c r="M35" s="1">
        <v>0</v>
      </c>
      <c r="N35" s="1"/>
      <c r="O35" s="1"/>
      <c r="P35" s="1"/>
      <c r="Q35" s="1"/>
      <c r="R35" s="1"/>
      <c r="S35" s="1"/>
      <c r="T35" s="1">
        <v>92</v>
      </c>
      <c r="U35" s="1">
        <v>3</v>
      </c>
      <c r="V35" s="1"/>
      <c r="X35">
        <f t="shared" si="0"/>
        <v>0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>
        <v>600</v>
      </c>
      <c r="C36" s="1">
        <v>73</v>
      </c>
      <c r="D36" s="1"/>
      <c r="E36" s="1">
        <v>433</v>
      </c>
      <c r="F36" s="1">
        <v>433</v>
      </c>
      <c r="G36" s="1"/>
      <c r="H36" s="1"/>
      <c r="I36" s="1">
        <v>0</v>
      </c>
      <c r="J36" s="1"/>
      <c r="K36" s="1"/>
      <c r="L36" s="1"/>
      <c r="M36" s="1">
        <v>0</v>
      </c>
      <c r="N36" s="1"/>
      <c r="O36" s="1"/>
      <c r="P36" s="1"/>
      <c r="Q36" s="1"/>
      <c r="R36" s="1"/>
      <c r="S36" s="1"/>
      <c r="T36" s="1">
        <v>79</v>
      </c>
      <c r="U36" s="1">
        <v>14</v>
      </c>
      <c r="V36" s="1"/>
      <c r="X36">
        <f t="shared" si="0"/>
        <v>1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-1</v>
      </c>
      <c r="C38">
        <f>C5-SUM(C6:C36)</f>
        <v>-9.9999999999909051E-2</v>
      </c>
      <c r="D38">
        <f t="shared" ref="D38:V38" si="3">D5-SUM(D6:D36)</f>
        <v>0</v>
      </c>
      <c r="E38">
        <f t="shared" si="3"/>
        <v>-1</v>
      </c>
      <c r="F38">
        <f t="shared" si="3"/>
        <v>0</v>
      </c>
      <c r="H38">
        <f t="shared" si="3"/>
        <v>0</v>
      </c>
      <c r="I38">
        <f t="shared" si="3"/>
        <v>-9.9999999999994316E-2</v>
      </c>
      <c r="J38">
        <f t="shared" si="3"/>
        <v>0</v>
      </c>
      <c r="K38">
        <f t="shared" si="3"/>
        <v>0</v>
      </c>
      <c r="L38">
        <f t="shared" si="3"/>
        <v>0</v>
      </c>
      <c r="M38">
        <f t="shared" si="3"/>
        <v>-1</v>
      </c>
      <c r="N38">
        <f t="shared" si="3"/>
        <v>0.20000000000000284</v>
      </c>
      <c r="O38">
        <f t="shared" si="3"/>
        <v>-0.89999999999999858</v>
      </c>
      <c r="P38">
        <f t="shared" si="3"/>
        <v>-1</v>
      </c>
      <c r="S38">
        <f t="shared" si="3"/>
        <v>0</v>
      </c>
      <c r="T38">
        <f t="shared" si="3"/>
        <v>-0.20000000000004547</v>
      </c>
      <c r="U38">
        <f>U5-SUM(U6:U36)</f>
        <v>-1.2999999999999972</v>
      </c>
      <c r="V38">
        <f t="shared" si="3"/>
        <v>0</v>
      </c>
    </row>
  </sheetData>
  <mergeCells count="16">
    <mergeCell ref="E2:R2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3690-43B4-40DD-A82F-94DFE292EC89}">
  <dimension ref="A1:Z38"/>
  <sheetViews>
    <sheetView zoomScaleNormal="100" workbookViewId="0">
      <selection activeCell="I5" sqref="I5:I36"/>
    </sheetView>
  </sheetViews>
  <sheetFormatPr defaultRowHeight="12.75"/>
  <cols>
    <col min="1" max="22" width="7.5703125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10222</v>
      </c>
      <c r="C5" s="1">
        <v>3096</v>
      </c>
      <c r="D5" s="1">
        <v>120</v>
      </c>
      <c r="E5" s="1">
        <v>4175</v>
      </c>
      <c r="F5" s="1">
        <v>3447</v>
      </c>
      <c r="G5" s="1"/>
      <c r="H5" s="1">
        <v>61</v>
      </c>
      <c r="I5" s="1">
        <v>440</v>
      </c>
      <c r="J5" s="1">
        <v>439</v>
      </c>
      <c r="K5" s="1"/>
      <c r="L5" s="1">
        <v>15</v>
      </c>
      <c r="M5" s="1">
        <v>273</v>
      </c>
      <c r="N5" s="1">
        <v>182</v>
      </c>
      <c r="O5" s="1">
        <v>34</v>
      </c>
      <c r="P5" s="1">
        <v>56</v>
      </c>
      <c r="Q5" s="1"/>
      <c r="R5" s="1"/>
      <c r="S5" s="1">
        <v>221</v>
      </c>
      <c r="T5" s="1">
        <v>1487</v>
      </c>
      <c r="U5" s="1">
        <v>1243</v>
      </c>
      <c r="V5" s="1"/>
      <c r="X5">
        <f>B5-C5-E5-S5-T5-U5-V5</f>
        <v>0</v>
      </c>
      <c r="Y5">
        <f>E5-F5-I5-L5-M5</f>
        <v>0</v>
      </c>
      <c r="Z5">
        <f>M5-N5-O5-P5</f>
        <v>1</v>
      </c>
    </row>
    <row r="6" spans="1:26" ht="12.75" customHeight="1">
      <c r="A6" s="2" t="s">
        <v>6</v>
      </c>
      <c r="B6" s="1">
        <v>84</v>
      </c>
      <c r="C6" s="1"/>
      <c r="D6" s="1"/>
      <c r="E6" s="1">
        <v>84</v>
      </c>
      <c r="F6" s="1">
        <v>0</v>
      </c>
      <c r="G6" s="1"/>
      <c r="H6" s="1"/>
      <c r="I6" s="1">
        <v>84</v>
      </c>
      <c r="J6" s="1">
        <v>84</v>
      </c>
      <c r="K6" s="1"/>
      <c r="L6" s="1"/>
      <c r="M6" s="1">
        <v>0</v>
      </c>
      <c r="N6" s="1"/>
      <c r="O6" s="1"/>
      <c r="P6" s="1"/>
      <c r="Q6" s="1"/>
      <c r="R6" s="1"/>
      <c r="S6" s="1"/>
      <c r="T6" s="1"/>
      <c r="U6" s="1"/>
      <c r="V6" s="1"/>
      <c r="X6">
        <f t="shared" ref="X6:X8" si="0">B6-C6-E6-S6-T6-U6-V6</f>
        <v>0</v>
      </c>
      <c r="Y6">
        <f t="shared" ref="Y6:Y8" si="1">E6-F6-I6-L6-M6</f>
        <v>0</v>
      </c>
      <c r="Z6">
        <f t="shared" ref="Z6:Z8" si="2">M6-N6-O6-P6</f>
        <v>0</v>
      </c>
    </row>
    <row r="7" spans="1:26" ht="12.75" customHeight="1">
      <c r="A7" s="2" t="s">
        <v>7</v>
      </c>
      <c r="B7" s="1">
        <v>3</v>
      </c>
      <c r="C7" s="1"/>
      <c r="D7" s="1"/>
      <c r="E7" s="1"/>
      <c r="F7" s="1">
        <v>0</v>
      </c>
      <c r="G7" s="1"/>
      <c r="H7" s="1"/>
      <c r="I7" s="1"/>
      <c r="J7" s="1"/>
      <c r="K7" s="1"/>
      <c r="L7" s="1"/>
      <c r="M7" s="1">
        <v>0</v>
      </c>
      <c r="N7" s="1"/>
      <c r="O7" s="1"/>
      <c r="P7" s="1"/>
      <c r="Q7" s="1"/>
      <c r="R7" s="1"/>
      <c r="S7" s="1"/>
      <c r="T7" s="1">
        <v>3</v>
      </c>
      <c r="U7" s="1"/>
      <c r="V7" s="1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>
        <v>279</v>
      </c>
      <c r="C8" s="1"/>
      <c r="D8" s="1"/>
      <c r="E8" s="1">
        <v>191</v>
      </c>
      <c r="F8" s="1">
        <v>190</v>
      </c>
      <c r="G8" s="1"/>
      <c r="H8" s="1"/>
      <c r="I8" s="1"/>
      <c r="J8" s="1"/>
      <c r="K8" s="1"/>
      <c r="L8" s="1"/>
      <c r="M8" s="1">
        <v>1.2</v>
      </c>
      <c r="N8" s="1"/>
      <c r="O8" s="1">
        <v>1.2</v>
      </c>
      <c r="P8" s="1"/>
      <c r="Q8" s="1"/>
      <c r="R8" s="1"/>
      <c r="S8" s="1"/>
      <c r="T8" s="1">
        <v>71</v>
      </c>
      <c r="U8" s="1">
        <v>16</v>
      </c>
      <c r="V8" s="1"/>
      <c r="X8">
        <f t="shared" si="0"/>
        <v>1</v>
      </c>
      <c r="Y8">
        <f t="shared" si="1"/>
        <v>-0.19999999999999996</v>
      </c>
      <c r="Z8">
        <f t="shared" si="2"/>
        <v>0</v>
      </c>
    </row>
    <row r="9" spans="1:26" ht="12.75" customHeight="1">
      <c r="A9" s="2" t="s">
        <v>9</v>
      </c>
      <c r="B9" s="1">
        <v>273</v>
      </c>
      <c r="C9" s="1"/>
      <c r="D9" s="1"/>
      <c r="E9" s="1">
        <v>187</v>
      </c>
      <c r="F9" s="1">
        <v>187</v>
      </c>
      <c r="G9" s="1"/>
      <c r="H9" s="1"/>
      <c r="I9" s="1"/>
      <c r="J9" s="1"/>
      <c r="K9" s="1"/>
      <c r="L9" s="1"/>
      <c r="M9" s="1">
        <v>0</v>
      </c>
      <c r="N9" s="1"/>
      <c r="O9" s="1"/>
      <c r="P9" s="1"/>
      <c r="Q9" s="1"/>
      <c r="R9" s="1"/>
      <c r="S9" s="1"/>
      <c r="T9" s="1">
        <v>81</v>
      </c>
      <c r="U9" s="1">
        <v>5</v>
      </c>
      <c r="V9" s="1"/>
      <c r="X9">
        <f t="shared" ref="X9:X36" si="3">B9-C9-E9-S9-T9-U9-V9</f>
        <v>0</v>
      </c>
      <c r="Y9">
        <f t="shared" ref="Y9:Y36" si="4">E9-F9-I9-L9-M9</f>
        <v>0</v>
      </c>
      <c r="Z9">
        <f t="shared" ref="Z9:Z36" si="5">M9-N9-O9-P9</f>
        <v>0</v>
      </c>
    </row>
    <row r="10" spans="1:26" ht="12.75" customHeight="1">
      <c r="A10" s="2" t="s">
        <v>2</v>
      </c>
      <c r="B10" s="1">
        <v>548</v>
      </c>
      <c r="C10" s="1"/>
      <c r="D10" s="1"/>
      <c r="E10" s="1">
        <v>241</v>
      </c>
      <c r="F10" s="1">
        <v>229</v>
      </c>
      <c r="G10" s="1"/>
      <c r="H10" s="1"/>
      <c r="I10" s="1"/>
      <c r="J10" s="1"/>
      <c r="K10" s="1"/>
      <c r="L10" s="1"/>
      <c r="M10" s="1">
        <v>12</v>
      </c>
      <c r="N10" s="1">
        <v>8</v>
      </c>
      <c r="O10" s="1">
        <v>4</v>
      </c>
      <c r="P10" s="1"/>
      <c r="Q10" s="1"/>
      <c r="R10" s="1"/>
      <c r="S10" s="1"/>
      <c r="T10" s="1">
        <v>207</v>
      </c>
      <c r="U10" s="1">
        <v>100</v>
      </c>
      <c r="V10" s="1"/>
      <c r="X10">
        <f t="shared" si="3"/>
        <v>0</v>
      </c>
      <c r="Y10">
        <f t="shared" si="4"/>
        <v>0</v>
      </c>
      <c r="Z10">
        <f t="shared" si="5"/>
        <v>0</v>
      </c>
    </row>
    <row r="11" spans="1:26" ht="12.75" customHeight="1">
      <c r="A11" s="2" t="s">
        <v>10</v>
      </c>
      <c r="B11" s="1">
        <v>206</v>
      </c>
      <c r="C11" s="1"/>
      <c r="D11" s="1"/>
      <c r="E11" s="1">
        <v>26</v>
      </c>
      <c r="F11" s="1">
        <v>0</v>
      </c>
      <c r="G11" s="1"/>
      <c r="H11" s="1"/>
      <c r="I11" s="1"/>
      <c r="J11" s="1"/>
      <c r="K11" s="1"/>
      <c r="L11" s="1"/>
      <c r="M11" s="1">
        <v>26</v>
      </c>
      <c r="N11" s="1">
        <v>20</v>
      </c>
      <c r="O11" s="1"/>
      <c r="P11" s="1">
        <v>6</v>
      </c>
      <c r="Q11" s="1"/>
      <c r="R11" s="1"/>
      <c r="S11" s="1">
        <v>112</v>
      </c>
      <c r="T11" s="1">
        <v>66</v>
      </c>
      <c r="U11" s="1">
        <v>2</v>
      </c>
      <c r="V11" s="1"/>
      <c r="X11">
        <f t="shared" si="3"/>
        <v>0</v>
      </c>
      <c r="Y11">
        <f t="shared" si="4"/>
        <v>0</v>
      </c>
      <c r="Z11">
        <f t="shared" si="5"/>
        <v>0</v>
      </c>
    </row>
    <row r="12" spans="1:26" ht="12.75" customHeight="1">
      <c r="A12" s="2" t="s">
        <v>3</v>
      </c>
      <c r="B12" s="1">
        <v>64</v>
      </c>
      <c r="C12" s="1">
        <v>3</v>
      </c>
      <c r="D12" s="1"/>
      <c r="E12" s="1">
        <v>17</v>
      </c>
      <c r="F12" s="1">
        <v>9</v>
      </c>
      <c r="G12" s="1"/>
      <c r="H12" s="1"/>
      <c r="I12" s="1"/>
      <c r="J12" s="1"/>
      <c r="K12" s="1"/>
      <c r="L12" s="1"/>
      <c r="M12" s="1">
        <v>8</v>
      </c>
      <c r="N12" s="1">
        <v>8</v>
      </c>
      <c r="O12" s="1"/>
      <c r="P12" s="1"/>
      <c r="Q12" s="1"/>
      <c r="R12" s="1"/>
      <c r="S12" s="1"/>
      <c r="T12" s="1">
        <v>43</v>
      </c>
      <c r="U12" s="1">
        <v>1</v>
      </c>
      <c r="V12" s="1"/>
      <c r="X12">
        <f t="shared" si="3"/>
        <v>0</v>
      </c>
      <c r="Y12">
        <f t="shared" si="4"/>
        <v>0</v>
      </c>
      <c r="Z12">
        <f t="shared" si="5"/>
        <v>0</v>
      </c>
    </row>
    <row r="13" spans="1:26" ht="12.75" customHeight="1">
      <c r="A13" s="2" t="s">
        <v>4</v>
      </c>
      <c r="B13" s="1">
        <v>192</v>
      </c>
      <c r="C13" s="1">
        <v>2</v>
      </c>
      <c r="D13" s="1"/>
      <c r="E13" s="1">
        <v>126</v>
      </c>
      <c r="F13" s="1">
        <v>100</v>
      </c>
      <c r="G13" s="1"/>
      <c r="H13" s="1"/>
      <c r="I13" s="1"/>
      <c r="J13" s="1"/>
      <c r="K13" s="1"/>
      <c r="L13" s="1"/>
      <c r="M13" s="1">
        <v>26</v>
      </c>
      <c r="N13" s="1">
        <v>22</v>
      </c>
      <c r="O13" s="1"/>
      <c r="P13" s="1">
        <v>3</v>
      </c>
      <c r="Q13" s="1"/>
      <c r="R13" s="1"/>
      <c r="S13" s="1"/>
      <c r="T13" s="1">
        <v>63</v>
      </c>
      <c r="U13" s="1">
        <v>1</v>
      </c>
      <c r="V13" s="1"/>
      <c r="X13">
        <f t="shared" si="3"/>
        <v>0</v>
      </c>
      <c r="Y13">
        <f t="shared" si="4"/>
        <v>0</v>
      </c>
      <c r="Z13">
        <f t="shared" si="5"/>
        <v>1</v>
      </c>
    </row>
    <row r="14" spans="1:26" ht="12.75" customHeight="1">
      <c r="A14" s="2" t="s">
        <v>11</v>
      </c>
      <c r="B14" s="1">
        <v>20</v>
      </c>
      <c r="C14" s="1"/>
      <c r="D14" s="1"/>
      <c r="E14" s="1">
        <v>12</v>
      </c>
      <c r="F14" s="1">
        <v>0</v>
      </c>
      <c r="G14" s="1"/>
      <c r="H14" s="1"/>
      <c r="I14" s="1">
        <v>1</v>
      </c>
      <c r="J14" s="1"/>
      <c r="K14" s="1"/>
      <c r="L14" s="1"/>
      <c r="M14" s="1">
        <v>11</v>
      </c>
      <c r="N14" s="1">
        <v>4</v>
      </c>
      <c r="O14" s="1">
        <v>8</v>
      </c>
      <c r="P14" s="1"/>
      <c r="Q14" s="1"/>
      <c r="R14" s="1"/>
      <c r="S14" s="1"/>
      <c r="T14" s="1">
        <v>5</v>
      </c>
      <c r="U14" s="1">
        <v>3</v>
      </c>
      <c r="V14" s="1"/>
      <c r="X14">
        <f t="shared" si="3"/>
        <v>0</v>
      </c>
      <c r="Y14">
        <f t="shared" si="4"/>
        <v>0</v>
      </c>
      <c r="Z14">
        <f t="shared" si="5"/>
        <v>-1</v>
      </c>
    </row>
    <row r="15" spans="1:26" ht="12.75" customHeight="1">
      <c r="A15" s="2" t="s">
        <v>12</v>
      </c>
      <c r="B15" s="1">
        <v>855</v>
      </c>
      <c r="C15" s="1"/>
      <c r="D15" s="1"/>
      <c r="E15" s="1">
        <v>722</v>
      </c>
      <c r="F15" s="1">
        <v>569</v>
      </c>
      <c r="G15" s="1"/>
      <c r="H15" s="1"/>
      <c r="I15" s="1">
        <v>124</v>
      </c>
      <c r="J15" s="1">
        <v>123.6</v>
      </c>
      <c r="K15" s="1"/>
      <c r="L15" s="1"/>
      <c r="M15" s="1">
        <v>30</v>
      </c>
      <c r="N15" s="1">
        <v>16</v>
      </c>
      <c r="O15" s="1">
        <v>11.7</v>
      </c>
      <c r="P15" s="1">
        <v>2</v>
      </c>
      <c r="Q15" s="1"/>
      <c r="R15" s="1"/>
      <c r="S15" s="1"/>
      <c r="T15" s="1">
        <v>53</v>
      </c>
      <c r="U15" s="1">
        <v>80</v>
      </c>
      <c r="V15" s="1"/>
      <c r="X15">
        <f t="shared" si="3"/>
        <v>0</v>
      </c>
      <c r="Y15">
        <f t="shared" si="4"/>
        <v>-1</v>
      </c>
      <c r="Z15">
        <f t="shared" si="5"/>
        <v>0.30000000000000071</v>
      </c>
    </row>
    <row r="16" spans="1:26" ht="12.75" customHeight="1">
      <c r="A16" s="2" t="s">
        <v>13</v>
      </c>
      <c r="B16" s="1">
        <v>232</v>
      </c>
      <c r="C16" s="1"/>
      <c r="D16" s="1"/>
      <c r="E16" s="1">
        <v>231</v>
      </c>
      <c r="F16" s="1"/>
      <c r="G16" s="1"/>
      <c r="H16" s="1"/>
      <c r="I16" s="1">
        <v>231</v>
      </c>
      <c r="J16" s="1">
        <v>231</v>
      </c>
      <c r="K16" s="1"/>
      <c r="L16" s="1"/>
      <c r="M16" s="1">
        <v>0</v>
      </c>
      <c r="N16" s="1"/>
      <c r="O16" s="1"/>
      <c r="P16" s="1"/>
      <c r="Q16" s="1"/>
      <c r="R16" s="1"/>
      <c r="S16" s="1"/>
      <c r="T16" s="1">
        <v>0.9</v>
      </c>
      <c r="U16" s="1"/>
      <c r="V16" s="1"/>
      <c r="X16">
        <f t="shared" si="3"/>
        <v>9.9999999999999978E-2</v>
      </c>
      <c r="Y16">
        <f t="shared" si="4"/>
        <v>0</v>
      </c>
      <c r="Z16">
        <f t="shared" si="5"/>
        <v>0</v>
      </c>
    </row>
    <row r="17" spans="1:26" ht="12.75" customHeight="1">
      <c r="A17" s="2" t="s">
        <v>14</v>
      </c>
      <c r="B17" s="1">
        <v>465</v>
      </c>
      <c r="C17" s="1">
        <v>0.6</v>
      </c>
      <c r="D17" s="1"/>
      <c r="E17" s="1">
        <v>439</v>
      </c>
      <c r="F17" s="1">
        <v>423</v>
      </c>
      <c r="G17" s="1"/>
      <c r="H17" s="1">
        <v>30</v>
      </c>
      <c r="I17" s="1"/>
      <c r="J17" s="1"/>
      <c r="K17" s="1"/>
      <c r="L17" s="1"/>
      <c r="M17" s="1">
        <v>16</v>
      </c>
      <c r="N17" s="1">
        <v>4</v>
      </c>
      <c r="O17" s="1"/>
      <c r="P17" s="1">
        <v>12</v>
      </c>
      <c r="Q17" s="1"/>
      <c r="R17" s="1"/>
      <c r="S17" s="1"/>
      <c r="T17" s="1">
        <v>22</v>
      </c>
      <c r="U17" s="1">
        <v>3.1</v>
      </c>
      <c r="V17" s="1"/>
      <c r="X17">
        <f t="shared" si="3"/>
        <v>0.29999999999997717</v>
      </c>
      <c r="Y17">
        <f t="shared" si="4"/>
        <v>0</v>
      </c>
      <c r="Z17">
        <f t="shared" si="5"/>
        <v>0</v>
      </c>
    </row>
    <row r="18" spans="1:26" ht="12.75" customHeight="1">
      <c r="A18" s="2" t="s">
        <v>15</v>
      </c>
      <c r="B18" s="1">
        <v>256</v>
      </c>
      <c r="C18" s="1">
        <v>134</v>
      </c>
      <c r="D18" s="1">
        <v>120</v>
      </c>
      <c r="E18" s="1"/>
      <c r="F18" s="1">
        <v>0</v>
      </c>
      <c r="G18" s="1"/>
      <c r="H18" s="1"/>
      <c r="I18" s="1"/>
      <c r="J18" s="1"/>
      <c r="K18" s="1"/>
      <c r="L18" s="1"/>
      <c r="M18" s="1">
        <v>0</v>
      </c>
      <c r="N18" s="1"/>
      <c r="O18" s="1"/>
      <c r="P18" s="1"/>
      <c r="Q18" s="1"/>
      <c r="R18" s="1"/>
      <c r="S18" s="1">
        <v>109</v>
      </c>
      <c r="T18" s="1">
        <v>13</v>
      </c>
      <c r="U18" s="1"/>
      <c r="V18" s="1"/>
      <c r="X18">
        <f t="shared" si="3"/>
        <v>0</v>
      </c>
      <c r="Y18">
        <f t="shared" si="4"/>
        <v>0</v>
      </c>
      <c r="Z18">
        <f t="shared" si="5"/>
        <v>0</v>
      </c>
    </row>
    <row r="19" spans="1:26" ht="12.75" customHeight="1">
      <c r="A19" s="2" t="s">
        <v>16</v>
      </c>
      <c r="B19" s="1">
        <v>40</v>
      </c>
      <c r="C19" s="1">
        <v>25</v>
      </c>
      <c r="D19" s="1"/>
      <c r="E19" s="1"/>
      <c r="F19" s="1">
        <v>0</v>
      </c>
      <c r="G19" s="1"/>
      <c r="H19" s="1"/>
      <c r="I19" s="1"/>
      <c r="J19" s="1"/>
      <c r="K19" s="1"/>
      <c r="L19" s="1"/>
      <c r="M19" s="1">
        <v>0</v>
      </c>
      <c r="N19" s="1"/>
      <c r="O19" s="1"/>
      <c r="P19" s="1"/>
      <c r="Q19" s="1"/>
      <c r="R19" s="1"/>
      <c r="S19" s="1"/>
      <c r="T19" s="1">
        <v>13</v>
      </c>
      <c r="U19" s="1">
        <v>2</v>
      </c>
      <c r="V19" s="1"/>
      <c r="X19">
        <f t="shared" si="3"/>
        <v>0</v>
      </c>
      <c r="Y19">
        <f t="shared" si="4"/>
        <v>0</v>
      </c>
      <c r="Z19">
        <f t="shared" si="5"/>
        <v>0</v>
      </c>
    </row>
    <row r="20" spans="1:26" ht="12.75" customHeight="1">
      <c r="A20" s="2" t="s">
        <v>17</v>
      </c>
      <c r="B20" s="1">
        <v>464</v>
      </c>
      <c r="C20" s="1"/>
      <c r="D20" s="1"/>
      <c r="E20" s="1">
        <v>333</v>
      </c>
      <c r="F20" s="1">
        <v>290</v>
      </c>
      <c r="G20" s="1"/>
      <c r="H20" s="1">
        <v>0.6</v>
      </c>
      <c r="I20" s="1"/>
      <c r="J20" s="1"/>
      <c r="K20" s="1"/>
      <c r="L20" s="1"/>
      <c r="M20" s="1">
        <v>43</v>
      </c>
      <c r="N20" s="1">
        <v>25</v>
      </c>
      <c r="O20" s="1">
        <v>5</v>
      </c>
      <c r="P20" s="1">
        <v>13</v>
      </c>
      <c r="Q20" s="1"/>
      <c r="R20" s="1"/>
      <c r="S20" s="1"/>
      <c r="T20" s="1">
        <v>123</v>
      </c>
      <c r="U20" s="1">
        <v>9</v>
      </c>
      <c r="V20" s="1"/>
      <c r="X20">
        <f t="shared" si="3"/>
        <v>-1</v>
      </c>
      <c r="Y20">
        <f t="shared" si="4"/>
        <v>0</v>
      </c>
      <c r="Z20">
        <f t="shared" si="5"/>
        <v>0</v>
      </c>
    </row>
    <row r="21" spans="1:26" ht="12.75" customHeight="1">
      <c r="A21" s="2" t="s">
        <v>18</v>
      </c>
      <c r="B21" s="1">
        <v>160</v>
      </c>
      <c r="C21" s="1"/>
      <c r="D21" s="1"/>
      <c r="E21" s="1">
        <v>153</v>
      </c>
      <c r="F21" s="1">
        <v>153</v>
      </c>
      <c r="G21" s="1"/>
      <c r="H21" s="1"/>
      <c r="I21" s="1"/>
      <c r="J21" s="1"/>
      <c r="K21" s="1"/>
      <c r="L21" s="1"/>
      <c r="M21" s="1">
        <v>0</v>
      </c>
      <c r="N21" s="1"/>
      <c r="O21" s="1"/>
      <c r="P21" s="1"/>
      <c r="Q21" s="1"/>
      <c r="R21" s="1"/>
      <c r="S21" s="1"/>
      <c r="T21" s="1">
        <v>7</v>
      </c>
      <c r="U21" s="1"/>
      <c r="V21" s="1"/>
      <c r="X21">
        <f t="shared" si="3"/>
        <v>0</v>
      </c>
      <c r="Y21">
        <f t="shared" si="4"/>
        <v>0</v>
      </c>
      <c r="Z21">
        <f t="shared" si="5"/>
        <v>0</v>
      </c>
    </row>
    <row r="22" spans="1:26" ht="12.75" customHeight="1">
      <c r="A22" s="2" t="s">
        <v>19</v>
      </c>
      <c r="B22" s="1">
        <v>171</v>
      </c>
      <c r="C22" s="1">
        <v>14</v>
      </c>
      <c r="D22" s="1"/>
      <c r="E22" s="1">
        <v>127</v>
      </c>
      <c r="F22" s="1">
        <v>100</v>
      </c>
      <c r="G22" s="1"/>
      <c r="H22" s="1"/>
      <c r="I22" s="1"/>
      <c r="J22" s="1"/>
      <c r="K22" s="1"/>
      <c r="L22" s="1"/>
      <c r="M22" s="1">
        <v>27</v>
      </c>
      <c r="N22" s="1">
        <v>19</v>
      </c>
      <c r="O22" s="1">
        <v>3</v>
      </c>
      <c r="P22" s="1">
        <v>6</v>
      </c>
      <c r="Q22" s="1"/>
      <c r="R22" s="1"/>
      <c r="S22" s="1"/>
      <c r="T22" s="1">
        <v>26</v>
      </c>
      <c r="U22" s="1">
        <v>3.9</v>
      </c>
      <c r="V22" s="1"/>
      <c r="X22">
        <f t="shared" si="3"/>
        <v>0.10000000000000009</v>
      </c>
      <c r="Y22">
        <f t="shared" si="4"/>
        <v>0</v>
      </c>
      <c r="Z22">
        <f t="shared" si="5"/>
        <v>-1</v>
      </c>
    </row>
    <row r="23" spans="1:26" ht="12.75" customHeight="1">
      <c r="A23" s="2" t="s">
        <v>20</v>
      </c>
      <c r="B23" s="1">
        <v>52</v>
      </c>
      <c r="C23" s="1">
        <v>14</v>
      </c>
      <c r="D23" s="1"/>
      <c r="E23" s="1">
        <v>17</v>
      </c>
      <c r="F23" s="1">
        <v>0</v>
      </c>
      <c r="G23" s="1"/>
      <c r="H23" s="1"/>
      <c r="I23" s="1"/>
      <c r="J23" s="1"/>
      <c r="K23" s="1"/>
      <c r="L23" s="1"/>
      <c r="M23" s="1">
        <v>17</v>
      </c>
      <c r="N23" s="1">
        <v>14</v>
      </c>
      <c r="O23" s="1">
        <v>0.1</v>
      </c>
      <c r="P23" s="1">
        <v>3</v>
      </c>
      <c r="Q23" s="1"/>
      <c r="R23" s="1"/>
      <c r="S23" s="1"/>
      <c r="T23" s="1">
        <v>22</v>
      </c>
      <c r="U23" s="1"/>
      <c r="V23" s="1"/>
      <c r="X23">
        <f t="shared" si="3"/>
        <v>-1</v>
      </c>
      <c r="Y23">
        <f t="shared" si="4"/>
        <v>0</v>
      </c>
      <c r="Z23">
        <f t="shared" si="5"/>
        <v>-0.10000000000000009</v>
      </c>
    </row>
    <row r="24" spans="1:26" ht="12.75" customHeight="1">
      <c r="A24" s="2" t="s">
        <v>21</v>
      </c>
      <c r="B24" s="1">
        <v>227</v>
      </c>
      <c r="C24" s="1">
        <v>9</v>
      </c>
      <c r="D24" s="1"/>
      <c r="E24" s="1">
        <v>196</v>
      </c>
      <c r="F24" s="1">
        <v>196</v>
      </c>
      <c r="G24" s="1"/>
      <c r="H24" s="1"/>
      <c r="I24" s="1"/>
      <c r="J24" s="1"/>
      <c r="K24" s="1"/>
      <c r="L24" s="1"/>
      <c r="M24" s="1">
        <v>0</v>
      </c>
      <c r="N24" s="1"/>
      <c r="O24" s="1"/>
      <c r="P24" s="1"/>
      <c r="Q24" s="1"/>
      <c r="R24" s="1"/>
      <c r="S24" s="1"/>
      <c r="T24" s="1">
        <v>20</v>
      </c>
      <c r="U24" s="1">
        <v>2</v>
      </c>
      <c r="V24" s="1"/>
      <c r="X24">
        <f t="shared" si="3"/>
        <v>0</v>
      </c>
      <c r="Y24">
        <f t="shared" si="4"/>
        <v>0</v>
      </c>
      <c r="Z24">
        <f t="shared" si="5"/>
        <v>0</v>
      </c>
    </row>
    <row r="25" spans="1:26" ht="12.75" customHeight="1">
      <c r="A25" s="2" t="s">
        <v>22</v>
      </c>
      <c r="B25" s="1">
        <v>49</v>
      </c>
      <c r="C25" s="1">
        <v>41</v>
      </c>
      <c r="D25" s="1"/>
      <c r="E25" s="1">
        <v>3</v>
      </c>
      <c r="F25" s="1">
        <v>0</v>
      </c>
      <c r="G25" s="1"/>
      <c r="H25" s="1"/>
      <c r="I25" s="1">
        <v>0.1</v>
      </c>
      <c r="J25" s="1"/>
      <c r="K25" s="1"/>
      <c r="L25" s="1"/>
      <c r="M25" s="1">
        <v>3</v>
      </c>
      <c r="N25" s="1"/>
      <c r="O25" s="1"/>
      <c r="P25" s="1">
        <v>3</v>
      </c>
      <c r="Q25" s="1"/>
      <c r="R25" s="1"/>
      <c r="S25" s="1"/>
      <c r="T25" s="1">
        <v>5</v>
      </c>
      <c r="U25" s="1"/>
      <c r="V25" s="1"/>
      <c r="X25">
        <f t="shared" si="3"/>
        <v>0</v>
      </c>
      <c r="Y25">
        <f t="shared" si="4"/>
        <v>-0.10000000000000009</v>
      </c>
      <c r="Z25">
        <f t="shared" si="5"/>
        <v>0</v>
      </c>
    </row>
    <row r="26" spans="1:26" ht="12.75" customHeight="1">
      <c r="A26" s="2" t="s">
        <v>23</v>
      </c>
      <c r="B26" s="1">
        <v>0.2</v>
      </c>
      <c r="C26" s="6"/>
      <c r="D26" s="1"/>
      <c r="E26" s="1"/>
      <c r="F26" s="1">
        <v>0</v>
      </c>
      <c r="G26" s="1"/>
      <c r="H26" s="1"/>
      <c r="I26" s="1"/>
      <c r="J26" s="1"/>
      <c r="K26" s="1"/>
      <c r="L26" s="1"/>
      <c r="M26" s="1">
        <v>0</v>
      </c>
      <c r="N26" s="1"/>
      <c r="O26" s="1"/>
      <c r="P26" s="1"/>
      <c r="Q26" s="1"/>
      <c r="R26" s="1"/>
      <c r="S26" s="1"/>
      <c r="T26" s="1"/>
      <c r="U26" s="1">
        <v>0.2</v>
      </c>
      <c r="V26" s="1"/>
      <c r="X26">
        <f t="shared" si="3"/>
        <v>0</v>
      </c>
      <c r="Y26">
        <f t="shared" si="4"/>
        <v>0</v>
      </c>
      <c r="Z26">
        <f t="shared" si="5"/>
        <v>0</v>
      </c>
    </row>
    <row r="27" spans="1:26" ht="12.75" customHeight="1">
      <c r="A27" s="2" t="s">
        <v>24</v>
      </c>
      <c r="B27" s="1">
        <v>102</v>
      </c>
      <c r="C27" s="1">
        <v>29</v>
      </c>
      <c r="D27" s="1"/>
      <c r="E27" s="1">
        <v>69</v>
      </c>
      <c r="F27" s="1">
        <v>66</v>
      </c>
      <c r="G27" s="1"/>
      <c r="H27" s="1"/>
      <c r="I27" s="1"/>
      <c r="J27" s="1"/>
      <c r="K27" s="1"/>
      <c r="L27" s="1"/>
      <c r="M27" s="1">
        <v>3</v>
      </c>
      <c r="N27" s="1"/>
      <c r="O27" s="1"/>
      <c r="P27" s="1">
        <v>3</v>
      </c>
      <c r="Q27" s="1"/>
      <c r="R27" s="1"/>
      <c r="S27" s="1"/>
      <c r="T27" s="1">
        <v>5</v>
      </c>
      <c r="U27" s="1"/>
      <c r="V27" s="1"/>
      <c r="X27">
        <f t="shared" si="3"/>
        <v>-1</v>
      </c>
      <c r="Y27">
        <f t="shared" si="4"/>
        <v>0</v>
      </c>
      <c r="Z27">
        <f t="shared" si="5"/>
        <v>0</v>
      </c>
    </row>
    <row r="28" spans="1:26" ht="12.75" customHeight="1">
      <c r="A28" s="2" t="s">
        <v>25</v>
      </c>
      <c r="B28" s="1">
        <v>1012</v>
      </c>
      <c r="C28" s="1">
        <v>894</v>
      </c>
      <c r="D28" s="1"/>
      <c r="E28" s="1">
        <v>105</v>
      </c>
      <c r="F28" s="1">
        <v>60</v>
      </c>
      <c r="G28" s="1"/>
      <c r="H28" s="1"/>
      <c r="I28" s="1"/>
      <c r="J28" s="1"/>
      <c r="K28" s="1"/>
      <c r="L28" s="1">
        <v>15</v>
      </c>
      <c r="M28" s="1">
        <v>30</v>
      </c>
      <c r="N28" s="1">
        <v>29</v>
      </c>
      <c r="O28" s="1">
        <v>1.2</v>
      </c>
      <c r="P28" s="1"/>
      <c r="Q28" s="1"/>
      <c r="R28" s="1"/>
      <c r="S28" s="1"/>
      <c r="T28" s="1">
        <v>9</v>
      </c>
      <c r="U28" s="1">
        <v>3</v>
      </c>
      <c r="V28" s="1"/>
      <c r="X28">
        <f t="shared" si="3"/>
        <v>1</v>
      </c>
      <c r="Y28">
        <f t="shared" si="4"/>
        <v>0</v>
      </c>
      <c r="Z28">
        <f t="shared" si="5"/>
        <v>-0.19999999999999996</v>
      </c>
    </row>
    <row r="29" spans="1:26" ht="12.75" customHeight="1">
      <c r="A29" s="2" t="s">
        <v>26</v>
      </c>
      <c r="B29" s="1">
        <v>546</v>
      </c>
      <c r="C29" s="1">
        <v>159</v>
      </c>
      <c r="D29" s="1"/>
      <c r="E29" s="1">
        <v>282</v>
      </c>
      <c r="F29" s="1">
        <v>282</v>
      </c>
      <c r="G29" s="1"/>
      <c r="H29" s="1">
        <v>30</v>
      </c>
      <c r="I29" s="1"/>
      <c r="J29" s="1"/>
      <c r="K29" s="1"/>
      <c r="L29" s="1"/>
      <c r="M29" s="1">
        <v>0</v>
      </c>
      <c r="N29" s="1"/>
      <c r="O29" s="1"/>
      <c r="P29" s="1"/>
      <c r="Q29" s="1"/>
      <c r="R29" s="1"/>
      <c r="S29" s="1"/>
      <c r="T29" s="1">
        <v>105</v>
      </c>
      <c r="U29" s="1"/>
      <c r="V29" s="1"/>
      <c r="X29">
        <f t="shared" si="3"/>
        <v>0</v>
      </c>
      <c r="Y29">
        <f t="shared" si="4"/>
        <v>0</v>
      </c>
      <c r="Z29">
        <f t="shared" si="5"/>
        <v>0</v>
      </c>
    </row>
    <row r="30" spans="1:26" ht="12.75" customHeight="1">
      <c r="A30" s="2" t="s">
        <v>27</v>
      </c>
      <c r="B30" s="1">
        <v>1705</v>
      </c>
      <c r="C30" s="1">
        <v>1629</v>
      </c>
      <c r="D30" s="1"/>
      <c r="E30" s="1">
        <v>1.2</v>
      </c>
      <c r="F30" s="1">
        <v>0</v>
      </c>
      <c r="G30" s="1"/>
      <c r="H30" s="1"/>
      <c r="I30" s="1"/>
      <c r="J30" s="1"/>
      <c r="K30" s="1"/>
      <c r="L30" s="1"/>
      <c r="M30" s="1">
        <v>1.2</v>
      </c>
      <c r="N30" s="1"/>
      <c r="O30" s="1">
        <v>1.2</v>
      </c>
      <c r="P30" s="1"/>
      <c r="Q30" s="1"/>
      <c r="R30" s="1"/>
      <c r="S30" s="1"/>
      <c r="T30" s="1">
        <v>64</v>
      </c>
      <c r="U30" s="1">
        <v>11</v>
      </c>
      <c r="V30" s="1"/>
      <c r="X30">
        <f t="shared" si="3"/>
        <v>-0.20000000000000284</v>
      </c>
      <c r="Y30">
        <f t="shared" si="4"/>
        <v>0</v>
      </c>
      <c r="Z30">
        <f t="shared" si="5"/>
        <v>0</v>
      </c>
    </row>
    <row r="31" spans="1:26" ht="12.75" customHeight="1">
      <c r="A31" s="2" t="s">
        <v>28</v>
      </c>
      <c r="B31" s="1">
        <v>1.3</v>
      </c>
      <c r="C31" s="6"/>
      <c r="D31" s="1"/>
      <c r="E31" s="1"/>
      <c r="F31" s="1">
        <v>0</v>
      </c>
      <c r="G31" s="1"/>
      <c r="H31" s="1"/>
      <c r="I31" s="1"/>
      <c r="J31" s="1"/>
      <c r="K31" s="1"/>
      <c r="L31" s="1"/>
      <c r="M31" s="1">
        <v>0</v>
      </c>
      <c r="N31" s="1"/>
      <c r="O31" s="1"/>
      <c r="P31" s="1"/>
      <c r="Q31" s="1"/>
      <c r="R31" s="1"/>
      <c r="S31" s="1"/>
      <c r="T31" s="1">
        <v>0.8</v>
      </c>
      <c r="U31" s="1">
        <v>0.5</v>
      </c>
      <c r="V31" s="1"/>
      <c r="X31">
        <f t="shared" si="3"/>
        <v>0</v>
      </c>
      <c r="Y31">
        <f t="shared" si="4"/>
        <v>0</v>
      </c>
      <c r="Z31">
        <f t="shared" si="5"/>
        <v>0</v>
      </c>
    </row>
    <row r="32" spans="1:26" ht="12.75" customHeight="1">
      <c r="A32" s="2" t="s">
        <v>29</v>
      </c>
      <c r="B32" s="1">
        <v>115</v>
      </c>
      <c r="C32" s="6"/>
      <c r="D32" s="1"/>
      <c r="E32" s="1">
        <v>66</v>
      </c>
      <c r="F32" s="1">
        <v>66</v>
      </c>
      <c r="G32" s="1"/>
      <c r="H32" s="1"/>
      <c r="I32" s="1"/>
      <c r="J32" s="1"/>
      <c r="K32" s="1"/>
      <c r="L32" s="1"/>
      <c r="M32" s="1">
        <v>0</v>
      </c>
      <c r="N32" s="1"/>
      <c r="O32" s="1"/>
      <c r="P32" s="1"/>
      <c r="Q32" s="1"/>
      <c r="R32" s="1"/>
      <c r="S32" s="1"/>
      <c r="T32" s="1">
        <v>46</v>
      </c>
      <c r="U32" s="1">
        <v>4</v>
      </c>
      <c r="V32" s="1"/>
      <c r="X32">
        <f t="shared" si="3"/>
        <v>-1</v>
      </c>
      <c r="Y32">
        <f t="shared" si="4"/>
        <v>0</v>
      </c>
      <c r="Z32">
        <f t="shared" si="5"/>
        <v>0</v>
      </c>
    </row>
    <row r="33" spans="1:26" ht="12.75" customHeight="1">
      <c r="A33" s="2" t="s">
        <v>30</v>
      </c>
      <c r="B33" s="1">
        <v>506</v>
      </c>
      <c r="C33" s="1">
        <v>21</v>
      </c>
      <c r="D33" s="1"/>
      <c r="E33" s="1">
        <v>16</v>
      </c>
      <c r="F33" s="1">
        <v>2</v>
      </c>
      <c r="G33" s="1"/>
      <c r="H33" s="1"/>
      <c r="I33" s="1"/>
      <c r="J33" s="1"/>
      <c r="K33" s="1"/>
      <c r="L33" s="1"/>
      <c r="M33" s="1">
        <v>13</v>
      </c>
      <c r="N33" s="1">
        <v>13</v>
      </c>
      <c r="O33" s="1"/>
      <c r="P33" s="1"/>
      <c r="Q33" s="1"/>
      <c r="R33" s="1"/>
      <c r="S33" s="1"/>
      <c r="T33" s="1">
        <v>67</v>
      </c>
      <c r="U33" s="1">
        <v>403</v>
      </c>
      <c r="V33" s="1"/>
      <c r="X33">
        <f t="shared" si="3"/>
        <v>-1</v>
      </c>
      <c r="Y33">
        <f t="shared" si="4"/>
        <v>1</v>
      </c>
      <c r="Z33">
        <f t="shared" si="5"/>
        <v>0</v>
      </c>
    </row>
    <row r="34" spans="1:26" ht="12.75" customHeight="1">
      <c r="A34" s="2" t="s">
        <v>31</v>
      </c>
      <c r="B34" s="1">
        <v>241</v>
      </c>
      <c r="C34" s="1">
        <v>16</v>
      </c>
      <c r="D34" s="1"/>
      <c r="E34" s="1">
        <v>4</v>
      </c>
      <c r="F34" s="1">
        <v>4</v>
      </c>
      <c r="G34" s="1"/>
      <c r="H34" s="1"/>
      <c r="I34" s="1"/>
      <c r="J34" s="1"/>
      <c r="K34" s="1"/>
      <c r="L34" s="1"/>
      <c r="M34" s="1">
        <v>0.1</v>
      </c>
      <c r="N34" s="1"/>
      <c r="O34" s="1">
        <v>0.1</v>
      </c>
      <c r="P34" s="1"/>
      <c r="Q34" s="1"/>
      <c r="R34" s="1"/>
      <c r="S34" s="1"/>
      <c r="T34" s="1">
        <v>13</v>
      </c>
      <c r="U34" s="1">
        <v>207</v>
      </c>
      <c r="V34" s="1"/>
      <c r="X34">
        <f t="shared" si="3"/>
        <v>1</v>
      </c>
      <c r="Y34">
        <f t="shared" si="4"/>
        <v>-0.1</v>
      </c>
      <c r="Z34">
        <f t="shared" si="5"/>
        <v>0</v>
      </c>
    </row>
    <row r="35" spans="1:26" ht="12.75" customHeight="1">
      <c r="A35" s="2" t="s">
        <v>32</v>
      </c>
      <c r="B35" s="1">
        <v>241</v>
      </c>
      <c r="C35" s="1"/>
      <c r="D35" s="1"/>
      <c r="E35" s="1">
        <v>72</v>
      </c>
      <c r="F35" s="1">
        <v>72</v>
      </c>
      <c r="G35" s="1"/>
      <c r="H35" s="1"/>
      <c r="I35" s="1"/>
      <c r="J35" s="1"/>
      <c r="K35" s="1"/>
      <c r="L35" s="1"/>
      <c r="M35" s="1">
        <v>0</v>
      </c>
      <c r="N35" s="1"/>
      <c r="O35" s="1"/>
      <c r="P35" s="1"/>
      <c r="Q35" s="1"/>
      <c r="R35" s="1"/>
      <c r="S35" s="1"/>
      <c r="T35" s="1">
        <v>60</v>
      </c>
      <c r="U35" s="1">
        <v>109</v>
      </c>
      <c r="V35" s="1"/>
      <c r="X35">
        <f t="shared" si="3"/>
        <v>0</v>
      </c>
      <c r="Y35">
        <f t="shared" si="4"/>
        <v>0</v>
      </c>
      <c r="Z35">
        <f t="shared" si="5"/>
        <v>0</v>
      </c>
    </row>
    <row r="36" spans="1:26" ht="12.75" customHeight="1">
      <c r="A36" s="2" t="s">
        <v>33</v>
      </c>
      <c r="B36" s="1">
        <v>1111</v>
      </c>
      <c r="C36" s="1">
        <v>106</v>
      </c>
      <c r="D36" s="1"/>
      <c r="E36" s="1">
        <v>455</v>
      </c>
      <c r="F36" s="1">
        <v>449</v>
      </c>
      <c r="G36" s="1"/>
      <c r="H36" s="1"/>
      <c r="I36" s="1"/>
      <c r="J36" s="1"/>
      <c r="K36" s="1"/>
      <c r="L36" s="1"/>
      <c r="M36" s="1">
        <v>6</v>
      </c>
      <c r="N36" s="1"/>
      <c r="O36" s="1"/>
      <c r="P36" s="1">
        <v>6</v>
      </c>
      <c r="Q36" s="1"/>
      <c r="R36" s="1"/>
      <c r="S36" s="1"/>
      <c r="T36" s="1">
        <v>273</v>
      </c>
      <c r="U36" s="1">
        <v>277</v>
      </c>
      <c r="V36" s="1"/>
      <c r="X36">
        <f t="shared" si="3"/>
        <v>0</v>
      </c>
      <c r="Y36">
        <f t="shared" si="4"/>
        <v>0</v>
      </c>
      <c r="Z36">
        <f t="shared" si="5"/>
        <v>0</v>
      </c>
    </row>
    <row r="37" spans="1:26" ht="12.75" customHeight="1"/>
    <row r="38" spans="1:26">
      <c r="B38">
        <f>B5-SUM(B6:B36)</f>
        <v>1.5</v>
      </c>
      <c r="C38">
        <f>C5-SUM(C6:C36)</f>
        <v>-0.59999999999990905</v>
      </c>
      <c r="D38">
        <f t="shared" ref="D38:V38" si="6">D5-SUM(D6:D36)</f>
        <v>0</v>
      </c>
      <c r="E38">
        <f t="shared" si="6"/>
        <v>-0.1999999999998181</v>
      </c>
      <c r="F38">
        <f t="shared" si="6"/>
        <v>0</v>
      </c>
      <c r="H38">
        <f t="shared" si="6"/>
        <v>0.39999999999999858</v>
      </c>
      <c r="I38">
        <f t="shared" si="6"/>
        <v>-0.10000000000002274</v>
      </c>
      <c r="J38">
        <f t="shared" si="6"/>
        <v>0.39999999999997726</v>
      </c>
      <c r="L38">
        <f t="shared" si="6"/>
        <v>0</v>
      </c>
      <c r="M38">
        <f t="shared" si="6"/>
        <v>-0.5</v>
      </c>
      <c r="N38">
        <f t="shared" si="6"/>
        <v>0</v>
      </c>
      <c r="O38">
        <f t="shared" si="6"/>
        <v>-1.5000000000000071</v>
      </c>
      <c r="P38">
        <f t="shared" si="6"/>
        <v>-1</v>
      </c>
      <c r="S38">
        <f t="shared" si="6"/>
        <v>0</v>
      </c>
      <c r="T38">
        <f t="shared" si="6"/>
        <v>0.29999999999995453</v>
      </c>
      <c r="U38">
        <f>U5-SUM(U6:U36)</f>
        <v>0.29999999999995453</v>
      </c>
      <c r="V38">
        <f t="shared" si="6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2997-3FFD-45B2-AB18-9443A29608C2}">
  <dimension ref="A1:Z38"/>
  <sheetViews>
    <sheetView zoomScaleNormal="100" workbookViewId="0">
      <selection activeCell="I5" sqref="I5:I36"/>
    </sheetView>
  </sheetViews>
  <sheetFormatPr defaultRowHeight="12.75"/>
  <cols>
    <col min="1" max="22" width="7.5703125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10443</v>
      </c>
      <c r="C5" s="1">
        <v>2180</v>
      </c>
      <c r="D5" s="1">
        <v>60</v>
      </c>
      <c r="E5" s="1">
        <v>4791</v>
      </c>
      <c r="F5" s="1">
        <v>3498</v>
      </c>
      <c r="G5" s="1"/>
      <c r="H5" s="1">
        <v>30</v>
      </c>
      <c r="I5" s="1">
        <v>946</v>
      </c>
      <c r="J5" s="1">
        <v>938</v>
      </c>
      <c r="K5" s="1"/>
      <c r="L5" s="1"/>
      <c r="M5" s="1">
        <v>346</v>
      </c>
      <c r="N5" s="1">
        <v>254</v>
      </c>
      <c r="O5" s="1">
        <v>21</v>
      </c>
      <c r="P5" s="1">
        <v>71</v>
      </c>
      <c r="Q5" s="1"/>
      <c r="R5" s="1"/>
      <c r="S5" s="1">
        <v>547</v>
      </c>
      <c r="T5" s="1">
        <v>2101</v>
      </c>
      <c r="U5" s="1">
        <v>825</v>
      </c>
      <c r="V5" s="1"/>
      <c r="X5">
        <f>B5-C5-E5-S5-T5-U5-V5</f>
        <v>-1</v>
      </c>
      <c r="Y5">
        <f>E5-F5-I5-L5-M5</f>
        <v>1</v>
      </c>
      <c r="Z5">
        <f>M5-N5-O5-P5</f>
        <v>0</v>
      </c>
    </row>
    <row r="6" spans="1:26" ht="12.75" customHeight="1">
      <c r="A6" s="2" t="s">
        <v>6</v>
      </c>
      <c r="B6" s="1">
        <v>379</v>
      </c>
      <c r="C6" s="1"/>
      <c r="D6" s="1"/>
      <c r="E6" s="1">
        <v>379</v>
      </c>
      <c r="F6" s="1"/>
      <c r="G6" s="1"/>
      <c r="H6" s="1"/>
      <c r="I6" s="1">
        <v>379</v>
      </c>
      <c r="J6" s="1">
        <v>379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X6">
        <f t="shared" ref="X6:X36" si="0">B6-C6-E6-S6-T6-U6-V6</f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>
        <v>158</v>
      </c>
      <c r="C7" s="1"/>
      <c r="D7" s="1"/>
      <c r="E7" s="1">
        <v>156</v>
      </c>
      <c r="F7" s="1">
        <v>70</v>
      </c>
      <c r="G7" s="1"/>
      <c r="H7" s="1"/>
      <c r="I7" s="1">
        <v>86</v>
      </c>
      <c r="J7" s="1">
        <v>86</v>
      </c>
      <c r="K7" s="1"/>
      <c r="L7" s="1"/>
      <c r="M7" s="1"/>
      <c r="N7" s="1"/>
      <c r="O7" s="1"/>
      <c r="P7" s="1"/>
      <c r="Q7" s="1"/>
      <c r="R7" s="1"/>
      <c r="S7" s="1"/>
      <c r="T7" s="1"/>
      <c r="U7" s="1">
        <v>2</v>
      </c>
      <c r="V7" s="1"/>
      <c r="X7">
        <f t="shared" si="0"/>
        <v>0</v>
      </c>
      <c r="Y7">
        <f t="shared" si="1"/>
        <v>0</v>
      </c>
      <c r="Z7">
        <f t="shared" si="2"/>
        <v>0</v>
      </c>
    </row>
    <row r="8" spans="1:26" ht="12.75" customHeight="1">
      <c r="A8" s="2" t="s">
        <v>8</v>
      </c>
      <c r="B8" s="1">
        <v>315</v>
      </c>
      <c r="C8" s="1">
        <v>1</v>
      </c>
      <c r="D8" s="1"/>
      <c r="E8" s="1">
        <v>79</v>
      </c>
      <c r="F8" s="1">
        <v>70</v>
      </c>
      <c r="G8" s="1"/>
      <c r="H8" s="1"/>
      <c r="I8" s="1"/>
      <c r="J8" s="1"/>
      <c r="K8" s="1"/>
      <c r="L8" s="1"/>
      <c r="M8" s="1">
        <v>8.9</v>
      </c>
      <c r="N8" s="1">
        <v>8.9</v>
      </c>
      <c r="O8" s="1"/>
      <c r="P8" s="1"/>
      <c r="Q8" s="1"/>
      <c r="R8" s="1"/>
      <c r="S8" s="1"/>
      <c r="T8" s="1">
        <v>158</v>
      </c>
      <c r="U8" s="1">
        <v>77.3</v>
      </c>
      <c r="V8" s="1"/>
      <c r="X8">
        <f t="shared" si="0"/>
        <v>-0.29999999999999716</v>
      </c>
      <c r="Y8">
        <f t="shared" si="1"/>
        <v>9.9999999999999645E-2</v>
      </c>
      <c r="Z8">
        <f t="shared" si="2"/>
        <v>0</v>
      </c>
    </row>
    <row r="9" spans="1:26" ht="12.75" customHeight="1">
      <c r="A9" s="2" t="s">
        <v>9</v>
      </c>
      <c r="B9" s="1">
        <v>581</v>
      </c>
      <c r="C9" s="1">
        <v>2</v>
      </c>
      <c r="D9" s="1"/>
      <c r="E9" s="1">
        <v>356</v>
      </c>
      <c r="F9" s="1">
        <v>259</v>
      </c>
      <c r="G9" s="1"/>
      <c r="H9" s="1">
        <v>30</v>
      </c>
      <c r="I9" s="1">
        <v>86.4</v>
      </c>
      <c r="J9" s="1">
        <v>86</v>
      </c>
      <c r="K9" s="1"/>
      <c r="L9" s="1"/>
      <c r="M9" s="1">
        <v>10</v>
      </c>
      <c r="N9" s="1">
        <v>10</v>
      </c>
      <c r="O9" s="1"/>
      <c r="P9" s="1"/>
      <c r="Q9" s="1"/>
      <c r="R9" s="1"/>
      <c r="S9" s="1"/>
      <c r="T9" s="1">
        <v>177</v>
      </c>
      <c r="U9" s="1">
        <v>47</v>
      </c>
      <c r="V9" s="1"/>
      <c r="X9">
        <f t="shared" si="0"/>
        <v>-1</v>
      </c>
      <c r="Y9">
        <f t="shared" si="1"/>
        <v>0.59999999999999432</v>
      </c>
      <c r="Z9">
        <f t="shared" si="2"/>
        <v>0</v>
      </c>
    </row>
    <row r="10" spans="1:26" ht="12.75" customHeight="1">
      <c r="A10" s="2" t="s">
        <v>2</v>
      </c>
      <c r="B10" s="1">
        <v>487</v>
      </c>
      <c r="C10" s="1">
        <v>69</v>
      </c>
      <c r="D10" s="1">
        <v>60</v>
      </c>
      <c r="E10" s="1">
        <v>127</v>
      </c>
      <c r="F10" s="1">
        <v>99</v>
      </c>
      <c r="G10" s="1"/>
      <c r="H10" s="1"/>
      <c r="I10" s="1"/>
      <c r="J10" s="1"/>
      <c r="K10" s="1"/>
      <c r="L10" s="1"/>
      <c r="M10" s="1">
        <v>28</v>
      </c>
      <c r="N10" s="1">
        <v>28</v>
      </c>
      <c r="O10" s="1"/>
      <c r="P10" s="1"/>
      <c r="Q10" s="1"/>
      <c r="R10" s="1"/>
      <c r="S10" s="1"/>
      <c r="T10" s="1">
        <v>177</v>
      </c>
      <c r="U10" s="1">
        <v>115</v>
      </c>
      <c r="V10" s="1"/>
      <c r="X10">
        <f t="shared" si="0"/>
        <v>-1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>
        <v>257</v>
      </c>
      <c r="C11" s="1">
        <v>20</v>
      </c>
      <c r="D11" s="1"/>
      <c r="E11" s="1">
        <v>72</v>
      </c>
      <c r="F11" s="1">
        <v>70</v>
      </c>
      <c r="G11" s="1"/>
      <c r="H11" s="1"/>
      <c r="I11" s="1"/>
      <c r="J11" s="1"/>
      <c r="K11" s="1"/>
      <c r="L11" s="1"/>
      <c r="M11" s="1">
        <v>2</v>
      </c>
      <c r="N11" s="1">
        <v>2</v>
      </c>
      <c r="O11" s="1"/>
      <c r="P11" s="1"/>
      <c r="Q11" s="1"/>
      <c r="R11" s="1"/>
      <c r="S11" s="1">
        <v>112</v>
      </c>
      <c r="T11" s="1">
        <v>49</v>
      </c>
      <c r="U11" s="1">
        <v>4</v>
      </c>
      <c r="V11" s="1"/>
      <c r="X11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>
        <v>133</v>
      </c>
      <c r="C12" s="1">
        <v>6</v>
      </c>
      <c r="D12" s="1"/>
      <c r="E12" s="1">
        <v>85</v>
      </c>
      <c r="F12" s="1">
        <v>70</v>
      </c>
      <c r="G12" s="1"/>
      <c r="H12" s="1"/>
      <c r="I12" s="1"/>
      <c r="J12" s="1"/>
      <c r="K12" s="1"/>
      <c r="L12" s="1"/>
      <c r="M12" s="1">
        <v>15</v>
      </c>
      <c r="N12" s="1">
        <v>6</v>
      </c>
      <c r="O12" s="1">
        <v>2</v>
      </c>
      <c r="P12" s="1">
        <v>8</v>
      </c>
      <c r="Q12" s="1"/>
      <c r="R12" s="1"/>
      <c r="S12" s="1"/>
      <c r="T12" s="1">
        <v>36</v>
      </c>
      <c r="U12" s="1">
        <v>6</v>
      </c>
      <c r="V12" s="1"/>
      <c r="X12">
        <f t="shared" si="0"/>
        <v>0</v>
      </c>
      <c r="Y12">
        <f t="shared" si="1"/>
        <v>0</v>
      </c>
      <c r="Z12">
        <f t="shared" si="2"/>
        <v>-1</v>
      </c>
    </row>
    <row r="13" spans="1:26" ht="12.75" customHeight="1">
      <c r="A13" s="2" t="s">
        <v>4</v>
      </c>
      <c r="B13" s="1">
        <v>174</v>
      </c>
      <c r="C13" s="1">
        <v>0.1</v>
      </c>
      <c r="D13" s="1"/>
      <c r="E13" s="1">
        <v>88</v>
      </c>
      <c r="F13" s="1">
        <v>70</v>
      </c>
      <c r="G13" s="1"/>
      <c r="H13" s="1"/>
      <c r="I13" s="1"/>
      <c r="J13" s="1"/>
      <c r="K13" s="1"/>
      <c r="L13" s="1"/>
      <c r="M13" s="1">
        <v>18</v>
      </c>
      <c r="N13" s="1">
        <v>11</v>
      </c>
      <c r="O13" s="1">
        <v>1</v>
      </c>
      <c r="P13" s="1">
        <v>6</v>
      </c>
      <c r="Q13" s="1"/>
      <c r="R13" s="1"/>
      <c r="S13" s="1"/>
      <c r="T13" s="1">
        <v>86</v>
      </c>
      <c r="U13" s="1">
        <v>0.1</v>
      </c>
      <c r="V13" s="1"/>
      <c r="X13">
        <f t="shared" si="0"/>
        <v>-0.19999999999999432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>
        <v>18</v>
      </c>
      <c r="C14" s="1"/>
      <c r="D14" s="1"/>
      <c r="E14" s="1">
        <v>7</v>
      </c>
      <c r="F14" s="1"/>
      <c r="G14" s="1"/>
      <c r="H14" s="1"/>
      <c r="I14" s="1"/>
      <c r="J14" s="1"/>
      <c r="K14" s="1"/>
      <c r="L14" s="1"/>
      <c r="M14" s="1">
        <v>7</v>
      </c>
      <c r="N14" s="1">
        <v>3</v>
      </c>
      <c r="O14" s="1">
        <v>4</v>
      </c>
      <c r="P14" s="1"/>
      <c r="Q14" s="1"/>
      <c r="R14" s="1"/>
      <c r="S14" s="1"/>
      <c r="T14" s="1">
        <v>5</v>
      </c>
      <c r="U14" s="1">
        <v>6</v>
      </c>
      <c r="V14" s="1"/>
      <c r="X14">
        <f t="shared" si="0"/>
        <v>0</v>
      </c>
      <c r="Y14">
        <f t="shared" si="1"/>
        <v>0</v>
      </c>
      <c r="Z14">
        <f t="shared" si="2"/>
        <v>0</v>
      </c>
    </row>
    <row r="15" spans="1:26" ht="12.75" customHeight="1">
      <c r="A15" s="2" t="s">
        <v>12</v>
      </c>
      <c r="B15" s="1">
        <v>421</v>
      </c>
      <c r="C15" s="1">
        <v>0.3</v>
      </c>
      <c r="D15" s="1"/>
      <c r="E15" s="1">
        <v>221</v>
      </c>
      <c r="F15" s="1">
        <v>205</v>
      </c>
      <c r="G15" s="1"/>
      <c r="H15" s="1"/>
      <c r="I15" s="1"/>
      <c r="J15" s="1">
        <v>0.4</v>
      </c>
      <c r="K15" s="1"/>
      <c r="L15" s="1"/>
      <c r="M15" s="1">
        <v>16</v>
      </c>
      <c r="N15" s="1">
        <v>16</v>
      </c>
      <c r="O15" s="1"/>
      <c r="P15" s="1"/>
      <c r="Q15" s="1"/>
      <c r="R15" s="1"/>
      <c r="S15" s="1"/>
      <c r="T15" s="1">
        <v>63</v>
      </c>
      <c r="U15" s="1">
        <v>137</v>
      </c>
      <c r="V15" s="1"/>
      <c r="X15">
        <f t="shared" si="0"/>
        <v>-0.30000000000001137</v>
      </c>
      <c r="Y15">
        <f t="shared" si="1"/>
        <v>0</v>
      </c>
      <c r="Z15">
        <f t="shared" si="2"/>
        <v>0</v>
      </c>
    </row>
    <row r="16" spans="1:26" ht="12.75" customHeight="1">
      <c r="A16" s="2" t="s">
        <v>13</v>
      </c>
      <c r="B16" s="1">
        <v>949</v>
      </c>
      <c r="C16" s="1">
        <v>7</v>
      </c>
      <c r="D16" s="1"/>
      <c r="E16" s="1">
        <v>795</v>
      </c>
      <c r="F16" s="1">
        <v>597</v>
      </c>
      <c r="G16" s="1"/>
      <c r="H16" s="1"/>
      <c r="I16" s="1">
        <v>194</v>
      </c>
      <c r="J16" s="1">
        <v>194</v>
      </c>
      <c r="K16" s="1"/>
      <c r="L16" s="1"/>
      <c r="M16" s="1">
        <v>3</v>
      </c>
      <c r="N16" s="1"/>
      <c r="O16" s="1"/>
      <c r="P16" s="1">
        <v>3</v>
      </c>
      <c r="Q16" s="1"/>
      <c r="R16" s="1"/>
      <c r="S16" s="1">
        <v>109</v>
      </c>
      <c r="T16" s="1">
        <v>18.899999999999999</v>
      </c>
      <c r="U16" s="1">
        <v>20</v>
      </c>
      <c r="V16" s="1"/>
      <c r="X16">
        <f t="shared" si="0"/>
        <v>-0.89999999999999858</v>
      </c>
      <c r="Y16">
        <f t="shared" si="1"/>
        <v>1</v>
      </c>
      <c r="Z16">
        <f t="shared" si="2"/>
        <v>0</v>
      </c>
    </row>
    <row r="17" spans="1:26" ht="12.75" customHeight="1">
      <c r="A17" s="2" t="s">
        <v>14</v>
      </c>
      <c r="B17" s="1">
        <v>409</v>
      </c>
      <c r="C17" s="1">
        <v>6.8</v>
      </c>
      <c r="D17" s="1"/>
      <c r="E17" s="1">
        <v>317</v>
      </c>
      <c r="F17" s="1">
        <v>264</v>
      </c>
      <c r="G17" s="1"/>
      <c r="H17" s="1"/>
      <c r="I17" s="1">
        <v>8</v>
      </c>
      <c r="J17" s="1"/>
      <c r="K17" s="1"/>
      <c r="L17" s="1"/>
      <c r="M17" s="1">
        <v>45</v>
      </c>
      <c r="N17" s="1">
        <v>28</v>
      </c>
      <c r="O17" s="1">
        <v>6</v>
      </c>
      <c r="P17" s="1">
        <v>11</v>
      </c>
      <c r="Q17" s="1"/>
      <c r="R17" s="1"/>
      <c r="S17" s="1"/>
      <c r="T17" s="1">
        <v>52</v>
      </c>
      <c r="U17" s="1">
        <v>33.200000000000003</v>
      </c>
      <c r="V17" s="1"/>
      <c r="X17">
        <f t="shared" si="0"/>
        <v>-1.4210854715202004E-14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>
        <v>233</v>
      </c>
      <c r="C18" s="1"/>
      <c r="D18" s="1"/>
      <c r="E18" s="1">
        <v>2</v>
      </c>
      <c r="F18" s="1"/>
      <c r="G18" s="1"/>
      <c r="H18" s="1"/>
      <c r="I18" s="1"/>
      <c r="J18" s="1"/>
      <c r="K18" s="1"/>
      <c r="L18" s="1"/>
      <c r="M18" s="1">
        <v>2</v>
      </c>
      <c r="N18" s="1"/>
      <c r="O18" s="1"/>
      <c r="P18" s="1">
        <v>2</v>
      </c>
      <c r="Q18" s="1"/>
      <c r="R18" s="1"/>
      <c r="S18" s="1">
        <v>218</v>
      </c>
      <c r="T18" s="1">
        <v>10</v>
      </c>
      <c r="U18" s="1">
        <v>3</v>
      </c>
      <c r="V18" s="1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>
        <v>60</v>
      </c>
      <c r="C19" s="1">
        <v>20</v>
      </c>
      <c r="D19" s="1"/>
      <c r="E19" s="1">
        <v>9</v>
      </c>
      <c r="F19" s="1"/>
      <c r="G19" s="1"/>
      <c r="H19" s="1"/>
      <c r="I19" s="1">
        <v>9</v>
      </c>
      <c r="J19" s="1">
        <v>9</v>
      </c>
      <c r="K19" s="1"/>
      <c r="L19" s="1"/>
      <c r="M19" s="1"/>
      <c r="N19" s="1"/>
      <c r="O19" s="1"/>
      <c r="P19" s="1"/>
      <c r="Q19" s="1"/>
      <c r="R19" s="1"/>
      <c r="S19" s="1"/>
      <c r="T19" s="1">
        <v>14</v>
      </c>
      <c r="U19" s="1">
        <v>17</v>
      </c>
      <c r="V19" s="1"/>
      <c r="X19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>
        <v>285</v>
      </c>
      <c r="C20" s="1">
        <v>0.1</v>
      </c>
      <c r="D20" s="1"/>
      <c r="E20" s="1">
        <v>178</v>
      </c>
      <c r="F20" s="1">
        <v>140</v>
      </c>
      <c r="G20" s="1"/>
      <c r="H20" s="1"/>
      <c r="I20" s="1"/>
      <c r="J20" s="1"/>
      <c r="K20" s="1"/>
      <c r="L20" s="1"/>
      <c r="M20" s="1">
        <v>38</v>
      </c>
      <c r="N20" s="1">
        <v>27</v>
      </c>
      <c r="O20" s="1">
        <v>6</v>
      </c>
      <c r="P20" s="1">
        <v>4</v>
      </c>
      <c r="Q20" s="1"/>
      <c r="R20" s="1"/>
      <c r="S20" s="1"/>
      <c r="T20" s="1">
        <v>92</v>
      </c>
      <c r="U20" s="1">
        <v>15</v>
      </c>
      <c r="V20" s="1"/>
      <c r="X20">
        <f t="shared" si="0"/>
        <v>-0.10000000000002274</v>
      </c>
      <c r="Y20">
        <f t="shared" si="1"/>
        <v>0</v>
      </c>
      <c r="Z20">
        <f t="shared" si="2"/>
        <v>1</v>
      </c>
    </row>
    <row r="21" spans="1:26" ht="12.75" customHeight="1">
      <c r="A21" s="2" t="s">
        <v>18</v>
      </c>
      <c r="B21" s="1">
        <v>159</v>
      </c>
      <c r="C21" s="1">
        <v>2</v>
      </c>
      <c r="D21" s="1"/>
      <c r="E21" s="1">
        <v>104</v>
      </c>
      <c r="F21" s="1">
        <v>60</v>
      </c>
      <c r="G21" s="1"/>
      <c r="H21" s="1"/>
      <c r="I21" s="1"/>
      <c r="J21" s="1"/>
      <c r="K21" s="1"/>
      <c r="L21" s="1"/>
      <c r="M21" s="1">
        <v>44</v>
      </c>
      <c r="N21" s="1">
        <v>41</v>
      </c>
      <c r="O21" s="1"/>
      <c r="P21" s="1">
        <v>3</v>
      </c>
      <c r="Q21" s="1"/>
      <c r="R21" s="1"/>
      <c r="S21" s="1"/>
      <c r="T21" s="1">
        <v>32</v>
      </c>
      <c r="U21" s="1">
        <v>20</v>
      </c>
      <c r="V21" s="1"/>
      <c r="X21">
        <f t="shared" si="0"/>
        <v>1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>
        <v>302</v>
      </c>
      <c r="C22" s="1">
        <v>7</v>
      </c>
      <c r="D22" s="1"/>
      <c r="E22" s="1">
        <v>247</v>
      </c>
      <c r="F22" s="1">
        <v>221</v>
      </c>
      <c r="G22" s="1"/>
      <c r="H22" s="1"/>
      <c r="I22" s="1"/>
      <c r="J22" s="1"/>
      <c r="K22" s="1"/>
      <c r="L22" s="1"/>
      <c r="M22" s="1">
        <v>26</v>
      </c>
      <c r="N22" s="1">
        <v>18</v>
      </c>
      <c r="O22" s="1"/>
      <c r="P22" s="1">
        <v>8</v>
      </c>
      <c r="Q22" s="1"/>
      <c r="R22" s="1"/>
      <c r="S22" s="1"/>
      <c r="T22" s="1">
        <v>45</v>
      </c>
      <c r="U22" s="1">
        <v>3.7</v>
      </c>
      <c r="V22" s="1"/>
      <c r="X22">
        <f t="shared" si="0"/>
        <v>-0.70000000000000018</v>
      </c>
      <c r="Y22">
        <f t="shared" si="1"/>
        <v>0</v>
      </c>
      <c r="Z22">
        <f t="shared" si="2"/>
        <v>0</v>
      </c>
    </row>
    <row r="23" spans="1:26" ht="12.75" customHeight="1">
      <c r="A23" s="2" t="s">
        <v>20</v>
      </c>
      <c r="B23" s="1">
        <v>252</v>
      </c>
      <c r="C23" s="1">
        <v>120</v>
      </c>
      <c r="D23" s="1"/>
      <c r="E23" s="1">
        <v>79</v>
      </c>
      <c r="F23" s="1">
        <v>64</v>
      </c>
      <c r="G23" s="1"/>
      <c r="H23" s="1"/>
      <c r="I23" s="1"/>
      <c r="J23" s="1"/>
      <c r="K23" s="1"/>
      <c r="L23" s="1"/>
      <c r="M23" s="1">
        <v>15</v>
      </c>
      <c r="N23" s="1">
        <v>8</v>
      </c>
      <c r="O23" s="1"/>
      <c r="P23" s="1">
        <v>6</v>
      </c>
      <c r="Q23" s="1"/>
      <c r="R23" s="1"/>
      <c r="S23" s="1"/>
      <c r="T23" s="1">
        <v>45</v>
      </c>
      <c r="U23" s="1">
        <v>8</v>
      </c>
      <c r="V23" s="1"/>
      <c r="X23">
        <f t="shared" si="0"/>
        <v>0</v>
      </c>
      <c r="Y23">
        <f t="shared" si="1"/>
        <v>0</v>
      </c>
      <c r="Z23">
        <f t="shared" si="2"/>
        <v>1</v>
      </c>
    </row>
    <row r="24" spans="1:26" ht="12.75" customHeight="1">
      <c r="A24" s="2" t="s">
        <v>21</v>
      </c>
      <c r="B24" s="1">
        <v>219</v>
      </c>
      <c r="C24" s="1"/>
      <c r="D24" s="1"/>
      <c r="E24" s="1">
        <v>78</v>
      </c>
      <c r="F24" s="1"/>
      <c r="G24" s="1"/>
      <c r="H24" s="1"/>
      <c r="I24" s="1">
        <v>78</v>
      </c>
      <c r="J24" s="1">
        <v>78</v>
      </c>
      <c r="K24" s="1"/>
      <c r="L24" s="1"/>
      <c r="M24" s="1"/>
      <c r="N24" s="1"/>
      <c r="O24" s="1"/>
      <c r="P24" s="1"/>
      <c r="Q24" s="1"/>
      <c r="R24" s="1"/>
      <c r="S24" s="1">
        <v>109</v>
      </c>
      <c r="T24" s="1">
        <v>30</v>
      </c>
      <c r="U24" s="1">
        <v>3</v>
      </c>
      <c r="V24" s="1"/>
      <c r="X24">
        <f t="shared" si="0"/>
        <v>-1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>
        <v>44</v>
      </c>
      <c r="C25" s="1">
        <v>32</v>
      </c>
      <c r="D25" s="1"/>
      <c r="E25" s="1">
        <v>12</v>
      </c>
      <c r="F25" s="1"/>
      <c r="G25" s="1"/>
      <c r="H25" s="1"/>
      <c r="I25" s="1">
        <v>12</v>
      </c>
      <c r="J25" s="1">
        <v>12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X25">
        <f t="shared" si="0"/>
        <v>0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>
        <v>9.1</v>
      </c>
      <c r="C26" s="1">
        <v>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3.1</v>
      </c>
      <c r="V26" s="1"/>
      <c r="X26">
        <f t="shared" si="0"/>
        <v>-4.4408920985006262E-16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>
        <v>245</v>
      </c>
      <c r="C27" s="1">
        <v>15</v>
      </c>
      <c r="D27" s="1"/>
      <c r="E27" s="1">
        <v>229</v>
      </c>
      <c r="F27" s="1">
        <v>136</v>
      </c>
      <c r="G27" s="1"/>
      <c r="H27" s="1"/>
      <c r="I27" s="1">
        <v>93</v>
      </c>
      <c r="J27" s="1">
        <v>93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X27">
        <f t="shared" si="0"/>
        <v>1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>
        <v>786</v>
      </c>
      <c r="C28" s="1">
        <v>739</v>
      </c>
      <c r="D28" s="1"/>
      <c r="E28" s="1">
        <v>12</v>
      </c>
      <c r="F28" s="1"/>
      <c r="G28" s="1"/>
      <c r="H28" s="1"/>
      <c r="I28" s="1"/>
      <c r="J28" s="1"/>
      <c r="K28" s="1"/>
      <c r="L28" s="1"/>
      <c r="M28" s="1">
        <v>12</v>
      </c>
      <c r="N28" s="1">
        <v>10</v>
      </c>
      <c r="O28" s="1">
        <v>2.4</v>
      </c>
      <c r="P28" s="1"/>
      <c r="Q28" s="1"/>
      <c r="R28" s="1"/>
      <c r="S28" s="1"/>
      <c r="T28" s="1">
        <v>33</v>
      </c>
      <c r="U28" s="1">
        <v>2</v>
      </c>
      <c r="V28" s="1"/>
      <c r="X28">
        <f t="shared" si="0"/>
        <v>0</v>
      </c>
      <c r="Y28">
        <f t="shared" si="1"/>
        <v>0</v>
      </c>
      <c r="Z28">
        <f t="shared" si="2"/>
        <v>-0.39999999999999991</v>
      </c>
    </row>
    <row r="29" spans="1:26" ht="12.75" customHeight="1">
      <c r="A29" s="2" t="s">
        <v>26</v>
      </c>
      <c r="B29" s="1">
        <v>225</v>
      </c>
      <c r="C29" s="1">
        <v>19</v>
      </c>
      <c r="D29" s="1"/>
      <c r="E29" s="1">
        <v>159</v>
      </c>
      <c r="F29" s="1">
        <v>156</v>
      </c>
      <c r="G29" s="1"/>
      <c r="H29" s="1"/>
      <c r="I29" s="1"/>
      <c r="J29" s="1"/>
      <c r="K29" s="1"/>
      <c r="L29" s="1"/>
      <c r="M29" s="1">
        <v>3</v>
      </c>
      <c r="N29" s="1"/>
      <c r="O29" s="1"/>
      <c r="P29" s="1">
        <v>3</v>
      </c>
      <c r="Q29" s="1"/>
      <c r="R29" s="1"/>
      <c r="S29" s="1"/>
      <c r="T29" s="1">
        <v>47</v>
      </c>
      <c r="U29" s="1"/>
      <c r="V29" s="1"/>
      <c r="X29">
        <f t="shared" si="0"/>
        <v>0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>
        <v>1082</v>
      </c>
      <c r="C30" s="1">
        <v>946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130</v>
      </c>
      <c r="U30" s="1">
        <v>5</v>
      </c>
      <c r="V30" s="1"/>
      <c r="X30">
        <f t="shared" si="0"/>
        <v>1</v>
      </c>
      <c r="Y30">
        <f>E30-F30-I30-L30-M30</f>
        <v>0</v>
      </c>
      <c r="Z30">
        <f t="shared" si="2"/>
        <v>0</v>
      </c>
    </row>
    <row r="31" spans="1:26" ht="12.75" customHeight="1">
      <c r="A31" s="2" t="s">
        <v>28</v>
      </c>
      <c r="B31" s="1">
        <v>17</v>
      </c>
      <c r="C31" s="1">
        <v>17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X31">
        <f t="shared" si="0"/>
        <v>0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>
        <v>148</v>
      </c>
      <c r="C32" s="1"/>
      <c r="D32" s="1"/>
      <c r="E32" s="1">
        <v>93</v>
      </c>
      <c r="F32" s="1">
        <v>66</v>
      </c>
      <c r="G32" s="1"/>
      <c r="H32" s="1"/>
      <c r="I32" s="1"/>
      <c r="J32" s="1"/>
      <c r="K32" s="1"/>
      <c r="L32" s="1"/>
      <c r="M32" s="1">
        <v>27</v>
      </c>
      <c r="N32" s="1">
        <v>27</v>
      </c>
      <c r="O32" s="1"/>
      <c r="P32" s="1"/>
      <c r="Q32" s="1"/>
      <c r="R32" s="1"/>
      <c r="S32" s="1"/>
      <c r="T32" s="1">
        <v>29</v>
      </c>
      <c r="U32" s="1">
        <v>26</v>
      </c>
      <c r="V32" s="1"/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>
        <v>696</v>
      </c>
      <c r="C33" s="1">
        <v>48</v>
      </c>
      <c r="D33" s="1"/>
      <c r="E33" s="1">
        <v>251</v>
      </c>
      <c r="F33" s="1">
        <v>243</v>
      </c>
      <c r="G33" s="1"/>
      <c r="H33" s="1"/>
      <c r="I33" s="1"/>
      <c r="J33" s="1"/>
      <c r="K33" s="1"/>
      <c r="L33" s="1"/>
      <c r="M33" s="1">
        <v>8</v>
      </c>
      <c r="N33" s="1">
        <v>5</v>
      </c>
      <c r="O33" s="1"/>
      <c r="P33" s="1">
        <v>3</v>
      </c>
      <c r="Q33" s="1"/>
      <c r="R33" s="1"/>
      <c r="S33" s="1"/>
      <c r="T33" s="1">
        <v>309</v>
      </c>
      <c r="U33" s="1">
        <v>87</v>
      </c>
      <c r="V33" s="1"/>
      <c r="X33">
        <f t="shared" si="0"/>
        <v>1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>
        <v>149</v>
      </c>
      <c r="C34" s="1">
        <v>30</v>
      </c>
      <c r="D34" s="1"/>
      <c r="E34" s="1">
        <v>7</v>
      </c>
      <c r="F34" s="1"/>
      <c r="G34" s="1"/>
      <c r="H34" s="1"/>
      <c r="I34" s="1"/>
      <c r="J34" s="1"/>
      <c r="K34" s="1"/>
      <c r="L34" s="1"/>
      <c r="M34" s="1">
        <v>7</v>
      </c>
      <c r="N34" s="1">
        <v>7</v>
      </c>
      <c r="O34" s="1"/>
      <c r="P34" s="1"/>
      <c r="Q34" s="1"/>
      <c r="R34" s="1"/>
      <c r="S34" s="1"/>
      <c r="T34" s="1">
        <v>18</v>
      </c>
      <c r="U34" s="1">
        <v>94</v>
      </c>
      <c r="V34" s="1"/>
      <c r="X34">
        <f t="shared" si="0"/>
        <v>0</v>
      </c>
      <c r="Y34">
        <f t="shared" si="1"/>
        <v>0</v>
      </c>
      <c r="Z34">
        <f t="shared" si="2"/>
        <v>0</v>
      </c>
    </row>
    <row r="35" spans="1:26" ht="12.75" customHeight="1">
      <c r="A35" s="2" t="s">
        <v>32</v>
      </c>
      <c r="B35" s="1">
        <v>247</v>
      </c>
      <c r="C35" s="1"/>
      <c r="D35" s="1"/>
      <c r="E35" s="1">
        <v>56</v>
      </c>
      <c r="F35" s="1">
        <v>56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169</v>
      </c>
      <c r="U35" s="1">
        <v>21</v>
      </c>
      <c r="V35" s="1"/>
      <c r="X35">
        <f t="shared" si="0"/>
        <v>1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>
        <v>1004</v>
      </c>
      <c r="C36" s="1">
        <v>64</v>
      </c>
      <c r="D36" s="1"/>
      <c r="E36" s="1">
        <v>595</v>
      </c>
      <c r="F36" s="1">
        <v>581</v>
      </c>
      <c r="G36" s="1"/>
      <c r="H36" s="1"/>
      <c r="I36" s="1"/>
      <c r="J36" s="1"/>
      <c r="K36" s="1"/>
      <c r="L36" s="1"/>
      <c r="M36" s="1">
        <v>14</v>
      </c>
      <c r="N36" s="1"/>
      <c r="O36" s="1"/>
      <c r="P36" s="1">
        <v>14</v>
      </c>
      <c r="Q36" s="1"/>
      <c r="R36" s="1"/>
      <c r="S36" s="1"/>
      <c r="T36" s="1">
        <v>276</v>
      </c>
      <c r="U36" s="1">
        <v>69</v>
      </c>
      <c r="V36" s="1"/>
      <c r="X36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-0.1000000000003638</v>
      </c>
      <c r="C38">
        <f t="shared" ref="C38:V38" si="3">C5-SUM(C6:C36)</f>
        <v>2.6999999999998181</v>
      </c>
      <c r="D38">
        <f t="shared" si="3"/>
        <v>0</v>
      </c>
      <c r="E38">
        <f t="shared" si="3"/>
        <v>-2</v>
      </c>
      <c r="F38">
        <f t="shared" si="3"/>
        <v>1</v>
      </c>
      <c r="H38">
        <f t="shared" si="3"/>
        <v>0</v>
      </c>
      <c r="I38">
        <f t="shared" si="3"/>
        <v>0.60000000000002274</v>
      </c>
      <c r="J38">
        <f t="shared" si="3"/>
        <v>0.60000000000002274</v>
      </c>
      <c r="L38">
        <f t="shared" si="3"/>
        <v>0</v>
      </c>
      <c r="M38">
        <f t="shared" si="3"/>
        <v>-2.8999999999999773</v>
      </c>
      <c r="N38">
        <f t="shared" si="3"/>
        <v>-1.9000000000000057</v>
      </c>
      <c r="O38">
        <f t="shared" si="3"/>
        <v>-0.39999999999999858</v>
      </c>
      <c r="P38">
        <f t="shared" si="3"/>
        <v>0</v>
      </c>
      <c r="S38">
        <f t="shared" si="3"/>
        <v>-1</v>
      </c>
      <c r="T38">
        <f t="shared" si="3"/>
        <v>9.9999999999909051E-2</v>
      </c>
      <c r="U38">
        <f t="shared" si="3"/>
        <v>0.60000000000002274</v>
      </c>
      <c r="V38">
        <f t="shared" si="3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61C2-CC6F-4DDD-8B96-D8995A7C571D}">
  <dimension ref="A1:Z38"/>
  <sheetViews>
    <sheetView zoomScaleNormal="100" workbookViewId="0">
      <selection activeCell="I5" sqref="I5:I36"/>
    </sheetView>
  </sheetViews>
  <sheetFormatPr defaultRowHeight="12.75"/>
  <cols>
    <col min="1" max="22" width="7.5703125" customWidth="1"/>
  </cols>
  <sheetData>
    <row r="1" spans="1:26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6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6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6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6" ht="12.75" customHeight="1">
      <c r="A5" s="4" t="s">
        <v>5</v>
      </c>
      <c r="B5" s="1">
        <v>13184</v>
      </c>
      <c r="C5" s="1">
        <v>1375</v>
      </c>
      <c r="D5" s="1">
        <v>92</v>
      </c>
      <c r="E5" s="1">
        <v>6678</v>
      </c>
      <c r="F5" s="1">
        <v>5402</v>
      </c>
      <c r="G5" s="1"/>
      <c r="H5" s="1"/>
      <c r="I5" s="1">
        <v>696</v>
      </c>
      <c r="J5" s="1">
        <v>692</v>
      </c>
      <c r="K5" s="1"/>
      <c r="L5" s="1"/>
      <c r="M5" s="1">
        <v>581</v>
      </c>
      <c r="N5" s="1">
        <v>529</v>
      </c>
      <c r="O5" s="1">
        <v>4</v>
      </c>
      <c r="P5" s="1">
        <v>47</v>
      </c>
      <c r="Q5" s="1"/>
      <c r="R5" s="1"/>
      <c r="S5" s="1">
        <v>612</v>
      </c>
      <c r="T5" s="1">
        <v>3139</v>
      </c>
      <c r="U5" s="1">
        <v>1380</v>
      </c>
      <c r="V5" s="1"/>
      <c r="X5">
        <f>B5-C5-E5-S5-T5-U5-V5</f>
        <v>0</v>
      </c>
      <c r="Y5">
        <f>E5-F5-I5-L5-M5</f>
        <v>-1</v>
      </c>
      <c r="Z5">
        <f>M5-N5-O5-P5</f>
        <v>1</v>
      </c>
    </row>
    <row r="6" spans="1:26" ht="12.75" customHeight="1">
      <c r="A6" s="2" t="s">
        <v>6</v>
      </c>
      <c r="B6" s="1">
        <v>100</v>
      </c>
      <c r="C6" s="1"/>
      <c r="D6" s="1"/>
      <c r="E6" s="1">
        <v>95</v>
      </c>
      <c r="F6" s="1"/>
      <c r="G6" s="1"/>
      <c r="H6" s="1"/>
      <c r="I6" s="1">
        <v>95</v>
      </c>
      <c r="J6" s="1">
        <v>95</v>
      </c>
      <c r="K6" s="1"/>
      <c r="L6" s="1"/>
      <c r="M6" s="1"/>
      <c r="N6" s="1"/>
      <c r="O6" s="1"/>
      <c r="P6" s="1"/>
      <c r="Q6" s="1"/>
      <c r="R6" s="1"/>
      <c r="S6" s="1"/>
      <c r="T6" s="1"/>
      <c r="U6" s="1">
        <v>5</v>
      </c>
      <c r="V6" s="1"/>
      <c r="X6">
        <f t="shared" ref="X6:X36" si="0">B6-C6-E6-S6-T6-U6-V6</f>
        <v>0</v>
      </c>
      <c r="Y6">
        <f t="shared" ref="Y6:Y36" si="1">E6-F6-I6-L6-M6</f>
        <v>0</v>
      </c>
      <c r="Z6">
        <f t="shared" ref="Z6:Z36" si="2">M6-N6-O6-P6</f>
        <v>0</v>
      </c>
    </row>
    <row r="7" spans="1:26" ht="12.75" customHeight="1">
      <c r="A7" s="2" t="s">
        <v>7</v>
      </c>
      <c r="B7" s="1">
        <v>8</v>
      </c>
      <c r="C7" s="1"/>
      <c r="D7" s="1"/>
      <c r="E7" s="1">
        <v>2</v>
      </c>
      <c r="F7" s="1"/>
      <c r="G7" s="1"/>
      <c r="H7" s="1"/>
      <c r="I7" s="1"/>
      <c r="J7" s="1"/>
      <c r="K7" s="1"/>
      <c r="L7" s="1"/>
      <c r="M7" s="1">
        <v>2</v>
      </c>
      <c r="N7" s="1">
        <v>1</v>
      </c>
      <c r="O7" s="1"/>
      <c r="P7" s="1">
        <v>0.6</v>
      </c>
      <c r="Q7" s="1"/>
      <c r="R7" s="1"/>
      <c r="S7" s="1"/>
      <c r="T7" s="1"/>
      <c r="U7" s="1">
        <v>6</v>
      </c>
      <c r="V7" s="1"/>
      <c r="X7">
        <f t="shared" si="0"/>
        <v>0</v>
      </c>
      <c r="Y7">
        <f t="shared" si="1"/>
        <v>0</v>
      </c>
      <c r="Z7">
        <f t="shared" si="2"/>
        <v>0.4</v>
      </c>
    </row>
    <row r="8" spans="1:26" ht="12.75" customHeight="1">
      <c r="A8" s="2" t="s">
        <v>8</v>
      </c>
      <c r="B8" s="1">
        <v>390</v>
      </c>
      <c r="C8" s="1"/>
      <c r="D8" s="1"/>
      <c r="E8" s="1">
        <v>168</v>
      </c>
      <c r="F8" s="1">
        <v>150</v>
      </c>
      <c r="G8" s="1"/>
      <c r="H8" s="1"/>
      <c r="I8" s="1"/>
      <c r="J8" s="1"/>
      <c r="K8" s="1"/>
      <c r="L8" s="1"/>
      <c r="M8" s="1">
        <v>18.600000000000001</v>
      </c>
      <c r="N8" s="1">
        <v>14.1</v>
      </c>
      <c r="O8" s="1"/>
      <c r="P8" s="1">
        <v>5</v>
      </c>
      <c r="Q8" s="1"/>
      <c r="R8" s="1"/>
      <c r="S8" s="1"/>
      <c r="T8" s="1">
        <v>84</v>
      </c>
      <c r="U8" s="1">
        <v>137.19999999999999</v>
      </c>
      <c r="V8" s="1"/>
      <c r="X8">
        <f t="shared" si="0"/>
        <v>0.80000000000001137</v>
      </c>
      <c r="Y8">
        <f t="shared" si="1"/>
        <v>-0.60000000000000142</v>
      </c>
      <c r="Z8">
        <f t="shared" si="2"/>
        <v>-0.49999999999999822</v>
      </c>
    </row>
    <row r="9" spans="1:26" ht="12.75" customHeight="1">
      <c r="A9" s="2" t="s">
        <v>9</v>
      </c>
      <c r="B9" s="1">
        <v>634</v>
      </c>
      <c r="C9" s="1"/>
      <c r="D9" s="1"/>
      <c r="E9" s="1">
        <v>320</v>
      </c>
      <c r="F9" s="1">
        <v>200</v>
      </c>
      <c r="G9" s="1"/>
      <c r="H9" s="1"/>
      <c r="I9" s="1">
        <v>89.6</v>
      </c>
      <c r="J9" s="1">
        <v>86</v>
      </c>
      <c r="K9" s="1"/>
      <c r="L9" s="1"/>
      <c r="M9" s="1">
        <v>30</v>
      </c>
      <c r="N9" s="1">
        <v>29</v>
      </c>
      <c r="O9" s="1"/>
      <c r="P9" s="1">
        <v>1</v>
      </c>
      <c r="Q9" s="1"/>
      <c r="R9" s="1"/>
      <c r="S9" s="1"/>
      <c r="T9" s="1">
        <v>223</v>
      </c>
      <c r="U9" s="1">
        <v>91</v>
      </c>
      <c r="V9" s="1"/>
      <c r="X9">
        <f t="shared" si="0"/>
        <v>0</v>
      </c>
      <c r="Y9">
        <f t="shared" si="1"/>
        <v>0.40000000000000568</v>
      </c>
      <c r="Z9">
        <f t="shared" si="2"/>
        <v>0</v>
      </c>
    </row>
    <row r="10" spans="1:26" ht="12.75" customHeight="1">
      <c r="A10" s="2" t="s">
        <v>2</v>
      </c>
      <c r="B10" s="1">
        <v>567</v>
      </c>
      <c r="C10" s="1">
        <v>60</v>
      </c>
      <c r="D10" s="1">
        <v>60</v>
      </c>
      <c r="E10" s="1">
        <v>114</v>
      </c>
      <c r="F10" s="1">
        <v>106</v>
      </c>
      <c r="G10" s="1"/>
      <c r="H10" s="1"/>
      <c r="I10" s="1"/>
      <c r="J10" s="1"/>
      <c r="K10" s="1"/>
      <c r="L10" s="1"/>
      <c r="M10" s="1">
        <v>8</v>
      </c>
      <c r="N10" s="1">
        <v>8</v>
      </c>
      <c r="O10" s="1"/>
      <c r="P10" s="1"/>
      <c r="Q10" s="1"/>
      <c r="R10" s="1"/>
      <c r="S10" s="1"/>
      <c r="T10" s="1">
        <v>335</v>
      </c>
      <c r="U10" s="1">
        <v>49</v>
      </c>
      <c r="V10" s="1"/>
      <c r="X10">
        <f t="shared" si="0"/>
        <v>9</v>
      </c>
      <c r="Y10">
        <f t="shared" si="1"/>
        <v>0</v>
      </c>
      <c r="Z10">
        <f t="shared" si="2"/>
        <v>0</v>
      </c>
    </row>
    <row r="11" spans="1:26" ht="12.75" customHeight="1">
      <c r="A11" s="2" t="s">
        <v>10</v>
      </c>
      <c r="B11" s="1">
        <v>154</v>
      </c>
      <c r="C11" s="1"/>
      <c r="D11" s="1"/>
      <c r="E11" s="1">
        <v>1</v>
      </c>
      <c r="F11" s="1"/>
      <c r="G11" s="1"/>
      <c r="H11" s="1"/>
      <c r="I11" s="1"/>
      <c r="J11" s="1"/>
      <c r="K11" s="1"/>
      <c r="L11" s="1"/>
      <c r="M11" s="1">
        <v>1</v>
      </c>
      <c r="N11" s="1">
        <v>1</v>
      </c>
      <c r="O11" s="1"/>
      <c r="P11" s="1"/>
      <c r="Q11" s="1"/>
      <c r="R11" s="1"/>
      <c r="S11" s="1">
        <v>112</v>
      </c>
      <c r="T11" s="1">
        <v>34</v>
      </c>
      <c r="U11" s="1">
        <v>7</v>
      </c>
      <c r="V11" s="1"/>
      <c r="X11">
        <f t="shared" si="0"/>
        <v>0</v>
      </c>
      <c r="Y11">
        <f t="shared" si="1"/>
        <v>0</v>
      </c>
      <c r="Z11">
        <f t="shared" si="2"/>
        <v>0</v>
      </c>
    </row>
    <row r="12" spans="1:26" ht="12.75" customHeight="1">
      <c r="A12" s="2" t="s">
        <v>3</v>
      </c>
      <c r="B12" s="1">
        <v>103</v>
      </c>
      <c r="C12" s="1"/>
      <c r="D12" s="1"/>
      <c r="E12" s="1">
        <v>14</v>
      </c>
      <c r="F12" s="1"/>
      <c r="G12" s="1"/>
      <c r="H12" s="1"/>
      <c r="I12" s="1"/>
      <c r="J12" s="1"/>
      <c r="K12" s="1"/>
      <c r="L12" s="1"/>
      <c r="M12" s="1">
        <v>14</v>
      </c>
      <c r="N12" s="1">
        <v>8</v>
      </c>
      <c r="O12" s="1"/>
      <c r="P12" s="1">
        <v>6</v>
      </c>
      <c r="Q12" s="1"/>
      <c r="R12" s="1"/>
      <c r="S12" s="1"/>
      <c r="T12" s="1">
        <v>88</v>
      </c>
      <c r="U12" s="1"/>
      <c r="V12" s="1"/>
      <c r="X12">
        <f t="shared" si="0"/>
        <v>1</v>
      </c>
      <c r="Y12">
        <f t="shared" si="1"/>
        <v>0</v>
      </c>
      <c r="Z12">
        <f t="shared" si="2"/>
        <v>0</v>
      </c>
    </row>
    <row r="13" spans="1:26" ht="12.75" customHeight="1">
      <c r="A13" s="2" t="s">
        <v>4</v>
      </c>
      <c r="B13" s="1">
        <v>138</v>
      </c>
      <c r="C13" s="1">
        <v>4.4000000000000004</v>
      </c>
      <c r="D13" s="1"/>
      <c r="E13" s="1">
        <v>91</v>
      </c>
      <c r="F13" s="1">
        <v>70</v>
      </c>
      <c r="G13" s="1"/>
      <c r="H13" s="1"/>
      <c r="I13" s="1"/>
      <c r="J13" s="1"/>
      <c r="K13" s="1"/>
      <c r="L13" s="1"/>
      <c r="M13" s="1">
        <v>21</v>
      </c>
      <c r="N13" s="1">
        <v>14</v>
      </c>
      <c r="O13" s="1"/>
      <c r="P13" s="1">
        <v>7</v>
      </c>
      <c r="Q13" s="1"/>
      <c r="R13" s="1"/>
      <c r="S13" s="1"/>
      <c r="T13" s="1">
        <v>42</v>
      </c>
      <c r="U13" s="1">
        <v>0.3</v>
      </c>
      <c r="V13" s="1"/>
      <c r="X13">
        <f t="shared" si="0"/>
        <v>0.29999999999999433</v>
      </c>
      <c r="Y13">
        <f t="shared" si="1"/>
        <v>0</v>
      </c>
      <c r="Z13">
        <f t="shared" si="2"/>
        <v>0</v>
      </c>
    </row>
    <row r="14" spans="1:26" ht="12.75" customHeight="1">
      <c r="A14" s="2" t="s">
        <v>11</v>
      </c>
      <c r="B14" s="1">
        <v>148</v>
      </c>
      <c r="C14" s="1"/>
      <c r="D14" s="1"/>
      <c r="E14" s="1">
        <v>124</v>
      </c>
      <c r="F14" s="1">
        <v>22</v>
      </c>
      <c r="G14" s="1"/>
      <c r="H14" s="1"/>
      <c r="I14" s="1">
        <v>101.1</v>
      </c>
      <c r="J14" s="1">
        <v>101</v>
      </c>
      <c r="K14" s="1"/>
      <c r="L14" s="1"/>
      <c r="M14" s="1">
        <v>1</v>
      </c>
      <c r="N14" s="1">
        <v>1</v>
      </c>
      <c r="O14" s="1"/>
      <c r="P14" s="1"/>
      <c r="Q14" s="1"/>
      <c r="R14" s="1"/>
      <c r="S14" s="1"/>
      <c r="T14" s="1">
        <v>25</v>
      </c>
      <c r="U14" s="1"/>
      <c r="V14" s="1"/>
      <c r="X14">
        <f t="shared" si="0"/>
        <v>-1</v>
      </c>
      <c r="Y14">
        <f t="shared" si="1"/>
        <v>-9.9999999999994316E-2</v>
      </c>
      <c r="Z14">
        <f t="shared" si="2"/>
        <v>0</v>
      </c>
    </row>
    <row r="15" spans="1:26" ht="12.75" customHeight="1">
      <c r="A15" s="2" t="s">
        <v>12</v>
      </c>
      <c r="B15" s="1">
        <v>686</v>
      </c>
      <c r="C15" s="1">
        <v>0.1</v>
      </c>
      <c r="D15" s="1"/>
      <c r="E15" s="1">
        <v>490</v>
      </c>
      <c r="F15" s="1">
        <v>238</v>
      </c>
      <c r="G15" s="1"/>
      <c r="H15" s="1"/>
      <c r="I15" s="1">
        <v>216</v>
      </c>
      <c r="J15" s="1">
        <v>215.6</v>
      </c>
      <c r="K15" s="1"/>
      <c r="L15" s="1"/>
      <c r="M15" s="1">
        <v>37</v>
      </c>
      <c r="N15" s="1">
        <v>32</v>
      </c>
      <c r="O15" s="1">
        <v>1.6</v>
      </c>
      <c r="P15" s="1">
        <v>3</v>
      </c>
      <c r="Q15" s="1"/>
      <c r="R15" s="1"/>
      <c r="S15" s="1"/>
      <c r="T15" s="1">
        <v>68</v>
      </c>
      <c r="U15" s="1">
        <v>128</v>
      </c>
      <c r="V15" s="1"/>
      <c r="X15">
        <f t="shared" si="0"/>
        <v>-0.10000000000002274</v>
      </c>
      <c r="Y15">
        <f t="shared" si="1"/>
        <v>-1</v>
      </c>
      <c r="Z15">
        <f t="shared" si="2"/>
        <v>0.39999999999999991</v>
      </c>
    </row>
    <row r="16" spans="1:26" ht="12.75" customHeight="1">
      <c r="A16" s="2" t="s">
        <v>13</v>
      </c>
      <c r="B16" s="1">
        <v>761</v>
      </c>
      <c r="C16" s="1">
        <v>38</v>
      </c>
      <c r="D16" s="1"/>
      <c r="E16" s="1">
        <v>524</v>
      </c>
      <c r="F16" s="1">
        <v>338</v>
      </c>
      <c r="G16" s="1"/>
      <c r="H16" s="1"/>
      <c r="I16" s="1">
        <v>156</v>
      </c>
      <c r="J16" s="1">
        <v>156</v>
      </c>
      <c r="K16" s="1"/>
      <c r="L16" s="1"/>
      <c r="M16" s="1">
        <v>30</v>
      </c>
      <c r="N16" s="1">
        <v>28</v>
      </c>
      <c r="O16" s="1"/>
      <c r="P16" s="1">
        <v>2</v>
      </c>
      <c r="Q16" s="1"/>
      <c r="R16" s="1"/>
      <c r="S16" s="1">
        <v>109</v>
      </c>
      <c r="T16" s="1">
        <v>28.7</v>
      </c>
      <c r="U16" s="1">
        <v>64</v>
      </c>
      <c r="V16" s="1"/>
      <c r="X16">
        <f t="shared" si="0"/>
        <v>-2.7000000000000028</v>
      </c>
      <c r="Y16">
        <f t="shared" si="1"/>
        <v>0</v>
      </c>
      <c r="Z16">
        <f t="shared" si="2"/>
        <v>0</v>
      </c>
    </row>
    <row r="17" spans="1:26" ht="12.75" customHeight="1">
      <c r="A17" s="2" t="s">
        <v>14</v>
      </c>
      <c r="B17" s="1">
        <v>831</v>
      </c>
      <c r="C17" s="1"/>
      <c r="D17" s="1"/>
      <c r="E17" s="1">
        <v>732</v>
      </c>
      <c r="F17" s="1">
        <v>718</v>
      </c>
      <c r="G17" s="1"/>
      <c r="H17" s="1"/>
      <c r="I17" s="1"/>
      <c r="J17" s="1"/>
      <c r="K17" s="1"/>
      <c r="L17" s="1"/>
      <c r="M17" s="1">
        <v>14</v>
      </c>
      <c r="N17" s="1">
        <v>11</v>
      </c>
      <c r="O17" s="1"/>
      <c r="P17" s="1">
        <v>3</v>
      </c>
      <c r="Q17" s="1"/>
      <c r="R17" s="1"/>
      <c r="S17" s="1"/>
      <c r="T17" s="1">
        <v>49</v>
      </c>
      <c r="U17" s="1">
        <v>50.3</v>
      </c>
      <c r="V17" s="1"/>
      <c r="X17">
        <f t="shared" si="0"/>
        <v>-0.29999999999999716</v>
      </c>
      <c r="Y17">
        <f t="shared" si="1"/>
        <v>0</v>
      </c>
      <c r="Z17">
        <f t="shared" si="2"/>
        <v>0</v>
      </c>
    </row>
    <row r="18" spans="1:26" ht="12.75" customHeight="1">
      <c r="A18" s="2" t="s">
        <v>15</v>
      </c>
      <c r="B18" s="1">
        <v>474</v>
      </c>
      <c r="C18" s="1">
        <v>22</v>
      </c>
      <c r="D18" s="1"/>
      <c r="E18" s="1">
        <v>211</v>
      </c>
      <c r="F18" s="1">
        <v>200</v>
      </c>
      <c r="G18" s="1"/>
      <c r="H18" s="1"/>
      <c r="I18" s="1"/>
      <c r="J18" s="1"/>
      <c r="K18" s="1"/>
      <c r="L18" s="1"/>
      <c r="M18" s="1">
        <v>11</v>
      </c>
      <c r="N18" s="1">
        <v>10</v>
      </c>
      <c r="O18" s="1">
        <v>1</v>
      </c>
      <c r="P18" s="1"/>
      <c r="Q18" s="1"/>
      <c r="R18" s="1"/>
      <c r="S18" s="1">
        <v>218</v>
      </c>
      <c r="T18" s="1">
        <v>20</v>
      </c>
      <c r="U18" s="1">
        <v>3</v>
      </c>
      <c r="V18" s="1"/>
      <c r="X18">
        <f t="shared" si="0"/>
        <v>0</v>
      </c>
      <c r="Y18">
        <f t="shared" si="1"/>
        <v>0</v>
      </c>
      <c r="Z18">
        <f t="shared" si="2"/>
        <v>0</v>
      </c>
    </row>
    <row r="19" spans="1:26" ht="12.75" customHeight="1">
      <c r="A19" s="2" t="s">
        <v>16</v>
      </c>
      <c r="B19" s="1">
        <v>303</v>
      </c>
      <c r="C19" s="1">
        <v>13</v>
      </c>
      <c r="D19" s="1"/>
      <c r="E19" s="1">
        <v>252</v>
      </c>
      <c r="F19" s="1">
        <v>232</v>
      </c>
      <c r="G19" s="1"/>
      <c r="H19" s="1"/>
      <c r="I19" s="1"/>
      <c r="J19" s="1"/>
      <c r="K19" s="1"/>
      <c r="L19" s="1"/>
      <c r="M19" s="1">
        <v>20</v>
      </c>
      <c r="N19" s="1">
        <v>17</v>
      </c>
      <c r="O19" s="1"/>
      <c r="P19" s="1">
        <v>3</v>
      </c>
      <c r="Q19" s="1"/>
      <c r="R19" s="1"/>
      <c r="S19" s="1"/>
      <c r="T19" s="1">
        <v>23</v>
      </c>
      <c r="U19" s="1">
        <v>15</v>
      </c>
      <c r="V19" s="1"/>
      <c r="X19">
        <f t="shared" si="0"/>
        <v>0</v>
      </c>
      <c r="Y19">
        <f t="shared" si="1"/>
        <v>0</v>
      </c>
      <c r="Z19">
        <f t="shared" si="2"/>
        <v>0</v>
      </c>
    </row>
    <row r="20" spans="1:26" ht="12.75" customHeight="1">
      <c r="A20" s="2" t="s">
        <v>17</v>
      </c>
      <c r="B20" s="1">
        <v>397</v>
      </c>
      <c r="C20" s="1"/>
      <c r="D20" s="1"/>
      <c r="E20" s="1">
        <v>274</v>
      </c>
      <c r="F20" s="1">
        <v>240</v>
      </c>
      <c r="G20" s="1"/>
      <c r="H20" s="1"/>
      <c r="I20" s="1"/>
      <c r="J20" s="1"/>
      <c r="K20" s="1"/>
      <c r="L20" s="1"/>
      <c r="M20" s="1">
        <v>34</v>
      </c>
      <c r="N20" s="1">
        <v>25</v>
      </c>
      <c r="O20" s="1"/>
      <c r="P20" s="1">
        <v>9</v>
      </c>
      <c r="Q20" s="1"/>
      <c r="R20" s="1"/>
      <c r="S20" s="1"/>
      <c r="T20" s="1">
        <v>83</v>
      </c>
      <c r="U20" s="1">
        <v>40</v>
      </c>
      <c r="V20" s="1"/>
      <c r="X20">
        <f t="shared" si="0"/>
        <v>0</v>
      </c>
      <c r="Y20">
        <f t="shared" si="1"/>
        <v>0</v>
      </c>
      <c r="Z20">
        <f t="shared" si="2"/>
        <v>0</v>
      </c>
    </row>
    <row r="21" spans="1:26" ht="12.75" customHeight="1">
      <c r="A21" s="2" t="s">
        <v>18</v>
      </c>
      <c r="B21" s="1">
        <v>714</v>
      </c>
      <c r="C21" s="1">
        <v>2</v>
      </c>
      <c r="D21" s="1"/>
      <c r="E21" s="1">
        <v>659</v>
      </c>
      <c r="F21" s="1">
        <v>634</v>
      </c>
      <c r="G21" s="1"/>
      <c r="H21" s="1"/>
      <c r="I21" s="1"/>
      <c r="J21" s="1"/>
      <c r="K21" s="1"/>
      <c r="L21" s="1"/>
      <c r="M21" s="1">
        <v>25</v>
      </c>
      <c r="N21" s="1">
        <v>25</v>
      </c>
      <c r="O21" s="1"/>
      <c r="P21" s="1"/>
      <c r="Q21" s="1"/>
      <c r="R21" s="1"/>
      <c r="S21" s="1"/>
      <c r="T21" s="1">
        <v>40</v>
      </c>
      <c r="U21" s="1">
        <v>13</v>
      </c>
      <c r="V21" s="1"/>
      <c r="X21">
        <f t="shared" si="0"/>
        <v>0</v>
      </c>
      <c r="Y21">
        <f t="shared" si="1"/>
        <v>0</v>
      </c>
      <c r="Z21">
        <f t="shared" si="2"/>
        <v>0</v>
      </c>
    </row>
    <row r="22" spans="1:26" ht="12.75" customHeight="1">
      <c r="A22" s="2" t="s">
        <v>19</v>
      </c>
      <c r="B22" s="1">
        <v>205</v>
      </c>
      <c r="C22" s="1">
        <v>32</v>
      </c>
      <c r="D22" s="1"/>
      <c r="E22" s="1">
        <v>81</v>
      </c>
      <c r="F22" s="1">
        <v>38</v>
      </c>
      <c r="G22" s="1"/>
      <c r="H22" s="1"/>
      <c r="I22" s="1">
        <v>37.799999999999997</v>
      </c>
      <c r="J22" s="1">
        <v>37.799999999999997</v>
      </c>
      <c r="K22" s="1"/>
      <c r="L22" s="1"/>
      <c r="M22" s="1">
        <v>6</v>
      </c>
      <c r="N22" s="1">
        <v>3</v>
      </c>
      <c r="O22" s="1"/>
      <c r="P22" s="1">
        <v>3</v>
      </c>
      <c r="Q22" s="1"/>
      <c r="R22" s="1"/>
      <c r="S22" s="1"/>
      <c r="T22" s="1">
        <v>49</v>
      </c>
      <c r="U22" s="1">
        <v>42.9</v>
      </c>
      <c r="V22" s="1"/>
      <c r="X22">
        <f t="shared" si="0"/>
        <v>0.10000000000000142</v>
      </c>
      <c r="Y22">
        <f t="shared" si="1"/>
        <v>-0.79999999999999716</v>
      </c>
      <c r="Z22">
        <f t="shared" si="2"/>
        <v>0</v>
      </c>
    </row>
    <row r="23" spans="1:26" ht="12.75" customHeight="1">
      <c r="A23" s="2" t="s">
        <v>20</v>
      </c>
      <c r="B23" s="1">
        <v>280</v>
      </c>
      <c r="C23" s="1">
        <v>21</v>
      </c>
      <c r="D23" s="1"/>
      <c r="E23" s="1">
        <v>156</v>
      </c>
      <c r="F23" s="1">
        <v>142</v>
      </c>
      <c r="G23" s="1"/>
      <c r="H23" s="1"/>
      <c r="I23" s="1"/>
      <c r="J23" s="1"/>
      <c r="K23" s="1"/>
      <c r="L23" s="1"/>
      <c r="M23" s="1">
        <v>14</v>
      </c>
      <c r="N23" s="1">
        <v>13</v>
      </c>
      <c r="O23" s="1">
        <v>1.2</v>
      </c>
      <c r="P23" s="1"/>
      <c r="Q23" s="1"/>
      <c r="R23" s="1"/>
      <c r="S23" s="1"/>
      <c r="T23" s="1">
        <v>101</v>
      </c>
      <c r="U23" s="1">
        <v>2</v>
      </c>
      <c r="V23" s="1"/>
      <c r="X23">
        <f t="shared" si="0"/>
        <v>0</v>
      </c>
      <c r="Y23">
        <f t="shared" si="1"/>
        <v>0</v>
      </c>
      <c r="Z23">
        <f t="shared" si="2"/>
        <v>-0.19999999999999996</v>
      </c>
    </row>
    <row r="24" spans="1:26" ht="12.75" customHeight="1">
      <c r="A24" s="2" t="s">
        <v>21</v>
      </c>
      <c r="B24" s="1">
        <v>584</v>
      </c>
      <c r="C24" s="1">
        <v>32</v>
      </c>
      <c r="D24" s="1">
        <v>32</v>
      </c>
      <c r="E24" s="1">
        <v>415</v>
      </c>
      <c r="F24" s="1">
        <v>415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>
        <v>109</v>
      </c>
      <c r="T24" s="1">
        <v>25</v>
      </c>
      <c r="U24" s="1">
        <v>4</v>
      </c>
      <c r="V24" s="1"/>
      <c r="X24">
        <f t="shared" si="0"/>
        <v>-1</v>
      </c>
      <c r="Y24">
        <f t="shared" si="1"/>
        <v>0</v>
      </c>
      <c r="Z24">
        <f t="shared" si="2"/>
        <v>0</v>
      </c>
    </row>
    <row r="25" spans="1:26" ht="12.75" customHeight="1">
      <c r="A25" s="2" t="s">
        <v>22</v>
      </c>
      <c r="B25" s="1">
        <v>78</v>
      </c>
      <c r="C25" s="1">
        <v>3</v>
      </c>
      <c r="D25" s="1"/>
      <c r="E25" s="1">
        <v>37</v>
      </c>
      <c r="F25" s="1"/>
      <c r="G25" s="1"/>
      <c r="H25" s="1"/>
      <c r="I25" s="1"/>
      <c r="J25" s="1"/>
      <c r="K25" s="1"/>
      <c r="L25" s="1"/>
      <c r="M25" s="1">
        <v>37</v>
      </c>
      <c r="N25" s="1">
        <v>31</v>
      </c>
      <c r="O25" s="1"/>
      <c r="P25" s="1">
        <v>6</v>
      </c>
      <c r="Q25" s="1"/>
      <c r="R25" s="1"/>
      <c r="S25" s="1"/>
      <c r="T25" s="1">
        <v>30</v>
      </c>
      <c r="U25" s="1">
        <v>9</v>
      </c>
      <c r="V25" s="1"/>
      <c r="X25">
        <f t="shared" si="0"/>
        <v>-1</v>
      </c>
      <c r="Y25">
        <f t="shared" si="1"/>
        <v>0</v>
      </c>
      <c r="Z25">
        <f t="shared" si="2"/>
        <v>0</v>
      </c>
    </row>
    <row r="26" spans="1:26" ht="12.75" customHeight="1">
      <c r="A26" s="2" t="s">
        <v>23</v>
      </c>
      <c r="B26" s="1">
        <v>142</v>
      </c>
      <c r="C26" s="1"/>
      <c r="D26" s="1"/>
      <c r="E26" s="1">
        <v>70</v>
      </c>
      <c r="F26" s="1">
        <v>70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>
        <v>65</v>
      </c>
      <c r="T26" s="1"/>
      <c r="U26" s="1">
        <v>7</v>
      </c>
      <c r="V26" s="1"/>
      <c r="X26">
        <f t="shared" si="0"/>
        <v>0</v>
      </c>
      <c r="Y26">
        <f t="shared" si="1"/>
        <v>0</v>
      </c>
      <c r="Z26">
        <f t="shared" si="2"/>
        <v>0</v>
      </c>
    </row>
    <row r="27" spans="1:26" ht="12.75" customHeight="1">
      <c r="A27" s="2" t="s">
        <v>24</v>
      </c>
      <c r="B27" s="1">
        <v>317</v>
      </c>
      <c r="C27" s="1">
        <v>10</v>
      </c>
      <c r="D27" s="1"/>
      <c r="E27" s="1">
        <v>284</v>
      </c>
      <c r="F27" s="1">
        <v>276</v>
      </c>
      <c r="G27" s="1"/>
      <c r="H27" s="1"/>
      <c r="I27" s="1"/>
      <c r="J27" s="1"/>
      <c r="K27" s="1"/>
      <c r="L27" s="1"/>
      <c r="M27" s="1">
        <v>8</v>
      </c>
      <c r="N27" s="1">
        <v>8</v>
      </c>
      <c r="O27" s="1"/>
      <c r="P27" s="1"/>
      <c r="Q27" s="1"/>
      <c r="R27" s="1"/>
      <c r="S27" s="1"/>
      <c r="T27" s="1">
        <v>23</v>
      </c>
      <c r="U27" s="1"/>
      <c r="V27" s="1"/>
      <c r="X27">
        <f t="shared" si="0"/>
        <v>0</v>
      </c>
      <c r="Y27">
        <f t="shared" si="1"/>
        <v>0</v>
      </c>
      <c r="Z27">
        <f t="shared" si="2"/>
        <v>0</v>
      </c>
    </row>
    <row r="28" spans="1:26" ht="12.75" customHeight="1">
      <c r="A28" s="2" t="s">
        <v>25</v>
      </c>
      <c r="B28" s="1">
        <v>796</v>
      </c>
      <c r="C28" s="1">
        <v>632</v>
      </c>
      <c r="D28" s="1"/>
      <c r="E28" s="1">
        <v>78</v>
      </c>
      <c r="F28" s="1">
        <v>70</v>
      </c>
      <c r="G28" s="1"/>
      <c r="H28" s="1"/>
      <c r="I28" s="1"/>
      <c r="J28" s="1"/>
      <c r="K28" s="1"/>
      <c r="L28" s="1"/>
      <c r="M28" s="1">
        <v>8</v>
      </c>
      <c r="N28" s="1">
        <v>8</v>
      </c>
      <c r="O28" s="1"/>
      <c r="P28" s="1"/>
      <c r="Q28" s="1"/>
      <c r="R28" s="1"/>
      <c r="S28" s="1"/>
      <c r="T28" s="1">
        <v>58</v>
      </c>
      <c r="U28" s="1">
        <v>29</v>
      </c>
      <c r="V28" s="1"/>
      <c r="X28">
        <f t="shared" si="0"/>
        <v>-1</v>
      </c>
      <c r="Y28">
        <f t="shared" si="1"/>
        <v>0</v>
      </c>
      <c r="Z28">
        <f t="shared" si="2"/>
        <v>0</v>
      </c>
    </row>
    <row r="29" spans="1:26" ht="12.75" customHeight="1">
      <c r="A29" s="2" t="s">
        <v>26</v>
      </c>
      <c r="B29" s="1">
        <v>368</v>
      </c>
      <c r="C29" s="1">
        <v>77</v>
      </c>
      <c r="D29" s="1"/>
      <c r="E29" s="1">
        <v>198</v>
      </c>
      <c r="F29" s="1">
        <v>198</v>
      </c>
      <c r="G29" s="1"/>
      <c r="H29" s="1"/>
      <c r="I29" s="1"/>
      <c r="J29" s="1"/>
      <c r="K29" s="1"/>
      <c r="L29" s="1"/>
      <c r="M29" s="1"/>
      <c r="N29" s="1"/>
      <c r="O29" s="1">
        <v>0</v>
      </c>
      <c r="P29" s="1"/>
      <c r="Q29" s="1"/>
      <c r="R29" s="1"/>
      <c r="S29" s="1"/>
      <c r="T29" s="1">
        <v>89</v>
      </c>
      <c r="U29" s="1">
        <v>3</v>
      </c>
      <c r="V29" s="1"/>
      <c r="X29">
        <f t="shared" si="0"/>
        <v>1</v>
      </c>
      <c r="Y29">
        <f t="shared" si="1"/>
        <v>0</v>
      </c>
      <c r="Z29">
        <f t="shared" si="2"/>
        <v>0</v>
      </c>
    </row>
    <row r="30" spans="1:26" ht="12.75" customHeight="1">
      <c r="A30" s="2" t="s">
        <v>27</v>
      </c>
      <c r="B30" s="1">
        <v>515</v>
      </c>
      <c r="C30" s="1">
        <v>268</v>
      </c>
      <c r="D30" s="1"/>
      <c r="E30" s="1">
        <v>0</v>
      </c>
      <c r="F30" s="1"/>
      <c r="G30" s="1"/>
      <c r="H30" s="1"/>
      <c r="I30" s="1"/>
      <c r="J30" s="1"/>
      <c r="K30" s="1"/>
      <c r="L30" s="1"/>
      <c r="M30" s="1">
        <v>0</v>
      </c>
      <c r="N30" s="1"/>
      <c r="O30" s="1">
        <v>0</v>
      </c>
      <c r="P30" s="1"/>
      <c r="Q30" s="1"/>
      <c r="R30" s="1"/>
      <c r="S30" s="1"/>
      <c r="T30" s="1">
        <v>225</v>
      </c>
      <c r="U30" s="1">
        <v>22</v>
      </c>
      <c r="V30" s="1"/>
      <c r="X30">
        <f t="shared" si="0"/>
        <v>0</v>
      </c>
      <c r="Y30">
        <f>E30-F30-I30-L30-M30</f>
        <v>0</v>
      </c>
      <c r="Z30">
        <f t="shared" si="2"/>
        <v>0</v>
      </c>
    </row>
    <row r="31" spans="1:26" ht="12.75" customHeight="1">
      <c r="A31" s="2" t="s">
        <v>28</v>
      </c>
      <c r="B31" s="1">
        <v>67.400000000000006</v>
      </c>
      <c r="C31" s="1">
        <v>61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0</v>
      </c>
      <c r="U31" s="1">
        <v>6</v>
      </c>
      <c r="V31" s="1"/>
      <c r="X31">
        <f t="shared" si="0"/>
        <v>0.40000000000000568</v>
      </c>
      <c r="Y31">
        <f t="shared" si="1"/>
        <v>0</v>
      </c>
      <c r="Z31">
        <f t="shared" si="2"/>
        <v>0</v>
      </c>
    </row>
    <row r="32" spans="1:26" ht="12.75" customHeight="1">
      <c r="A32" s="2" t="s">
        <v>29</v>
      </c>
      <c r="B32" s="1">
        <v>488</v>
      </c>
      <c r="C32" s="1">
        <v>13</v>
      </c>
      <c r="D32" s="1"/>
      <c r="E32" s="1">
        <v>385</v>
      </c>
      <c r="F32" s="1">
        <v>350</v>
      </c>
      <c r="G32" s="1"/>
      <c r="H32" s="1"/>
      <c r="I32" s="1"/>
      <c r="J32" s="1"/>
      <c r="K32" s="1"/>
      <c r="L32" s="1"/>
      <c r="M32" s="1">
        <v>35</v>
      </c>
      <c r="N32" s="1">
        <v>35</v>
      </c>
      <c r="O32" s="1"/>
      <c r="P32" s="1"/>
      <c r="Q32" s="1"/>
      <c r="R32" s="1"/>
      <c r="S32" s="1"/>
      <c r="T32" s="1">
        <v>42</v>
      </c>
      <c r="U32" s="1">
        <v>48</v>
      </c>
      <c r="V32" s="1"/>
      <c r="X32">
        <f t="shared" si="0"/>
        <v>0</v>
      </c>
      <c r="Y32">
        <f t="shared" si="1"/>
        <v>0</v>
      </c>
      <c r="Z32">
        <f t="shared" si="2"/>
        <v>0</v>
      </c>
    </row>
    <row r="33" spans="1:26" ht="12.75" customHeight="1">
      <c r="A33" s="2" t="s">
        <v>30</v>
      </c>
      <c r="B33" s="1">
        <v>493</v>
      </c>
      <c r="C33" s="1">
        <v>24</v>
      </c>
      <c r="D33" s="1"/>
      <c r="E33" s="1">
        <v>75</v>
      </c>
      <c r="F33" s="1"/>
      <c r="G33" s="1"/>
      <c r="H33" s="1"/>
      <c r="I33" s="1"/>
      <c r="J33" s="1"/>
      <c r="K33" s="1"/>
      <c r="L33" s="1"/>
      <c r="M33" s="1">
        <v>75</v>
      </c>
      <c r="N33" s="1">
        <v>75</v>
      </c>
      <c r="O33" s="1"/>
      <c r="P33" s="1"/>
      <c r="Q33" s="1"/>
      <c r="R33" s="1"/>
      <c r="S33" s="1"/>
      <c r="T33" s="1">
        <v>264</v>
      </c>
      <c r="U33" s="1">
        <v>130</v>
      </c>
      <c r="V33" s="1"/>
      <c r="X33">
        <f t="shared" si="0"/>
        <v>0</v>
      </c>
      <c r="Y33">
        <f t="shared" si="1"/>
        <v>0</v>
      </c>
      <c r="Z33">
        <f t="shared" si="2"/>
        <v>0</v>
      </c>
    </row>
    <row r="34" spans="1:26" ht="12.75" customHeight="1">
      <c r="A34" s="2" t="s">
        <v>31</v>
      </c>
      <c r="B34" s="1">
        <v>285</v>
      </c>
      <c r="C34" s="1">
        <v>28</v>
      </c>
      <c r="D34" s="1"/>
      <c r="E34" s="1">
        <v>101</v>
      </c>
      <c r="F34" s="1">
        <v>101</v>
      </c>
      <c r="G34" s="1"/>
      <c r="H34" s="1"/>
      <c r="I34" s="1"/>
      <c r="J34" s="1"/>
      <c r="K34" s="1"/>
      <c r="L34" s="1"/>
      <c r="M34" s="1">
        <v>0.3</v>
      </c>
      <c r="N34" s="1"/>
      <c r="O34" s="1">
        <v>0.3</v>
      </c>
      <c r="P34" s="1"/>
      <c r="Q34" s="1"/>
      <c r="R34" s="1"/>
      <c r="S34" s="1"/>
      <c r="T34" s="1">
        <v>26</v>
      </c>
      <c r="U34" s="1">
        <v>131</v>
      </c>
      <c r="V34" s="1"/>
      <c r="X34">
        <f t="shared" si="0"/>
        <v>-1</v>
      </c>
      <c r="Y34">
        <f t="shared" si="1"/>
        <v>-0.3</v>
      </c>
      <c r="Z34">
        <f t="shared" si="2"/>
        <v>0</v>
      </c>
    </row>
    <row r="35" spans="1:26" ht="12.75" customHeight="1">
      <c r="A35" s="2" t="s">
        <v>32</v>
      </c>
      <c r="B35" s="1">
        <v>634</v>
      </c>
      <c r="C35" s="1"/>
      <c r="D35" s="1"/>
      <c r="E35" s="1">
        <v>178</v>
      </c>
      <c r="F35" s="1">
        <v>118</v>
      </c>
      <c r="G35" s="1"/>
      <c r="H35" s="1"/>
      <c r="I35" s="1"/>
      <c r="J35" s="1"/>
      <c r="K35" s="1"/>
      <c r="L35" s="1"/>
      <c r="M35" s="1">
        <v>60</v>
      </c>
      <c r="N35" s="1">
        <v>60</v>
      </c>
      <c r="O35" s="1"/>
      <c r="P35" s="1"/>
      <c r="Q35" s="1"/>
      <c r="R35" s="1"/>
      <c r="S35" s="1"/>
      <c r="T35" s="1">
        <v>321</v>
      </c>
      <c r="U35" s="1">
        <v>134</v>
      </c>
      <c r="V35" s="1"/>
      <c r="X35">
        <f t="shared" si="0"/>
        <v>1</v>
      </c>
      <c r="Y35">
        <f t="shared" si="1"/>
        <v>0</v>
      </c>
      <c r="Z35">
        <f t="shared" si="2"/>
        <v>0</v>
      </c>
    </row>
    <row r="36" spans="1:26" ht="12.75" customHeight="1">
      <c r="A36" s="2" t="s">
        <v>33</v>
      </c>
      <c r="B36" s="1">
        <v>1535</v>
      </c>
      <c r="C36" s="1">
        <v>37</v>
      </c>
      <c r="D36" s="1"/>
      <c r="E36" s="1">
        <v>549</v>
      </c>
      <c r="F36" s="1">
        <v>477</v>
      </c>
      <c r="G36" s="1"/>
      <c r="H36" s="1"/>
      <c r="I36" s="1"/>
      <c r="J36" s="1"/>
      <c r="K36" s="1"/>
      <c r="L36" s="1"/>
      <c r="M36" s="1">
        <v>72</v>
      </c>
      <c r="N36" s="1">
        <v>72</v>
      </c>
      <c r="O36" s="1"/>
      <c r="P36" s="1"/>
      <c r="Q36" s="1"/>
      <c r="R36" s="1"/>
      <c r="S36" s="1"/>
      <c r="T36" s="1">
        <v>743</v>
      </c>
      <c r="U36" s="1">
        <v>206</v>
      </c>
      <c r="V36" s="1"/>
      <c r="X36">
        <f t="shared" si="0"/>
        <v>0</v>
      </c>
      <c r="Y36">
        <f t="shared" si="1"/>
        <v>0</v>
      </c>
      <c r="Z36">
        <f t="shared" si="2"/>
        <v>0</v>
      </c>
    </row>
    <row r="37" spans="1:26" ht="12.75" customHeight="1"/>
    <row r="38" spans="1:26">
      <c r="B38">
        <f>B5-SUM(B6:B36)</f>
        <v>-11.399999999999636</v>
      </c>
      <c r="C38">
        <f t="shared" ref="C38:V38" si="3">C5-SUM(C6:C36)</f>
        <v>-2.5</v>
      </c>
      <c r="D38">
        <f t="shared" si="3"/>
        <v>0</v>
      </c>
      <c r="E38">
        <f t="shared" si="3"/>
        <v>0</v>
      </c>
      <c r="F38">
        <f t="shared" si="3"/>
        <v>-1</v>
      </c>
      <c r="H38">
        <f t="shared" si="3"/>
        <v>0</v>
      </c>
      <c r="I38">
        <f t="shared" si="3"/>
        <v>0.5</v>
      </c>
      <c r="J38">
        <f t="shared" si="3"/>
        <v>0.60000000000002274</v>
      </c>
      <c r="L38">
        <f t="shared" si="3"/>
        <v>0</v>
      </c>
      <c r="M38">
        <f t="shared" si="3"/>
        <v>-0.90000000000009095</v>
      </c>
      <c r="N38">
        <f t="shared" si="3"/>
        <v>-0.10000000000002274</v>
      </c>
      <c r="O38">
        <f t="shared" si="3"/>
        <v>-9.9999999999999645E-2</v>
      </c>
      <c r="P38">
        <f t="shared" si="3"/>
        <v>-1.6000000000000014</v>
      </c>
      <c r="S38">
        <f t="shared" si="3"/>
        <v>-1</v>
      </c>
      <c r="T38">
        <f t="shared" si="3"/>
        <v>0.3000000000001819</v>
      </c>
      <c r="U38">
        <f t="shared" si="3"/>
        <v>-2.6999999999998181</v>
      </c>
      <c r="V38">
        <f t="shared" si="3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workbookViewId="0">
      <selection activeCell="I5" sqref="I5:I36"/>
    </sheetView>
  </sheetViews>
  <sheetFormatPr defaultRowHeight="12.75"/>
  <cols>
    <col min="1" max="22" width="7.5703125" customWidth="1"/>
  </cols>
  <sheetData>
    <row r="1" spans="1:34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34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34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AB3" s="28" t="s">
        <v>59</v>
      </c>
      <c r="AC3" s="24" t="s">
        <v>60</v>
      </c>
      <c r="AD3" s="24" t="s">
        <v>55</v>
      </c>
      <c r="AE3" s="24" t="s">
        <v>56</v>
      </c>
      <c r="AF3" s="24" t="s">
        <v>57</v>
      </c>
      <c r="AG3" s="24" t="s">
        <v>58</v>
      </c>
    </row>
    <row r="4" spans="1:34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  <c r="AB4" s="2" t="s">
        <v>54</v>
      </c>
      <c r="AC4" s="10" t="s">
        <v>49</v>
      </c>
      <c r="AD4" s="10" t="s">
        <v>49</v>
      </c>
      <c r="AE4" s="10" t="s">
        <v>49</v>
      </c>
      <c r="AF4" s="10" t="s">
        <v>49</v>
      </c>
      <c r="AG4" s="10" t="s">
        <v>49</v>
      </c>
    </row>
    <row r="5" spans="1:34">
      <c r="A5" s="4" t="s">
        <v>5</v>
      </c>
      <c r="B5" s="1">
        <v>12143</v>
      </c>
      <c r="C5" s="1">
        <v>1179</v>
      </c>
      <c r="D5" s="1">
        <v>366</v>
      </c>
      <c r="E5" s="1">
        <v>5048</v>
      </c>
      <c r="F5" s="1">
        <v>3866</v>
      </c>
      <c r="G5" s="1"/>
      <c r="H5" s="1">
        <v>32</v>
      </c>
      <c r="I5" s="1">
        <v>214</v>
      </c>
      <c r="J5" s="1">
        <v>214</v>
      </c>
      <c r="K5" s="1"/>
      <c r="L5" s="1">
        <v>0</v>
      </c>
      <c r="M5" s="1">
        <v>836</v>
      </c>
      <c r="N5" s="1">
        <v>747</v>
      </c>
      <c r="O5" s="1">
        <v>26</v>
      </c>
      <c r="P5" s="1">
        <v>63</v>
      </c>
      <c r="Q5" s="1"/>
      <c r="R5" s="1"/>
      <c r="S5" s="1">
        <v>720</v>
      </c>
      <c r="T5" s="1">
        <v>2024</v>
      </c>
      <c r="U5" s="1">
        <v>3171</v>
      </c>
      <c r="V5" s="1">
        <v>0</v>
      </c>
      <c r="X5">
        <f>B5-C5-E5-S5-T5-U5-V5</f>
        <v>1</v>
      </c>
      <c r="Y5">
        <f>E5-F5-I5-L5-M5</f>
        <v>132</v>
      </c>
      <c r="Z5">
        <f>M5-N5-O5-P5</f>
        <v>0</v>
      </c>
      <c r="AB5" s="25" t="s">
        <v>5</v>
      </c>
      <c r="AC5" s="15">
        <v>12143</v>
      </c>
      <c r="AD5" s="16">
        <v>1179</v>
      </c>
      <c r="AE5" s="16">
        <v>5048</v>
      </c>
      <c r="AF5" s="16">
        <v>2024</v>
      </c>
      <c r="AG5" s="17">
        <v>3171</v>
      </c>
      <c r="AH5">
        <f>AC5-AD5-AE5-AF5-AG5</f>
        <v>721</v>
      </c>
    </row>
    <row r="6" spans="1:34">
      <c r="A6" s="2" t="s">
        <v>6</v>
      </c>
      <c r="B6" s="1">
        <v>32</v>
      </c>
      <c r="C6" s="1">
        <v>0</v>
      </c>
      <c r="D6" s="1">
        <v>0</v>
      </c>
      <c r="E6" s="1">
        <v>6</v>
      </c>
      <c r="F6" s="1">
        <v>0</v>
      </c>
      <c r="G6" s="1"/>
      <c r="H6" s="1">
        <v>0</v>
      </c>
      <c r="I6" s="1">
        <v>1</v>
      </c>
      <c r="J6" s="1">
        <v>1</v>
      </c>
      <c r="K6" s="1"/>
      <c r="L6" s="1">
        <v>0</v>
      </c>
      <c r="M6" s="1">
        <v>5</v>
      </c>
      <c r="N6" s="1">
        <v>5</v>
      </c>
      <c r="O6" s="1">
        <v>0</v>
      </c>
      <c r="P6" s="1">
        <v>0</v>
      </c>
      <c r="Q6" s="1"/>
      <c r="R6" s="1"/>
      <c r="S6" s="1">
        <v>0</v>
      </c>
      <c r="T6" s="1">
        <v>7</v>
      </c>
      <c r="U6" s="1">
        <v>18</v>
      </c>
      <c r="V6" s="1">
        <v>0</v>
      </c>
      <c r="X6">
        <f t="shared" ref="X6:X36" si="0">B6-C6-E6-S6-T6-U6-V6</f>
        <v>1</v>
      </c>
      <c r="Y6">
        <f t="shared" ref="Y6:Y36" si="1">E6-F6-I6-L6-M6</f>
        <v>0</v>
      </c>
      <c r="Z6">
        <f t="shared" ref="Z6:Z36" si="2">M6-N6-O6-P6</f>
        <v>0</v>
      </c>
      <c r="AB6" s="26" t="s">
        <v>6</v>
      </c>
      <c r="AC6" s="18">
        <v>32</v>
      </c>
      <c r="AD6" s="19"/>
      <c r="AE6" s="20">
        <v>6</v>
      </c>
      <c r="AF6" s="20">
        <v>7</v>
      </c>
      <c r="AG6" s="21">
        <v>18</v>
      </c>
      <c r="AH6">
        <f t="shared" ref="AH6:AH36" si="3">AC6-AD6-AE6-AF6-AG6</f>
        <v>1</v>
      </c>
    </row>
    <row r="7" spans="1:34">
      <c r="A7" s="2" t="s">
        <v>7</v>
      </c>
      <c r="B7" s="1">
        <v>143</v>
      </c>
      <c r="C7" s="1">
        <v>0</v>
      </c>
      <c r="D7" s="1">
        <v>0</v>
      </c>
      <c r="E7" s="1">
        <v>95</v>
      </c>
      <c r="F7" s="1">
        <v>0</v>
      </c>
      <c r="G7" s="1"/>
      <c r="H7" s="1">
        <v>0</v>
      </c>
      <c r="I7" s="1">
        <v>92</v>
      </c>
      <c r="J7" s="1">
        <v>92</v>
      </c>
      <c r="K7" s="1"/>
      <c r="L7" s="1">
        <v>0</v>
      </c>
      <c r="M7" s="1">
        <v>3</v>
      </c>
      <c r="N7" s="1">
        <v>2</v>
      </c>
      <c r="O7" s="1">
        <v>1</v>
      </c>
      <c r="P7" s="1">
        <v>0</v>
      </c>
      <c r="Q7" s="1"/>
      <c r="R7" s="1"/>
      <c r="S7" s="1">
        <v>0</v>
      </c>
      <c r="T7" s="1">
        <v>0</v>
      </c>
      <c r="U7" s="1">
        <v>48</v>
      </c>
      <c r="V7" s="1">
        <v>0</v>
      </c>
      <c r="X7">
        <f t="shared" si="0"/>
        <v>0</v>
      </c>
      <c r="Y7">
        <f t="shared" si="1"/>
        <v>0</v>
      </c>
      <c r="Z7">
        <f t="shared" si="2"/>
        <v>0</v>
      </c>
      <c r="AB7" s="26" t="s">
        <v>7</v>
      </c>
      <c r="AC7" s="18">
        <v>143</v>
      </c>
      <c r="AD7" s="19"/>
      <c r="AE7" s="20">
        <v>95</v>
      </c>
      <c r="AF7" s="19"/>
      <c r="AG7" s="21">
        <v>48</v>
      </c>
      <c r="AH7">
        <f t="shared" si="3"/>
        <v>0</v>
      </c>
    </row>
    <row r="8" spans="1:34">
      <c r="A8" s="2" t="s">
        <v>8</v>
      </c>
      <c r="B8" s="1">
        <v>631</v>
      </c>
      <c r="C8" s="1">
        <v>0.2</v>
      </c>
      <c r="D8" s="1">
        <v>0</v>
      </c>
      <c r="E8" s="1">
        <v>170</v>
      </c>
      <c r="F8" s="1">
        <v>142</v>
      </c>
      <c r="G8" s="1"/>
      <c r="H8" s="1">
        <v>2</v>
      </c>
      <c r="I8" s="1">
        <v>0</v>
      </c>
      <c r="J8" s="1">
        <v>0</v>
      </c>
      <c r="K8" s="1"/>
      <c r="L8" s="1">
        <v>0</v>
      </c>
      <c r="M8" s="1">
        <v>29</v>
      </c>
      <c r="N8" s="1">
        <v>20</v>
      </c>
      <c r="O8" s="1">
        <v>2</v>
      </c>
      <c r="P8" s="1">
        <v>6</v>
      </c>
      <c r="Q8" s="1"/>
      <c r="R8" s="1"/>
      <c r="S8" s="1">
        <v>0</v>
      </c>
      <c r="T8" s="1">
        <v>228</v>
      </c>
      <c r="U8" s="1">
        <v>232</v>
      </c>
      <c r="V8" s="1">
        <v>0</v>
      </c>
      <c r="X8">
        <f t="shared" si="0"/>
        <v>0.79999999999995453</v>
      </c>
      <c r="Y8">
        <f t="shared" si="1"/>
        <v>-1</v>
      </c>
      <c r="Z8">
        <f t="shared" si="2"/>
        <v>1</v>
      </c>
      <c r="AB8" s="26" t="s">
        <v>8</v>
      </c>
      <c r="AC8" s="18">
        <v>631</v>
      </c>
      <c r="AD8" s="19"/>
      <c r="AE8" s="20">
        <v>170</v>
      </c>
      <c r="AF8" s="20">
        <v>228</v>
      </c>
      <c r="AG8" s="21">
        <v>232</v>
      </c>
      <c r="AH8">
        <f t="shared" si="3"/>
        <v>1</v>
      </c>
    </row>
    <row r="9" spans="1:34">
      <c r="A9" s="2" t="s">
        <v>9</v>
      </c>
      <c r="B9" s="1">
        <v>793</v>
      </c>
      <c r="C9" s="1">
        <v>0.1</v>
      </c>
      <c r="D9" s="1">
        <v>0</v>
      </c>
      <c r="E9" s="1">
        <v>374</v>
      </c>
      <c r="F9" s="1">
        <v>337</v>
      </c>
      <c r="G9" s="1"/>
      <c r="H9" s="1">
        <v>30</v>
      </c>
      <c r="I9" s="1">
        <v>0</v>
      </c>
      <c r="J9" s="1">
        <v>0</v>
      </c>
      <c r="K9" s="1"/>
      <c r="L9" s="1">
        <v>0</v>
      </c>
      <c r="M9" s="1">
        <v>37</v>
      </c>
      <c r="N9" s="1">
        <v>37</v>
      </c>
      <c r="O9" s="1">
        <v>0</v>
      </c>
      <c r="P9" s="1">
        <v>0</v>
      </c>
      <c r="Q9" s="1"/>
      <c r="R9" s="1"/>
      <c r="S9" s="1">
        <v>0</v>
      </c>
      <c r="T9" s="1">
        <v>173</v>
      </c>
      <c r="U9" s="1">
        <v>246</v>
      </c>
      <c r="V9" s="1">
        <v>0</v>
      </c>
      <c r="X9">
        <f t="shared" si="0"/>
        <v>-0.10000000000002274</v>
      </c>
      <c r="Y9">
        <f t="shared" si="1"/>
        <v>0</v>
      </c>
      <c r="Z9">
        <f t="shared" si="2"/>
        <v>0</v>
      </c>
      <c r="AB9" s="26" t="s">
        <v>9</v>
      </c>
      <c r="AC9" s="18">
        <v>793</v>
      </c>
      <c r="AD9" s="19"/>
      <c r="AE9" s="20">
        <v>374</v>
      </c>
      <c r="AF9" s="20">
        <v>173</v>
      </c>
      <c r="AG9" s="21">
        <v>246</v>
      </c>
      <c r="AH9">
        <f t="shared" si="3"/>
        <v>0</v>
      </c>
    </row>
    <row r="10" spans="1:34">
      <c r="A10" s="2" t="s">
        <v>2</v>
      </c>
      <c r="B10" s="1">
        <v>473</v>
      </c>
      <c r="C10" s="1">
        <v>0.2</v>
      </c>
      <c r="D10" s="1">
        <v>0</v>
      </c>
      <c r="E10" s="1">
        <v>366</v>
      </c>
      <c r="F10" s="1">
        <v>363</v>
      </c>
      <c r="G10" s="1"/>
      <c r="H10" s="1">
        <v>0</v>
      </c>
      <c r="I10" s="1">
        <v>0</v>
      </c>
      <c r="J10" s="1">
        <v>0</v>
      </c>
      <c r="K10" s="1"/>
      <c r="L10" s="1">
        <v>0</v>
      </c>
      <c r="M10" s="1">
        <v>3</v>
      </c>
      <c r="N10" s="1">
        <v>3</v>
      </c>
      <c r="O10" s="1">
        <v>0</v>
      </c>
      <c r="P10" s="1">
        <v>0</v>
      </c>
      <c r="Q10" s="1"/>
      <c r="R10" s="1"/>
      <c r="S10" s="1">
        <v>0</v>
      </c>
      <c r="T10" s="1">
        <v>81</v>
      </c>
      <c r="U10" s="1">
        <v>26</v>
      </c>
      <c r="V10" s="1">
        <v>0</v>
      </c>
      <c r="X10">
        <f t="shared" si="0"/>
        <v>-0.19999999999998863</v>
      </c>
      <c r="Y10">
        <f t="shared" si="1"/>
        <v>0</v>
      </c>
      <c r="Z10">
        <f t="shared" si="2"/>
        <v>0</v>
      </c>
      <c r="AB10" s="26" t="s">
        <v>2</v>
      </c>
      <c r="AC10" s="18">
        <v>473</v>
      </c>
      <c r="AD10" s="19"/>
      <c r="AE10" s="20">
        <v>366</v>
      </c>
      <c r="AF10" s="20">
        <v>81</v>
      </c>
      <c r="AG10" s="21">
        <v>26</v>
      </c>
      <c r="AH10">
        <f t="shared" si="3"/>
        <v>0</v>
      </c>
    </row>
    <row r="11" spans="1:34">
      <c r="A11" s="2" t="s">
        <v>10</v>
      </c>
      <c r="B11" s="1">
        <v>147</v>
      </c>
      <c r="C11" s="1">
        <v>0.2</v>
      </c>
      <c r="D11" s="1">
        <v>0</v>
      </c>
      <c r="E11" s="1">
        <v>1</v>
      </c>
      <c r="F11" s="1">
        <v>0</v>
      </c>
      <c r="G11" s="1"/>
      <c r="H11" s="1">
        <v>0</v>
      </c>
      <c r="I11" s="1">
        <v>0</v>
      </c>
      <c r="J11" s="1">
        <v>0</v>
      </c>
      <c r="K11" s="1"/>
      <c r="L11" s="1">
        <v>0</v>
      </c>
      <c r="M11" s="1">
        <v>1</v>
      </c>
      <c r="N11" s="1">
        <v>1</v>
      </c>
      <c r="O11" s="1">
        <v>0</v>
      </c>
      <c r="P11" s="1">
        <v>0</v>
      </c>
      <c r="Q11" s="1"/>
      <c r="R11" s="1"/>
      <c r="S11" s="1">
        <v>112</v>
      </c>
      <c r="T11" s="1">
        <v>14</v>
      </c>
      <c r="U11" s="1">
        <v>21</v>
      </c>
      <c r="V11" s="1">
        <v>0</v>
      </c>
      <c r="X11">
        <f t="shared" si="0"/>
        <v>-1.1999999999999886</v>
      </c>
      <c r="Y11">
        <f t="shared" si="1"/>
        <v>0</v>
      </c>
      <c r="Z11">
        <f t="shared" si="2"/>
        <v>0</v>
      </c>
      <c r="AB11" s="26" t="s">
        <v>10</v>
      </c>
      <c r="AC11" s="18">
        <v>147</v>
      </c>
      <c r="AD11" s="19"/>
      <c r="AE11" s="20">
        <v>1</v>
      </c>
      <c r="AF11" s="20">
        <v>14</v>
      </c>
      <c r="AG11" s="21">
        <v>21</v>
      </c>
      <c r="AH11">
        <f t="shared" si="3"/>
        <v>111</v>
      </c>
    </row>
    <row r="12" spans="1:34">
      <c r="A12" s="2" t="s">
        <v>3</v>
      </c>
      <c r="B12" s="1">
        <v>84</v>
      </c>
      <c r="C12" s="1">
        <v>0.3</v>
      </c>
      <c r="D12" s="1">
        <v>0</v>
      </c>
      <c r="E12" s="1">
        <v>11</v>
      </c>
      <c r="F12" s="1">
        <v>0</v>
      </c>
      <c r="G12" s="1"/>
      <c r="H12" s="1">
        <v>0</v>
      </c>
      <c r="I12" s="1">
        <v>0</v>
      </c>
      <c r="J12" s="1">
        <v>0</v>
      </c>
      <c r="K12" s="1"/>
      <c r="L12" s="1">
        <v>0</v>
      </c>
      <c r="M12" s="1">
        <v>11</v>
      </c>
      <c r="N12" s="1">
        <v>8</v>
      </c>
      <c r="O12" s="1">
        <v>0</v>
      </c>
      <c r="P12" s="1">
        <v>3</v>
      </c>
      <c r="Q12" s="1"/>
      <c r="R12" s="1"/>
      <c r="S12" s="1">
        <v>0</v>
      </c>
      <c r="T12" s="1">
        <v>22</v>
      </c>
      <c r="U12" s="1">
        <v>52</v>
      </c>
      <c r="V12" s="1">
        <v>0</v>
      </c>
      <c r="X12">
        <f t="shared" si="0"/>
        <v>-1.2999999999999972</v>
      </c>
      <c r="Y12">
        <f t="shared" si="1"/>
        <v>0</v>
      </c>
      <c r="Z12">
        <f t="shared" si="2"/>
        <v>0</v>
      </c>
      <c r="AB12" s="26" t="s">
        <v>3</v>
      </c>
      <c r="AC12" s="18">
        <v>84</v>
      </c>
      <c r="AD12" s="19"/>
      <c r="AE12" s="20">
        <v>11</v>
      </c>
      <c r="AF12" s="20">
        <v>22</v>
      </c>
      <c r="AG12" s="21">
        <v>52</v>
      </c>
      <c r="AH12">
        <f t="shared" si="3"/>
        <v>-1</v>
      </c>
    </row>
    <row r="13" spans="1:34">
      <c r="A13" s="2" t="s">
        <v>4</v>
      </c>
      <c r="B13" s="1">
        <v>139</v>
      </c>
      <c r="C13" s="1">
        <v>0.3</v>
      </c>
      <c r="D13" s="1">
        <v>0</v>
      </c>
      <c r="E13" s="1">
        <v>59</v>
      </c>
      <c r="F13" s="1">
        <v>35</v>
      </c>
      <c r="G13" s="1"/>
      <c r="H13" s="1">
        <v>0</v>
      </c>
      <c r="I13" s="1">
        <v>0</v>
      </c>
      <c r="J13" s="1">
        <v>0</v>
      </c>
      <c r="K13" s="1"/>
      <c r="L13" s="1">
        <v>0</v>
      </c>
      <c r="M13" s="1">
        <v>24</v>
      </c>
      <c r="N13" s="1">
        <v>14</v>
      </c>
      <c r="O13" s="1">
        <v>0</v>
      </c>
      <c r="P13" s="1">
        <v>10</v>
      </c>
      <c r="Q13" s="1"/>
      <c r="R13" s="1"/>
      <c r="S13" s="1">
        <v>0</v>
      </c>
      <c r="T13" s="1">
        <v>66</v>
      </c>
      <c r="U13" s="1">
        <v>14</v>
      </c>
      <c r="V13" s="1">
        <v>0</v>
      </c>
      <c r="X13">
        <f t="shared" si="0"/>
        <v>-0.30000000000001137</v>
      </c>
      <c r="Y13">
        <f t="shared" si="1"/>
        <v>0</v>
      </c>
      <c r="Z13">
        <f t="shared" si="2"/>
        <v>0</v>
      </c>
      <c r="AB13" s="26" t="s">
        <v>4</v>
      </c>
      <c r="AC13" s="18">
        <v>139</v>
      </c>
      <c r="AD13" s="19"/>
      <c r="AE13" s="20">
        <v>59</v>
      </c>
      <c r="AF13" s="20">
        <v>66</v>
      </c>
      <c r="AG13" s="21">
        <v>14</v>
      </c>
      <c r="AH13">
        <f t="shared" si="3"/>
        <v>0</v>
      </c>
    </row>
    <row r="14" spans="1:34">
      <c r="A14" s="2" t="s">
        <v>11</v>
      </c>
      <c r="B14" s="1">
        <v>45</v>
      </c>
      <c r="C14" s="1">
        <v>0</v>
      </c>
      <c r="D14" s="1">
        <v>0</v>
      </c>
      <c r="E14" s="1">
        <v>11</v>
      </c>
      <c r="F14" s="1">
        <v>0</v>
      </c>
      <c r="G14" s="1"/>
      <c r="H14" s="1">
        <v>0</v>
      </c>
      <c r="I14" s="1">
        <v>3</v>
      </c>
      <c r="J14" s="1">
        <v>3</v>
      </c>
      <c r="K14" s="1"/>
      <c r="L14" s="1">
        <v>0</v>
      </c>
      <c r="M14" s="1">
        <v>8</v>
      </c>
      <c r="N14" s="1">
        <v>2</v>
      </c>
      <c r="O14" s="1">
        <v>0</v>
      </c>
      <c r="P14" s="1">
        <v>5</v>
      </c>
      <c r="Q14" s="1"/>
      <c r="R14" s="1"/>
      <c r="S14" s="1">
        <v>0</v>
      </c>
      <c r="T14" s="1">
        <v>20</v>
      </c>
      <c r="U14" s="1">
        <v>15</v>
      </c>
      <c r="V14" s="1">
        <v>0</v>
      </c>
      <c r="X14">
        <f t="shared" si="0"/>
        <v>-1</v>
      </c>
      <c r="Y14">
        <f t="shared" si="1"/>
        <v>0</v>
      </c>
      <c r="Z14">
        <f t="shared" si="2"/>
        <v>1</v>
      </c>
      <c r="AB14" s="26" t="s">
        <v>11</v>
      </c>
      <c r="AC14" s="18">
        <v>45</v>
      </c>
      <c r="AD14" s="19"/>
      <c r="AE14" s="20">
        <v>11</v>
      </c>
      <c r="AF14" s="20">
        <v>20</v>
      </c>
      <c r="AG14" s="21">
        <v>15</v>
      </c>
      <c r="AH14">
        <f t="shared" si="3"/>
        <v>-1</v>
      </c>
    </row>
    <row r="15" spans="1:34">
      <c r="A15" s="2" t="s">
        <v>12</v>
      </c>
      <c r="B15" s="1">
        <v>645</v>
      </c>
      <c r="C15" s="1">
        <v>0.4</v>
      </c>
      <c r="D15" s="1">
        <v>0</v>
      </c>
      <c r="E15" s="1">
        <v>380</v>
      </c>
      <c r="F15" s="1">
        <v>137</v>
      </c>
      <c r="G15" s="1"/>
      <c r="H15" s="1">
        <v>0</v>
      </c>
      <c r="I15" s="1">
        <v>87</v>
      </c>
      <c r="J15" s="1">
        <v>87</v>
      </c>
      <c r="K15" s="1"/>
      <c r="L15" s="1">
        <v>0</v>
      </c>
      <c r="M15" s="1">
        <v>157</v>
      </c>
      <c r="N15" s="1">
        <v>150</v>
      </c>
      <c r="O15" s="1">
        <v>1</v>
      </c>
      <c r="P15" s="1">
        <v>7</v>
      </c>
      <c r="Q15" s="1"/>
      <c r="R15" s="1"/>
      <c r="S15" s="1">
        <v>0</v>
      </c>
      <c r="T15" s="1">
        <v>95</v>
      </c>
      <c r="U15" s="1">
        <v>170</v>
      </c>
      <c r="V15" s="1">
        <v>0</v>
      </c>
      <c r="X15">
        <f t="shared" si="0"/>
        <v>-0.39999999999997726</v>
      </c>
      <c r="Y15">
        <f t="shared" si="1"/>
        <v>-1</v>
      </c>
      <c r="Z15">
        <f t="shared" si="2"/>
        <v>-1</v>
      </c>
      <c r="AB15" s="26" t="s">
        <v>12</v>
      </c>
      <c r="AC15" s="18">
        <v>645</v>
      </c>
      <c r="AD15" s="19"/>
      <c r="AE15" s="20">
        <v>380</v>
      </c>
      <c r="AF15" s="20">
        <v>95</v>
      </c>
      <c r="AG15" s="21">
        <v>170</v>
      </c>
      <c r="AH15">
        <f t="shared" si="3"/>
        <v>0</v>
      </c>
    </row>
    <row r="16" spans="1:34">
      <c r="A16" s="2" t="s">
        <v>13</v>
      </c>
      <c r="B16" s="1">
        <v>496</v>
      </c>
      <c r="C16" s="1">
        <v>177</v>
      </c>
      <c r="D16" s="1">
        <v>150</v>
      </c>
      <c r="E16" s="1">
        <v>64</v>
      </c>
      <c r="F16" s="1">
        <v>0</v>
      </c>
      <c r="G16" s="1"/>
      <c r="H16" s="1">
        <v>0</v>
      </c>
      <c r="I16" s="1">
        <v>0</v>
      </c>
      <c r="J16" s="1">
        <v>0</v>
      </c>
      <c r="K16" s="1"/>
      <c r="L16" s="1">
        <v>0</v>
      </c>
      <c r="M16" s="1">
        <v>64</v>
      </c>
      <c r="N16" s="1">
        <v>55</v>
      </c>
      <c r="O16" s="1">
        <v>3</v>
      </c>
      <c r="P16" s="1">
        <v>6</v>
      </c>
      <c r="Q16" s="1"/>
      <c r="R16" s="1"/>
      <c r="S16" s="1">
        <v>0</v>
      </c>
      <c r="T16" s="1">
        <v>27</v>
      </c>
      <c r="U16" s="1">
        <v>228</v>
      </c>
      <c r="V16" s="1">
        <v>0</v>
      </c>
      <c r="X16">
        <f t="shared" si="0"/>
        <v>0</v>
      </c>
      <c r="Y16">
        <f t="shared" si="1"/>
        <v>0</v>
      </c>
      <c r="Z16">
        <f t="shared" si="2"/>
        <v>0</v>
      </c>
      <c r="AB16" s="26" t="s">
        <v>13</v>
      </c>
      <c r="AC16" s="18">
        <v>496</v>
      </c>
      <c r="AD16" s="20">
        <v>177</v>
      </c>
      <c r="AE16" s="20">
        <v>64</v>
      </c>
      <c r="AF16" s="20">
        <v>27</v>
      </c>
      <c r="AG16" s="21">
        <v>228</v>
      </c>
      <c r="AH16">
        <f t="shared" si="3"/>
        <v>0</v>
      </c>
    </row>
    <row r="17" spans="1:34">
      <c r="A17" s="2" t="s">
        <v>14</v>
      </c>
      <c r="B17" s="1">
        <v>503</v>
      </c>
      <c r="C17" s="1">
        <v>5</v>
      </c>
      <c r="D17" s="1">
        <v>0</v>
      </c>
      <c r="E17" s="1">
        <v>301</v>
      </c>
      <c r="F17" s="1">
        <v>296</v>
      </c>
      <c r="G17" s="1"/>
      <c r="H17" s="1">
        <v>0</v>
      </c>
      <c r="I17" s="1">
        <v>0</v>
      </c>
      <c r="J17" s="1">
        <v>0</v>
      </c>
      <c r="K17" s="1"/>
      <c r="L17" s="1">
        <v>0</v>
      </c>
      <c r="M17" s="1">
        <v>5</v>
      </c>
      <c r="N17" s="1">
        <v>5</v>
      </c>
      <c r="O17" s="1">
        <v>0</v>
      </c>
      <c r="P17" s="1">
        <v>0</v>
      </c>
      <c r="Q17" s="1"/>
      <c r="R17" s="1"/>
      <c r="S17" s="1">
        <v>0</v>
      </c>
      <c r="T17" s="1">
        <v>45</v>
      </c>
      <c r="U17" s="1">
        <v>153</v>
      </c>
      <c r="V17" s="1">
        <v>0</v>
      </c>
      <c r="X17">
        <f t="shared" si="0"/>
        <v>-1</v>
      </c>
      <c r="Y17">
        <f t="shared" si="1"/>
        <v>0</v>
      </c>
      <c r="Z17">
        <f t="shared" si="2"/>
        <v>0</v>
      </c>
      <c r="AB17" s="26" t="s">
        <v>14</v>
      </c>
      <c r="AC17" s="18">
        <v>503</v>
      </c>
      <c r="AD17" s="20">
        <v>5</v>
      </c>
      <c r="AE17" s="20">
        <v>301</v>
      </c>
      <c r="AF17" s="20">
        <v>45</v>
      </c>
      <c r="AG17" s="21">
        <v>153</v>
      </c>
      <c r="AH17">
        <f t="shared" si="3"/>
        <v>-1</v>
      </c>
    </row>
    <row r="18" spans="1:34">
      <c r="A18" s="2" t="s">
        <v>15</v>
      </c>
      <c r="B18" s="1">
        <v>338</v>
      </c>
      <c r="C18" s="1">
        <v>6</v>
      </c>
      <c r="D18" s="1">
        <v>0</v>
      </c>
      <c r="E18" s="1">
        <v>33</v>
      </c>
      <c r="F18" s="1">
        <v>0</v>
      </c>
      <c r="G18" s="1"/>
      <c r="H18" s="1">
        <v>0</v>
      </c>
      <c r="I18" s="1">
        <v>0</v>
      </c>
      <c r="J18" s="1">
        <v>0</v>
      </c>
      <c r="K18" s="1"/>
      <c r="L18" s="1">
        <v>0</v>
      </c>
      <c r="M18" s="1">
        <v>33</v>
      </c>
      <c r="N18" s="1">
        <v>32</v>
      </c>
      <c r="O18" s="1">
        <v>1</v>
      </c>
      <c r="P18" s="1">
        <v>0</v>
      </c>
      <c r="Q18" s="1"/>
      <c r="R18" s="1"/>
      <c r="S18" s="1">
        <v>218</v>
      </c>
      <c r="T18" s="1">
        <v>62</v>
      </c>
      <c r="U18" s="1">
        <v>20</v>
      </c>
      <c r="V18" s="1">
        <v>0</v>
      </c>
      <c r="X18">
        <f t="shared" si="0"/>
        <v>-1</v>
      </c>
      <c r="Y18">
        <f t="shared" si="1"/>
        <v>0</v>
      </c>
      <c r="Z18">
        <f t="shared" si="2"/>
        <v>0</v>
      </c>
      <c r="AB18" s="26" t="s">
        <v>15</v>
      </c>
      <c r="AC18" s="18">
        <v>338</v>
      </c>
      <c r="AD18" s="20">
        <v>6</v>
      </c>
      <c r="AE18" s="20">
        <v>33</v>
      </c>
      <c r="AF18" s="20">
        <v>62</v>
      </c>
      <c r="AG18" s="21">
        <v>20</v>
      </c>
      <c r="AH18">
        <f t="shared" si="3"/>
        <v>217</v>
      </c>
    </row>
    <row r="19" spans="1:34">
      <c r="A19" s="2" t="s">
        <v>16</v>
      </c>
      <c r="B19" s="1">
        <v>400</v>
      </c>
      <c r="C19" s="1">
        <v>121</v>
      </c>
      <c r="D19" s="1">
        <v>120</v>
      </c>
      <c r="E19" s="1">
        <v>115</v>
      </c>
      <c r="F19" s="1">
        <v>100</v>
      </c>
      <c r="G19" s="1"/>
      <c r="H19" s="1">
        <v>0</v>
      </c>
      <c r="I19" s="1">
        <v>0</v>
      </c>
      <c r="J19" s="1">
        <v>0</v>
      </c>
      <c r="K19" s="1"/>
      <c r="L19" s="1">
        <v>0</v>
      </c>
      <c r="M19" s="1">
        <v>15</v>
      </c>
      <c r="N19" s="1">
        <v>14</v>
      </c>
      <c r="O19" s="1">
        <v>1</v>
      </c>
      <c r="P19" s="1">
        <v>0</v>
      </c>
      <c r="Q19" s="1"/>
      <c r="R19" s="1"/>
      <c r="S19" s="1">
        <v>0</v>
      </c>
      <c r="T19" s="1">
        <v>27</v>
      </c>
      <c r="U19" s="1">
        <v>137</v>
      </c>
      <c r="V19" s="1">
        <v>0</v>
      </c>
      <c r="X19">
        <f t="shared" si="0"/>
        <v>0</v>
      </c>
      <c r="Y19">
        <f t="shared" si="1"/>
        <v>0</v>
      </c>
      <c r="Z19">
        <f t="shared" si="2"/>
        <v>0</v>
      </c>
      <c r="AB19" s="26" t="s">
        <v>16</v>
      </c>
      <c r="AC19" s="18">
        <v>400</v>
      </c>
      <c r="AD19" s="20">
        <v>121</v>
      </c>
      <c r="AE19" s="20">
        <v>115</v>
      </c>
      <c r="AF19" s="20">
        <v>27</v>
      </c>
      <c r="AG19" s="21">
        <v>137</v>
      </c>
      <c r="AH19">
        <f t="shared" si="3"/>
        <v>0</v>
      </c>
    </row>
    <row r="20" spans="1:34">
      <c r="A20" s="2" t="s">
        <v>17</v>
      </c>
      <c r="B20" s="1">
        <v>1281</v>
      </c>
      <c r="C20" s="1">
        <v>0</v>
      </c>
      <c r="D20" s="1">
        <v>0</v>
      </c>
      <c r="E20" s="1">
        <v>883</v>
      </c>
      <c r="F20" s="1">
        <v>793</v>
      </c>
      <c r="G20" s="1"/>
      <c r="H20" s="1">
        <v>0</v>
      </c>
      <c r="I20" s="1">
        <v>0</v>
      </c>
      <c r="J20" s="1">
        <v>0</v>
      </c>
      <c r="K20" s="1"/>
      <c r="L20" s="1">
        <v>0</v>
      </c>
      <c r="M20" s="1">
        <v>90</v>
      </c>
      <c r="N20" s="1">
        <v>72</v>
      </c>
      <c r="O20" s="1">
        <v>0</v>
      </c>
      <c r="P20" s="1">
        <v>18</v>
      </c>
      <c r="Q20" s="1"/>
      <c r="R20" s="1"/>
      <c r="S20" s="1">
        <v>0</v>
      </c>
      <c r="T20" s="1">
        <v>111</v>
      </c>
      <c r="U20" s="1">
        <v>286</v>
      </c>
      <c r="V20" s="1">
        <v>0</v>
      </c>
      <c r="X20">
        <f t="shared" si="0"/>
        <v>1</v>
      </c>
      <c r="Y20">
        <f t="shared" si="1"/>
        <v>0</v>
      </c>
      <c r="Z20">
        <f t="shared" si="2"/>
        <v>0</v>
      </c>
      <c r="AB20" s="26" t="s">
        <v>17</v>
      </c>
      <c r="AC20" s="18">
        <v>1281</v>
      </c>
      <c r="AD20" s="19"/>
      <c r="AE20" s="20">
        <v>883</v>
      </c>
      <c r="AF20" s="20">
        <v>111</v>
      </c>
      <c r="AG20" s="21">
        <v>286</v>
      </c>
      <c r="AH20">
        <f t="shared" si="3"/>
        <v>1</v>
      </c>
    </row>
    <row r="21" spans="1:34">
      <c r="A21" s="2" t="s">
        <v>18</v>
      </c>
      <c r="B21" s="1">
        <v>387</v>
      </c>
      <c r="C21" s="1">
        <v>0</v>
      </c>
      <c r="D21" s="1">
        <v>0</v>
      </c>
      <c r="E21" s="1">
        <v>102</v>
      </c>
      <c r="F21" s="1">
        <v>80</v>
      </c>
      <c r="G21" s="1"/>
      <c r="H21" s="1">
        <v>0</v>
      </c>
      <c r="I21" s="1">
        <v>0</v>
      </c>
      <c r="J21" s="1">
        <v>0</v>
      </c>
      <c r="K21" s="1"/>
      <c r="L21" s="1">
        <v>0</v>
      </c>
      <c r="M21" s="1">
        <v>22</v>
      </c>
      <c r="N21" s="1">
        <v>22</v>
      </c>
      <c r="O21" s="1">
        <v>0</v>
      </c>
      <c r="P21" s="1">
        <v>0</v>
      </c>
      <c r="Q21" s="1"/>
      <c r="R21" s="1"/>
      <c r="S21" s="1">
        <v>0</v>
      </c>
      <c r="T21" s="1">
        <v>34</v>
      </c>
      <c r="U21" s="1">
        <v>250</v>
      </c>
      <c r="V21" s="1">
        <v>0</v>
      </c>
      <c r="X21">
        <f t="shared" si="0"/>
        <v>1</v>
      </c>
      <c r="Y21">
        <f t="shared" si="1"/>
        <v>0</v>
      </c>
      <c r="Z21">
        <f t="shared" si="2"/>
        <v>0</v>
      </c>
      <c r="AB21" s="26" t="s">
        <v>18</v>
      </c>
      <c r="AC21" s="18">
        <v>387</v>
      </c>
      <c r="AD21" s="19"/>
      <c r="AE21" s="20">
        <v>102</v>
      </c>
      <c r="AF21" s="20">
        <v>34</v>
      </c>
      <c r="AG21" s="21">
        <v>250</v>
      </c>
      <c r="AH21">
        <f t="shared" si="3"/>
        <v>1</v>
      </c>
    </row>
    <row r="22" spans="1:34">
      <c r="A22" s="2" t="s">
        <v>19</v>
      </c>
      <c r="B22" s="1">
        <v>376</v>
      </c>
      <c r="C22" s="1">
        <v>13</v>
      </c>
      <c r="D22" s="1">
        <v>0</v>
      </c>
      <c r="E22" s="1">
        <v>122</v>
      </c>
      <c r="F22" s="1">
        <v>108</v>
      </c>
      <c r="G22" s="1"/>
      <c r="H22" s="1">
        <v>0</v>
      </c>
      <c r="I22" s="1">
        <v>0</v>
      </c>
      <c r="J22" s="1">
        <v>0</v>
      </c>
      <c r="K22" s="1"/>
      <c r="L22" s="1">
        <v>0</v>
      </c>
      <c r="M22" s="1">
        <v>14</v>
      </c>
      <c r="N22" s="1">
        <v>12</v>
      </c>
      <c r="O22" s="1">
        <v>1</v>
      </c>
      <c r="P22" s="1">
        <v>0</v>
      </c>
      <c r="Q22" s="1"/>
      <c r="R22" s="1"/>
      <c r="S22" s="1">
        <v>0</v>
      </c>
      <c r="T22" s="1">
        <v>83</v>
      </c>
      <c r="U22" s="1">
        <v>158</v>
      </c>
      <c r="V22" s="1">
        <v>0</v>
      </c>
      <c r="X22">
        <f t="shared" si="0"/>
        <v>0</v>
      </c>
      <c r="Y22">
        <f t="shared" si="1"/>
        <v>0</v>
      </c>
      <c r="Z22">
        <f t="shared" si="2"/>
        <v>1</v>
      </c>
      <c r="AB22" s="26" t="s">
        <v>19</v>
      </c>
      <c r="AC22" s="18">
        <v>376</v>
      </c>
      <c r="AD22" s="20">
        <v>13</v>
      </c>
      <c r="AE22" s="20">
        <v>122</v>
      </c>
      <c r="AF22" s="20">
        <v>83</v>
      </c>
      <c r="AG22" s="21">
        <v>158</v>
      </c>
      <c r="AH22">
        <f t="shared" si="3"/>
        <v>0</v>
      </c>
    </row>
    <row r="23" spans="1:34">
      <c r="A23" s="2" t="s">
        <v>20</v>
      </c>
      <c r="B23" s="1">
        <v>135</v>
      </c>
      <c r="C23" s="1">
        <v>27</v>
      </c>
      <c r="D23" s="1">
        <v>0</v>
      </c>
      <c r="E23" s="1">
        <v>9</v>
      </c>
      <c r="F23" s="1">
        <v>2</v>
      </c>
      <c r="G23" s="1"/>
      <c r="H23" s="1">
        <v>0</v>
      </c>
      <c r="I23" s="1">
        <v>0</v>
      </c>
      <c r="J23" s="1">
        <v>0</v>
      </c>
      <c r="K23" s="1"/>
      <c r="L23" s="1">
        <v>0</v>
      </c>
      <c r="M23" s="1">
        <v>8</v>
      </c>
      <c r="N23" s="1">
        <v>6</v>
      </c>
      <c r="O23" s="1">
        <v>0</v>
      </c>
      <c r="P23" s="1">
        <v>2</v>
      </c>
      <c r="Q23" s="1"/>
      <c r="R23" s="1"/>
      <c r="S23" s="1">
        <v>0</v>
      </c>
      <c r="T23" s="1">
        <v>86</v>
      </c>
      <c r="U23" s="1">
        <v>13</v>
      </c>
      <c r="V23" s="1">
        <v>0</v>
      </c>
      <c r="X23">
        <f t="shared" si="0"/>
        <v>0</v>
      </c>
      <c r="Y23">
        <f t="shared" si="1"/>
        <v>-1</v>
      </c>
      <c r="Z23">
        <f t="shared" si="2"/>
        <v>0</v>
      </c>
      <c r="AB23" s="26" t="s">
        <v>20</v>
      </c>
      <c r="AC23" s="18">
        <v>135</v>
      </c>
      <c r="AD23" s="20">
        <v>27</v>
      </c>
      <c r="AE23" s="20">
        <v>9</v>
      </c>
      <c r="AF23" s="20">
        <v>86</v>
      </c>
      <c r="AG23" s="21">
        <v>13</v>
      </c>
      <c r="AH23">
        <f t="shared" si="3"/>
        <v>0</v>
      </c>
    </row>
    <row r="24" spans="1:34">
      <c r="A24" s="2" t="s">
        <v>21</v>
      </c>
      <c r="B24" s="1">
        <v>300</v>
      </c>
      <c r="C24" s="1">
        <v>96</v>
      </c>
      <c r="D24" s="1">
        <v>96</v>
      </c>
      <c r="E24" s="1">
        <v>60</v>
      </c>
      <c r="F24" s="1">
        <v>60</v>
      </c>
      <c r="G24" s="1"/>
      <c r="H24" s="1">
        <v>0</v>
      </c>
      <c r="I24" s="1">
        <v>0</v>
      </c>
      <c r="J24" s="1">
        <v>0</v>
      </c>
      <c r="K24" s="1"/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/>
      <c r="R24" s="1"/>
      <c r="S24" s="1">
        <v>109</v>
      </c>
      <c r="T24" s="1">
        <v>16</v>
      </c>
      <c r="U24" s="1">
        <v>19</v>
      </c>
      <c r="V24" s="1">
        <v>0</v>
      </c>
      <c r="X24">
        <f t="shared" si="0"/>
        <v>0</v>
      </c>
      <c r="Y24">
        <f t="shared" si="1"/>
        <v>0</v>
      </c>
      <c r="Z24">
        <f t="shared" si="2"/>
        <v>0</v>
      </c>
      <c r="AB24" s="26" t="s">
        <v>21</v>
      </c>
      <c r="AC24" s="18">
        <v>300</v>
      </c>
      <c r="AD24" s="20">
        <v>96</v>
      </c>
      <c r="AE24" s="20">
        <v>60</v>
      </c>
      <c r="AF24" s="20">
        <v>16</v>
      </c>
      <c r="AG24" s="21">
        <v>19</v>
      </c>
      <c r="AH24">
        <f t="shared" si="3"/>
        <v>109</v>
      </c>
    </row>
    <row r="25" spans="1:34">
      <c r="A25" s="2" t="s">
        <v>22</v>
      </c>
      <c r="B25" s="1">
        <v>798</v>
      </c>
      <c r="C25" s="1">
        <v>14</v>
      </c>
      <c r="D25" s="1">
        <v>0</v>
      </c>
      <c r="E25" s="1">
        <v>528</v>
      </c>
      <c r="F25" s="1">
        <v>270</v>
      </c>
      <c r="G25" s="1"/>
      <c r="H25" s="1">
        <v>0</v>
      </c>
      <c r="I25" s="1">
        <v>0</v>
      </c>
      <c r="J25" s="1">
        <v>0</v>
      </c>
      <c r="K25" s="1"/>
      <c r="L25" s="1">
        <v>0</v>
      </c>
      <c r="M25" s="1">
        <v>126</v>
      </c>
      <c r="N25" s="1">
        <v>120</v>
      </c>
      <c r="O25" s="1">
        <v>6</v>
      </c>
      <c r="P25" s="1">
        <v>0</v>
      </c>
      <c r="Q25" s="1"/>
      <c r="R25" s="1"/>
      <c r="S25" s="1">
        <v>217</v>
      </c>
      <c r="T25" s="1">
        <v>35</v>
      </c>
      <c r="U25" s="1">
        <v>4</v>
      </c>
      <c r="V25" s="1">
        <v>0</v>
      </c>
      <c r="X25">
        <f t="shared" si="0"/>
        <v>0</v>
      </c>
      <c r="Y25">
        <f>E25-F25-I25-L25-M25</f>
        <v>132</v>
      </c>
      <c r="Z25">
        <f t="shared" si="2"/>
        <v>0</v>
      </c>
      <c r="AB25" s="26" t="s">
        <v>22</v>
      </c>
      <c r="AC25" s="18">
        <v>798</v>
      </c>
      <c r="AD25" s="20">
        <v>14</v>
      </c>
      <c r="AE25" s="20">
        <v>528</v>
      </c>
      <c r="AF25" s="20">
        <v>35</v>
      </c>
      <c r="AG25" s="21">
        <v>4</v>
      </c>
      <c r="AH25">
        <f t="shared" si="3"/>
        <v>217</v>
      </c>
    </row>
    <row r="26" spans="1:34">
      <c r="A26" s="2" t="s">
        <v>23</v>
      </c>
      <c r="B26" s="1">
        <v>66</v>
      </c>
      <c r="C26" s="1">
        <v>0</v>
      </c>
      <c r="D26" s="1">
        <v>0</v>
      </c>
      <c r="E26" s="1">
        <v>0</v>
      </c>
      <c r="F26" s="1">
        <v>0</v>
      </c>
      <c r="G26" s="1"/>
      <c r="H26" s="1">
        <v>0</v>
      </c>
      <c r="I26" s="1">
        <v>0</v>
      </c>
      <c r="J26" s="1">
        <v>0</v>
      </c>
      <c r="K26" s="1"/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/>
      <c r="R26" s="1"/>
      <c r="S26" s="1">
        <v>65</v>
      </c>
      <c r="T26" s="1">
        <v>0</v>
      </c>
      <c r="U26" s="1">
        <v>1</v>
      </c>
      <c r="V26" s="1">
        <v>0</v>
      </c>
      <c r="X26">
        <f t="shared" si="0"/>
        <v>0</v>
      </c>
      <c r="Y26">
        <f t="shared" si="1"/>
        <v>0</v>
      </c>
      <c r="Z26">
        <f t="shared" si="2"/>
        <v>0</v>
      </c>
      <c r="AB26" s="26" t="s">
        <v>23</v>
      </c>
      <c r="AC26" s="18">
        <v>66</v>
      </c>
      <c r="AD26" s="19"/>
      <c r="AE26" s="19"/>
      <c r="AF26" s="19"/>
      <c r="AG26" s="21">
        <v>1</v>
      </c>
      <c r="AH26">
        <f t="shared" si="3"/>
        <v>65</v>
      </c>
    </row>
    <row r="27" spans="1:34">
      <c r="A27" s="2" t="s">
        <v>24</v>
      </c>
      <c r="B27" s="1">
        <v>154</v>
      </c>
      <c r="C27" s="1">
        <v>11</v>
      </c>
      <c r="D27" s="1">
        <v>0</v>
      </c>
      <c r="E27" s="1">
        <v>132</v>
      </c>
      <c r="F27" s="1">
        <v>120</v>
      </c>
      <c r="G27" s="1"/>
      <c r="H27" s="1">
        <v>0</v>
      </c>
      <c r="I27" s="1">
        <v>0</v>
      </c>
      <c r="J27" s="1">
        <v>0</v>
      </c>
      <c r="K27" s="1"/>
      <c r="L27" s="1">
        <v>0</v>
      </c>
      <c r="M27" s="1">
        <v>12</v>
      </c>
      <c r="N27" s="1">
        <v>10</v>
      </c>
      <c r="O27" s="1">
        <v>3</v>
      </c>
      <c r="P27" s="1">
        <v>0</v>
      </c>
      <c r="Q27" s="1"/>
      <c r="R27" s="1"/>
      <c r="S27" s="1">
        <v>0</v>
      </c>
      <c r="T27" s="1">
        <v>10</v>
      </c>
      <c r="U27" s="1">
        <v>1</v>
      </c>
      <c r="V27" s="1">
        <v>0</v>
      </c>
      <c r="X27">
        <f t="shared" si="0"/>
        <v>0</v>
      </c>
      <c r="Y27">
        <f t="shared" si="1"/>
        <v>0</v>
      </c>
      <c r="Z27">
        <f t="shared" si="2"/>
        <v>-1</v>
      </c>
      <c r="AB27" s="26" t="s">
        <v>24</v>
      </c>
      <c r="AC27" s="18">
        <v>154</v>
      </c>
      <c r="AD27" s="20">
        <v>11</v>
      </c>
      <c r="AE27" s="20">
        <v>132</v>
      </c>
      <c r="AF27" s="20">
        <v>10</v>
      </c>
      <c r="AG27" s="21">
        <v>1</v>
      </c>
      <c r="AH27">
        <f t="shared" si="3"/>
        <v>0</v>
      </c>
    </row>
    <row r="28" spans="1:34">
      <c r="A28" s="2" t="s">
        <v>25</v>
      </c>
      <c r="B28" s="1">
        <v>489</v>
      </c>
      <c r="C28" s="1">
        <v>308</v>
      </c>
      <c r="D28" s="1">
        <v>0</v>
      </c>
      <c r="E28" s="1">
        <v>30</v>
      </c>
      <c r="F28" s="1">
        <v>3</v>
      </c>
      <c r="G28" s="1"/>
      <c r="H28" s="1">
        <v>0</v>
      </c>
      <c r="I28" s="1">
        <v>0</v>
      </c>
      <c r="J28" s="1">
        <v>0</v>
      </c>
      <c r="K28" s="1"/>
      <c r="L28" s="1">
        <v>0</v>
      </c>
      <c r="M28" s="1">
        <v>27</v>
      </c>
      <c r="N28" s="1">
        <v>25</v>
      </c>
      <c r="O28" s="1">
        <v>2</v>
      </c>
      <c r="P28" s="1">
        <v>0</v>
      </c>
      <c r="Q28" s="1"/>
      <c r="R28" s="1"/>
      <c r="S28" s="1">
        <v>0</v>
      </c>
      <c r="T28" s="1">
        <v>68</v>
      </c>
      <c r="U28" s="1">
        <v>83</v>
      </c>
      <c r="V28" s="1">
        <v>0</v>
      </c>
      <c r="X28">
        <f t="shared" si="0"/>
        <v>0</v>
      </c>
      <c r="Y28">
        <f t="shared" si="1"/>
        <v>0</v>
      </c>
      <c r="Z28">
        <f t="shared" si="2"/>
        <v>0</v>
      </c>
      <c r="AB28" s="26" t="s">
        <v>25</v>
      </c>
      <c r="AC28" s="18">
        <v>489</v>
      </c>
      <c r="AD28" s="20">
        <v>308</v>
      </c>
      <c r="AE28" s="20">
        <v>30</v>
      </c>
      <c r="AF28" s="20">
        <v>68</v>
      </c>
      <c r="AG28" s="21">
        <v>83</v>
      </c>
      <c r="AH28">
        <f t="shared" si="3"/>
        <v>0</v>
      </c>
    </row>
    <row r="29" spans="1:34">
      <c r="A29" s="2" t="s">
        <v>26</v>
      </c>
      <c r="B29" s="1">
        <v>359</v>
      </c>
      <c r="C29" s="1">
        <v>9</v>
      </c>
      <c r="D29" s="1">
        <v>0</v>
      </c>
      <c r="E29" s="1">
        <v>318</v>
      </c>
      <c r="F29" s="1">
        <v>318</v>
      </c>
      <c r="G29" s="1"/>
      <c r="H29" s="1">
        <v>0</v>
      </c>
      <c r="I29" s="1">
        <v>0</v>
      </c>
      <c r="J29" s="1">
        <v>0</v>
      </c>
      <c r="K29" s="1"/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/>
      <c r="R29" s="1"/>
      <c r="S29" s="1">
        <v>0</v>
      </c>
      <c r="T29" s="1">
        <v>32</v>
      </c>
      <c r="U29" s="1">
        <v>0</v>
      </c>
      <c r="V29" s="1">
        <v>0</v>
      </c>
      <c r="X29">
        <f t="shared" si="0"/>
        <v>0</v>
      </c>
      <c r="Y29">
        <f t="shared" si="1"/>
        <v>0</v>
      </c>
      <c r="Z29">
        <f t="shared" si="2"/>
        <v>0</v>
      </c>
      <c r="AB29" s="26" t="s">
        <v>26</v>
      </c>
      <c r="AC29" s="18">
        <v>359</v>
      </c>
      <c r="AD29" s="20">
        <v>9</v>
      </c>
      <c r="AE29" s="20">
        <v>318</v>
      </c>
      <c r="AF29" s="20">
        <v>32</v>
      </c>
      <c r="AG29" s="23"/>
      <c r="AH29">
        <f t="shared" si="3"/>
        <v>0</v>
      </c>
    </row>
    <row r="30" spans="1:34">
      <c r="A30" s="2" t="s">
        <v>27</v>
      </c>
      <c r="B30" s="1">
        <v>289</v>
      </c>
      <c r="C30" s="1">
        <v>180</v>
      </c>
      <c r="D30" s="1">
        <v>0</v>
      </c>
      <c r="E30" s="1">
        <v>0</v>
      </c>
      <c r="F30" s="1">
        <v>0</v>
      </c>
      <c r="G30" s="1"/>
      <c r="H30" s="1">
        <v>0</v>
      </c>
      <c r="I30" s="1">
        <v>0</v>
      </c>
      <c r="J30" s="1">
        <v>0</v>
      </c>
      <c r="K30" s="1"/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/>
      <c r="R30" s="1"/>
      <c r="S30" s="1">
        <v>0</v>
      </c>
      <c r="T30" s="1">
        <v>97</v>
      </c>
      <c r="U30" s="1">
        <v>12</v>
      </c>
      <c r="V30" s="1">
        <v>0</v>
      </c>
      <c r="X30">
        <f t="shared" si="0"/>
        <v>0</v>
      </c>
      <c r="Y30">
        <f t="shared" si="1"/>
        <v>0</v>
      </c>
      <c r="Z30">
        <f t="shared" si="2"/>
        <v>0</v>
      </c>
      <c r="AB30" s="26" t="s">
        <v>27</v>
      </c>
      <c r="AC30" s="18">
        <v>289</v>
      </c>
      <c r="AD30" s="20">
        <v>180</v>
      </c>
      <c r="AE30" s="19"/>
      <c r="AF30" s="20">
        <v>97</v>
      </c>
      <c r="AG30" s="21">
        <v>12</v>
      </c>
      <c r="AH30">
        <f t="shared" si="3"/>
        <v>0</v>
      </c>
    </row>
    <row r="31" spans="1:34">
      <c r="A31" s="2" t="s">
        <v>28</v>
      </c>
      <c r="B31" s="1">
        <v>60</v>
      </c>
      <c r="C31" s="1">
        <v>41</v>
      </c>
      <c r="D31" s="1">
        <v>0</v>
      </c>
      <c r="E31" s="1">
        <v>3</v>
      </c>
      <c r="F31" s="1">
        <v>1</v>
      </c>
      <c r="G31" s="1"/>
      <c r="H31" s="1">
        <v>0</v>
      </c>
      <c r="I31" s="1">
        <v>0</v>
      </c>
      <c r="J31" s="1">
        <v>0</v>
      </c>
      <c r="K31" s="1"/>
      <c r="L31" s="1">
        <v>0</v>
      </c>
      <c r="M31" s="1">
        <v>2</v>
      </c>
      <c r="N31" s="1">
        <v>2</v>
      </c>
      <c r="O31" s="1">
        <v>0</v>
      </c>
      <c r="P31" s="1">
        <v>0</v>
      </c>
      <c r="Q31" s="1"/>
      <c r="R31" s="1"/>
      <c r="S31" s="1">
        <v>0</v>
      </c>
      <c r="T31" s="1">
        <v>0</v>
      </c>
      <c r="U31" s="1">
        <v>16</v>
      </c>
      <c r="V31" s="1">
        <v>0</v>
      </c>
      <c r="X31">
        <f t="shared" si="0"/>
        <v>0</v>
      </c>
      <c r="Y31">
        <f t="shared" si="1"/>
        <v>0</v>
      </c>
      <c r="Z31">
        <f t="shared" si="2"/>
        <v>0</v>
      </c>
      <c r="AB31" s="26" t="s">
        <v>28</v>
      </c>
      <c r="AC31" s="18">
        <v>60</v>
      </c>
      <c r="AD31" s="20">
        <v>41</v>
      </c>
      <c r="AE31" s="20">
        <v>3</v>
      </c>
      <c r="AF31" s="19"/>
      <c r="AG31" s="21">
        <v>16</v>
      </c>
      <c r="AH31">
        <f t="shared" si="3"/>
        <v>0</v>
      </c>
    </row>
    <row r="32" spans="1:34">
      <c r="A32" s="2" t="s">
        <v>29</v>
      </c>
      <c r="B32" s="1">
        <v>450</v>
      </c>
      <c r="C32" s="1">
        <v>15</v>
      </c>
      <c r="D32" s="1">
        <v>0</v>
      </c>
      <c r="E32" s="1">
        <v>149</v>
      </c>
      <c r="F32" s="1">
        <v>110</v>
      </c>
      <c r="G32" s="1"/>
      <c r="H32" s="1">
        <v>0</v>
      </c>
      <c r="I32" s="1">
        <v>0</v>
      </c>
      <c r="J32" s="1">
        <v>0</v>
      </c>
      <c r="K32" s="1"/>
      <c r="L32" s="1">
        <v>0</v>
      </c>
      <c r="M32" s="1">
        <v>38</v>
      </c>
      <c r="N32" s="1">
        <v>38</v>
      </c>
      <c r="O32" s="1">
        <v>0</v>
      </c>
      <c r="P32" s="1">
        <v>0</v>
      </c>
      <c r="Q32" s="1"/>
      <c r="R32" s="1"/>
      <c r="S32" s="1">
        <v>0</v>
      </c>
      <c r="T32" s="1">
        <v>91</v>
      </c>
      <c r="U32" s="1">
        <v>194</v>
      </c>
      <c r="V32" s="1">
        <v>0</v>
      </c>
      <c r="X32">
        <f t="shared" si="0"/>
        <v>1</v>
      </c>
      <c r="Y32">
        <f t="shared" si="1"/>
        <v>1</v>
      </c>
      <c r="Z32">
        <f t="shared" si="2"/>
        <v>0</v>
      </c>
      <c r="AB32" s="26" t="s">
        <v>29</v>
      </c>
      <c r="AC32" s="18">
        <v>450</v>
      </c>
      <c r="AD32" s="20">
        <v>15</v>
      </c>
      <c r="AE32" s="20">
        <v>149</v>
      </c>
      <c r="AF32" s="20">
        <v>91</v>
      </c>
      <c r="AG32" s="21">
        <v>194</v>
      </c>
      <c r="AH32">
        <f t="shared" si="3"/>
        <v>1</v>
      </c>
    </row>
    <row r="33" spans="1:34">
      <c r="A33" s="2" t="s">
        <v>30</v>
      </c>
      <c r="B33" s="1">
        <v>152</v>
      </c>
      <c r="C33" s="1">
        <v>9</v>
      </c>
      <c r="D33" s="1">
        <v>0</v>
      </c>
      <c r="E33" s="1">
        <v>40</v>
      </c>
      <c r="F33" s="1">
        <v>33</v>
      </c>
      <c r="G33" s="1"/>
      <c r="H33" s="1">
        <v>0</v>
      </c>
      <c r="I33" s="1">
        <v>0</v>
      </c>
      <c r="J33" s="1">
        <v>0</v>
      </c>
      <c r="K33" s="1"/>
      <c r="L33" s="1">
        <v>0</v>
      </c>
      <c r="M33" s="1">
        <v>7</v>
      </c>
      <c r="N33" s="1">
        <v>2</v>
      </c>
      <c r="O33" s="1">
        <v>5</v>
      </c>
      <c r="P33" s="1">
        <v>0</v>
      </c>
      <c r="Q33" s="1"/>
      <c r="R33" s="1"/>
      <c r="S33" s="1">
        <v>0</v>
      </c>
      <c r="T33" s="1">
        <v>25</v>
      </c>
      <c r="U33" s="1">
        <v>78</v>
      </c>
      <c r="V33" s="1">
        <v>0</v>
      </c>
      <c r="X33">
        <f t="shared" si="0"/>
        <v>0</v>
      </c>
      <c r="Y33">
        <f t="shared" si="1"/>
        <v>0</v>
      </c>
      <c r="Z33">
        <f t="shared" si="2"/>
        <v>0</v>
      </c>
      <c r="AB33" s="26" t="s">
        <v>30</v>
      </c>
      <c r="AC33" s="18">
        <v>152</v>
      </c>
      <c r="AD33" s="20">
        <v>9</v>
      </c>
      <c r="AE33" s="20">
        <v>40</v>
      </c>
      <c r="AF33" s="20">
        <v>25</v>
      </c>
      <c r="AG33" s="21">
        <v>78</v>
      </c>
      <c r="AH33">
        <f t="shared" si="3"/>
        <v>0</v>
      </c>
    </row>
    <row r="34" spans="1:34">
      <c r="A34" s="2" t="s">
        <v>31</v>
      </c>
      <c r="B34" s="1">
        <v>319</v>
      </c>
      <c r="C34" s="1">
        <v>46</v>
      </c>
      <c r="D34" s="1">
        <v>0</v>
      </c>
      <c r="E34" s="1">
        <v>113</v>
      </c>
      <c r="F34" s="1">
        <v>101</v>
      </c>
      <c r="G34" s="1"/>
      <c r="H34" s="1">
        <v>0</v>
      </c>
      <c r="I34" s="1">
        <v>0</v>
      </c>
      <c r="J34" s="1">
        <v>0</v>
      </c>
      <c r="K34" s="1"/>
      <c r="L34" s="1">
        <v>0</v>
      </c>
      <c r="M34" s="1">
        <v>12</v>
      </c>
      <c r="N34" s="1">
        <v>12</v>
      </c>
      <c r="O34" s="1">
        <v>0</v>
      </c>
      <c r="P34" s="1">
        <v>0</v>
      </c>
      <c r="Q34" s="1"/>
      <c r="R34" s="1"/>
      <c r="S34" s="1">
        <v>0</v>
      </c>
      <c r="T34" s="1">
        <v>30</v>
      </c>
      <c r="U34" s="1">
        <v>131</v>
      </c>
      <c r="V34" s="1">
        <v>0</v>
      </c>
      <c r="X34">
        <f t="shared" si="0"/>
        <v>-1</v>
      </c>
      <c r="Y34">
        <f t="shared" si="1"/>
        <v>0</v>
      </c>
      <c r="Z34">
        <f t="shared" si="2"/>
        <v>0</v>
      </c>
      <c r="AB34" s="26" t="s">
        <v>31</v>
      </c>
      <c r="AC34" s="18">
        <v>319</v>
      </c>
      <c r="AD34" s="20">
        <v>46</v>
      </c>
      <c r="AE34" s="20">
        <v>113</v>
      </c>
      <c r="AF34" s="20">
        <v>30</v>
      </c>
      <c r="AG34" s="21">
        <v>131</v>
      </c>
      <c r="AH34">
        <f t="shared" si="3"/>
        <v>-1</v>
      </c>
    </row>
    <row r="35" spans="1:34">
      <c r="A35" s="2" t="s">
        <v>32</v>
      </c>
      <c r="B35" s="1">
        <v>574</v>
      </c>
      <c r="C35" s="1">
        <v>0</v>
      </c>
      <c r="D35" s="1">
        <v>0</v>
      </c>
      <c r="E35" s="1">
        <v>180</v>
      </c>
      <c r="F35" s="1">
        <v>175</v>
      </c>
      <c r="G35" s="1"/>
      <c r="H35" s="1">
        <v>0</v>
      </c>
      <c r="I35" s="1">
        <v>0</v>
      </c>
      <c r="J35" s="1">
        <v>0</v>
      </c>
      <c r="K35" s="1"/>
      <c r="L35" s="1">
        <v>0</v>
      </c>
      <c r="M35" s="1">
        <v>5</v>
      </c>
      <c r="N35" s="1">
        <v>5</v>
      </c>
      <c r="O35" s="1">
        <v>0</v>
      </c>
      <c r="P35" s="1">
        <v>0</v>
      </c>
      <c r="Q35" s="1"/>
      <c r="R35" s="1"/>
      <c r="S35" s="1">
        <v>0</v>
      </c>
      <c r="T35" s="1">
        <v>177</v>
      </c>
      <c r="U35" s="1">
        <v>217</v>
      </c>
      <c r="V35" s="1">
        <v>0</v>
      </c>
      <c r="X35">
        <f t="shared" si="0"/>
        <v>0</v>
      </c>
      <c r="Y35">
        <f t="shared" si="1"/>
        <v>0</v>
      </c>
      <c r="Z35">
        <f t="shared" si="2"/>
        <v>0</v>
      </c>
      <c r="AB35" s="26" t="s">
        <v>32</v>
      </c>
      <c r="AC35" s="18">
        <v>574</v>
      </c>
      <c r="AD35" s="19"/>
      <c r="AE35" s="20">
        <v>180</v>
      </c>
      <c r="AF35" s="20">
        <v>177</v>
      </c>
      <c r="AG35" s="21">
        <v>217</v>
      </c>
      <c r="AH35">
        <f t="shared" si="3"/>
        <v>0</v>
      </c>
    </row>
    <row r="36" spans="1:34" ht="13.5" customHeight="1">
      <c r="A36" s="2" t="s">
        <v>33</v>
      </c>
      <c r="B36" s="1">
        <v>1085</v>
      </c>
      <c r="C36" s="1">
        <v>98</v>
      </c>
      <c r="D36" s="1">
        <v>0</v>
      </c>
      <c r="E36" s="1">
        <v>394</v>
      </c>
      <c r="F36" s="1">
        <v>282</v>
      </c>
      <c r="G36" s="1"/>
      <c r="H36" s="1">
        <v>0</v>
      </c>
      <c r="I36" s="1">
        <v>31</v>
      </c>
      <c r="J36" s="1">
        <v>31</v>
      </c>
      <c r="K36" s="1"/>
      <c r="L36" s="1">
        <v>0</v>
      </c>
      <c r="M36" s="1">
        <v>82</v>
      </c>
      <c r="N36" s="1">
        <v>75</v>
      </c>
      <c r="O36" s="1">
        <v>0</v>
      </c>
      <c r="P36" s="1">
        <v>7</v>
      </c>
      <c r="Q36" s="1"/>
      <c r="R36" s="1"/>
      <c r="S36" s="1">
        <v>0</v>
      </c>
      <c r="T36" s="1">
        <v>262</v>
      </c>
      <c r="U36" s="1">
        <v>330</v>
      </c>
      <c r="V36" s="1">
        <v>0</v>
      </c>
      <c r="X36">
        <f t="shared" si="0"/>
        <v>1</v>
      </c>
      <c r="Y36">
        <f t="shared" si="1"/>
        <v>-1</v>
      </c>
      <c r="Z36">
        <f t="shared" si="2"/>
        <v>0</v>
      </c>
      <c r="AB36" s="27" t="s">
        <v>33</v>
      </c>
      <c r="AC36" s="13">
        <v>1085</v>
      </c>
      <c r="AD36" s="14">
        <v>98</v>
      </c>
      <c r="AE36" s="14">
        <v>394</v>
      </c>
      <c r="AF36" s="14">
        <v>262</v>
      </c>
      <c r="AG36" s="22">
        <v>330</v>
      </c>
      <c r="AH36">
        <f t="shared" si="3"/>
        <v>1</v>
      </c>
    </row>
    <row r="38" spans="1:34">
      <c r="B38">
        <f>B5-SUM(B6:B36)</f>
        <v>0</v>
      </c>
      <c r="C38">
        <f t="shared" ref="C38:V38" si="4">C5-SUM(C6:C36)</f>
        <v>1.2999999999999545</v>
      </c>
      <c r="D38">
        <f t="shared" si="4"/>
        <v>0</v>
      </c>
      <c r="E38">
        <f t="shared" si="4"/>
        <v>-1</v>
      </c>
      <c r="F38">
        <f t="shared" si="4"/>
        <v>0</v>
      </c>
      <c r="H38">
        <f t="shared" si="4"/>
        <v>0</v>
      </c>
      <c r="I38">
        <f t="shared" si="4"/>
        <v>0</v>
      </c>
      <c r="J38">
        <f t="shared" si="4"/>
        <v>0</v>
      </c>
      <c r="L38">
        <f t="shared" si="4"/>
        <v>0</v>
      </c>
      <c r="M38">
        <f t="shared" si="4"/>
        <v>-4</v>
      </c>
      <c r="N38">
        <f t="shared" si="4"/>
        <v>-2</v>
      </c>
      <c r="O38">
        <f t="shared" si="4"/>
        <v>0</v>
      </c>
      <c r="P38">
        <f t="shared" si="4"/>
        <v>-1</v>
      </c>
      <c r="S38">
        <f t="shared" si="4"/>
        <v>-1</v>
      </c>
      <c r="T38">
        <f t="shared" si="4"/>
        <v>0</v>
      </c>
      <c r="U38">
        <f t="shared" si="4"/>
        <v>-2</v>
      </c>
      <c r="V38">
        <f t="shared" si="4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75BA-B9C5-464E-BA47-FA2FB464E5D1}">
  <dimension ref="A1:AG38"/>
  <sheetViews>
    <sheetView workbookViewId="0">
      <selection activeCell="I5" sqref="I5:I36"/>
    </sheetView>
  </sheetViews>
  <sheetFormatPr defaultRowHeight="12.75"/>
  <cols>
    <col min="1" max="22" width="7.5703125" customWidth="1"/>
  </cols>
  <sheetData>
    <row r="1" spans="1:33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33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33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AB3" s="24" t="s">
        <v>60</v>
      </c>
      <c r="AC3" s="24" t="s">
        <v>55</v>
      </c>
      <c r="AD3" s="24" t="s">
        <v>56</v>
      </c>
      <c r="AE3" s="24" t="s">
        <v>57</v>
      </c>
      <c r="AF3" s="24" t="s">
        <v>58</v>
      </c>
    </row>
    <row r="4" spans="1:33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  <c r="AB4" s="2" t="s">
        <v>50</v>
      </c>
      <c r="AC4" s="2" t="s">
        <v>50</v>
      </c>
      <c r="AD4" s="2" t="s">
        <v>50</v>
      </c>
      <c r="AE4" s="2" t="s">
        <v>50</v>
      </c>
      <c r="AF4" s="2" t="s">
        <v>50</v>
      </c>
    </row>
    <row r="5" spans="1:33">
      <c r="A5" s="4" t="s">
        <v>5</v>
      </c>
      <c r="B5" s="1">
        <v>13019</v>
      </c>
      <c r="C5" s="1">
        <v>1287</v>
      </c>
      <c r="D5" s="1">
        <v>200</v>
      </c>
      <c r="E5" s="1">
        <v>4453</v>
      </c>
      <c r="F5" s="1">
        <v>3504</v>
      </c>
      <c r="G5" s="1"/>
      <c r="H5" s="1">
        <v>0</v>
      </c>
      <c r="I5" s="1">
        <v>571</v>
      </c>
      <c r="J5" s="1">
        <v>571</v>
      </c>
      <c r="K5" s="1"/>
      <c r="L5" s="1">
        <v>0</v>
      </c>
      <c r="M5" s="1">
        <v>379</v>
      </c>
      <c r="N5" s="1">
        <v>175</v>
      </c>
      <c r="O5" s="1">
        <v>123</v>
      </c>
      <c r="P5" s="1">
        <v>81</v>
      </c>
      <c r="Q5" s="1"/>
      <c r="R5" s="1"/>
      <c r="S5" s="1">
        <v>218</v>
      </c>
      <c r="T5" s="1">
        <v>1720</v>
      </c>
      <c r="U5" s="1">
        <v>5341</v>
      </c>
      <c r="V5" s="1">
        <v>0</v>
      </c>
      <c r="X5">
        <f>B5-C5-E5-S5-T5-U5-V5</f>
        <v>0</v>
      </c>
      <c r="Y5">
        <f>E5-F5-I5-L5-M5</f>
        <v>-1</v>
      </c>
      <c r="Z5">
        <f>M5-N5-O5-P5</f>
        <v>0</v>
      </c>
      <c r="AB5" s="16">
        <v>13019</v>
      </c>
      <c r="AC5" s="16">
        <v>1287</v>
      </c>
      <c r="AD5" s="16">
        <v>4453</v>
      </c>
      <c r="AE5" s="16">
        <v>1720</v>
      </c>
      <c r="AF5" s="17">
        <v>5341</v>
      </c>
      <c r="AG5">
        <f>AB5-AC5-AD5-AE5-AF5</f>
        <v>218</v>
      </c>
    </row>
    <row r="6" spans="1:33">
      <c r="A6" s="2" t="s">
        <v>6</v>
      </c>
      <c r="B6" s="1">
        <v>121</v>
      </c>
      <c r="C6" s="1">
        <v>0</v>
      </c>
      <c r="D6" s="1">
        <v>0</v>
      </c>
      <c r="E6" s="1">
        <v>106</v>
      </c>
      <c r="F6" s="1">
        <v>0</v>
      </c>
      <c r="G6" s="1"/>
      <c r="H6" s="1">
        <v>0</v>
      </c>
      <c r="I6" s="1">
        <v>100</v>
      </c>
      <c r="J6" s="1">
        <v>100</v>
      </c>
      <c r="K6" s="1"/>
      <c r="L6" s="1">
        <v>0</v>
      </c>
      <c r="M6" s="1">
        <v>7</v>
      </c>
      <c r="N6" s="1">
        <v>0</v>
      </c>
      <c r="O6" s="1">
        <v>7</v>
      </c>
      <c r="P6" s="1">
        <v>0</v>
      </c>
      <c r="Q6" s="1"/>
      <c r="R6" s="1"/>
      <c r="S6" s="1">
        <v>0</v>
      </c>
      <c r="T6" s="1">
        <v>0</v>
      </c>
      <c r="U6" s="1">
        <v>15</v>
      </c>
      <c r="V6" s="1">
        <v>0</v>
      </c>
      <c r="X6">
        <f t="shared" ref="X6:X36" si="0">B6-C6-E6-S6-T6-U6-V6</f>
        <v>0</v>
      </c>
      <c r="Y6">
        <f t="shared" ref="Y6:Y36" si="1">E6-F6-I6-L6-M6</f>
        <v>-1</v>
      </c>
      <c r="Z6">
        <f t="shared" ref="Z6:Z36" si="2">M6-N6-O6-P6</f>
        <v>0</v>
      </c>
      <c r="AB6" s="20">
        <v>121</v>
      </c>
      <c r="AC6" s="19"/>
      <c r="AD6" s="20">
        <v>106</v>
      </c>
      <c r="AE6" s="20">
        <v>0.3</v>
      </c>
      <c r="AF6" s="21">
        <v>15</v>
      </c>
      <c r="AG6">
        <f t="shared" ref="AG6:AG36" si="3">AB6-AC6-AD6-AE6-AF6</f>
        <v>-0.30000000000000071</v>
      </c>
    </row>
    <row r="7" spans="1:33">
      <c r="A7" s="2" t="s">
        <v>7</v>
      </c>
      <c r="B7" s="1">
        <v>22</v>
      </c>
      <c r="C7" s="1">
        <v>0</v>
      </c>
      <c r="D7" s="1">
        <v>0</v>
      </c>
      <c r="E7" s="1">
        <v>0.2</v>
      </c>
      <c r="F7" s="1">
        <v>0</v>
      </c>
      <c r="G7" s="1"/>
      <c r="H7" s="1">
        <v>0</v>
      </c>
      <c r="I7" s="1">
        <v>0.2</v>
      </c>
      <c r="J7" s="1">
        <v>0.2</v>
      </c>
      <c r="K7" s="1"/>
      <c r="L7" s="1">
        <v>0</v>
      </c>
      <c r="M7" s="1">
        <v>0</v>
      </c>
      <c r="N7" s="1">
        <v>0</v>
      </c>
      <c r="O7" s="1">
        <v>0</v>
      </c>
      <c r="P7" s="1">
        <v>0</v>
      </c>
      <c r="Q7" s="1"/>
      <c r="R7" s="1"/>
      <c r="S7" s="1">
        <v>0</v>
      </c>
      <c r="T7" s="1">
        <v>11</v>
      </c>
      <c r="U7" s="1">
        <v>11</v>
      </c>
      <c r="V7" s="1">
        <v>0</v>
      </c>
      <c r="X7">
        <f t="shared" si="0"/>
        <v>-0.19999999999999929</v>
      </c>
      <c r="Y7">
        <f t="shared" si="1"/>
        <v>0</v>
      </c>
      <c r="Z7">
        <f t="shared" si="2"/>
        <v>0</v>
      </c>
      <c r="AB7" s="20">
        <v>22</v>
      </c>
      <c r="AC7" s="19"/>
      <c r="AD7" s="20">
        <v>0.2</v>
      </c>
      <c r="AE7" s="20">
        <v>11</v>
      </c>
      <c r="AF7" s="21">
        <v>11</v>
      </c>
      <c r="AG7">
        <f t="shared" si="3"/>
        <v>-0.19999999999999929</v>
      </c>
    </row>
    <row r="8" spans="1:33">
      <c r="A8" s="2" t="s">
        <v>8</v>
      </c>
      <c r="B8" s="1">
        <v>698</v>
      </c>
      <c r="C8" s="1">
        <v>2</v>
      </c>
      <c r="D8" s="1">
        <v>0</v>
      </c>
      <c r="E8" s="1">
        <v>139</v>
      </c>
      <c r="F8" s="1">
        <v>116</v>
      </c>
      <c r="G8" s="1"/>
      <c r="H8" s="1">
        <v>0</v>
      </c>
      <c r="I8" s="1">
        <v>0</v>
      </c>
      <c r="J8" s="1">
        <v>0</v>
      </c>
      <c r="K8" s="1"/>
      <c r="L8" s="1">
        <v>0</v>
      </c>
      <c r="M8" s="1">
        <v>23</v>
      </c>
      <c r="N8" s="1">
        <v>13</v>
      </c>
      <c r="O8" s="1">
        <v>5</v>
      </c>
      <c r="P8" s="1">
        <v>6</v>
      </c>
      <c r="Q8" s="1"/>
      <c r="R8" s="1"/>
      <c r="S8" s="1">
        <v>0</v>
      </c>
      <c r="T8" s="1">
        <v>107</v>
      </c>
      <c r="U8" s="1">
        <v>450</v>
      </c>
      <c r="V8" s="1">
        <v>0</v>
      </c>
      <c r="X8">
        <f t="shared" si="0"/>
        <v>0</v>
      </c>
      <c r="Y8">
        <f t="shared" si="1"/>
        <v>0</v>
      </c>
      <c r="Z8">
        <f t="shared" si="2"/>
        <v>-1</v>
      </c>
      <c r="AB8" s="20">
        <v>698</v>
      </c>
      <c r="AC8" s="20">
        <v>2</v>
      </c>
      <c r="AD8" s="20">
        <v>139</v>
      </c>
      <c r="AE8" s="20">
        <v>107</v>
      </c>
      <c r="AF8" s="21">
        <v>450</v>
      </c>
      <c r="AG8">
        <f t="shared" si="3"/>
        <v>0</v>
      </c>
    </row>
    <row r="9" spans="1:33">
      <c r="A9" s="2" t="s">
        <v>9</v>
      </c>
      <c r="B9" s="1">
        <v>423</v>
      </c>
      <c r="C9" s="1">
        <v>0</v>
      </c>
      <c r="D9" s="1">
        <v>0</v>
      </c>
      <c r="E9" s="1">
        <v>46</v>
      </c>
      <c r="F9" s="1">
        <v>45</v>
      </c>
      <c r="G9" s="1"/>
      <c r="H9" s="1">
        <v>0</v>
      </c>
      <c r="I9" s="1">
        <v>0</v>
      </c>
      <c r="J9" s="1">
        <v>0</v>
      </c>
      <c r="K9" s="1"/>
      <c r="L9" s="1">
        <v>0</v>
      </c>
      <c r="M9" s="1">
        <v>1</v>
      </c>
      <c r="N9" s="1">
        <v>1</v>
      </c>
      <c r="O9" s="1">
        <v>0</v>
      </c>
      <c r="P9" s="1">
        <v>0</v>
      </c>
      <c r="Q9" s="1"/>
      <c r="R9" s="1"/>
      <c r="S9" s="1">
        <v>0</v>
      </c>
      <c r="T9" s="1">
        <v>96</v>
      </c>
      <c r="U9" s="1">
        <v>280</v>
      </c>
      <c r="V9" s="1">
        <v>0</v>
      </c>
      <c r="X9">
        <f t="shared" si="0"/>
        <v>1</v>
      </c>
      <c r="Y9">
        <f t="shared" si="1"/>
        <v>0</v>
      </c>
      <c r="Z9">
        <f t="shared" si="2"/>
        <v>0</v>
      </c>
      <c r="AB9" s="20">
        <v>423</v>
      </c>
      <c r="AC9" s="19"/>
      <c r="AD9" s="20">
        <v>46</v>
      </c>
      <c r="AE9" s="20">
        <v>96</v>
      </c>
      <c r="AF9" s="21">
        <v>280</v>
      </c>
      <c r="AG9">
        <f t="shared" si="3"/>
        <v>1</v>
      </c>
    </row>
    <row r="10" spans="1:33">
      <c r="A10" s="2" t="s">
        <v>2</v>
      </c>
      <c r="B10" s="1">
        <v>392</v>
      </c>
      <c r="C10" s="1">
        <v>1</v>
      </c>
      <c r="D10" s="1">
        <v>0</v>
      </c>
      <c r="E10" s="1">
        <v>229</v>
      </c>
      <c r="F10" s="1">
        <v>228</v>
      </c>
      <c r="G10" s="1"/>
      <c r="H10" s="1">
        <v>0</v>
      </c>
      <c r="I10" s="1">
        <v>0</v>
      </c>
      <c r="J10" s="1">
        <v>0</v>
      </c>
      <c r="K10" s="1"/>
      <c r="L10" s="1">
        <v>0</v>
      </c>
      <c r="M10" s="1">
        <v>1</v>
      </c>
      <c r="N10" s="1">
        <v>1</v>
      </c>
      <c r="O10" s="1">
        <v>0</v>
      </c>
      <c r="P10" s="1">
        <v>0</v>
      </c>
      <c r="Q10" s="1"/>
      <c r="R10" s="1"/>
      <c r="S10" s="1">
        <v>0</v>
      </c>
      <c r="T10" s="1">
        <v>88</v>
      </c>
      <c r="U10" s="1">
        <v>74</v>
      </c>
      <c r="V10" s="1">
        <v>0</v>
      </c>
      <c r="X10">
        <f t="shared" si="0"/>
        <v>0</v>
      </c>
      <c r="Y10">
        <f t="shared" si="1"/>
        <v>0</v>
      </c>
      <c r="Z10">
        <f t="shared" si="2"/>
        <v>0</v>
      </c>
      <c r="AB10" s="20">
        <v>392</v>
      </c>
      <c r="AC10" s="20">
        <v>1</v>
      </c>
      <c r="AD10" s="20">
        <v>229</v>
      </c>
      <c r="AE10" s="20">
        <v>88</v>
      </c>
      <c r="AF10" s="21">
        <v>74</v>
      </c>
      <c r="AG10">
        <f t="shared" si="3"/>
        <v>0</v>
      </c>
    </row>
    <row r="11" spans="1:33">
      <c r="A11" s="2" t="s">
        <v>10</v>
      </c>
      <c r="B11" s="1">
        <v>110</v>
      </c>
      <c r="C11" s="1">
        <v>0</v>
      </c>
      <c r="D11" s="1">
        <v>0</v>
      </c>
      <c r="E11" s="1">
        <v>46</v>
      </c>
      <c r="F11" s="1">
        <v>45</v>
      </c>
      <c r="G11" s="1"/>
      <c r="H11" s="1">
        <v>0</v>
      </c>
      <c r="I11" s="1">
        <v>0</v>
      </c>
      <c r="J11" s="1">
        <v>0</v>
      </c>
      <c r="K11" s="1"/>
      <c r="L11" s="1">
        <v>0</v>
      </c>
      <c r="M11" s="1">
        <v>1</v>
      </c>
      <c r="N11" s="1">
        <v>1</v>
      </c>
      <c r="O11" s="1">
        <v>0</v>
      </c>
      <c r="P11" s="1">
        <v>0</v>
      </c>
      <c r="Q11" s="1"/>
      <c r="R11" s="1"/>
      <c r="S11" s="1">
        <v>0</v>
      </c>
      <c r="T11" s="1">
        <v>20</v>
      </c>
      <c r="U11" s="1">
        <v>43</v>
      </c>
      <c r="V11" s="1">
        <v>0</v>
      </c>
      <c r="X11">
        <f t="shared" si="0"/>
        <v>1</v>
      </c>
      <c r="Y11">
        <f t="shared" si="1"/>
        <v>0</v>
      </c>
      <c r="Z11">
        <f t="shared" si="2"/>
        <v>0</v>
      </c>
      <c r="AB11" s="20">
        <v>110</v>
      </c>
      <c r="AC11" s="19"/>
      <c r="AD11" s="20">
        <v>46</v>
      </c>
      <c r="AE11" s="20">
        <v>20</v>
      </c>
      <c r="AF11" s="21">
        <v>43</v>
      </c>
      <c r="AG11">
        <f t="shared" si="3"/>
        <v>1</v>
      </c>
    </row>
    <row r="12" spans="1:33">
      <c r="A12" s="2" t="s">
        <v>3</v>
      </c>
      <c r="B12" s="1">
        <v>125</v>
      </c>
      <c r="C12" s="1">
        <v>5</v>
      </c>
      <c r="D12" s="1">
        <v>0</v>
      </c>
      <c r="E12" s="1">
        <v>0</v>
      </c>
      <c r="F12" s="1">
        <v>0</v>
      </c>
      <c r="G12" s="1"/>
      <c r="H12" s="1">
        <v>0</v>
      </c>
      <c r="I12" s="1">
        <v>0</v>
      </c>
      <c r="J12" s="1">
        <v>0</v>
      </c>
      <c r="K12" s="1"/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/>
      <c r="R12" s="1"/>
      <c r="S12" s="1">
        <v>0</v>
      </c>
      <c r="T12" s="1">
        <v>5</v>
      </c>
      <c r="U12" s="1">
        <v>115</v>
      </c>
      <c r="V12" s="1">
        <v>0</v>
      </c>
      <c r="X12">
        <f t="shared" si="0"/>
        <v>0</v>
      </c>
      <c r="Y12">
        <f t="shared" si="1"/>
        <v>0</v>
      </c>
      <c r="Z12">
        <f t="shared" si="2"/>
        <v>0</v>
      </c>
      <c r="AB12" s="20">
        <v>125</v>
      </c>
      <c r="AC12" s="20">
        <v>5</v>
      </c>
      <c r="AD12" s="19"/>
      <c r="AE12" s="20">
        <v>5</v>
      </c>
      <c r="AF12" s="21">
        <v>115</v>
      </c>
      <c r="AG12">
        <f t="shared" si="3"/>
        <v>0</v>
      </c>
    </row>
    <row r="13" spans="1:33">
      <c r="A13" s="2" t="s">
        <v>4</v>
      </c>
      <c r="B13" s="1">
        <v>248</v>
      </c>
      <c r="C13" s="1">
        <v>2</v>
      </c>
      <c r="D13" s="1">
        <v>0</v>
      </c>
      <c r="E13" s="1">
        <v>128</v>
      </c>
      <c r="F13" s="1">
        <v>117</v>
      </c>
      <c r="G13" s="1"/>
      <c r="H13" s="1">
        <v>0</v>
      </c>
      <c r="I13" s="1">
        <v>0</v>
      </c>
      <c r="J13" s="1">
        <v>0</v>
      </c>
      <c r="K13" s="1"/>
      <c r="L13" s="1">
        <v>0</v>
      </c>
      <c r="M13" s="1">
        <v>12</v>
      </c>
      <c r="N13" s="1">
        <v>1</v>
      </c>
      <c r="O13" s="1">
        <v>2</v>
      </c>
      <c r="P13" s="1">
        <v>9</v>
      </c>
      <c r="Q13" s="1"/>
      <c r="R13" s="1"/>
      <c r="S13" s="1">
        <v>0</v>
      </c>
      <c r="T13" s="1">
        <v>29</v>
      </c>
      <c r="U13" s="1">
        <v>89</v>
      </c>
      <c r="V13" s="1">
        <v>0</v>
      </c>
      <c r="X13">
        <f t="shared" si="0"/>
        <v>0</v>
      </c>
      <c r="Y13">
        <f t="shared" si="1"/>
        <v>-1</v>
      </c>
      <c r="Z13">
        <f t="shared" si="2"/>
        <v>0</v>
      </c>
      <c r="AB13" s="20">
        <v>248</v>
      </c>
      <c r="AC13" s="20">
        <v>2</v>
      </c>
      <c r="AD13" s="20">
        <v>128</v>
      </c>
      <c r="AE13" s="20">
        <v>29</v>
      </c>
      <c r="AF13" s="21">
        <v>89</v>
      </c>
      <c r="AG13">
        <f t="shared" si="3"/>
        <v>0</v>
      </c>
    </row>
    <row r="14" spans="1:33">
      <c r="A14" s="2" t="s">
        <v>11</v>
      </c>
      <c r="B14" s="1">
        <v>36</v>
      </c>
      <c r="C14" s="1">
        <v>0</v>
      </c>
      <c r="D14" s="1">
        <v>0</v>
      </c>
      <c r="E14" s="1">
        <v>6</v>
      </c>
      <c r="F14" s="1">
        <v>0</v>
      </c>
      <c r="G14" s="1"/>
      <c r="H14" s="1">
        <v>0</v>
      </c>
      <c r="I14" s="1">
        <v>3</v>
      </c>
      <c r="J14" s="1">
        <v>3</v>
      </c>
      <c r="K14" s="1"/>
      <c r="L14" s="1">
        <v>0</v>
      </c>
      <c r="M14" s="1">
        <v>4</v>
      </c>
      <c r="N14" s="1">
        <v>0</v>
      </c>
      <c r="O14" s="1">
        <v>4</v>
      </c>
      <c r="P14" s="1">
        <v>0</v>
      </c>
      <c r="Q14" s="1"/>
      <c r="R14" s="1"/>
      <c r="S14" s="1">
        <v>0</v>
      </c>
      <c r="T14" s="1">
        <v>0</v>
      </c>
      <c r="U14" s="1">
        <v>29</v>
      </c>
      <c r="V14" s="1">
        <v>0</v>
      </c>
      <c r="X14">
        <f t="shared" si="0"/>
        <v>1</v>
      </c>
      <c r="Y14">
        <f t="shared" si="1"/>
        <v>-1</v>
      </c>
      <c r="Z14">
        <f t="shared" si="2"/>
        <v>0</v>
      </c>
      <c r="AB14" s="20">
        <v>36</v>
      </c>
      <c r="AC14" s="19"/>
      <c r="AD14" s="20">
        <v>6</v>
      </c>
      <c r="AE14" s="19"/>
      <c r="AF14" s="21">
        <v>29</v>
      </c>
      <c r="AG14">
        <f t="shared" si="3"/>
        <v>1</v>
      </c>
    </row>
    <row r="15" spans="1:33">
      <c r="A15" s="2" t="s">
        <v>12</v>
      </c>
      <c r="B15" s="1">
        <v>1410</v>
      </c>
      <c r="C15" s="1">
        <v>150</v>
      </c>
      <c r="D15" s="1">
        <v>150</v>
      </c>
      <c r="E15" s="1">
        <v>744</v>
      </c>
      <c r="F15" s="1">
        <v>333</v>
      </c>
      <c r="G15" s="1"/>
      <c r="H15" s="1">
        <v>0</v>
      </c>
      <c r="I15" s="1">
        <v>386</v>
      </c>
      <c r="J15" s="1">
        <v>386</v>
      </c>
      <c r="K15" s="1"/>
      <c r="L15" s="1">
        <v>0</v>
      </c>
      <c r="M15" s="1">
        <v>25</v>
      </c>
      <c r="N15" s="1">
        <v>7</v>
      </c>
      <c r="O15" s="1">
        <v>12</v>
      </c>
      <c r="P15" s="1">
        <v>6</v>
      </c>
      <c r="Q15" s="1"/>
      <c r="R15" s="1"/>
      <c r="S15" s="1">
        <v>0</v>
      </c>
      <c r="T15" s="1">
        <v>130</v>
      </c>
      <c r="U15" s="1">
        <v>386</v>
      </c>
      <c r="V15" s="1">
        <v>0</v>
      </c>
      <c r="X15">
        <f t="shared" si="0"/>
        <v>0</v>
      </c>
      <c r="Y15">
        <f t="shared" si="1"/>
        <v>0</v>
      </c>
      <c r="Z15">
        <f t="shared" si="2"/>
        <v>0</v>
      </c>
      <c r="AB15" s="20">
        <v>1410</v>
      </c>
      <c r="AC15" s="20">
        <v>150</v>
      </c>
      <c r="AD15" s="20">
        <v>744</v>
      </c>
      <c r="AE15" s="20">
        <v>130</v>
      </c>
      <c r="AF15" s="21">
        <v>386</v>
      </c>
      <c r="AG15">
        <f t="shared" si="3"/>
        <v>0</v>
      </c>
    </row>
    <row r="16" spans="1:33">
      <c r="A16" s="2" t="s">
        <v>13</v>
      </c>
      <c r="B16" s="1">
        <v>773</v>
      </c>
      <c r="C16" s="1">
        <v>12</v>
      </c>
      <c r="D16" s="1">
        <v>0</v>
      </c>
      <c r="E16" s="1">
        <v>106</v>
      </c>
      <c r="F16" s="1">
        <v>51</v>
      </c>
      <c r="G16" s="1"/>
      <c r="H16" s="1">
        <v>0</v>
      </c>
      <c r="I16" s="1">
        <v>22</v>
      </c>
      <c r="J16" s="1">
        <v>22</v>
      </c>
      <c r="K16" s="1"/>
      <c r="L16" s="1">
        <v>0</v>
      </c>
      <c r="M16" s="1">
        <v>33</v>
      </c>
      <c r="N16" s="1">
        <v>4</v>
      </c>
      <c r="O16" s="1">
        <v>26</v>
      </c>
      <c r="P16" s="1">
        <v>3</v>
      </c>
      <c r="Q16" s="1"/>
      <c r="R16" s="1"/>
      <c r="S16" s="1">
        <v>0</v>
      </c>
      <c r="T16" s="1">
        <v>15</v>
      </c>
      <c r="U16" s="1">
        <v>639</v>
      </c>
      <c r="V16" s="1">
        <v>0</v>
      </c>
      <c r="X16">
        <f t="shared" si="0"/>
        <v>1</v>
      </c>
      <c r="Y16">
        <f t="shared" si="1"/>
        <v>0</v>
      </c>
      <c r="Z16">
        <f t="shared" si="2"/>
        <v>0</v>
      </c>
      <c r="AB16" s="20">
        <v>773</v>
      </c>
      <c r="AC16" s="20">
        <v>12</v>
      </c>
      <c r="AD16" s="20">
        <v>106</v>
      </c>
      <c r="AE16" s="20">
        <v>15</v>
      </c>
      <c r="AF16" s="21">
        <v>639</v>
      </c>
      <c r="AG16">
        <f t="shared" si="3"/>
        <v>1</v>
      </c>
    </row>
    <row r="17" spans="1:33">
      <c r="A17" s="2" t="s">
        <v>14</v>
      </c>
      <c r="B17" s="1">
        <v>965</v>
      </c>
      <c r="C17" s="1">
        <v>16</v>
      </c>
      <c r="D17" s="1">
        <v>0</v>
      </c>
      <c r="E17" s="1">
        <v>148</v>
      </c>
      <c r="F17" s="1">
        <v>102</v>
      </c>
      <c r="G17" s="1"/>
      <c r="H17" s="1">
        <v>0</v>
      </c>
      <c r="I17" s="1">
        <v>0</v>
      </c>
      <c r="J17" s="1">
        <v>0</v>
      </c>
      <c r="K17" s="1"/>
      <c r="L17" s="1">
        <v>0</v>
      </c>
      <c r="M17" s="1">
        <v>46</v>
      </c>
      <c r="N17" s="1">
        <v>17</v>
      </c>
      <c r="O17" s="1">
        <v>10</v>
      </c>
      <c r="P17" s="1">
        <v>19</v>
      </c>
      <c r="Q17" s="1"/>
      <c r="R17" s="1"/>
      <c r="S17" s="1">
        <v>0</v>
      </c>
      <c r="T17" s="1">
        <v>43</v>
      </c>
      <c r="U17" s="1">
        <v>758</v>
      </c>
      <c r="V17" s="1">
        <v>0</v>
      </c>
      <c r="X17">
        <f t="shared" si="0"/>
        <v>0</v>
      </c>
      <c r="Y17">
        <f t="shared" si="1"/>
        <v>0</v>
      </c>
      <c r="Z17">
        <f t="shared" si="2"/>
        <v>0</v>
      </c>
      <c r="AB17" s="20">
        <v>965</v>
      </c>
      <c r="AC17" s="20">
        <v>16</v>
      </c>
      <c r="AD17" s="20">
        <v>148</v>
      </c>
      <c r="AE17" s="20">
        <v>43</v>
      </c>
      <c r="AF17" s="21">
        <v>758</v>
      </c>
      <c r="AG17">
        <f t="shared" si="3"/>
        <v>0</v>
      </c>
    </row>
    <row r="18" spans="1:33">
      <c r="A18" s="2" t="s">
        <v>15</v>
      </c>
      <c r="B18" s="1">
        <v>524</v>
      </c>
      <c r="C18" s="1">
        <v>41</v>
      </c>
      <c r="D18" s="1">
        <v>0</v>
      </c>
      <c r="E18" s="1">
        <v>225</v>
      </c>
      <c r="F18" s="1">
        <v>205</v>
      </c>
      <c r="G18" s="1"/>
      <c r="H18" s="1">
        <v>0</v>
      </c>
      <c r="I18" s="1">
        <v>3</v>
      </c>
      <c r="J18" s="1">
        <v>3</v>
      </c>
      <c r="K18" s="1"/>
      <c r="L18" s="1">
        <v>0</v>
      </c>
      <c r="M18" s="1">
        <v>17</v>
      </c>
      <c r="N18" s="1">
        <v>8</v>
      </c>
      <c r="O18" s="1">
        <v>9</v>
      </c>
      <c r="P18" s="1">
        <v>0</v>
      </c>
      <c r="Q18" s="1"/>
      <c r="R18" s="1"/>
      <c r="S18" s="1">
        <v>109</v>
      </c>
      <c r="T18" s="1">
        <v>69</v>
      </c>
      <c r="U18" s="1">
        <v>79</v>
      </c>
      <c r="V18" s="1">
        <v>0</v>
      </c>
      <c r="X18">
        <f t="shared" si="0"/>
        <v>1</v>
      </c>
      <c r="Y18">
        <f t="shared" si="1"/>
        <v>0</v>
      </c>
      <c r="Z18">
        <f t="shared" si="2"/>
        <v>0</v>
      </c>
      <c r="AB18" s="20">
        <v>524</v>
      </c>
      <c r="AC18" s="20">
        <v>41</v>
      </c>
      <c r="AD18" s="20">
        <v>225</v>
      </c>
      <c r="AE18" s="20">
        <v>69</v>
      </c>
      <c r="AF18" s="21">
        <v>79</v>
      </c>
      <c r="AG18">
        <f t="shared" si="3"/>
        <v>110</v>
      </c>
    </row>
    <row r="19" spans="1:33">
      <c r="A19" s="2" t="s">
        <v>16</v>
      </c>
      <c r="B19" s="1">
        <v>280</v>
      </c>
      <c r="C19" s="1">
        <v>11</v>
      </c>
      <c r="D19" s="1">
        <v>0</v>
      </c>
      <c r="E19" s="1">
        <v>0.2</v>
      </c>
      <c r="F19" s="1">
        <v>0</v>
      </c>
      <c r="G19" s="1"/>
      <c r="H19" s="1">
        <v>0</v>
      </c>
      <c r="I19" s="1">
        <v>0</v>
      </c>
      <c r="J19" s="1">
        <v>0</v>
      </c>
      <c r="K19" s="1"/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/>
      <c r="R19" s="1"/>
      <c r="S19" s="1">
        <v>0</v>
      </c>
      <c r="T19" s="1">
        <v>53</v>
      </c>
      <c r="U19" s="1">
        <v>216</v>
      </c>
      <c r="V19" s="1">
        <v>0</v>
      </c>
      <c r="X19">
        <f t="shared" si="0"/>
        <v>-0.19999999999998863</v>
      </c>
      <c r="Y19">
        <f t="shared" si="1"/>
        <v>0.2</v>
      </c>
      <c r="Z19">
        <f t="shared" si="2"/>
        <v>0</v>
      </c>
      <c r="AB19" s="20">
        <v>280</v>
      </c>
      <c r="AC19" s="20">
        <v>11</v>
      </c>
      <c r="AD19" s="20">
        <v>0.2</v>
      </c>
      <c r="AE19" s="20">
        <v>53</v>
      </c>
      <c r="AF19" s="21">
        <v>216</v>
      </c>
      <c r="AG19">
        <f t="shared" si="3"/>
        <v>-0.19999999999998863</v>
      </c>
    </row>
    <row r="20" spans="1:33">
      <c r="A20" s="2" t="s">
        <v>17</v>
      </c>
      <c r="B20" s="1">
        <v>1657</v>
      </c>
      <c r="C20" s="1">
        <v>0.1</v>
      </c>
      <c r="D20" s="1">
        <v>0</v>
      </c>
      <c r="E20" s="1">
        <v>821</v>
      </c>
      <c r="F20" s="1">
        <v>769</v>
      </c>
      <c r="G20" s="1"/>
      <c r="H20" s="1">
        <v>0</v>
      </c>
      <c r="I20" s="1">
        <v>0</v>
      </c>
      <c r="J20" s="1">
        <v>0</v>
      </c>
      <c r="K20" s="1"/>
      <c r="L20" s="1">
        <v>0</v>
      </c>
      <c r="M20" s="1">
        <v>51</v>
      </c>
      <c r="N20" s="1">
        <v>12</v>
      </c>
      <c r="O20" s="1">
        <v>26</v>
      </c>
      <c r="P20" s="1">
        <v>14</v>
      </c>
      <c r="Q20" s="1"/>
      <c r="R20" s="1"/>
      <c r="S20" s="1">
        <v>0</v>
      </c>
      <c r="T20" s="1">
        <v>191</v>
      </c>
      <c r="U20" s="1">
        <v>645</v>
      </c>
      <c r="V20" s="1">
        <v>0</v>
      </c>
      <c r="X20">
        <f t="shared" si="0"/>
        <v>-9.9999999999909051E-2</v>
      </c>
      <c r="Y20">
        <f t="shared" si="1"/>
        <v>1</v>
      </c>
      <c r="Z20">
        <f t="shared" si="2"/>
        <v>-1</v>
      </c>
      <c r="AB20" s="20">
        <v>1657</v>
      </c>
      <c r="AC20" s="19"/>
      <c r="AD20" s="20">
        <v>821</v>
      </c>
      <c r="AE20" s="20">
        <v>191</v>
      </c>
      <c r="AF20" s="21">
        <v>645</v>
      </c>
      <c r="AG20">
        <f t="shared" si="3"/>
        <v>0</v>
      </c>
    </row>
    <row r="21" spans="1:33">
      <c r="A21" s="2" t="s">
        <v>18</v>
      </c>
      <c r="B21" s="1">
        <v>887</v>
      </c>
      <c r="C21" s="1">
        <v>0.1</v>
      </c>
      <c r="D21" s="1">
        <v>0</v>
      </c>
      <c r="E21" s="1">
        <v>325</v>
      </c>
      <c r="F21" s="1">
        <v>287</v>
      </c>
      <c r="G21" s="1"/>
      <c r="H21" s="1">
        <v>0</v>
      </c>
      <c r="I21" s="1">
        <v>4</v>
      </c>
      <c r="J21" s="1">
        <v>4</v>
      </c>
      <c r="K21" s="1"/>
      <c r="L21" s="1">
        <v>0</v>
      </c>
      <c r="M21" s="1">
        <v>34</v>
      </c>
      <c r="N21" s="1">
        <v>33</v>
      </c>
      <c r="O21" s="1">
        <v>0</v>
      </c>
      <c r="P21" s="1">
        <v>1</v>
      </c>
      <c r="Q21" s="1"/>
      <c r="R21" s="1"/>
      <c r="S21" s="1">
        <v>0</v>
      </c>
      <c r="T21" s="1">
        <v>135</v>
      </c>
      <c r="U21" s="1">
        <v>428</v>
      </c>
      <c r="V21" s="1">
        <v>0</v>
      </c>
      <c r="X21">
        <f t="shared" si="0"/>
        <v>-1.1000000000000227</v>
      </c>
      <c r="Y21">
        <f t="shared" si="1"/>
        <v>0</v>
      </c>
      <c r="Z21">
        <f t="shared" si="2"/>
        <v>0</v>
      </c>
      <c r="AB21" s="20">
        <v>887</v>
      </c>
      <c r="AC21" s="19"/>
      <c r="AD21" s="20">
        <v>325</v>
      </c>
      <c r="AE21" s="20">
        <v>135</v>
      </c>
      <c r="AF21" s="21">
        <v>428</v>
      </c>
      <c r="AG21">
        <f t="shared" si="3"/>
        <v>-1</v>
      </c>
    </row>
    <row r="22" spans="1:33">
      <c r="A22" s="2" t="s">
        <v>19</v>
      </c>
      <c r="B22" s="1">
        <v>449</v>
      </c>
      <c r="C22" s="1">
        <v>8</v>
      </c>
      <c r="D22" s="1">
        <v>0</v>
      </c>
      <c r="E22" s="1">
        <v>120</v>
      </c>
      <c r="F22" s="1">
        <v>73</v>
      </c>
      <c r="G22" s="1"/>
      <c r="H22" s="1">
        <v>0</v>
      </c>
      <c r="I22" s="1">
        <v>19</v>
      </c>
      <c r="J22" s="1">
        <v>19</v>
      </c>
      <c r="K22" s="1"/>
      <c r="L22" s="1">
        <v>0</v>
      </c>
      <c r="M22" s="1">
        <v>28</v>
      </c>
      <c r="N22" s="1">
        <v>20</v>
      </c>
      <c r="O22" s="1">
        <v>2</v>
      </c>
      <c r="P22" s="1">
        <v>5</v>
      </c>
      <c r="Q22" s="1"/>
      <c r="R22" s="1"/>
      <c r="S22" s="1">
        <v>0</v>
      </c>
      <c r="T22" s="1">
        <v>67</v>
      </c>
      <c r="U22" s="1">
        <v>254</v>
      </c>
      <c r="V22" s="1">
        <v>0</v>
      </c>
      <c r="X22">
        <f t="shared" si="0"/>
        <v>0</v>
      </c>
      <c r="Y22">
        <f t="shared" si="1"/>
        <v>0</v>
      </c>
      <c r="Z22">
        <f t="shared" si="2"/>
        <v>1</v>
      </c>
      <c r="AB22" s="20">
        <v>449</v>
      </c>
      <c r="AC22" s="20">
        <v>8</v>
      </c>
      <c r="AD22" s="20">
        <v>120</v>
      </c>
      <c r="AE22" s="20">
        <v>67</v>
      </c>
      <c r="AF22" s="21">
        <v>254</v>
      </c>
      <c r="AG22">
        <f t="shared" si="3"/>
        <v>0</v>
      </c>
    </row>
    <row r="23" spans="1:33">
      <c r="A23" s="2" t="s">
        <v>20</v>
      </c>
      <c r="B23" s="1">
        <v>274</v>
      </c>
      <c r="C23" s="1">
        <v>32</v>
      </c>
      <c r="D23" s="1">
        <v>0</v>
      </c>
      <c r="E23" s="1">
        <v>12</v>
      </c>
      <c r="F23" s="1">
        <v>1</v>
      </c>
      <c r="G23" s="1"/>
      <c r="H23" s="1">
        <v>0</v>
      </c>
      <c r="I23" s="1">
        <v>0</v>
      </c>
      <c r="J23" s="1">
        <v>0</v>
      </c>
      <c r="K23" s="1"/>
      <c r="L23" s="1">
        <v>0</v>
      </c>
      <c r="M23" s="1">
        <v>11</v>
      </c>
      <c r="N23" s="1">
        <v>4</v>
      </c>
      <c r="O23" s="1">
        <v>4</v>
      </c>
      <c r="P23" s="1">
        <v>3</v>
      </c>
      <c r="Q23" s="1"/>
      <c r="R23" s="1"/>
      <c r="S23" s="1">
        <v>0</v>
      </c>
      <c r="T23" s="1">
        <v>50</v>
      </c>
      <c r="U23" s="1">
        <v>180</v>
      </c>
      <c r="V23" s="1">
        <v>0</v>
      </c>
      <c r="X23">
        <f t="shared" si="0"/>
        <v>0</v>
      </c>
      <c r="Y23">
        <f t="shared" si="1"/>
        <v>0</v>
      </c>
      <c r="Z23">
        <f t="shared" si="2"/>
        <v>0</v>
      </c>
      <c r="AB23" s="20">
        <v>274</v>
      </c>
      <c r="AC23" s="20">
        <v>32</v>
      </c>
      <c r="AD23" s="20">
        <v>12</v>
      </c>
      <c r="AE23" s="20">
        <v>50</v>
      </c>
      <c r="AF23" s="21">
        <v>180</v>
      </c>
      <c r="AG23">
        <f t="shared" si="3"/>
        <v>0</v>
      </c>
    </row>
    <row r="24" spans="1:33">
      <c r="A24" s="2" t="s">
        <v>21</v>
      </c>
      <c r="B24" s="1">
        <v>196</v>
      </c>
      <c r="C24" s="1">
        <v>35</v>
      </c>
      <c r="D24" s="1">
        <v>30</v>
      </c>
      <c r="E24" s="1">
        <v>0</v>
      </c>
      <c r="F24" s="1">
        <v>0</v>
      </c>
      <c r="G24" s="1"/>
      <c r="H24" s="1">
        <v>0</v>
      </c>
      <c r="I24" s="1">
        <v>0</v>
      </c>
      <c r="J24" s="1">
        <v>0</v>
      </c>
      <c r="K24" s="1"/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/>
      <c r="R24" s="1"/>
      <c r="S24" s="1">
        <v>109</v>
      </c>
      <c r="T24" s="1">
        <v>29</v>
      </c>
      <c r="U24" s="1">
        <v>23</v>
      </c>
      <c r="V24" s="1">
        <v>0</v>
      </c>
      <c r="X24">
        <f t="shared" si="0"/>
        <v>0</v>
      </c>
      <c r="Y24">
        <f t="shared" si="1"/>
        <v>0</v>
      </c>
      <c r="Z24">
        <f t="shared" si="2"/>
        <v>0</v>
      </c>
      <c r="AB24" s="20">
        <v>196</v>
      </c>
      <c r="AC24" s="20">
        <v>35</v>
      </c>
      <c r="AD24" s="19"/>
      <c r="AE24" s="20">
        <v>29</v>
      </c>
      <c r="AF24" s="21">
        <v>23</v>
      </c>
      <c r="AG24">
        <f t="shared" si="3"/>
        <v>109</v>
      </c>
    </row>
    <row r="25" spans="1:33">
      <c r="A25" s="2" t="s">
        <v>22</v>
      </c>
      <c r="B25" s="1">
        <v>139</v>
      </c>
      <c r="C25" s="1">
        <v>0</v>
      </c>
      <c r="D25" s="1">
        <v>0</v>
      </c>
      <c r="E25" s="1">
        <v>51</v>
      </c>
      <c r="F25" s="1">
        <v>0</v>
      </c>
      <c r="G25" s="1"/>
      <c r="H25" s="1">
        <v>0</v>
      </c>
      <c r="I25" s="1">
        <v>21</v>
      </c>
      <c r="J25" s="1">
        <v>21</v>
      </c>
      <c r="K25" s="1"/>
      <c r="L25" s="1">
        <v>0</v>
      </c>
      <c r="M25" s="1">
        <v>30</v>
      </c>
      <c r="N25" s="1">
        <v>20</v>
      </c>
      <c r="O25" s="1">
        <v>1</v>
      </c>
      <c r="P25" s="1">
        <v>9</v>
      </c>
      <c r="Q25" s="1"/>
      <c r="R25" s="1"/>
      <c r="S25" s="1">
        <v>0</v>
      </c>
      <c r="T25" s="1">
        <v>82</v>
      </c>
      <c r="U25" s="1">
        <v>6</v>
      </c>
      <c r="V25" s="1">
        <v>0</v>
      </c>
      <c r="X25">
        <f t="shared" si="0"/>
        <v>0</v>
      </c>
      <c r="Y25">
        <f>E25-F25-I25-L25-M25</f>
        <v>0</v>
      </c>
      <c r="Z25">
        <f t="shared" si="2"/>
        <v>0</v>
      </c>
      <c r="AB25" s="20">
        <v>139</v>
      </c>
      <c r="AC25" s="19"/>
      <c r="AD25" s="20">
        <v>51</v>
      </c>
      <c r="AE25" s="20">
        <v>82</v>
      </c>
      <c r="AF25" s="21">
        <v>6</v>
      </c>
      <c r="AG25">
        <f t="shared" si="3"/>
        <v>0</v>
      </c>
    </row>
    <row r="26" spans="1:33">
      <c r="A26" s="2" t="s">
        <v>23</v>
      </c>
      <c r="B26" s="1">
        <v>23</v>
      </c>
      <c r="C26" s="1">
        <v>20</v>
      </c>
      <c r="D26" s="1">
        <v>20</v>
      </c>
      <c r="E26" s="1">
        <v>0</v>
      </c>
      <c r="F26" s="1">
        <v>0</v>
      </c>
      <c r="G26" s="1"/>
      <c r="H26" s="1">
        <v>0</v>
      </c>
      <c r="I26" s="1">
        <v>0</v>
      </c>
      <c r="J26" s="1">
        <v>0</v>
      </c>
      <c r="K26" s="1"/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/>
      <c r="R26" s="1"/>
      <c r="S26" s="1">
        <v>0</v>
      </c>
      <c r="T26" s="1">
        <v>0</v>
      </c>
      <c r="U26" s="1">
        <v>3</v>
      </c>
      <c r="V26" s="1">
        <v>0</v>
      </c>
      <c r="X26">
        <f t="shared" si="0"/>
        <v>0</v>
      </c>
      <c r="Y26">
        <f t="shared" si="1"/>
        <v>0</v>
      </c>
      <c r="Z26">
        <f t="shared" si="2"/>
        <v>0</v>
      </c>
      <c r="AB26" s="20">
        <v>23</v>
      </c>
      <c r="AC26" s="20">
        <v>20</v>
      </c>
      <c r="AD26" s="19"/>
      <c r="AE26" s="19"/>
      <c r="AF26" s="21">
        <v>3</v>
      </c>
      <c r="AG26">
        <f t="shared" si="3"/>
        <v>0</v>
      </c>
    </row>
    <row r="27" spans="1:33">
      <c r="A27" s="2" t="s">
        <v>24</v>
      </c>
      <c r="B27" s="1">
        <v>118</v>
      </c>
      <c r="C27" s="1">
        <v>74</v>
      </c>
      <c r="D27" s="1">
        <v>0</v>
      </c>
      <c r="E27" s="1">
        <v>18</v>
      </c>
      <c r="F27" s="1">
        <v>13</v>
      </c>
      <c r="G27" s="1"/>
      <c r="H27" s="1">
        <v>0</v>
      </c>
      <c r="I27" s="1">
        <v>0</v>
      </c>
      <c r="J27" s="1">
        <v>0</v>
      </c>
      <c r="K27" s="1"/>
      <c r="L27" s="1">
        <v>0</v>
      </c>
      <c r="M27" s="1">
        <v>6</v>
      </c>
      <c r="N27" s="1">
        <v>1</v>
      </c>
      <c r="O27" s="1">
        <v>1</v>
      </c>
      <c r="P27" s="1">
        <v>3</v>
      </c>
      <c r="Q27" s="1"/>
      <c r="R27" s="1"/>
      <c r="S27" s="1">
        <v>0</v>
      </c>
      <c r="T27" s="1">
        <v>14</v>
      </c>
      <c r="U27" s="1">
        <v>13</v>
      </c>
      <c r="V27" s="1">
        <v>0</v>
      </c>
      <c r="X27">
        <f t="shared" si="0"/>
        <v>-1</v>
      </c>
      <c r="Y27">
        <f t="shared" si="1"/>
        <v>-1</v>
      </c>
      <c r="Z27">
        <f t="shared" si="2"/>
        <v>1</v>
      </c>
      <c r="AB27" s="20">
        <v>118</v>
      </c>
      <c r="AC27" s="20">
        <v>74</v>
      </c>
      <c r="AD27" s="20">
        <v>18</v>
      </c>
      <c r="AE27" s="20">
        <v>14</v>
      </c>
      <c r="AF27" s="21">
        <v>13</v>
      </c>
      <c r="AG27">
        <f t="shared" si="3"/>
        <v>-1</v>
      </c>
    </row>
    <row r="28" spans="1:33">
      <c r="A28" s="2" t="s">
        <v>25</v>
      </c>
      <c r="B28" s="1">
        <v>780</v>
      </c>
      <c r="C28" s="1">
        <v>602</v>
      </c>
      <c r="D28" s="1">
        <v>0</v>
      </c>
      <c r="E28" s="1">
        <v>23</v>
      </c>
      <c r="F28" s="1">
        <v>0</v>
      </c>
      <c r="G28" s="1"/>
      <c r="H28" s="1">
        <v>0</v>
      </c>
      <c r="I28" s="1">
        <v>0.2</v>
      </c>
      <c r="J28" s="1">
        <v>0.2</v>
      </c>
      <c r="K28" s="1"/>
      <c r="L28" s="1">
        <v>0</v>
      </c>
      <c r="M28" s="1">
        <v>22</v>
      </c>
      <c r="N28" s="1">
        <v>8</v>
      </c>
      <c r="O28" s="1">
        <v>14</v>
      </c>
      <c r="P28" s="1">
        <v>0</v>
      </c>
      <c r="Q28" s="1"/>
      <c r="R28" s="1"/>
      <c r="S28" s="1">
        <v>0</v>
      </c>
      <c r="T28" s="1">
        <v>126</v>
      </c>
      <c r="U28" s="1">
        <v>30</v>
      </c>
      <c r="V28" s="1">
        <v>0</v>
      </c>
      <c r="X28">
        <f t="shared" si="0"/>
        <v>-1</v>
      </c>
      <c r="Y28">
        <f t="shared" si="1"/>
        <v>0.80000000000000071</v>
      </c>
      <c r="Z28">
        <f t="shared" si="2"/>
        <v>0</v>
      </c>
      <c r="AB28" s="20">
        <v>780</v>
      </c>
      <c r="AC28" s="20">
        <v>602</v>
      </c>
      <c r="AD28" s="20">
        <v>23</v>
      </c>
      <c r="AE28" s="20">
        <v>126</v>
      </c>
      <c r="AF28" s="21">
        <v>30</v>
      </c>
      <c r="AG28">
        <f t="shared" si="3"/>
        <v>-1</v>
      </c>
    </row>
    <row r="29" spans="1:33">
      <c r="A29" s="2" t="s">
        <v>26</v>
      </c>
      <c r="B29" s="1">
        <v>80</v>
      </c>
      <c r="C29" s="1">
        <v>31</v>
      </c>
      <c r="D29" s="1">
        <v>0</v>
      </c>
      <c r="E29" s="1">
        <v>0</v>
      </c>
      <c r="F29" s="1">
        <v>0</v>
      </c>
      <c r="G29" s="1"/>
      <c r="H29" s="1">
        <v>0</v>
      </c>
      <c r="I29" s="1">
        <v>0</v>
      </c>
      <c r="J29" s="1">
        <v>0</v>
      </c>
      <c r="K29" s="1"/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/>
      <c r="R29" s="1"/>
      <c r="S29" s="1">
        <v>0</v>
      </c>
      <c r="T29" s="1">
        <v>31</v>
      </c>
      <c r="U29" s="1">
        <v>19</v>
      </c>
      <c r="V29" s="1">
        <v>0</v>
      </c>
      <c r="X29">
        <f t="shared" si="0"/>
        <v>-1</v>
      </c>
      <c r="Y29">
        <f t="shared" si="1"/>
        <v>0</v>
      </c>
      <c r="Z29">
        <f t="shared" si="2"/>
        <v>0</v>
      </c>
      <c r="AB29" s="20">
        <v>80</v>
      </c>
      <c r="AC29" s="20">
        <v>31</v>
      </c>
      <c r="AD29" s="19"/>
      <c r="AE29" s="20">
        <v>31</v>
      </c>
      <c r="AF29" s="21">
        <v>19</v>
      </c>
      <c r="AG29">
        <f t="shared" si="3"/>
        <v>-1</v>
      </c>
    </row>
    <row r="30" spans="1:33">
      <c r="A30" s="2" t="s">
        <v>27</v>
      </c>
      <c r="B30" s="1">
        <v>174</v>
      </c>
      <c r="C30" s="1">
        <v>115</v>
      </c>
      <c r="D30" s="1">
        <v>0</v>
      </c>
      <c r="E30" s="1">
        <v>0</v>
      </c>
      <c r="F30" s="1">
        <v>0</v>
      </c>
      <c r="G30" s="1"/>
      <c r="H30" s="1">
        <v>0</v>
      </c>
      <c r="I30" s="1">
        <v>0</v>
      </c>
      <c r="J30" s="1">
        <v>0</v>
      </c>
      <c r="K30" s="1"/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/>
      <c r="R30" s="1"/>
      <c r="S30" s="1">
        <v>0</v>
      </c>
      <c r="T30" s="1">
        <v>53</v>
      </c>
      <c r="U30" s="1">
        <v>6</v>
      </c>
      <c r="V30" s="1">
        <v>0</v>
      </c>
      <c r="X30">
        <f t="shared" si="0"/>
        <v>0</v>
      </c>
      <c r="Y30">
        <f t="shared" si="1"/>
        <v>0</v>
      </c>
      <c r="Z30">
        <f t="shared" si="2"/>
        <v>0</v>
      </c>
      <c r="AB30" s="20">
        <v>174</v>
      </c>
      <c r="AC30" s="20">
        <v>115</v>
      </c>
      <c r="AD30" s="19"/>
      <c r="AE30" s="20">
        <v>53</v>
      </c>
      <c r="AF30" s="21">
        <v>6</v>
      </c>
      <c r="AG30">
        <f t="shared" si="3"/>
        <v>0</v>
      </c>
    </row>
    <row r="31" spans="1:33">
      <c r="A31" s="2" t="s">
        <v>28</v>
      </c>
      <c r="B31" s="1">
        <v>48</v>
      </c>
      <c r="C31" s="1">
        <v>2</v>
      </c>
      <c r="D31" s="1">
        <v>0</v>
      </c>
      <c r="E31" s="1">
        <v>0</v>
      </c>
      <c r="F31" s="1">
        <v>0</v>
      </c>
      <c r="G31" s="1"/>
      <c r="H31" s="1">
        <v>0</v>
      </c>
      <c r="I31" s="1">
        <v>0</v>
      </c>
      <c r="J31" s="1">
        <v>0</v>
      </c>
      <c r="K31" s="1"/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/>
      <c r="R31" s="1"/>
      <c r="S31" s="1">
        <v>0</v>
      </c>
      <c r="T31" s="1">
        <v>0</v>
      </c>
      <c r="U31" s="1">
        <v>47</v>
      </c>
      <c r="V31" s="1">
        <v>0</v>
      </c>
      <c r="X31">
        <f t="shared" si="0"/>
        <v>-1</v>
      </c>
      <c r="Y31">
        <f t="shared" si="1"/>
        <v>0</v>
      </c>
      <c r="Z31">
        <f t="shared" si="2"/>
        <v>0</v>
      </c>
      <c r="AB31" s="20">
        <v>48</v>
      </c>
      <c r="AC31" s="20">
        <v>2</v>
      </c>
      <c r="AD31" s="19"/>
      <c r="AE31" s="19"/>
      <c r="AF31" s="21">
        <v>47</v>
      </c>
      <c r="AG31">
        <f t="shared" si="3"/>
        <v>-1</v>
      </c>
    </row>
    <row r="32" spans="1:33">
      <c r="A32" s="2" t="s">
        <v>29</v>
      </c>
      <c r="B32" s="1">
        <v>532</v>
      </c>
      <c r="C32" s="1">
        <v>70</v>
      </c>
      <c r="D32" s="1">
        <v>0</v>
      </c>
      <c r="E32" s="1">
        <v>126</v>
      </c>
      <c r="F32" s="1">
        <v>112</v>
      </c>
      <c r="G32" s="1"/>
      <c r="H32" s="1">
        <v>0</v>
      </c>
      <c r="I32" s="1">
        <v>0</v>
      </c>
      <c r="J32" s="1">
        <v>0</v>
      </c>
      <c r="K32" s="1"/>
      <c r="L32" s="1">
        <v>0</v>
      </c>
      <c r="M32" s="1">
        <v>14</v>
      </c>
      <c r="N32" s="1">
        <v>10</v>
      </c>
      <c r="O32" s="1">
        <v>1</v>
      </c>
      <c r="P32" s="1">
        <v>3</v>
      </c>
      <c r="Q32" s="1"/>
      <c r="R32" s="1"/>
      <c r="S32" s="1">
        <v>0</v>
      </c>
      <c r="T32" s="1">
        <v>132</v>
      </c>
      <c r="U32" s="1">
        <v>203</v>
      </c>
      <c r="V32" s="1">
        <v>0</v>
      </c>
      <c r="X32">
        <f t="shared" si="0"/>
        <v>1</v>
      </c>
      <c r="Y32">
        <f t="shared" si="1"/>
        <v>0</v>
      </c>
      <c r="Z32">
        <f t="shared" si="2"/>
        <v>0</v>
      </c>
      <c r="AB32" s="20">
        <v>532</v>
      </c>
      <c r="AC32" s="20">
        <v>70</v>
      </c>
      <c r="AD32" s="20">
        <v>126</v>
      </c>
      <c r="AE32" s="20">
        <v>132</v>
      </c>
      <c r="AF32" s="21">
        <v>203</v>
      </c>
      <c r="AG32">
        <f t="shared" si="3"/>
        <v>1</v>
      </c>
    </row>
    <row r="33" spans="1:33">
      <c r="A33" s="2" t="s">
        <v>30</v>
      </c>
      <c r="B33" s="1">
        <v>227</v>
      </c>
      <c r="C33" s="1">
        <v>7</v>
      </c>
      <c r="D33" s="1">
        <v>0</v>
      </c>
      <c r="E33" s="1">
        <v>112</v>
      </c>
      <c r="F33" s="1">
        <v>104</v>
      </c>
      <c r="G33" s="1"/>
      <c r="H33" s="1">
        <v>0</v>
      </c>
      <c r="I33" s="1">
        <v>0</v>
      </c>
      <c r="J33" s="1">
        <v>0</v>
      </c>
      <c r="K33" s="1"/>
      <c r="L33" s="1">
        <v>0</v>
      </c>
      <c r="M33" s="1">
        <v>9</v>
      </c>
      <c r="N33" s="1">
        <v>8</v>
      </c>
      <c r="O33" s="1">
        <v>1</v>
      </c>
      <c r="P33" s="1">
        <v>0</v>
      </c>
      <c r="Q33" s="1"/>
      <c r="R33" s="1"/>
      <c r="S33" s="1">
        <v>0</v>
      </c>
      <c r="T33" s="1">
        <v>5</v>
      </c>
      <c r="U33" s="1">
        <v>102</v>
      </c>
      <c r="V33" s="1">
        <v>0</v>
      </c>
      <c r="X33">
        <f t="shared" si="0"/>
        <v>1</v>
      </c>
      <c r="Y33">
        <f t="shared" si="1"/>
        <v>-1</v>
      </c>
      <c r="Z33">
        <f t="shared" si="2"/>
        <v>0</v>
      </c>
      <c r="AB33" s="20">
        <v>227</v>
      </c>
      <c r="AC33" s="20">
        <v>7</v>
      </c>
      <c r="AD33" s="20">
        <v>112</v>
      </c>
      <c r="AE33" s="20">
        <v>5</v>
      </c>
      <c r="AF33" s="21">
        <v>102</v>
      </c>
      <c r="AG33">
        <f t="shared" si="3"/>
        <v>1</v>
      </c>
    </row>
    <row r="34" spans="1:33">
      <c r="A34" s="2" t="s">
        <v>31</v>
      </c>
      <c r="B34" s="1">
        <v>226</v>
      </c>
      <c r="C34" s="1">
        <v>4</v>
      </c>
      <c r="D34" s="1">
        <v>0</v>
      </c>
      <c r="E34" s="1">
        <v>27</v>
      </c>
      <c r="F34" s="1">
        <v>27</v>
      </c>
      <c r="G34" s="1"/>
      <c r="H34" s="1">
        <v>0</v>
      </c>
      <c r="I34" s="1">
        <v>0</v>
      </c>
      <c r="J34" s="1">
        <v>0</v>
      </c>
      <c r="K34" s="1"/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/>
      <c r="R34" s="1"/>
      <c r="S34" s="1">
        <v>0</v>
      </c>
      <c r="T34" s="1">
        <v>110</v>
      </c>
      <c r="U34" s="1">
        <v>85</v>
      </c>
      <c r="V34" s="1">
        <v>0</v>
      </c>
      <c r="X34">
        <f t="shared" si="0"/>
        <v>0</v>
      </c>
      <c r="Y34">
        <f t="shared" si="1"/>
        <v>0</v>
      </c>
      <c r="Z34">
        <f t="shared" si="2"/>
        <v>0</v>
      </c>
      <c r="AB34" s="20">
        <v>226</v>
      </c>
      <c r="AC34" s="20">
        <v>4</v>
      </c>
      <c r="AD34" s="20">
        <v>27</v>
      </c>
      <c r="AE34" s="20">
        <v>110</v>
      </c>
      <c r="AF34" s="21">
        <v>85</v>
      </c>
      <c r="AG34">
        <f t="shared" si="3"/>
        <v>0</v>
      </c>
    </row>
    <row r="35" spans="1:33">
      <c r="A35" s="2" t="s">
        <v>32</v>
      </c>
      <c r="B35" s="1">
        <v>525</v>
      </c>
      <c r="C35" s="1">
        <v>0</v>
      </c>
      <c r="D35" s="1">
        <v>0</v>
      </c>
      <c r="E35" s="1">
        <v>432</v>
      </c>
      <c r="F35" s="1">
        <v>431</v>
      </c>
      <c r="G35" s="1"/>
      <c r="H35" s="1">
        <v>0</v>
      </c>
      <c r="I35" s="1">
        <v>0</v>
      </c>
      <c r="J35" s="1">
        <v>0</v>
      </c>
      <c r="K35" s="1"/>
      <c r="L35" s="1">
        <v>0</v>
      </c>
      <c r="M35" s="1">
        <v>1</v>
      </c>
      <c r="N35" s="1">
        <v>1</v>
      </c>
      <c r="O35" s="1">
        <v>0</v>
      </c>
      <c r="P35" s="1">
        <v>0</v>
      </c>
      <c r="Q35" s="1"/>
      <c r="R35" s="1"/>
      <c r="S35" s="1">
        <v>0</v>
      </c>
      <c r="T35" s="1">
        <v>0</v>
      </c>
      <c r="U35" s="1">
        <v>93</v>
      </c>
      <c r="V35" s="1">
        <v>0</v>
      </c>
      <c r="X35">
        <f t="shared" si="0"/>
        <v>0</v>
      </c>
      <c r="Y35">
        <f t="shared" si="1"/>
        <v>0</v>
      </c>
      <c r="Z35">
        <f t="shared" si="2"/>
        <v>0</v>
      </c>
      <c r="AB35" s="20">
        <v>525</v>
      </c>
      <c r="AC35" s="19"/>
      <c r="AD35" s="20">
        <v>432</v>
      </c>
      <c r="AE35" s="19"/>
      <c r="AF35" s="21">
        <v>93</v>
      </c>
      <c r="AG35">
        <f t="shared" si="3"/>
        <v>0</v>
      </c>
    </row>
    <row r="36" spans="1:33" ht="13.5" customHeight="1">
      <c r="A36" s="2" t="s">
        <v>33</v>
      </c>
      <c r="B36" s="1">
        <v>560</v>
      </c>
      <c r="C36" s="1">
        <v>47</v>
      </c>
      <c r="D36" s="1">
        <v>0</v>
      </c>
      <c r="E36" s="1">
        <v>462</v>
      </c>
      <c r="F36" s="1">
        <v>447</v>
      </c>
      <c r="G36" s="1"/>
      <c r="H36" s="1">
        <v>0</v>
      </c>
      <c r="I36" s="1">
        <v>12</v>
      </c>
      <c r="J36" s="1">
        <v>12</v>
      </c>
      <c r="K36" s="1"/>
      <c r="L36" s="1">
        <v>0</v>
      </c>
      <c r="M36" s="1">
        <v>3</v>
      </c>
      <c r="N36" s="1">
        <v>3</v>
      </c>
      <c r="O36" s="1">
        <v>0</v>
      </c>
      <c r="P36" s="1">
        <v>0</v>
      </c>
      <c r="Q36" s="1"/>
      <c r="R36" s="1"/>
      <c r="S36" s="1">
        <v>0</v>
      </c>
      <c r="T36" s="1">
        <v>30</v>
      </c>
      <c r="U36" s="1">
        <v>21</v>
      </c>
      <c r="V36" s="1">
        <v>0</v>
      </c>
      <c r="X36">
        <f t="shared" si="0"/>
        <v>0</v>
      </c>
      <c r="Y36">
        <f t="shared" si="1"/>
        <v>0</v>
      </c>
      <c r="Z36">
        <f t="shared" si="2"/>
        <v>0</v>
      </c>
      <c r="AB36" s="14">
        <v>560</v>
      </c>
      <c r="AC36" s="14">
        <v>47</v>
      </c>
      <c r="AD36" s="14">
        <v>462</v>
      </c>
      <c r="AE36" s="14">
        <v>30</v>
      </c>
      <c r="AF36" s="22">
        <v>21</v>
      </c>
      <c r="AG36">
        <f t="shared" si="3"/>
        <v>0</v>
      </c>
    </row>
    <row r="38" spans="1:33">
      <c r="B38">
        <f>B5-SUM(B6:B36)</f>
        <v>-3</v>
      </c>
      <c r="C38">
        <f t="shared" ref="C38:V38" si="4">C5-SUM(C6:C36)</f>
        <v>-0.20000000000004547</v>
      </c>
      <c r="D38">
        <f t="shared" si="4"/>
        <v>0</v>
      </c>
      <c r="E38">
        <f t="shared" si="4"/>
        <v>0.6000000000003638</v>
      </c>
      <c r="F38">
        <f t="shared" si="4"/>
        <v>-2</v>
      </c>
      <c r="H38">
        <f t="shared" si="4"/>
        <v>0</v>
      </c>
      <c r="I38">
        <f t="shared" si="4"/>
        <v>0.59999999999990905</v>
      </c>
      <c r="J38">
        <f t="shared" si="4"/>
        <v>0.59999999999990905</v>
      </c>
      <c r="L38">
        <f t="shared" si="4"/>
        <v>0</v>
      </c>
      <c r="M38">
        <f t="shared" si="4"/>
        <v>0</v>
      </c>
      <c r="N38">
        <f t="shared" si="4"/>
        <v>2</v>
      </c>
      <c r="O38">
        <f t="shared" si="4"/>
        <v>-2</v>
      </c>
      <c r="P38">
        <f t="shared" si="4"/>
        <v>0</v>
      </c>
      <c r="S38">
        <f t="shared" si="4"/>
        <v>0</v>
      </c>
      <c r="T38">
        <f t="shared" si="4"/>
        <v>-1</v>
      </c>
      <c r="U38">
        <f t="shared" si="4"/>
        <v>-1</v>
      </c>
      <c r="V38">
        <f t="shared" si="4"/>
        <v>0</v>
      </c>
    </row>
  </sheetData>
  <mergeCells count="16">
    <mergeCell ref="E2:R2"/>
    <mergeCell ref="I3:K3"/>
    <mergeCell ref="M3:R3"/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D3:D4"/>
    <mergeCell ref="E3:E4"/>
    <mergeCell ref="F3:H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123E-60BD-4125-8FF7-61A6129CD546}">
  <dimension ref="A1:AG38"/>
  <sheetViews>
    <sheetView workbookViewId="0">
      <selection activeCell="F5" sqref="F5:F36"/>
    </sheetView>
  </sheetViews>
  <sheetFormatPr defaultRowHeight="12.75"/>
  <cols>
    <col min="1" max="22" width="7.5703125" customWidth="1"/>
  </cols>
  <sheetData>
    <row r="1" spans="1:33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33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33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AB3" s="24" t="s">
        <v>60</v>
      </c>
      <c r="AC3" s="24" t="s">
        <v>55</v>
      </c>
      <c r="AD3" s="24" t="s">
        <v>56</v>
      </c>
      <c r="AE3" s="24" t="s">
        <v>57</v>
      </c>
      <c r="AF3" s="24" t="s">
        <v>58</v>
      </c>
    </row>
    <row r="4" spans="1:33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  <c r="AB4" s="2" t="s">
        <v>51</v>
      </c>
      <c r="AC4" s="2" t="s">
        <v>51</v>
      </c>
      <c r="AD4" s="2" t="s">
        <v>51</v>
      </c>
      <c r="AE4" s="2" t="s">
        <v>51</v>
      </c>
      <c r="AF4" s="2" t="s">
        <v>51</v>
      </c>
    </row>
    <row r="5" spans="1:33">
      <c r="A5" s="4" t="s">
        <v>5</v>
      </c>
      <c r="B5" s="1">
        <v>12785</v>
      </c>
      <c r="C5" s="1">
        <v>859</v>
      </c>
      <c r="D5" s="1">
        <v>130</v>
      </c>
      <c r="E5" s="1">
        <v>4380</v>
      </c>
      <c r="F5" s="1">
        <v>3056</v>
      </c>
      <c r="G5" s="1"/>
      <c r="H5" s="1"/>
      <c r="I5" s="1">
        <v>884</v>
      </c>
      <c r="J5" s="1">
        <v>881</v>
      </c>
      <c r="K5" s="1"/>
      <c r="L5" s="1"/>
      <c r="M5" s="1">
        <v>440</v>
      </c>
      <c r="N5" s="1">
        <v>198</v>
      </c>
      <c r="O5" s="1">
        <v>148</v>
      </c>
      <c r="P5" s="1">
        <v>94</v>
      </c>
      <c r="Q5" s="1"/>
      <c r="R5" s="1"/>
      <c r="S5" s="1">
        <v>884</v>
      </c>
      <c r="T5" s="1">
        <v>2127</v>
      </c>
      <c r="U5" s="1">
        <v>4525</v>
      </c>
      <c r="V5" s="1">
        <v>10</v>
      </c>
      <c r="X5">
        <f t="shared" ref="X5:X36" si="0">B5-C5-E5-S5-T5-U5-V5</f>
        <v>0</v>
      </c>
      <c r="Y5">
        <f t="shared" ref="Y5:Y36" si="1">E5-F5-I5-L5-M5</f>
        <v>0</v>
      </c>
      <c r="Z5">
        <f>M5-N5-O5-P5</f>
        <v>0</v>
      </c>
      <c r="AB5" s="15">
        <v>12785</v>
      </c>
      <c r="AC5" s="16">
        <v>859</v>
      </c>
      <c r="AD5" s="16">
        <v>4380</v>
      </c>
      <c r="AE5" s="16">
        <v>2127</v>
      </c>
      <c r="AF5" s="17">
        <v>4525</v>
      </c>
      <c r="AG5">
        <f>AB5-AC5-AD5-AE5-AF5</f>
        <v>894</v>
      </c>
    </row>
    <row r="6" spans="1:33">
      <c r="A6" s="2" t="s">
        <v>6</v>
      </c>
      <c r="B6" s="1">
        <v>56</v>
      </c>
      <c r="C6" s="1"/>
      <c r="D6" s="1"/>
      <c r="E6" s="1">
        <v>41</v>
      </c>
      <c r="F6" s="1"/>
      <c r="G6" s="1"/>
      <c r="H6" s="1"/>
      <c r="I6" s="1">
        <v>34</v>
      </c>
      <c r="J6" s="1">
        <v>34</v>
      </c>
      <c r="K6" s="1"/>
      <c r="L6" s="1"/>
      <c r="M6" s="1">
        <v>7</v>
      </c>
      <c r="N6" s="1"/>
      <c r="O6" s="1">
        <v>7</v>
      </c>
      <c r="P6" s="1"/>
      <c r="Q6" s="1"/>
      <c r="R6" s="1"/>
      <c r="S6" s="1"/>
      <c r="T6" s="1"/>
      <c r="U6" s="1">
        <v>15</v>
      </c>
      <c r="V6" s="1"/>
      <c r="X6">
        <f t="shared" si="0"/>
        <v>0</v>
      </c>
      <c r="Y6">
        <f t="shared" si="1"/>
        <v>0</v>
      </c>
      <c r="Z6">
        <f t="shared" ref="Z6:Z36" si="2">M6-N6-O6-P6</f>
        <v>0</v>
      </c>
      <c r="AB6" s="18">
        <v>56</v>
      </c>
      <c r="AC6" s="19"/>
      <c r="AD6" s="20">
        <v>41</v>
      </c>
      <c r="AE6" s="19"/>
      <c r="AF6" s="21">
        <v>15</v>
      </c>
      <c r="AG6">
        <f t="shared" ref="AG6:AG36" si="3">AB6-AC6-AD6-AE6-AF6</f>
        <v>0</v>
      </c>
    </row>
    <row r="7" spans="1:33">
      <c r="A7" s="2" t="s">
        <v>7</v>
      </c>
      <c r="B7" s="1">
        <v>319</v>
      </c>
      <c r="C7" s="1"/>
      <c r="D7" s="1"/>
      <c r="E7" s="1">
        <v>229</v>
      </c>
      <c r="F7" s="1">
        <v>200</v>
      </c>
      <c r="G7" s="1"/>
      <c r="H7" s="1"/>
      <c r="I7" s="1">
        <v>25</v>
      </c>
      <c r="J7" s="1">
        <v>25</v>
      </c>
      <c r="K7" s="1"/>
      <c r="L7" s="1"/>
      <c r="M7" s="1">
        <v>4</v>
      </c>
      <c r="N7" s="1"/>
      <c r="O7" s="1"/>
      <c r="P7" s="1">
        <v>4</v>
      </c>
      <c r="Q7" s="1"/>
      <c r="R7" s="1"/>
      <c r="S7" s="1"/>
      <c r="T7" s="1">
        <v>28</v>
      </c>
      <c r="U7" s="1">
        <v>61</v>
      </c>
      <c r="V7" s="1"/>
      <c r="X7">
        <f t="shared" si="0"/>
        <v>1</v>
      </c>
      <c r="Y7">
        <f t="shared" si="1"/>
        <v>0</v>
      </c>
      <c r="Z7">
        <f t="shared" si="2"/>
        <v>0</v>
      </c>
      <c r="AB7" s="18">
        <v>319</v>
      </c>
      <c r="AC7" s="19"/>
      <c r="AD7" s="20">
        <v>229</v>
      </c>
      <c r="AE7" s="20">
        <v>28</v>
      </c>
      <c r="AF7" s="21">
        <v>61</v>
      </c>
      <c r="AG7">
        <f t="shared" si="3"/>
        <v>1</v>
      </c>
    </row>
    <row r="8" spans="1:33">
      <c r="A8" s="2" t="s">
        <v>8</v>
      </c>
      <c r="B8" s="1">
        <v>840</v>
      </c>
      <c r="C8" s="1"/>
      <c r="D8" s="1"/>
      <c r="E8" s="1">
        <v>205</v>
      </c>
      <c r="F8" s="1">
        <v>178</v>
      </c>
      <c r="G8" s="1"/>
      <c r="H8" s="1"/>
      <c r="I8" s="1"/>
      <c r="J8" s="1"/>
      <c r="K8" s="1"/>
      <c r="L8" s="1"/>
      <c r="M8" s="1">
        <v>27</v>
      </c>
      <c r="N8" s="1">
        <v>22</v>
      </c>
      <c r="O8" s="1">
        <v>2</v>
      </c>
      <c r="P8" s="1">
        <v>3</v>
      </c>
      <c r="Q8" s="1"/>
      <c r="R8" s="1"/>
      <c r="S8" s="1"/>
      <c r="T8" s="1">
        <v>246</v>
      </c>
      <c r="U8" s="1">
        <v>389</v>
      </c>
      <c r="V8" s="1"/>
      <c r="X8">
        <f t="shared" si="0"/>
        <v>0</v>
      </c>
      <c r="Y8">
        <f t="shared" si="1"/>
        <v>0</v>
      </c>
      <c r="Z8">
        <f t="shared" si="2"/>
        <v>0</v>
      </c>
      <c r="AB8" s="18">
        <v>840</v>
      </c>
      <c r="AC8" s="19"/>
      <c r="AD8" s="20">
        <v>205</v>
      </c>
      <c r="AE8" s="20">
        <v>246</v>
      </c>
      <c r="AF8" s="21">
        <v>389</v>
      </c>
      <c r="AG8">
        <f t="shared" si="3"/>
        <v>0</v>
      </c>
    </row>
    <row r="9" spans="1:33">
      <c r="A9" s="2" t="s">
        <v>9</v>
      </c>
      <c r="B9" s="1">
        <v>822</v>
      </c>
      <c r="C9" s="1"/>
      <c r="D9" s="1"/>
      <c r="E9" s="1">
        <v>297</v>
      </c>
      <c r="F9" s="1">
        <v>280</v>
      </c>
      <c r="G9" s="1"/>
      <c r="H9" s="1"/>
      <c r="I9" s="1">
        <v>6</v>
      </c>
      <c r="J9" s="1">
        <v>6</v>
      </c>
      <c r="K9" s="1"/>
      <c r="L9" s="1"/>
      <c r="M9" s="1">
        <v>11</v>
      </c>
      <c r="N9" s="1">
        <v>11</v>
      </c>
      <c r="O9" s="1"/>
      <c r="P9" s="1"/>
      <c r="Q9" s="1"/>
      <c r="R9" s="1"/>
      <c r="S9" s="1"/>
      <c r="T9" s="1">
        <v>196</v>
      </c>
      <c r="U9" s="1">
        <v>329</v>
      </c>
      <c r="V9" s="1"/>
      <c r="X9">
        <f t="shared" si="0"/>
        <v>0</v>
      </c>
      <c r="Y9">
        <f t="shared" si="1"/>
        <v>0</v>
      </c>
      <c r="Z9">
        <f t="shared" si="2"/>
        <v>0</v>
      </c>
      <c r="AB9" s="18">
        <v>822</v>
      </c>
      <c r="AC9" s="19"/>
      <c r="AD9" s="20">
        <v>297</v>
      </c>
      <c r="AE9" s="20">
        <v>196</v>
      </c>
      <c r="AF9" s="21">
        <v>329</v>
      </c>
      <c r="AG9">
        <f t="shared" si="3"/>
        <v>0</v>
      </c>
    </row>
    <row r="10" spans="1:33">
      <c r="A10" s="2" t="s">
        <v>2</v>
      </c>
      <c r="B10" s="1">
        <v>413</v>
      </c>
      <c r="C10" s="1"/>
      <c r="D10" s="1"/>
      <c r="E10" s="1">
        <v>67</v>
      </c>
      <c r="F10" s="1">
        <v>66</v>
      </c>
      <c r="G10" s="1"/>
      <c r="H10" s="1"/>
      <c r="I10" s="1"/>
      <c r="J10" s="1"/>
      <c r="K10" s="1"/>
      <c r="L10" s="1"/>
      <c r="M10" s="1">
        <v>1</v>
      </c>
      <c r="N10" s="1">
        <v>1</v>
      </c>
      <c r="O10" s="1"/>
      <c r="P10" s="1"/>
      <c r="Q10" s="1"/>
      <c r="R10" s="1"/>
      <c r="S10" s="1"/>
      <c r="T10" s="1">
        <v>215</v>
      </c>
      <c r="U10" s="1">
        <v>132</v>
      </c>
      <c r="V10" s="1"/>
      <c r="X10">
        <f t="shared" si="0"/>
        <v>-1</v>
      </c>
      <c r="Y10">
        <f t="shared" si="1"/>
        <v>0</v>
      </c>
      <c r="Z10">
        <f t="shared" si="2"/>
        <v>0</v>
      </c>
      <c r="AB10" s="18">
        <v>413</v>
      </c>
      <c r="AC10" s="19"/>
      <c r="AD10" s="20">
        <v>67</v>
      </c>
      <c r="AE10" s="20">
        <v>215</v>
      </c>
      <c r="AF10" s="21">
        <v>132</v>
      </c>
      <c r="AG10">
        <f t="shared" si="3"/>
        <v>-1</v>
      </c>
    </row>
    <row r="11" spans="1:33">
      <c r="A11" s="2" t="s">
        <v>10</v>
      </c>
      <c r="B11" s="1">
        <v>193</v>
      </c>
      <c r="C11" s="1"/>
      <c r="D11" s="1"/>
      <c r="E11" s="1">
        <v>105</v>
      </c>
      <c r="F11" s="1">
        <v>105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50</v>
      </c>
      <c r="U11" s="1">
        <v>37</v>
      </c>
      <c r="V11" s="1"/>
      <c r="X11">
        <f t="shared" si="0"/>
        <v>1</v>
      </c>
      <c r="Y11">
        <f t="shared" si="1"/>
        <v>0</v>
      </c>
      <c r="Z11">
        <f t="shared" si="2"/>
        <v>0</v>
      </c>
      <c r="AB11" s="18">
        <v>193</v>
      </c>
      <c r="AC11" s="19"/>
      <c r="AD11" s="20">
        <v>105</v>
      </c>
      <c r="AE11" s="20">
        <v>50</v>
      </c>
      <c r="AF11" s="21">
        <v>37</v>
      </c>
      <c r="AG11">
        <f t="shared" si="3"/>
        <v>1</v>
      </c>
    </row>
    <row r="12" spans="1:33">
      <c r="A12" s="2" t="s">
        <v>3</v>
      </c>
      <c r="B12" s="1">
        <v>189</v>
      </c>
      <c r="C12" s="1"/>
      <c r="D12" s="1"/>
      <c r="E12" s="1">
        <v>51</v>
      </c>
      <c r="F12" s="1">
        <v>51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9</v>
      </c>
      <c r="U12" s="1">
        <v>129</v>
      </c>
      <c r="V12" s="1"/>
      <c r="X12">
        <f t="shared" si="0"/>
        <v>0</v>
      </c>
      <c r="Y12">
        <f t="shared" si="1"/>
        <v>0</v>
      </c>
      <c r="Z12">
        <f t="shared" si="2"/>
        <v>0</v>
      </c>
      <c r="AB12" s="18">
        <v>189</v>
      </c>
      <c r="AC12" s="19"/>
      <c r="AD12" s="20">
        <v>51</v>
      </c>
      <c r="AE12" s="20">
        <v>9</v>
      </c>
      <c r="AF12" s="21">
        <v>129</v>
      </c>
      <c r="AG12">
        <f t="shared" si="3"/>
        <v>0</v>
      </c>
    </row>
    <row r="13" spans="1:33">
      <c r="A13" s="2" t="s">
        <v>4</v>
      </c>
      <c r="B13" s="1">
        <v>213</v>
      </c>
      <c r="C13" s="1">
        <v>3</v>
      </c>
      <c r="D13" s="1"/>
      <c r="E13" s="1">
        <v>36</v>
      </c>
      <c r="F13" s="1">
        <v>28</v>
      </c>
      <c r="G13" s="1"/>
      <c r="H13" s="1"/>
      <c r="I13" s="1"/>
      <c r="J13" s="1"/>
      <c r="K13" s="1"/>
      <c r="L13" s="1"/>
      <c r="M13" s="1">
        <v>8</v>
      </c>
      <c r="N13" s="1">
        <v>0.03</v>
      </c>
      <c r="O13" s="1">
        <v>3</v>
      </c>
      <c r="P13" s="1">
        <v>5</v>
      </c>
      <c r="Q13" s="1"/>
      <c r="R13" s="1"/>
      <c r="S13" s="1"/>
      <c r="T13" s="1">
        <v>31</v>
      </c>
      <c r="U13" s="1">
        <v>143</v>
      </c>
      <c r="V13" s="1"/>
      <c r="X13">
        <f t="shared" si="0"/>
        <v>0</v>
      </c>
      <c r="Y13">
        <f t="shared" si="1"/>
        <v>0</v>
      </c>
      <c r="Z13">
        <f t="shared" si="2"/>
        <v>-3.0000000000000249E-2</v>
      </c>
      <c r="AB13" s="18">
        <v>213</v>
      </c>
      <c r="AC13" s="20">
        <v>3</v>
      </c>
      <c r="AD13" s="20">
        <v>36</v>
      </c>
      <c r="AE13" s="20">
        <v>31</v>
      </c>
      <c r="AF13" s="21">
        <v>143</v>
      </c>
      <c r="AG13">
        <f t="shared" si="3"/>
        <v>0</v>
      </c>
    </row>
    <row r="14" spans="1:33">
      <c r="A14" s="2" t="s">
        <v>11</v>
      </c>
      <c r="B14" s="1">
        <v>128</v>
      </c>
      <c r="C14" s="1"/>
      <c r="D14" s="1"/>
      <c r="E14" s="1">
        <v>96</v>
      </c>
      <c r="F14" s="1">
        <v>1</v>
      </c>
      <c r="G14" s="1"/>
      <c r="H14" s="1"/>
      <c r="I14" s="1">
        <v>88</v>
      </c>
      <c r="J14" s="1">
        <v>88</v>
      </c>
      <c r="K14" s="1"/>
      <c r="L14" s="1"/>
      <c r="M14" s="1">
        <v>7</v>
      </c>
      <c r="N14" s="1">
        <v>7</v>
      </c>
      <c r="O14" s="1"/>
      <c r="P14" s="1"/>
      <c r="Q14" s="1"/>
      <c r="R14" s="1"/>
      <c r="S14" s="1"/>
      <c r="T14" s="1"/>
      <c r="U14" s="1">
        <v>32</v>
      </c>
      <c r="V14" s="1"/>
      <c r="X14">
        <f t="shared" si="0"/>
        <v>0</v>
      </c>
      <c r="Y14">
        <f t="shared" si="1"/>
        <v>0</v>
      </c>
      <c r="Z14">
        <f t="shared" si="2"/>
        <v>0</v>
      </c>
      <c r="AB14" s="18">
        <v>128</v>
      </c>
      <c r="AC14" s="19"/>
      <c r="AD14" s="20">
        <v>96</v>
      </c>
      <c r="AE14" s="19"/>
      <c r="AF14" s="21">
        <v>32</v>
      </c>
      <c r="AG14">
        <f t="shared" si="3"/>
        <v>0</v>
      </c>
    </row>
    <row r="15" spans="1:33">
      <c r="A15" s="2" t="s">
        <v>12</v>
      </c>
      <c r="B15" s="1">
        <v>1258</v>
      </c>
      <c r="C15" s="1">
        <v>0.01</v>
      </c>
      <c r="D15" s="1"/>
      <c r="E15" s="1">
        <v>374</v>
      </c>
      <c r="F15" s="1">
        <v>131</v>
      </c>
      <c r="G15" s="1"/>
      <c r="H15" s="1"/>
      <c r="I15" s="1">
        <v>214</v>
      </c>
      <c r="J15" s="1">
        <v>214</v>
      </c>
      <c r="K15" s="1"/>
      <c r="L15" s="1"/>
      <c r="M15" s="1">
        <v>28</v>
      </c>
      <c r="N15" s="1">
        <v>13</v>
      </c>
      <c r="O15" s="1">
        <v>12</v>
      </c>
      <c r="P15" s="1">
        <v>3</v>
      </c>
      <c r="Q15" s="1"/>
      <c r="R15" s="1"/>
      <c r="S15" s="1">
        <v>225</v>
      </c>
      <c r="T15" s="1">
        <v>197</v>
      </c>
      <c r="U15" s="1">
        <v>452</v>
      </c>
      <c r="V15" s="1">
        <v>10</v>
      </c>
      <c r="X15">
        <f t="shared" si="0"/>
        <v>-9.9999999999909051E-3</v>
      </c>
      <c r="Y15">
        <f t="shared" si="1"/>
        <v>1</v>
      </c>
      <c r="Z15">
        <f t="shared" si="2"/>
        <v>0</v>
      </c>
      <c r="AB15" s="18">
        <v>1258</v>
      </c>
      <c r="AC15" s="19"/>
      <c r="AD15" s="20">
        <v>374</v>
      </c>
      <c r="AE15" s="20">
        <v>197</v>
      </c>
      <c r="AF15" s="21">
        <v>452</v>
      </c>
      <c r="AG15">
        <f t="shared" si="3"/>
        <v>235</v>
      </c>
    </row>
    <row r="16" spans="1:33">
      <c r="A16" s="2" t="s">
        <v>13</v>
      </c>
      <c r="B16" s="1">
        <v>859</v>
      </c>
      <c r="C16" s="1">
        <v>7</v>
      </c>
      <c r="D16" s="1"/>
      <c r="E16" s="1">
        <v>163</v>
      </c>
      <c r="F16" s="1">
        <v>79</v>
      </c>
      <c r="G16" s="1"/>
      <c r="H16" s="1"/>
      <c r="I16" s="1">
        <v>24</v>
      </c>
      <c r="J16" s="1">
        <v>24</v>
      </c>
      <c r="K16" s="1"/>
      <c r="L16" s="1"/>
      <c r="M16" s="1">
        <v>59</v>
      </c>
      <c r="N16" s="1">
        <v>26</v>
      </c>
      <c r="O16" s="1">
        <v>31</v>
      </c>
      <c r="P16" s="1">
        <v>2</v>
      </c>
      <c r="Q16" s="1"/>
      <c r="R16" s="1"/>
      <c r="S16" s="1">
        <v>250</v>
      </c>
      <c r="T16" s="1">
        <v>26</v>
      </c>
      <c r="U16" s="1">
        <v>412</v>
      </c>
      <c r="V16" s="1"/>
      <c r="X16">
        <f t="shared" si="0"/>
        <v>1</v>
      </c>
      <c r="Y16">
        <f t="shared" si="1"/>
        <v>1</v>
      </c>
      <c r="Z16">
        <f t="shared" si="2"/>
        <v>0</v>
      </c>
      <c r="AB16" s="18">
        <v>859</v>
      </c>
      <c r="AC16" s="20">
        <v>7</v>
      </c>
      <c r="AD16" s="20">
        <v>163</v>
      </c>
      <c r="AE16" s="20">
        <v>26</v>
      </c>
      <c r="AF16" s="21">
        <v>412</v>
      </c>
      <c r="AG16">
        <f t="shared" si="3"/>
        <v>251</v>
      </c>
    </row>
    <row r="17" spans="1:33">
      <c r="A17" s="2" t="s">
        <v>14</v>
      </c>
      <c r="B17" s="1">
        <v>724</v>
      </c>
      <c r="C17" s="1">
        <v>2</v>
      </c>
      <c r="D17" s="1"/>
      <c r="E17" s="1">
        <v>353</v>
      </c>
      <c r="F17" s="1">
        <v>302</v>
      </c>
      <c r="G17" s="1"/>
      <c r="H17" s="1"/>
      <c r="I17" s="1">
        <v>1</v>
      </c>
      <c r="J17" s="1"/>
      <c r="K17" s="1"/>
      <c r="L17" s="1"/>
      <c r="M17" s="1">
        <v>50</v>
      </c>
      <c r="N17" s="1">
        <v>2</v>
      </c>
      <c r="O17" s="1">
        <v>11</v>
      </c>
      <c r="P17" s="1">
        <v>37</v>
      </c>
      <c r="Q17" s="1"/>
      <c r="R17" s="1"/>
      <c r="S17" s="1"/>
      <c r="T17" s="1">
        <v>24</v>
      </c>
      <c r="U17" s="1">
        <v>345</v>
      </c>
      <c r="V17" s="1"/>
      <c r="X17">
        <f t="shared" si="0"/>
        <v>0</v>
      </c>
      <c r="Y17">
        <f t="shared" si="1"/>
        <v>0</v>
      </c>
      <c r="Z17">
        <f t="shared" si="2"/>
        <v>0</v>
      </c>
      <c r="AB17" s="18">
        <v>724</v>
      </c>
      <c r="AC17" s="20">
        <v>2</v>
      </c>
      <c r="AD17" s="20">
        <v>353</v>
      </c>
      <c r="AE17" s="20">
        <v>24</v>
      </c>
      <c r="AF17" s="21">
        <v>345</v>
      </c>
      <c r="AG17">
        <f t="shared" si="3"/>
        <v>0</v>
      </c>
    </row>
    <row r="18" spans="1:33">
      <c r="A18" s="2" t="s">
        <v>15</v>
      </c>
      <c r="B18" s="1">
        <v>210</v>
      </c>
      <c r="C18" s="1">
        <v>22</v>
      </c>
      <c r="D18" s="1"/>
      <c r="E18" s="1">
        <v>74</v>
      </c>
      <c r="F18" s="1">
        <v>49</v>
      </c>
      <c r="G18" s="1"/>
      <c r="H18" s="1"/>
      <c r="I18" s="1"/>
      <c r="J18" s="1"/>
      <c r="K18" s="1"/>
      <c r="L18" s="1"/>
      <c r="M18" s="1">
        <v>25</v>
      </c>
      <c r="N18" s="1">
        <v>20</v>
      </c>
      <c r="O18" s="1">
        <v>5</v>
      </c>
      <c r="P18" s="1"/>
      <c r="Q18" s="1"/>
      <c r="R18" s="1"/>
      <c r="S18" s="1"/>
      <c r="T18" s="1">
        <v>56</v>
      </c>
      <c r="U18" s="1">
        <v>58</v>
      </c>
      <c r="V18" s="1"/>
      <c r="X18">
        <f t="shared" si="0"/>
        <v>0</v>
      </c>
      <c r="Y18">
        <f t="shared" si="1"/>
        <v>0</v>
      </c>
      <c r="Z18">
        <f t="shared" si="2"/>
        <v>0</v>
      </c>
      <c r="AB18" s="18">
        <v>210</v>
      </c>
      <c r="AC18" s="20">
        <v>22</v>
      </c>
      <c r="AD18" s="20">
        <v>74</v>
      </c>
      <c r="AE18" s="20">
        <v>56</v>
      </c>
      <c r="AF18" s="21">
        <v>58</v>
      </c>
      <c r="AG18">
        <f t="shared" si="3"/>
        <v>0</v>
      </c>
    </row>
    <row r="19" spans="1:33">
      <c r="A19" s="2" t="s">
        <v>16</v>
      </c>
      <c r="B19" s="1">
        <v>402</v>
      </c>
      <c r="C19" s="1">
        <v>16</v>
      </c>
      <c r="D19" s="1"/>
      <c r="E19" s="1">
        <v>205</v>
      </c>
      <c r="F19" s="1">
        <v>200</v>
      </c>
      <c r="G19" s="1"/>
      <c r="H19" s="1"/>
      <c r="I19" s="1"/>
      <c r="J19" s="1"/>
      <c r="K19" s="1"/>
      <c r="L19" s="1"/>
      <c r="M19" s="1">
        <v>5</v>
      </c>
      <c r="N19" s="1">
        <v>5</v>
      </c>
      <c r="O19" s="1"/>
      <c r="P19" s="1"/>
      <c r="Q19" s="1"/>
      <c r="R19" s="1"/>
      <c r="S19" s="1"/>
      <c r="T19" s="1">
        <v>62</v>
      </c>
      <c r="U19" s="1">
        <v>120</v>
      </c>
      <c r="V19" s="1"/>
      <c r="X19">
        <f t="shared" si="0"/>
        <v>-1</v>
      </c>
      <c r="Y19">
        <f t="shared" si="1"/>
        <v>0</v>
      </c>
      <c r="Z19">
        <f t="shared" si="2"/>
        <v>0</v>
      </c>
      <c r="AB19" s="18">
        <v>402</v>
      </c>
      <c r="AC19" s="20">
        <v>16</v>
      </c>
      <c r="AD19" s="20">
        <v>205</v>
      </c>
      <c r="AE19" s="20">
        <v>62</v>
      </c>
      <c r="AF19" s="21">
        <v>120</v>
      </c>
      <c r="AG19">
        <f t="shared" si="3"/>
        <v>-1</v>
      </c>
    </row>
    <row r="20" spans="1:33">
      <c r="A20" s="2" t="s">
        <v>17</v>
      </c>
      <c r="B20" s="1">
        <v>758</v>
      </c>
      <c r="C20" s="1">
        <v>0.3</v>
      </c>
      <c r="D20" s="1"/>
      <c r="E20" s="1">
        <v>145</v>
      </c>
      <c r="F20" s="1">
        <v>64</v>
      </c>
      <c r="G20" s="1"/>
      <c r="H20" s="1"/>
      <c r="I20" s="1">
        <v>1</v>
      </c>
      <c r="J20" s="1">
        <v>1</v>
      </c>
      <c r="K20" s="1"/>
      <c r="L20" s="1"/>
      <c r="M20" s="1">
        <v>81</v>
      </c>
      <c r="N20" s="1">
        <v>34</v>
      </c>
      <c r="O20" s="1">
        <v>28</v>
      </c>
      <c r="P20" s="1">
        <v>18</v>
      </c>
      <c r="Q20" s="1"/>
      <c r="R20" s="1"/>
      <c r="S20" s="1">
        <v>125</v>
      </c>
      <c r="T20" s="1">
        <v>94</v>
      </c>
      <c r="U20" s="1">
        <v>393</v>
      </c>
      <c r="V20" s="1"/>
      <c r="X20">
        <f t="shared" si="0"/>
        <v>0.70000000000004547</v>
      </c>
      <c r="Y20">
        <f t="shared" si="1"/>
        <v>-1</v>
      </c>
      <c r="Z20">
        <f t="shared" si="2"/>
        <v>1</v>
      </c>
      <c r="AB20" s="18">
        <v>758</v>
      </c>
      <c r="AC20" s="19"/>
      <c r="AD20" s="20">
        <v>145</v>
      </c>
      <c r="AE20" s="20">
        <v>94</v>
      </c>
      <c r="AF20" s="21">
        <v>393</v>
      </c>
      <c r="AG20">
        <f t="shared" si="3"/>
        <v>126</v>
      </c>
    </row>
    <row r="21" spans="1:33">
      <c r="A21" s="2" t="s">
        <v>18</v>
      </c>
      <c r="B21" s="1">
        <v>956</v>
      </c>
      <c r="C21" s="1">
        <v>3</v>
      </c>
      <c r="D21" s="1"/>
      <c r="E21" s="1">
        <v>422</v>
      </c>
      <c r="F21" s="1">
        <v>373</v>
      </c>
      <c r="G21" s="1"/>
      <c r="H21" s="1"/>
      <c r="I21" s="1">
        <v>35</v>
      </c>
      <c r="J21" s="1">
        <v>35</v>
      </c>
      <c r="K21" s="1"/>
      <c r="L21" s="1"/>
      <c r="M21" s="1">
        <v>14</v>
      </c>
      <c r="N21" s="1">
        <v>2</v>
      </c>
      <c r="O21" s="1">
        <v>7</v>
      </c>
      <c r="P21" s="1">
        <v>6</v>
      </c>
      <c r="Q21" s="1"/>
      <c r="R21" s="1"/>
      <c r="S21" s="1"/>
      <c r="T21" s="1">
        <v>238</v>
      </c>
      <c r="U21" s="1">
        <v>294</v>
      </c>
      <c r="V21" s="1"/>
      <c r="X21">
        <f t="shared" si="0"/>
        <v>-1</v>
      </c>
      <c r="Y21">
        <f t="shared" si="1"/>
        <v>0</v>
      </c>
      <c r="Z21">
        <f t="shared" si="2"/>
        <v>-1</v>
      </c>
      <c r="AB21" s="18">
        <v>956</v>
      </c>
      <c r="AC21" s="20">
        <v>2.5</v>
      </c>
      <c r="AD21" s="20">
        <v>422</v>
      </c>
      <c r="AE21" s="20">
        <v>238</v>
      </c>
      <c r="AF21" s="21">
        <v>294</v>
      </c>
      <c r="AG21">
        <f t="shared" si="3"/>
        <v>-0.5</v>
      </c>
    </row>
    <row r="22" spans="1:33">
      <c r="A22" s="2" t="s">
        <v>19</v>
      </c>
      <c r="B22" s="1">
        <v>365</v>
      </c>
      <c r="C22" s="1">
        <v>6</v>
      </c>
      <c r="D22" s="1"/>
      <c r="E22" s="1">
        <v>112</v>
      </c>
      <c r="F22" s="1">
        <v>104</v>
      </c>
      <c r="G22" s="1"/>
      <c r="H22" s="1"/>
      <c r="I22" s="1"/>
      <c r="J22" s="1"/>
      <c r="K22" s="1"/>
      <c r="L22" s="1"/>
      <c r="M22" s="1">
        <v>8</v>
      </c>
      <c r="N22" s="1">
        <v>7</v>
      </c>
      <c r="O22" s="1">
        <v>1</v>
      </c>
      <c r="P22" s="1"/>
      <c r="Q22" s="1"/>
      <c r="R22" s="1"/>
      <c r="S22" s="1"/>
      <c r="T22" s="1">
        <v>81</v>
      </c>
      <c r="U22" s="1">
        <v>166</v>
      </c>
      <c r="V22" s="1"/>
      <c r="X22">
        <f t="shared" si="0"/>
        <v>0</v>
      </c>
      <c r="Y22">
        <f t="shared" si="1"/>
        <v>0</v>
      </c>
      <c r="Z22">
        <f t="shared" si="2"/>
        <v>0</v>
      </c>
      <c r="AB22" s="18">
        <v>365</v>
      </c>
      <c r="AC22" s="20">
        <v>6</v>
      </c>
      <c r="AD22" s="20">
        <v>112</v>
      </c>
      <c r="AE22" s="20">
        <v>81</v>
      </c>
      <c r="AF22" s="21">
        <v>166</v>
      </c>
      <c r="AG22">
        <f t="shared" si="3"/>
        <v>0</v>
      </c>
    </row>
    <row r="23" spans="1:33">
      <c r="A23" s="2" t="s">
        <v>20</v>
      </c>
      <c r="B23" s="1">
        <v>296</v>
      </c>
      <c r="C23" s="1">
        <v>29</v>
      </c>
      <c r="D23" s="1"/>
      <c r="E23" s="1">
        <v>33</v>
      </c>
      <c r="F23" s="1">
        <v>2</v>
      </c>
      <c r="G23" s="1"/>
      <c r="H23" s="1"/>
      <c r="I23" s="1">
        <v>1</v>
      </c>
      <c r="J23" s="1">
        <v>1</v>
      </c>
      <c r="K23" s="1"/>
      <c r="L23" s="1"/>
      <c r="M23" s="1">
        <v>29</v>
      </c>
      <c r="N23" s="1">
        <v>15</v>
      </c>
      <c r="O23" s="1">
        <v>13</v>
      </c>
      <c r="P23" s="1">
        <v>2</v>
      </c>
      <c r="Q23" s="1"/>
      <c r="R23" s="1"/>
      <c r="S23" s="1"/>
      <c r="T23" s="1">
        <v>100</v>
      </c>
      <c r="U23" s="1">
        <v>135</v>
      </c>
      <c r="V23" s="1"/>
      <c r="X23">
        <f t="shared" si="0"/>
        <v>-1</v>
      </c>
      <c r="Y23">
        <f t="shared" si="1"/>
        <v>1</v>
      </c>
      <c r="Z23">
        <f t="shared" si="2"/>
        <v>-1</v>
      </c>
      <c r="AB23" s="18">
        <v>296</v>
      </c>
      <c r="AC23" s="20">
        <v>29</v>
      </c>
      <c r="AD23" s="20">
        <v>33</v>
      </c>
      <c r="AE23" s="20">
        <v>100</v>
      </c>
      <c r="AF23" s="21">
        <v>135</v>
      </c>
      <c r="AG23">
        <f t="shared" si="3"/>
        <v>-1</v>
      </c>
    </row>
    <row r="24" spans="1:33">
      <c r="A24" s="2" t="s">
        <v>21</v>
      </c>
      <c r="B24" s="1">
        <v>894</v>
      </c>
      <c r="C24" s="1">
        <v>90</v>
      </c>
      <c r="D24" s="1">
        <v>90</v>
      </c>
      <c r="E24" s="1">
        <v>484</v>
      </c>
      <c r="F24" s="1">
        <v>35</v>
      </c>
      <c r="G24" s="1"/>
      <c r="H24" s="1"/>
      <c r="I24" s="1">
        <v>449</v>
      </c>
      <c r="J24" s="1">
        <v>449</v>
      </c>
      <c r="K24" s="1"/>
      <c r="L24" s="1"/>
      <c r="M24" s="1"/>
      <c r="N24" s="1"/>
      <c r="O24" s="1"/>
      <c r="P24" s="1"/>
      <c r="Q24" s="1"/>
      <c r="R24" s="1"/>
      <c r="S24" s="1">
        <v>284</v>
      </c>
      <c r="T24" s="1">
        <v>2</v>
      </c>
      <c r="U24" s="1">
        <v>34</v>
      </c>
      <c r="V24" s="1"/>
      <c r="X24">
        <f t="shared" si="0"/>
        <v>0</v>
      </c>
      <c r="Y24">
        <f t="shared" si="1"/>
        <v>0</v>
      </c>
      <c r="Z24">
        <f t="shared" si="2"/>
        <v>0</v>
      </c>
      <c r="AB24" s="18">
        <v>894</v>
      </c>
      <c r="AC24" s="20">
        <v>90</v>
      </c>
      <c r="AD24" s="20">
        <v>484</v>
      </c>
      <c r="AE24" s="20">
        <v>2</v>
      </c>
      <c r="AF24" s="21">
        <v>34</v>
      </c>
      <c r="AG24">
        <f t="shared" si="3"/>
        <v>284</v>
      </c>
    </row>
    <row r="25" spans="1:33">
      <c r="A25" s="2" t="s">
        <v>22</v>
      </c>
      <c r="B25" s="1">
        <v>216</v>
      </c>
      <c r="C25" s="1">
        <v>5</v>
      </c>
      <c r="D25" s="1"/>
      <c r="E25" s="1">
        <v>119</v>
      </c>
      <c r="F25" s="1">
        <v>105</v>
      </c>
      <c r="G25" s="1"/>
      <c r="H25" s="1"/>
      <c r="I25" s="1"/>
      <c r="J25" s="1"/>
      <c r="K25" s="1"/>
      <c r="L25" s="1"/>
      <c r="M25" s="1">
        <v>14</v>
      </c>
      <c r="N25" s="1"/>
      <c r="O25" s="1">
        <v>2</v>
      </c>
      <c r="P25" s="1">
        <v>12</v>
      </c>
      <c r="Q25" s="1"/>
      <c r="R25" s="1"/>
      <c r="S25" s="1"/>
      <c r="T25" s="1">
        <v>61</v>
      </c>
      <c r="U25" s="1">
        <v>30</v>
      </c>
      <c r="V25" s="1"/>
      <c r="X25">
        <f t="shared" si="0"/>
        <v>1</v>
      </c>
      <c r="Y25">
        <f t="shared" si="1"/>
        <v>0</v>
      </c>
      <c r="Z25">
        <f t="shared" si="2"/>
        <v>0</v>
      </c>
      <c r="AB25" s="18">
        <v>216</v>
      </c>
      <c r="AC25" s="20">
        <v>5</v>
      </c>
      <c r="AD25" s="20">
        <v>119</v>
      </c>
      <c r="AE25" s="20">
        <v>61</v>
      </c>
      <c r="AF25" s="21">
        <v>30</v>
      </c>
      <c r="AG25">
        <f t="shared" si="3"/>
        <v>1</v>
      </c>
    </row>
    <row r="26" spans="1:33">
      <c r="A26" s="2" t="s">
        <v>23</v>
      </c>
      <c r="B26" s="1">
        <v>56</v>
      </c>
      <c r="C26" s="1">
        <v>40</v>
      </c>
      <c r="D26" s="1">
        <v>40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16</v>
      </c>
      <c r="V26" s="1"/>
      <c r="X26">
        <f t="shared" si="0"/>
        <v>0</v>
      </c>
      <c r="Y26">
        <f t="shared" si="1"/>
        <v>0</v>
      </c>
      <c r="Z26">
        <f t="shared" si="2"/>
        <v>0</v>
      </c>
      <c r="AB26" s="18">
        <v>56</v>
      </c>
      <c r="AC26" s="20">
        <v>40</v>
      </c>
      <c r="AD26" s="19"/>
      <c r="AE26" s="19"/>
      <c r="AF26" s="21">
        <v>16</v>
      </c>
      <c r="AG26">
        <f t="shared" si="3"/>
        <v>0</v>
      </c>
    </row>
    <row r="27" spans="1:33">
      <c r="A27" s="2" t="s">
        <v>24</v>
      </c>
      <c r="B27" s="1">
        <v>91</v>
      </c>
      <c r="C27" s="1">
        <v>14</v>
      </c>
      <c r="D27" s="1"/>
      <c r="E27" s="1">
        <v>31</v>
      </c>
      <c r="F27" s="1">
        <v>1</v>
      </c>
      <c r="G27" s="1"/>
      <c r="H27" s="1"/>
      <c r="I27" s="1">
        <v>1</v>
      </c>
      <c r="J27" s="1">
        <v>1</v>
      </c>
      <c r="K27" s="1"/>
      <c r="L27" s="1"/>
      <c r="M27" s="1">
        <v>29</v>
      </c>
      <c r="N27" s="1">
        <v>6</v>
      </c>
      <c r="O27" s="1">
        <v>23</v>
      </c>
      <c r="P27" s="1"/>
      <c r="Q27" s="1"/>
      <c r="R27" s="1"/>
      <c r="S27" s="1"/>
      <c r="T27" s="1">
        <v>19</v>
      </c>
      <c r="U27" s="1">
        <v>27</v>
      </c>
      <c r="V27" s="1"/>
      <c r="X27">
        <f t="shared" si="0"/>
        <v>0</v>
      </c>
      <c r="Y27">
        <f t="shared" si="1"/>
        <v>0</v>
      </c>
      <c r="Z27">
        <f t="shared" si="2"/>
        <v>0</v>
      </c>
      <c r="AB27" s="18">
        <v>91</v>
      </c>
      <c r="AC27" s="20">
        <v>14</v>
      </c>
      <c r="AD27" s="20">
        <v>31</v>
      </c>
      <c r="AE27" s="20">
        <v>19</v>
      </c>
      <c r="AF27" s="21">
        <v>27</v>
      </c>
      <c r="AG27">
        <f t="shared" si="3"/>
        <v>0</v>
      </c>
    </row>
    <row r="28" spans="1:33">
      <c r="A28" s="2" t="s">
        <v>25</v>
      </c>
      <c r="B28" s="1">
        <v>280</v>
      </c>
      <c r="C28" s="1">
        <v>155</v>
      </c>
      <c r="D28" s="1"/>
      <c r="E28" s="1">
        <v>30</v>
      </c>
      <c r="F28" s="1">
        <v>16</v>
      </c>
      <c r="G28" s="1"/>
      <c r="H28" s="1"/>
      <c r="I28" s="1">
        <v>2</v>
      </c>
      <c r="J28" s="1">
        <v>1</v>
      </c>
      <c r="K28" s="1"/>
      <c r="L28" s="1"/>
      <c r="M28" s="1">
        <v>12</v>
      </c>
      <c r="N28" s="1">
        <v>6</v>
      </c>
      <c r="O28" s="1">
        <v>2</v>
      </c>
      <c r="P28" s="1">
        <v>4</v>
      </c>
      <c r="Q28" s="1"/>
      <c r="R28" s="1"/>
      <c r="S28" s="1"/>
      <c r="T28" s="1">
        <v>47</v>
      </c>
      <c r="U28" s="1">
        <v>48</v>
      </c>
      <c r="V28" s="1"/>
      <c r="X28">
        <f t="shared" si="0"/>
        <v>0</v>
      </c>
      <c r="Y28">
        <f t="shared" si="1"/>
        <v>0</v>
      </c>
      <c r="Z28">
        <f t="shared" si="2"/>
        <v>0</v>
      </c>
      <c r="AB28" s="18">
        <v>280</v>
      </c>
      <c r="AC28" s="20">
        <v>155</v>
      </c>
      <c r="AD28" s="20">
        <v>30</v>
      </c>
      <c r="AE28" s="20">
        <v>47</v>
      </c>
      <c r="AF28" s="21">
        <v>48</v>
      </c>
      <c r="AG28">
        <f t="shared" si="3"/>
        <v>0</v>
      </c>
    </row>
    <row r="29" spans="1:33">
      <c r="A29" s="2" t="s">
        <v>26</v>
      </c>
      <c r="B29" s="1">
        <v>26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15</v>
      </c>
      <c r="U29" s="1">
        <v>11</v>
      </c>
      <c r="V29" s="1"/>
      <c r="X29">
        <f t="shared" si="0"/>
        <v>0</v>
      </c>
      <c r="Y29">
        <f t="shared" si="1"/>
        <v>0</v>
      </c>
      <c r="Z29">
        <f t="shared" si="2"/>
        <v>0</v>
      </c>
      <c r="AB29" s="18">
        <v>26</v>
      </c>
      <c r="AC29" s="19"/>
      <c r="AD29" s="19"/>
      <c r="AE29" s="20">
        <v>15</v>
      </c>
      <c r="AF29" s="21">
        <v>11</v>
      </c>
      <c r="AG29">
        <f t="shared" si="3"/>
        <v>0</v>
      </c>
    </row>
    <row r="30" spans="1:33">
      <c r="A30" s="2" t="s">
        <v>27</v>
      </c>
      <c r="B30" s="1">
        <v>393</v>
      </c>
      <c r="C30" s="1">
        <v>392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0.4</v>
      </c>
      <c r="U30" s="1">
        <v>1</v>
      </c>
      <c r="V30" s="1"/>
      <c r="X30">
        <f t="shared" si="0"/>
        <v>-0.4</v>
      </c>
      <c r="Y30">
        <f t="shared" si="1"/>
        <v>0</v>
      </c>
      <c r="Z30">
        <f t="shared" si="2"/>
        <v>0</v>
      </c>
      <c r="AB30" s="18">
        <v>393</v>
      </c>
      <c r="AC30" s="20">
        <v>392</v>
      </c>
      <c r="AD30" s="19"/>
      <c r="AE30" s="20">
        <v>0.4</v>
      </c>
      <c r="AF30" s="21">
        <v>1</v>
      </c>
      <c r="AG30">
        <f t="shared" si="3"/>
        <v>-0.4</v>
      </c>
    </row>
    <row r="31" spans="1:33">
      <c r="A31" s="2" t="s">
        <v>28</v>
      </c>
      <c r="B31" s="1">
        <v>13</v>
      </c>
      <c r="C31" s="1">
        <v>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12</v>
      </c>
      <c r="V31" s="1"/>
      <c r="X31">
        <f t="shared" si="0"/>
        <v>0</v>
      </c>
      <c r="Y31">
        <f t="shared" si="1"/>
        <v>0</v>
      </c>
      <c r="Z31">
        <f t="shared" si="2"/>
        <v>0</v>
      </c>
      <c r="AB31" s="18">
        <v>13</v>
      </c>
      <c r="AC31" s="20">
        <v>1</v>
      </c>
      <c r="AD31" s="19"/>
      <c r="AE31" s="19"/>
      <c r="AF31" s="21">
        <v>12</v>
      </c>
      <c r="AG31">
        <f t="shared" si="3"/>
        <v>0</v>
      </c>
    </row>
    <row r="32" spans="1:33">
      <c r="A32" s="2" t="s">
        <v>29</v>
      </c>
      <c r="B32" s="1">
        <v>607</v>
      </c>
      <c r="C32" s="1">
        <v>4</v>
      </c>
      <c r="D32" s="1"/>
      <c r="E32" s="1">
        <v>389</v>
      </c>
      <c r="F32" s="1">
        <v>375</v>
      </c>
      <c r="G32" s="1"/>
      <c r="H32" s="1"/>
      <c r="I32" s="1"/>
      <c r="J32" s="1"/>
      <c r="K32" s="1"/>
      <c r="L32" s="1"/>
      <c r="M32" s="1">
        <v>14</v>
      </c>
      <c r="N32" s="1">
        <v>14</v>
      </c>
      <c r="O32" s="1"/>
      <c r="P32" s="1"/>
      <c r="Q32" s="1"/>
      <c r="R32" s="1"/>
      <c r="S32" s="1"/>
      <c r="T32" s="1">
        <v>59</v>
      </c>
      <c r="U32" s="1">
        <v>155</v>
      </c>
      <c r="V32" s="1"/>
      <c r="X32">
        <f t="shared" si="0"/>
        <v>0</v>
      </c>
      <c r="Y32">
        <f t="shared" si="1"/>
        <v>0</v>
      </c>
      <c r="Z32">
        <f t="shared" si="2"/>
        <v>0</v>
      </c>
      <c r="AB32" s="18">
        <v>607</v>
      </c>
      <c r="AC32" s="20">
        <v>4</v>
      </c>
      <c r="AD32" s="20">
        <v>389</v>
      </c>
      <c r="AE32" s="20">
        <v>59</v>
      </c>
      <c r="AF32" s="21">
        <v>155</v>
      </c>
      <c r="AG32">
        <f t="shared" si="3"/>
        <v>0</v>
      </c>
    </row>
    <row r="33" spans="1:33">
      <c r="A33" s="2" t="s">
        <v>30</v>
      </c>
      <c r="B33" s="1">
        <v>130</v>
      </c>
      <c r="C33" s="1">
        <v>61</v>
      </c>
      <c r="D33" s="1"/>
      <c r="E33" s="1">
        <v>4</v>
      </c>
      <c r="F33" s="1">
        <v>1</v>
      </c>
      <c r="G33" s="1"/>
      <c r="H33" s="1"/>
      <c r="I33" s="1"/>
      <c r="J33" s="1"/>
      <c r="K33" s="1"/>
      <c r="L33" s="1"/>
      <c r="M33" s="1">
        <v>3</v>
      </c>
      <c r="N33" s="1">
        <v>2</v>
      </c>
      <c r="O33" s="1">
        <v>1</v>
      </c>
      <c r="P33" s="1"/>
      <c r="Q33" s="1"/>
      <c r="R33" s="1"/>
      <c r="S33" s="1"/>
      <c r="T33" s="1"/>
      <c r="U33" s="1">
        <v>65</v>
      </c>
      <c r="V33" s="1"/>
      <c r="X33">
        <f t="shared" si="0"/>
        <v>0</v>
      </c>
      <c r="Y33">
        <f t="shared" si="1"/>
        <v>0</v>
      </c>
      <c r="Z33">
        <f t="shared" si="2"/>
        <v>0</v>
      </c>
      <c r="AB33" s="18">
        <v>130</v>
      </c>
      <c r="AC33" s="20">
        <v>61</v>
      </c>
      <c r="AD33" s="20">
        <v>4</v>
      </c>
      <c r="AE33" s="19"/>
      <c r="AF33" s="21">
        <v>65</v>
      </c>
      <c r="AG33">
        <f t="shared" si="3"/>
        <v>0</v>
      </c>
    </row>
    <row r="34" spans="1:33">
      <c r="A34" s="2" t="s">
        <v>31</v>
      </c>
      <c r="B34" s="1">
        <v>321</v>
      </c>
      <c r="C34" s="1">
        <v>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112</v>
      </c>
      <c r="U34" s="1">
        <v>208</v>
      </c>
      <c r="V34" s="1"/>
      <c r="X34">
        <f t="shared" si="0"/>
        <v>0</v>
      </c>
      <c r="Y34">
        <f t="shared" si="1"/>
        <v>0</v>
      </c>
      <c r="Z34">
        <f t="shared" si="2"/>
        <v>0</v>
      </c>
      <c r="AB34" s="18">
        <v>321</v>
      </c>
      <c r="AC34" s="20">
        <v>1</v>
      </c>
      <c r="AD34" s="19"/>
      <c r="AE34" s="20">
        <v>112</v>
      </c>
      <c r="AF34" s="21">
        <v>208</v>
      </c>
      <c r="AG34">
        <f t="shared" si="3"/>
        <v>0</v>
      </c>
    </row>
    <row r="35" spans="1:33">
      <c r="A35" s="2" t="s">
        <v>32</v>
      </c>
      <c r="B35" s="1">
        <v>372</v>
      </c>
      <c r="C35" s="1"/>
      <c r="D35" s="1"/>
      <c r="E35" s="1">
        <v>101</v>
      </c>
      <c r="F35" s="1">
        <v>101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84</v>
      </c>
      <c r="U35" s="1">
        <v>187</v>
      </c>
      <c r="V35" s="1"/>
      <c r="X35">
        <f t="shared" si="0"/>
        <v>0</v>
      </c>
      <c r="Y35">
        <f t="shared" si="1"/>
        <v>0</v>
      </c>
      <c r="Z35">
        <f t="shared" si="2"/>
        <v>0</v>
      </c>
      <c r="AB35" s="18">
        <v>372</v>
      </c>
      <c r="AC35" s="19"/>
      <c r="AD35" s="20">
        <v>101</v>
      </c>
      <c r="AE35" s="20">
        <v>84</v>
      </c>
      <c r="AF35" s="21">
        <v>187</v>
      </c>
      <c r="AG35">
        <f t="shared" si="3"/>
        <v>0</v>
      </c>
    </row>
    <row r="36" spans="1:33" ht="13.5" customHeight="1">
      <c r="A36" s="2" t="s">
        <v>33</v>
      </c>
      <c r="B36" s="1">
        <v>385</v>
      </c>
      <c r="C36" s="1">
        <v>10</v>
      </c>
      <c r="D36" s="1"/>
      <c r="E36" s="1">
        <v>214</v>
      </c>
      <c r="F36" s="1">
        <v>208</v>
      </c>
      <c r="G36" s="1"/>
      <c r="H36" s="1"/>
      <c r="I36" s="1">
        <v>1</v>
      </c>
      <c r="J36" s="1">
        <v>1</v>
      </c>
      <c r="K36" s="1"/>
      <c r="L36" s="1"/>
      <c r="M36" s="1">
        <v>5</v>
      </c>
      <c r="N36" s="1">
        <v>5</v>
      </c>
      <c r="O36" s="1"/>
      <c r="P36" s="1"/>
      <c r="Q36" s="1"/>
      <c r="R36" s="1"/>
      <c r="S36" s="1"/>
      <c r="T36" s="1">
        <v>74</v>
      </c>
      <c r="U36" s="1">
        <v>87</v>
      </c>
      <c r="V36" s="1"/>
      <c r="X36">
        <f t="shared" si="0"/>
        <v>0</v>
      </c>
      <c r="Y36">
        <f t="shared" si="1"/>
        <v>0</v>
      </c>
      <c r="Z36">
        <f t="shared" si="2"/>
        <v>0</v>
      </c>
      <c r="AB36" s="13">
        <v>385</v>
      </c>
      <c r="AC36" s="14">
        <v>10</v>
      </c>
      <c r="AD36" s="14">
        <v>214</v>
      </c>
      <c r="AE36" s="14">
        <v>74</v>
      </c>
      <c r="AF36" s="22">
        <v>87</v>
      </c>
      <c r="AG36">
        <f t="shared" si="3"/>
        <v>0</v>
      </c>
    </row>
    <row r="38" spans="1:33">
      <c r="B38">
        <f>B5-SUM(B6:B36)</f>
        <v>0</v>
      </c>
      <c r="C38">
        <f t="shared" ref="C38:V38" si="4">C5-SUM(C6:C36)</f>
        <v>-2.3099999999999454</v>
      </c>
      <c r="D38">
        <f t="shared" si="4"/>
        <v>0</v>
      </c>
      <c r="E38">
        <f t="shared" si="4"/>
        <v>0</v>
      </c>
      <c r="F38">
        <f t="shared" si="4"/>
        <v>1</v>
      </c>
      <c r="H38">
        <f t="shared" si="4"/>
        <v>0</v>
      </c>
      <c r="I38">
        <f t="shared" si="4"/>
        <v>2</v>
      </c>
      <c r="J38">
        <f t="shared" si="4"/>
        <v>1</v>
      </c>
      <c r="L38">
        <f t="shared" si="4"/>
        <v>0</v>
      </c>
      <c r="M38">
        <f t="shared" si="4"/>
        <v>-1</v>
      </c>
      <c r="N38">
        <f t="shared" si="4"/>
        <v>-3.0000000000001137E-2</v>
      </c>
      <c r="O38">
        <f t="shared" si="4"/>
        <v>0</v>
      </c>
      <c r="P38">
        <f t="shared" si="4"/>
        <v>-2</v>
      </c>
      <c r="S38">
        <f t="shared" si="4"/>
        <v>0</v>
      </c>
      <c r="T38">
        <f t="shared" si="4"/>
        <v>0.59999999999990905</v>
      </c>
      <c r="U38">
        <f t="shared" si="4"/>
        <v>2</v>
      </c>
      <c r="V38">
        <f t="shared" si="4"/>
        <v>0</v>
      </c>
    </row>
  </sheetData>
  <mergeCells count="16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E2:R2"/>
    <mergeCell ref="M3:R3"/>
    <mergeCell ref="D3:D4"/>
    <mergeCell ref="E3:E4"/>
    <mergeCell ref="F3:H3"/>
    <mergeCell ref="I3:K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5D99-3A26-416C-B726-A24D763B127F}">
  <dimension ref="A1:AB38"/>
  <sheetViews>
    <sheetView workbookViewId="0">
      <selection activeCell="V5" sqref="A2:V5"/>
    </sheetView>
  </sheetViews>
  <sheetFormatPr defaultRowHeight="12.75"/>
  <cols>
    <col min="1" max="22" width="7.5703125" customWidth="1"/>
  </cols>
  <sheetData>
    <row r="1" spans="1:28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28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28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</row>
    <row r="4" spans="1:28" s="29" customFormat="1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</row>
    <row r="5" spans="1:28">
      <c r="A5" s="4" t="s">
        <v>5</v>
      </c>
      <c r="B5" s="1">
        <v>10500</v>
      </c>
      <c r="C5" s="1">
        <v>445</v>
      </c>
      <c r="D5" s="1">
        <v>30</v>
      </c>
      <c r="E5" s="1">
        <v>4423</v>
      </c>
      <c r="F5" s="1">
        <v>3236</v>
      </c>
      <c r="G5" s="1">
        <v>3096</v>
      </c>
      <c r="H5" s="1">
        <v>140</v>
      </c>
      <c r="I5" s="1">
        <v>630</v>
      </c>
      <c r="J5" s="1">
        <v>629</v>
      </c>
      <c r="K5" s="1"/>
      <c r="L5" s="1"/>
      <c r="M5" s="1">
        <v>557</v>
      </c>
      <c r="N5" s="1">
        <v>166</v>
      </c>
      <c r="O5" s="1">
        <v>273</v>
      </c>
      <c r="P5" s="1">
        <v>118</v>
      </c>
      <c r="Q5" s="1"/>
      <c r="R5" s="1"/>
      <c r="S5" s="1">
        <v>409</v>
      </c>
      <c r="T5" s="1">
        <v>2572</v>
      </c>
      <c r="U5" s="1">
        <v>2652</v>
      </c>
      <c r="V5" s="1"/>
      <c r="X5">
        <f>B5-C5-E5-S5-T5-U5</f>
        <v>-1</v>
      </c>
      <c r="Y5">
        <f>E5-F5-I5-L5-M5</f>
        <v>0</v>
      </c>
      <c r="Z5">
        <f>F5-G5-H5</f>
        <v>0</v>
      </c>
      <c r="AA5">
        <f>I5-J5-K5</f>
        <v>1</v>
      </c>
      <c r="AB5">
        <f>M5-N5-O5-P5-Q5-R5</f>
        <v>0</v>
      </c>
    </row>
    <row r="6" spans="1:28">
      <c r="A6" s="2" t="s">
        <v>6</v>
      </c>
      <c r="B6" s="1">
        <v>37</v>
      </c>
      <c r="C6" s="1"/>
      <c r="D6" s="1"/>
      <c r="E6" s="1">
        <v>26</v>
      </c>
      <c r="F6" s="1"/>
      <c r="G6" s="1"/>
      <c r="H6" s="1"/>
      <c r="I6" s="1">
        <v>16</v>
      </c>
      <c r="J6" s="1">
        <v>16</v>
      </c>
      <c r="K6" s="1"/>
      <c r="L6" s="1"/>
      <c r="M6" s="1">
        <v>11</v>
      </c>
      <c r="N6" s="1"/>
      <c r="O6" s="1">
        <v>11</v>
      </c>
      <c r="P6" s="1"/>
      <c r="Q6" s="1"/>
      <c r="R6" s="1"/>
      <c r="S6" s="1"/>
      <c r="T6" s="1"/>
      <c r="U6" s="1">
        <v>11</v>
      </c>
      <c r="V6" s="1"/>
      <c r="X6">
        <f t="shared" ref="X6:X36" si="0">B6-C6-E6-S6-T6-U6</f>
        <v>0</v>
      </c>
      <c r="Y6">
        <f t="shared" ref="Y6:Y36" si="1">E6-F6-I6-L6-M6</f>
        <v>-1</v>
      </c>
      <c r="Z6">
        <f t="shared" ref="Z6:Z36" si="2">F6-G6-H6</f>
        <v>0</v>
      </c>
      <c r="AA6">
        <f t="shared" ref="AA6:AA36" si="3">I6-J6-K6</f>
        <v>0</v>
      </c>
      <c r="AB6">
        <f t="shared" ref="AB6:AB36" si="4">M6-N6-O6-P6-Q6-R6</f>
        <v>0</v>
      </c>
    </row>
    <row r="7" spans="1:28">
      <c r="A7" s="2" t="s">
        <v>7</v>
      </c>
      <c r="B7" s="1">
        <v>165</v>
      </c>
      <c r="C7" s="1"/>
      <c r="D7" s="1"/>
      <c r="E7" s="1">
        <v>130</v>
      </c>
      <c r="F7" s="1">
        <v>35</v>
      </c>
      <c r="G7" s="1">
        <v>35</v>
      </c>
      <c r="H7" s="1"/>
      <c r="I7" s="1">
        <v>93</v>
      </c>
      <c r="J7" s="1">
        <v>93</v>
      </c>
      <c r="K7" s="1"/>
      <c r="L7" s="1"/>
      <c r="M7" s="1">
        <v>2</v>
      </c>
      <c r="N7" s="1"/>
      <c r="O7" s="1">
        <v>2</v>
      </c>
      <c r="P7" s="1"/>
      <c r="Q7" s="1"/>
      <c r="R7" s="1"/>
      <c r="S7" s="1"/>
      <c r="T7" s="1">
        <v>13</v>
      </c>
      <c r="U7" s="1">
        <v>23</v>
      </c>
      <c r="V7" s="1"/>
      <c r="X7">
        <f t="shared" si="0"/>
        <v>-1</v>
      </c>
      <c r="Y7">
        <f t="shared" si="1"/>
        <v>0</v>
      </c>
      <c r="Z7">
        <f t="shared" si="2"/>
        <v>0</v>
      </c>
      <c r="AA7">
        <f t="shared" si="3"/>
        <v>0</v>
      </c>
      <c r="AB7">
        <f t="shared" si="4"/>
        <v>0</v>
      </c>
    </row>
    <row r="8" spans="1:28">
      <c r="A8" s="2" t="s">
        <v>8</v>
      </c>
      <c r="B8" s="1">
        <v>780</v>
      </c>
      <c r="C8" s="1">
        <v>0.04</v>
      </c>
      <c r="D8" s="1"/>
      <c r="E8" s="1">
        <v>306</v>
      </c>
      <c r="F8" s="1">
        <v>242</v>
      </c>
      <c r="G8" s="1">
        <v>242</v>
      </c>
      <c r="H8" s="1"/>
      <c r="I8" s="1">
        <v>45</v>
      </c>
      <c r="J8" s="1">
        <v>45</v>
      </c>
      <c r="K8" s="1"/>
      <c r="L8" s="1"/>
      <c r="M8" s="1">
        <v>19</v>
      </c>
      <c r="N8" s="1">
        <v>8</v>
      </c>
      <c r="O8" s="1">
        <v>10</v>
      </c>
      <c r="P8" s="1">
        <v>1</v>
      </c>
      <c r="Q8" s="1"/>
      <c r="R8" s="1"/>
      <c r="S8" s="1"/>
      <c r="T8" s="1">
        <v>238</v>
      </c>
      <c r="U8" s="1">
        <v>236</v>
      </c>
      <c r="V8" s="1"/>
      <c r="X8">
        <f t="shared" si="0"/>
        <v>-3.999999999996362E-2</v>
      </c>
      <c r="Y8">
        <f t="shared" si="1"/>
        <v>0</v>
      </c>
      <c r="Z8">
        <f t="shared" si="2"/>
        <v>0</v>
      </c>
      <c r="AA8">
        <f t="shared" si="3"/>
        <v>0</v>
      </c>
      <c r="AB8">
        <f t="shared" si="4"/>
        <v>0</v>
      </c>
    </row>
    <row r="9" spans="1:28">
      <c r="A9" s="2" t="s">
        <v>9</v>
      </c>
      <c r="B9" s="1">
        <v>445</v>
      </c>
      <c r="C9" s="1">
        <v>0.1</v>
      </c>
      <c r="D9" s="1"/>
      <c r="E9" s="1">
        <v>72</v>
      </c>
      <c r="F9" s="1">
        <v>70</v>
      </c>
      <c r="G9" s="1"/>
      <c r="H9" s="1">
        <v>70</v>
      </c>
      <c r="I9" s="1"/>
      <c r="J9" s="1"/>
      <c r="K9" s="1"/>
      <c r="L9" s="1"/>
      <c r="M9" s="1">
        <v>2</v>
      </c>
      <c r="N9" s="1">
        <v>2</v>
      </c>
      <c r="O9" s="1"/>
      <c r="P9" s="1"/>
      <c r="Q9" s="1"/>
      <c r="R9" s="1"/>
      <c r="S9" s="1"/>
      <c r="T9" s="1">
        <v>214</v>
      </c>
      <c r="U9" s="1">
        <v>158</v>
      </c>
      <c r="V9" s="1"/>
      <c r="X9">
        <f t="shared" si="0"/>
        <v>0.89999999999997726</v>
      </c>
      <c r="Y9">
        <f t="shared" si="1"/>
        <v>0</v>
      </c>
      <c r="Z9">
        <f t="shared" si="2"/>
        <v>0</v>
      </c>
      <c r="AA9">
        <f t="shared" si="3"/>
        <v>0</v>
      </c>
      <c r="AB9">
        <f t="shared" si="4"/>
        <v>0</v>
      </c>
    </row>
    <row r="10" spans="1:28">
      <c r="A10" s="2" t="s">
        <v>2</v>
      </c>
      <c r="B10" s="1">
        <v>658</v>
      </c>
      <c r="C10" s="1"/>
      <c r="D10" s="1"/>
      <c r="E10" s="1">
        <v>410</v>
      </c>
      <c r="F10" s="1">
        <v>410</v>
      </c>
      <c r="G10" s="1">
        <v>340</v>
      </c>
      <c r="H10" s="1">
        <v>70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124</v>
      </c>
      <c r="U10" s="1">
        <v>123</v>
      </c>
      <c r="V10" s="1"/>
      <c r="X10">
        <f t="shared" si="0"/>
        <v>1</v>
      </c>
      <c r="Y10">
        <f t="shared" si="1"/>
        <v>0</v>
      </c>
      <c r="Z10">
        <f t="shared" si="2"/>
        <v>0</v>
      </c>
      <c r="AA10">
        <f t="shared" si="3"/>
        <v>0</v>
      </c>
      <c r="AB10">
        <f t="shared" si="4"/>
        <v>0</v>
      </c>
    </row>
    <row r="11" spans="1:28">
      <c r="A11" s="2" t="s">
        <v>10</v>
      </c>
      <c r="B11" s="1">
        <v>113</v>
      </c>
      <c r="C11" s="1"/>
      <c r="D11" s="1"/>
      <c r="E11" s="1">
        <v>2</v>
      </c>
      <c r="F11" s="1"/>
      <c r="G11" s="1"/>
      <c r="H11" s="1"/>
      <c r="I11" s="1"/>
      <c r="J11" s="1"/>
      <c r="K11" s="1"/>
      <c r="L11" s="1"/>
      <c r="M11" s="1">
        <v>2</v>
      </c>
      <c r="N11" s="1">
        <v>2</v>
      </c>
      <c r="O11" s="1"/>
      <c r="P11" s="1"/>
      <c r="Q11" s="1"/>
      <c r="R11" s="1"/>
      <c r="S11" s="1"/>
      <c r="T11" s="1">
        <v>78</v>
      </c>
      <c r="U11" s="1">
        <v>34</v>
      </c>
      <c r="V11" s="1"/>
      <c r="X11">
        <f t="shared" si="0"/>
        <v>-1</v>
      </c>
      <c r="Y11">
        <f t="shared" si="1"/>
        <v>0</v>
      </c>
      <c r="Z11">
        <f t="shared" si="2"/>
        <v>0</v>
      </c>
      <c r="AA11">
        <f t="shared" si="3"/>
        <v>0</v>
      </c>
      <c r="AB11">
        <f t="shared" si="4"/>
        <v>0</v>
      </c>
    </row>
    <row r="12" spans="1:28">
      <c r="A12" s="2" t="s">
        <v>3</v>
      </c>
      <c r="B12" s="1">
        <v>111</v>
      </c>
      <c r="C12" s="1">
        <v>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41</v>
      </c>
      <c r="U12" s="1">
        <v>9</v>
      </c>
      <c r="V12" s="1"/>
      <c r="X12">
        <f t="shared" si="0"/>
        <v>1</v>
      </c>
      <c r="Y12">
        <f t="shared" si="1"/>
        <v>0</v>
      </c>
      <c r="Z12">
        <f t="shared" si="2"/>
        <v>0</v>
      </c>
      <c r="AA12">
        <f t="shared" si="3"/>
        <v>0</v>
      </c>
      <c r="AB12">
        <f t="shared" si="4"/>
        <v>0</v>
      </c>
    </row>
    <row r="13" spans="1:28">
      <c r="A13" s="2" t="s">
        <v>4</v>
      </c>
      <c r="B13" s="1">
        <v>164</v>
      </c>
      <c r="C13" s="1">
        <v>4</v>
      </c>
      <c r="D13" s="1"/>
      <c r="E13" s="1">
        <v>88</v>
      </c>
      <c r="F13" s="1">
        <v>47</v>
      </c>
      <c r="G13" s="1">
        <v>47</v>
      </c>
      <c r="H13" s="1"/>
      <c r="I13" s="1">
        <v>7</v>
      </c>
      <c r="J13" s="1">
        <v>7</v>
      </c>
      <c r="K13" s="1"/>
      <c r="L13" s="1"/>
      <c r="M13" s="1">
        <v>34</v>
      </c>
      <c r="N13" s="1">
        <v>1.9</v>
      </c>
      <c r="O13" s="1">
        <v>2</v>
      </c>
      <c r="P13" s="1">
        <v>31</v>
      </c>
      <c r="Q13" s="1"/>
      <c r="R13" s="1"/>
      <c r="S13" s="1"/>
      <c r="T13" s="1">
        <v>12</v>
      </c>
      <c r="U13" s="1">
        <v>59</v>
      </c>
      <c r="V13" s="1"/>
      <c r="X13">
        <f t="shared" si="0"/>
        <v>1</v>
      </c>
      <c r="Y13">
        <f t="shared" si="1"/>
        <v>0</v>
      </c>
      <c r="Z13">
        <f t="shared" si="2"/>
        <v>0</v>
      </c>
      <c r="AA13">
        <f t="shared" si="3"/>
        <v>0</v>
      </c>
      <c r="AB13">
        <f t="shared" si="4"/>
        <v>-0.89999999999999858</v>
      </c>
    </row>
    <row r="14" spans="1:28">
      <c r="A14" s="2" t="s">
        <v>11</v>
      </c>
      <c r="B14" s="1">
        <v>146</v>
      </c>
      <c r="C14" s="1"/>
      <c r="D14" s="1"/>
      <c r="E14" s="1">
        <v>114</v>
      </c>
      <c r="F14" s="1"/>
      <c r="G14" s="1"/>
      <c r="H14" s="1"/>
      <c r="I14" s="1">
        <v>99</v>
      </c>
      <c r="J14" s="1">
        <v>99</v>
      </c>
      <c r="K14" s="1"/>
      <c r="L14" s="1"/>
      <c r="M14" s="1">
        <v>15</v>
      </c>
      <c r="N14" s="1">
        <v>0.2</v>
      </c>
      <c r="O14" s="1">
        <v>15</v>
      </c>
      <c r="P14" s="1"/>
      <c r="Q14" s="1"/>
      <c r="R14" s="1"/>
      <c r="S14" s="1"/>
      <c r="T14" s="1">
        <v>11</v>
      </c>
      <c r="U14" s="1">
        <v>20</v>
      </c>
      <c r="V14" s="1"/>
      <c r="X14">
        <f t="shared" si="0"/>
        <v>1</v>
      </c>
      <c r="Y14">
        <f t="shared" si="1"/>
        <v>0</v>
      </c>
      <c r="Z14">
        <f t="shared" si="2"/>
        <v>0</v>
      </c>
      <c r="AA14">
        <f t="shared" si="3"/>
        <v>0</v>
      </c>
      <c r="AB14">
        <f t="shared" si="4"/>
        <v>-0.19999999999999929</v>
      </c>
    </row>
    <row r="15" spans="1:28">
      <c r="A15" s="2" t="s">
        <v>12</v>
      </c>
      <c r="B15" s="1">
        <v>791</v>
      </c>
      <c r="C15" s="1"/>
      <c r="D15" s="1"/>
      <c r="E15" s="1">
        <v>456</v>
      </c>
      <c r="F15" s="1">
        <v>289</v>
      </c>
      <c r="G15" s="1">
        <v>289</v>
      </c>
      <c r="H15" s="1"/>
      <c r="I15" s="1">
        <v>111</v>
      </c>
      <c r="J15" s="1">
        <v>111</v>
      </c>
      <c r="K15" s="1"/>
      <c r="L15" s="1"/>
      <c r="M15" s="1">
        <v>56</v>
      </c>
      <c r="N15" s="1">
        <v>15</v>
      </c>
      <c r="O15" s="1">
        <v>34</v>
      </c>
      <c r="P15" s="1">
        <v>8</v>
      </c>
      <c r="Q15" s="1"/>
      <c r="R15" s="1"/>
      <c r="S15" s="1"/>
      <c r="T15" s="1">
        <v>176</v>
      </c>
      <c r="U15" s="1">
        <v>159</v>
      </c>
      <c r="V15" s="1"/>
      <c r="X15">
        <f t="shared" si="0"/>
        <v>0</v>
      </c>
      <c r="Y15">
        <f t="shared" si="1"/>
        <v>0</v>
      </c>
      <c r="Z15">
        <f t="shared" si="2"/>
        <v>0</v>
      </c>
      <c r="AA15">
        <f t="shared" si="3"/>
        <v>0</v>
      </c>
      <c r="AB15">
        <f t="shared" si="4"/>
        <v>-1</v>
      </c>
    </row>
    <row r="16" spans="1:28">
      <c r="A16" s="2" t="s">
        <v>13</v>
      </c>
      <c r="B16" s="1">
        <v>297</v>
      </c>
      <c r="C16" s="1">
        <v>30</v>
      </c>
      <c r="D16" s="1"/>
      <c r="E16" s="1">
        <v>48</v>
      </c>
      <c r="F16" s="1">
        <v>10</v>
      </c>
      <c r="G16" s="1">
        <v>10</v>
      </c>
      <c r="H16" s="1"/>
      <c r="I16" s="1">
        <v>3</v>
      </c>
      <c r="J16" s="1">
        <v>3</v>
      </c>
      <c r="K16" s="1"/>
      <c r="L16" s="1"/>
      <c r="M16" s="1">
        <v>34</v>
      </c>
      <c r="N16" s="1">
        <v>15</v>
      </c>
      <c r="O16" s="1">
        <v>18</v>
      </c>
      <c r="P16" s="1">
        <v>2</v>
      </c>
      <c r="Q16" s="1"/>
      <c r="R16" s="1"/>
      <c r="S16" s="1"/>
      <c r="T16" s="1">
        <v>15</v>
      </c>
      <c r="U16" s="1">
        <v>205</v>
      </c>
      <c r="V16" s="1"/>
      <c r="X16">
        <f t="shared" si="0"/>
        <v>-1</v>
      </c>
      <c r="Y16">
        <f t="shared" si="1"/>
        <v>1</v>
      </c>
      <c r="Z16">
        <f t="shared" si="2"/>
        <v>0</v>
      </c>
      <c r="AA16">
        <f t="shared" si="3"/>
        <v>0</v>
      </c>
      <c r="AB16">
        <f t="shared" si="4"/>
        <v>-1</v>
      </c>
    </row>
    <row r="17" spans="1:28">
      <c r="A17" s="2" t="s">
        <v>14</v>
      </c>
      <c r="B17" s="1">
        <v>343</v>
      </c>
      <c r="C17" s="1">
        <v>36</v>
      </c>
      <c r="D17" s="1">
        <v>30</v>
      </c>
      <c r="E17" s="1">
        <v>140</v>
      </c>
      <c r="F17" s="1">
        <v>100</v>
      </c>
      <c r="G17" s="1">
        <v>100</v>
      </c>
      <c r="H17" s="1"/>
      <c r="I17" s="1"/>
      <c r="J17" s="1"/>
      <c r="K17" s="1"/>
      <c r="L17" s="1"/>
      <c r="M17" s="1">
        <v>40</v>
      </c>
      <c r="N17" s="1">
        <v>19</v>
      </c>
      <c r="O17" s="1">
        <v>10</v>
      </c>
      <c r="P17" s="1">
        <v>11</v>
      </c>
      <c r="Q17" s="1"/>
      <c r="R17" s="1"/>
      <c r="S17" s="1"/>
      <c r="T17" s="1">
        <v>30</v>
      </c>
      <c r="U17" s="1">
        <v>137</v>
      </c>
      <c r="V17" s="1"/>
      <c r="X17">
        <f t="shared" si="0"/>
        <v>0</v>
      </c>
      <c r="Y17">
        <f t="shared" si="1"/>
        <v>0</v>
      </c>
      <c r="Z17">
        <f t="shared" si="2"/>
        <v>0</v>
      </c>
      <c r="AA17">
        <f t="shared" si="3"/>
        <v>0</v>
      </c>
      <c r="AB17">
        <f t="shared" si="4"/>
        <v>0</v>
      </c>
    </row>
    <row r="18" spans="1:28">
      <c r="A18" s="2" t="s">
        <v>15</v>
      </c>
      <c r="B18" s="1">
        <v>155</v>
      </c>
      <c r="C18" s="1">
        <v>8</v>
      </c>
      <c r="D18" s="1"/>
      <c r="E18" s="1">
        <v>43</v>
      </c>
      <c r="F18" s="1">
        <v>12</v>
      </c>
      <c r="G18" s="1">
        <v>12</v>
      </c>
      <c r="H18" s="1"/>
      <c r="I18" s="1">
        <v>0.3</v>
      </c>
      <c r="J18" s="1">
        <v>0.3</v>
      </c>
      <c r="K18" s="1"/>
      <c r="L18" s="1"/>
      <c r="M18" s="1">
        <v>31</v>
      </c>
      <c r="N18" s="1">
        <v>24</v>
      </c>
      <c r="O18" s="1">
        <v>7</v>
      </c>
      <c r="P18" s="1"/>
      <c r="Q18" s="1"/>
      <c r="R18" s="1"/>
      <c r="S18" s="1"/>
      <c r="T18" s="1">
        <v>82</v>
      </c>
      <c r="U18" s="1">
        <v>22</v>
      </c>
      <c r="V18" s="1"/>
      <c r="X18">
        <f t="shared" si="0"/>
        <v>0</v>
      </c>
      <c r="Y18">
        <f t="shared" si="1"/>
        <v>-0.30000000000000071</v>
      </c>
      <c r="Z18">
        <f t="shared" si="2"/>
        <v>0</v>
      </c>
      <c r="AA18">
        <f t="shared" si="3"/>
        <v>0</v>
      </c>
      <c r="AB18">
        <f t="shared" si="4"/>
        <v>0</v>
      </c>
    </row>
    <row r="19" spans="1:28">
      <c r="A19" s="2" t="s">
        <v>16</v>
      </c>
      <c r="B19" s="1">
        <v>195</v>
      </c>
      <c r="C19" s="1">
        <v>35</v>
      </c>
      <c r="D19" s="1"/>
      <c r="E19" s="1">
        <v>0.3</v>
      </c>
      <c r="F19" s="1"/>
      <c r="G19" s="1"/>
      <c r="H19" s="1"/>
      <c r="I19" s="1"/>
      <c r="J19" s="1"/>
      <c r="K19" s="1"/>
      <c r="L19" s="1"/>
      <c r="M19" s="1">
        <v>0.3</v>
      </c>
      <c r="N19" s="1">
        <v>0.3</v>
      </c>
      <c r="O19" s="1"/>
      <c r="P19" s="1"/>
      <c r="Q19" s="1"/>
      <c r="R19" s="1"/>
      <c r="S19" s="1"/>
      <c r="T19" s="1">
        <v>61</v>
      </c>
      <c r="U19" s="1">
        <v>99</v>
      </c>
      <c r="V19" s="1"/>
      <c r="X19">
        <f t="shared" si="0"/>
        <v>-0.30000000000001137</v>
      </c>
      <c r="Y19">
        <f t="shared" si="1"/>
        <v>0</v>
      </c>
      <c r="Z19">
        <f t="shared" si="2"/>
        <v>0</v>
      </c>
      <c r="AA19">
        <f t="shared" si="3"/>
        <v>0</v>
      </c>
      <c r="AB19">
        <f t="shared" si="4"/>
        <v>0</v>
      </c>
    </row>
    <row r="20" spans="1:28">
      <c r="A20" s="2" t="s">
        <v>17</v>
      </c>
      <c r="B20" s="1">
        <v>808</v>
      </c>
      <c r="C20" s="1">
        <v>0.1</v>
      </c>
      <c r="D20" s="1"/>
      <c r="E20" s="1">
        <v>214</v>
      </c>
      <c r="F20" s="1">
        <v>125</v>
      </c>
      <c r="G20" s="1">
        <v>125</v>
      </c>
      <c r="H20" s="1"/>
      <c r="I20" s="1">
        <v>1</v>
      </c>
      <c r="J20" s="1">
        <v>1</v>
      </c>
      <c r="K20" s="1"/>
      <c r="L20" s="1"/>
      <c r="M20" s="1">
        <v>89</v>
      </c>
      <c r="N20" s="1">
        <v>28</v>
      </c>
      <c r="O20" s="1">
        <v>31</v>
      </c>
      <c r="P20" s="1">
        <v>30</v>
      </c>
      <c r="Q20" s="1"/>
      <c r="R20" s="1"/>
      <c r="S20" s="1">
        <v>125</v>
      </c>
      <c r="T20" s="1">
        <v>213</v>
      </c>
      <c r="U20" s="1">
        <v>256</v>
      </c>
      <c r="V20" s="1"/>
      <c r="X20">
        <f t="shared" si="0"/>
        <v>-0.10000000000002274</v>
      </c>
      <c r="Y20">
        <f t="shared" si="1"/>
        <v>-1</v>
      </c>
      <c r="Z20">
        <f t="shared" si="2"/>
        <v>0</v>
      </c>
      <c r="AA20">
        <f t="shared" si="3"/>
        <v>0</v>
      </c>
      <c r="AB20">
        <f t="shared" si="4"/>
        <v>0</v>
      </c>
    </row>
    <row r="21" spans="1:28">
      <c r="A21" s="2" t="s">
        <v>18</v>
      </c>
      <c r="B21" s="1">
        <v>665</v>
      </c>
      <c r="C21" s="1">
        <v>5</v>
      </c>
      <c r="D21" s="1"/>
      <c r="E21" s="1">
        <v>261</v>
      </c>
      <c r="F21" s="1">
        <v>204</v>
      </c>
      <c r="G21" s="1">
        <v>204</v>
      </c>
      <c r="H21" s="1"/>
      <c r="I21" s="1">
        <v>35</v>
      </c>
      <c r="J21" s="1">
        <v>35</v>
      </c>
      <c r="K21" s="1"/>
      <c r="L21" s="1"/>
      <c r="M21" s="1">
        <v>23</v>
      </c>
      <c r="N21" s="1">
        <v>13</v>
      </c>
      <c r="O21" s="1">
        <v>8</v>
      </c>
      <c r="P21" s="1">
        <v>2</v>
      </c>
      <c r="Q21" s="1"/>
      <c r="R21" s="1"/>
      <c r="S21" s="1"/>
      <c r="T21" s="1">
        <v>327</v>
      </c>
      <c r="U21" s="1">
        <v>72</v>
      </c>
      <c r="V21" s="1"/>
      <c r="X21">
        <f t="shared" si="0"/>
        <v>0</v>
      </c>
      <c r="Y21">
        <f t="shared" si="1"/>
        <v>-1</v>
      </c>
      <c r="Z21">
        <f t="shared" si="2"/>
        <v>0</v>
      </c>
      <c r="AA21">
        <f t="shared" si="3"/>
        <v>0</v>
      </c>
      <c r="AB21">
        <f t="shared" si="4"/>
        <v>0</v>
      </c>
    </row>
    <row r="22" spans="1:28">
      <c r="A22" s="2" t="s">
        <v>19</v>
      </c>
      <c r="B22" s="1">
        <v>531</v>
      </c>
      <c r="C22" s="1">
        <v>6</v>
      </c>
      <c r="D22" s="1"/>
      <c r="E22" s="1">
        <v>324</v>
      </c>
      <c r="F22" s="1">
        <v>301</v>
      </c>
      <c r="G22" s="1">
        <v>301</v>
      </c>
      <c r="H22" s="1"/>
      <c r="I22" s="1"/>
      <c r="J22" s="1"/>
      <c r="K22" s="1"/>
      <c r="L22" s="1"/>
      <c r="M22" s="1">
        <v>23</v>
      </c>
      <c r="N22" s="1">
        <v>8</v>
      </c>
      <c r="O22" s="1">
        <v>2</v>
      </c>
      <c r="P22" s="1">
        <v>14</v>
      </c>
      <c r="Q22" s="1"/>
      <c r="R22" s="1"/>
      <c r="S22" s="1"/>
      <c r="T22" s="1">
        <v>76</v>
      </c>
      <c r="U22" s="1">
        <v>125</v>
      </c>
      <c r="V22" s="1"/>
      <c r="X22">
        <f t="shared" si="0"/>
        <v>0</v>
      </c>
      <c r="Y22">
        <f t="shared" si="1"/>
        <v>0</v>
      </c>
      <c r="Z22">
        <f t="shared" si="2"/>
        <v>0</v>
      </c>
      <c r="AA22">
        <f t="shared" si="3"/>
        <v>0</v>
      </c>
      <c r="AB22">
        <f t="shared" si="4"/>
        <v>-1</v>
      </c>
    </row>
    <row r="23" spans="1:28">
      <c r="A23" s="2" t="s">
        <v>20</v>
      </c>
      <c r="B23" s="1">
        <v>181</v>
      </c>
      <c r="C23" s="1">
        <v>51</v>
      </c>
      <c r="D23" s="1"/>
      <c r="E23" s="1">
        <v>19</v>
      </c>
      <c r="F23" s="1">
        <v>3</v>
      </c>
      <c r="G23" s="1">
        <v>3</v>
      </c>
      <c r="H23" s="1"/>
      <c r="I23" s="1">
        <v>1</v>
      </c>
      <c r="J23" s="1">
        <v>1</v>
      </c>
      <c r="K23" s="1"/>
      <c r="L23" s="1"/>
      <c r="M23" s="1">
        <v>15</v>
      </c>
      <c r="N23" s="1">
        <v>12</v>
      </c>
      <c r="O23" s="1">
        <v>2</v>
      </c>
      <c r="P23" s="1">
        <v>2</v>
      </c>
      <c r="Q23" s="1"/>
      <c r="R23" s="1"/>
      <c r="S23" s="1"/>
      <c r="T23" s="1">
        <v>71</v>
      </c>
      <c r="U23" s="1">
        <v>40</v>
      </c>
      <c r="V23" s="1"/>
      <c r="X23">
        <f t="shared" si="0"/>
        <v>0</v>
      </c>
      <c r="Y23">
        <f t="shared" si="1"/>
        <v>0</v>
      </c>
      <c r="Z23">
        <f t="shared" si="2"/>
        <v>0</v>
      </c>
      <c r="AA23">
        <f t="shared" si="3"/>
        <v>0</v>
      </c>
      <c r="AB23">
        <f t="shared" si="4"/>
        <v>-1</v>
      </c>
    </row>
    <row r="24" spans="1:28">
      <c r="A24" s="2" t="s">
        <v>21</v>
      </c>
      <c r="B24" s="1">
        <v>898</v>
      </c>
      <c r="C24" s="1"/>
      <c r="D24" s="1"/>
      <c r="E24" s="1">
        <v>480</v>
      </c>
      <c r="F24" s="1">
        <v>235</v>
      </c>
      <c r="G24" s="1">
        <v>235</v>
      </c>
      <c r="H24" s="1"/>
      <c r="I24" s="1">
        <v>174</v>
      </c>
      <c r="J24" s="1">
        <v>173</v>
      </c>
      <c r="K24" s="1"/>
      <c r="L24" s="1"/>
      <c r="M24" s="1">
        <v>71</v>
      </c>
      <c r="N24" s="1"/>
      <c r="O24" s="1">
        <v>71</v>
      </c>
      <c r="P24" s="1"/>
      <c r="Q24" s="1"/>
      <c r="R24" s="1"/>
      <c r="S24" s="1">
        <v>284</v>
      </c>
      <c r="T24" s="1">
        <v>31</v>
      </c>
      <c r="U24" s="1">
        <v>104</v>
      </c>
      <c r="V24" s="1"/>
      <c r="X24">
        <f t="shared" si="0"/>
        <v>-1</v>
      </c>
      <c r="Y24">
        <f t="shared" si="1"/>
        <v>0</v>
      </c>
      <c r="Z24">
        <f t="shared" si="2"/>
        <v>0</v>
      </c>
      <c r="AA24">
        <f t="shared" si="3"/>
        <v>1</v>
      </c>
      <c r="AB24">
        <f t="shared" si="4"/>
        <v>0</v>
      </c>
    </row>
    <row r="25" spans="1:28">
      <c r="A25" s="2" t="s">
        <v>22</v>
      </c>
      <c r="B25" s="1">
        <v>140</v>
      </c>
      <c r="C25" s="1">
        <v>29</v>
      </c>
      <c r="D25" s="1"/>
      <c r="E25" s="1">
        <v>11</v>
      </c>
      <c r="F25" s="1"/>
      <c r="G25" s="1"/>
      <c r="H25" s="1"/>
      <c r="I25" s="1"/>
      <c r="J25" s="1"/>
      <c r="K25" s="1"/>
      <c r="L25" s="1"/>
      <c r="M25" s="1">
        <v>11</v>
      </c>
      <c r="N25" s="1"/>
      <c r="O25" s="1">
        <v>5</v>
      </c>
      <c r="P25" s="1">
        <v>7</v>
      </c>
      <c r="Q25" s="1"/>
      <c r="R25" s="1"/>
      <c r="S25" s="1"/>
      <c r="T25" s="1">
        <v>90</v>
      </c>
      <c r="U25" s="1">
        <v>10</v>
      </c>
      <c r="V25" s="1"/>
      <c r="X25">
        <f t="shared" si="0"/>
        <v>0</v>
      </c>
      <c r="Y25">
        <f t="shared" si="1"/>
        <v>0</v>
      </c>
      <c r="Z25">
        <f t="shared" si="2"/>
        <v>0</v>
      </c>
      <c r="AA25">
        <f t="shared" si="3"/>
        <v>0</v>
      </c>
      <c r="AB25">
        <f t="shared" si="4"/>
        <v>-1</v>
      </c>
    </row>
    <row r="26" spans="1:28">
      <c r="A26" s="2" t="s">
        <v>23</v>
      </c>
      <c r="B26" s="1">
        <v>53</v>
      </c>
      <c r="C26" s="1"/>
      <c r="D26" s="1"/>
      <c r="E26" s="1">
        <v>46</v>
      </c>
      <c r="F26" s="1"/>
      <c r="G26" s="1"/>
      <c r="H26" s="1"/>
      <c r="I26" s="1">
        <v>46</v>
      </c>
      <c r="J26" s="1">
        <v>46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>
        <v>7</v>
      </c>
      <c r="V26" s="1"/>
      <c r="X26">
        <f t="shared" si="0"/>
        <v>0</v>
      </c>
      <c r="Y26">
        <f t="shared" si="1"/>
        <v>0</v>
      </c>
      <c r="Z26">
        <f t="shared" si="2"/>
        <v>0</v>
      </c>
      <c r="AA26">
        <f t="shared" si="3"/>
        <v>0</v>
      </c>
      <c r="AB26">
        <f t="shared" si="4"/>
        <v>0</v>
      </c>
    </row>
    <row r="27" spans="1:28">
      <c r="A27" s="2" t="s">
        <v>24</v>
      </c>
      <c r="B27" s="1">
        <v>51</v>
      </c>
      <c r="C27" s="1">
        <v>6</v>
      </c>
      <c r="D27" s="1"/>
      <c r="E27" s="1">
        <v>5</v>
      </c>
      <c r="F27" s="1"/>
      <c r="G27" s="1"/>
      <c r="H27" s="1"/>
      <c r="I27" s="1"/>
      <c r="J27" s="1"/>
      <c r="K27" s="1"/>
      <c r="L27" s="1"/>
      <c r="M27" s="1">
        <v>5</v>
      </c>
      <c r="N27" s="1">
        <v>5</v>
      </c>
      <c r="O27" s="1"/>
      <c r="P27" s="1"/>
      <c r="Q27" s="1"/>
      <c r="R27" s="1"/>
      <c r="S27" s="1"/>
      <c r="T27" s="1">
        <v>18</v>
      </c>
      <c r="U27" s="1">
        <v>22</v>
      </c>
      <c r="V27" s="1"/>
      <c r="X27">
        <f t="shared" si="0"/>
        <v>0</v>
      </c>
      <c r="Y27">
        <f t="shared" si="1"/>
        <v>0</v>
      </c>
      <c r="Z27">
        <f t="shared" si="2"/>
        <v>0</v>
      </c>
      <c r="AA27">
        <f t="shared" si="3"/>
        <v>0</v>
      </c>
      <c r="AB27">
        <f t="shared" si="4"/>
        <v>0</v>
      </c>
    </row>
    <row r="28" spans="1:28">
      <c r="A28" s="2" t="s">
        <v>25</v>
      </c>
      <c r="B28" s="1">
        <v>125</v>
      </c>
      <c r="C28" s="1">
        <v>27</v>
      </c>
      <c r="D28" s="1"/>
      <c r="E28" s="1">
        <v>25</v>
      </c>
      <c r="F28" s="1">
        <v>3</v>
      </c>
      <c r="G28" s="1">
        <v>3</v>
      </c>
      <c r="H28" s="1"/>
      <c r="I28" s="1"/>
      <c r="J28" s="1"/>
      <c r="K28" s="1"/>
      <c r="L28" s="1"/>
      <c r="M28" s="1">
        <v>22</v>
      </c>
      <c r="N28" s="1">
        <v>2</v>
      </c>
      <c r="O28" s="1">
        <v>14</v>
      </c>
      <c r="P28" s="1">
        <v>6</v>
      </c>
      <c r="Q28" s="1"/>
      <c r="R28" s="1"/>
      <c r="S28" s="1"/>
      <c r="T28" s="1">
        <v>66</v>
      </c>
      <c r="U28" s="1">
        <v>7</v>
      </c>
      <c r="V28" s="1"/>
      <c r="X28">
        <f t="shared" si="0"/>
        <v>0</v>
      </c>
      <c r="Y28">
        <f t="shared" si="1"/>
        <v>0</v>
      </c>
      <c r="Z28">
        <f t="shared" si="2"/>
        <v>0</v>
      </c>
      <c r="AA28">
        <f t="shared" si="3"/>
        <v>0</v>
      </c>
      <c r="AB28">
        <f t="shared" si="4"/>
        <v>0</v>
      </c>
    </row>
    <row r="29" spans="1:28">
      <c r="A29" s="2" t="s">
        <v>26</v>
      </c>
      <c r="B29" s="1">
        <v>234</v>
      </c>
      <c r="C29" s="1">
        <v>5</v>
      </c>
      <c r="D29" s="1"/>
      <c r="E29" s="1">
        <v>105</v>
      </c>
      <c r="F29" s="1">
        <v>81</v>
      </c>
      <c r="G29" s="1">
        <v>81</v>
      </c>
      <c r="H29" s="1"/>
      <c r="I29" s="1"/>
      <c r="J29" s="1"/>
      <c r="K29" s="1"/>
      <c r="L29" s="1"/>
      <c r="M29" s="1">
        <v>24</v>
      </c>
      <c r="N29" s="1"/>
      <c r="O29" s="1">
        <v>24</v>
      </c>
      <c r="P29" s="1"/>
      <c r="Q29" s="1"/>
      <c r="R29" s="1"/>
      <c r="S29" s="1"/>
      <c r="T29" s="1">
        <v>78</v>
      </c>
      <c r="U29" s="1">
        <v>45</v>
      </c>
      <c r="V29" s="1"/>
      <c r="X29">
        <f t="shared" si="0"/>
        <v>1</v>
      </c>
      <c r="Y29">
        <f t="shared" si="1"/>
        <v>0</v>
      </c>
      <c r="Z29">
        <f t="shared" si="2"/>
        <v>0</v>
      </c>
      <c r="AA29">
        <f t="shared" si="3"/>
        <v>0</v>
      </c>
      <c r="AB29">
        <f t="shared" si="4"/>
        <v>0</v>
      </c>
    </row>
    <row r="30" spans="1:28">
      <c r="A30" s="2" t="s">
        <v>27</v>
      </c>
      <c r="B30" s="1">
        <v>133</v>
      </c>
      <c r="C30" s="1">
        <v>92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7</v>
      </c>
      <c r="U30" s="1">
        <v>33</v>
      </c>
      <c r="V30" s="1"/>
      <c r="X30">
        <f t="shared" si="0"/>
        <v>1</v>
      </c>
      <c r="Y30">
        <f t="shared" si="1"/>
        <v>0</v>
      </c>
      <c r="Z30">
        <f t="shared" si="2"/>
        <v>0</v>
      </c>
      <c r="AA30">
        <f t="shared" si="3"/>
        <v>0</v>
      </c>
      <c r="AB30">
        <f t="shared" si="4"/>
        <v>0</v>
      </c>
    </row>
    <row r="31" spans="1:28">
      <c r="A31" s="2" t="s">
        <v>28</v>
      </c>
      <c r="B31" s="1">
        <v>26</v>
      </c>
      <c r="C31" s="1">
        <v>14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12</v>
      </c>
      <c r="V31" s="1"/>
      <c r="X31">
        <f t="shared" si="0"/>
        <v>0</v>
      </c>
      <c r="Y31">
        <f t="shared" si="1"/>
        <v>0</v>
      </c>
      <c r="Z31">
        <f t="shared" si="2"/>
        <v>0</v>
      </c>
      <c r="AA31">
        <f t="shared" si="3"/>
        <v>0</v>
      </c>
      <c r="AB31">
        <f t="shared" si="4"/>
        <v>0</v>
      </c>
    </row>
    <row r="32" spans="1:28">
      <c r="A32" s="2" t="s">
        <v>29</v>
      </c>
      <c r="B32" s="1">
        <v>740</v>
      </c>
      <c r="C32" s="1">
        <v>11</v>
      </c>
      <c r="D32" s="1"/>
      <c r="E32" s="1">
        <v>430</v>
      </c>
      <c r="F32" s="1">
        <v>417</v>
      </c>
      <c r="G32" s="1">
        <v>417</v>
      </c>
      <c r="H32" s="1"/>
      <c r="I32" s="1"/>
      <c r="J32" s="1"/>
      <c r="K32" s="1"/>
      <c r="L32" s="1"/>
      <c r="M32" s="1">
        <v>13</v>
      </c>
      <c r="N32" s="1">
        <v>3</v>
      </c>
      <c r="O32" s="1">
        <v>6</v>
      </c>
      <c r="P32" s="1">
        <v>4</v>
      </c>
      <c r="Q32" s="1"/>
      <c r="R32" s="1"/>
      <c r="S32" s="1"/>
      <c r="T32" s="1">
        <v>117</v>
      </c>
      <c r="U32" s="1">
        <v>182</v>
      </c>
      <c r="V32" s="1"/>
      <c r="X32">
        <f t="shared" si="0"/>
        <v>0</v>
      </c>
      <c r="Y32">
        <f t="shared" si="1"/>
        <v>0</v>
      </c>
      <c r="Z32">
        <f t="shared" si="2"/>
        <v>0</v>
      </c>
      <c r="AA32">
        <f t="shared" si="3"/>
        <v>0</v>
      </c>
      <c r="AB32">
        <f t="shared" si="4"/>
        <v>0</v>
      </c>
    </row>
    <row r="33" spans="1:28">
      <c r="A33" s="2" t="s">
        <v>30</v>
      </c>
      <c r="B33" s="1">
        <v>108</v>
      </c>
      <c r="C33" s="1">
        <v>15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v>12</v>
      </c>
      <c r="U33" s="1">
        <v>81</v>
      </c>
      <c r="V33" s="1"/>
      <c r="X33">
        <f t="shared" si="0"/>
        <v>0</v>
      </c>
      <c r="Y33">
        <f t="shared" si="1"/>
        <v>0</v>
      </c>
      <c r="Z33">
        <f t="shared" si="2"/>
        <v>0</v>
      </c>
      <c r="AA33">
        <f t="shared" si="3"/>
        <v>0</v>
      </c>
      <c r="AB33">
        <f t="shared" si="4"/>
        <v>0</v>
      </c>
    </row>
    <row r="34" spans="1:28">
      <c r="A34" s="2" t="s">
        <v>31</v>
      </c>
      <c r="B34" s="1">
        <v>338</v>
      </c>
      <c r="C34" s="1">
        <v>0.3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195</v>
      </c>
      <c r="U34" s="1">
        <v>142</v>
      </c>
      <c r="V34" s="1"/>
      <c r="X34">
        <f t="shared" si="0"/>
        <v>0.69999999999998863</v>
      </c>
      <c r="Y34">
        <f t="shared" si="1"/>
        <v>0</v>
      </c>
      <c r="Z34">
        <f t="shared" si="2"/>
        <v>0</v>
      </c>
      <c r="AA34">
        <f t="shared" si="3"/>
        <v>0</v>
      </c>
      <c r="AB34">
        <f t="shared" si="4"/>
        <v>0</v>
      </c>
    </row>
    <row r="35" spans="1:28">
      <c r="A35" s="2" t="s">
        <v>32</v>
      </c>
      <c r="B35" s="1">
        <v>600</v>
      </c>
      <c r="C35" s="1">
        <v>0.4</v>
      </c>
      <c r="D35" s="1"/>
      <c r="E35" s="1">
        <v>367</v>
      </c>
      <c r="F35" s="1">
        <v>366</v>
      </c>
      <c r="G35" s="1">
        <v>366</v>
      </c>
      <c r="H35" s="1"/>
      <c r="I35" s="1"/>
      <c r="J35" s="1"/>
      <c r="K35" s="1"/>
      <c r="L35" s="1"/>
      <c r="M35" s="1">
        <v>1</v>
      </c>
      <c r="N35" s="1">
        <v>1</v>
      </c>
      <c r="O35" s="1"/>
      <c r="P35" s="1"/>
      <c r="Q35" s="1"/>
      <c r="R35" s="1"/>
      <c r="S35" s="1"/>
      <c r="T35" s="1">
        <v>110</v>
      </c>
      <c r="U35" s="1">
        <v>123</v>
      </c>
      <c r="V35" s="1"/>
      <c r="X35">
        <f t="shared" si="0"/>
        <v>-0.39999999999997726</v>
      </c>
      <c r="Y35">
        <f t="shared" si="1"/>
        <v>0</v>
      </c>
      <c r="Z35">
        <f t="shared" si="2"/>
        <v>0</v>
      </c>
      <c r="AA35">
        <f t="shared" si="3"/>
        <v>0</v>
      </c>
      <c r="AB35">
        <f t="shared" si="4"/>
        <v>0</v>
      </c>
    </row>
    <row r="36" spans="1:28" ht="13.5" customHeight="1">
      <c r="A36" s="2" t="s">
        <v>33</v>
      </c>
      <c r="B36" s="1">
        <v>469</v>
      </c>
      <c r="C36" s="1">
        <v>10</v>
      </c>
      <c r="D36" s="1"/>
      <c r="E36" s="1">
        <v>298</v>
      </c>
      <c r="F36" s="1">
        <v>286</v>
      </c>
      <c r="G36" s="1">
        <v>286</v>
      </c>
      <c r="H36" s="1"/>
      <c r="I36" s="1"/>
      <c r="J36" s="1"/>
      <c r="K36" s="1"/>
      <c r="L36" s="1"/>
      <c r="M36" s="1">
        <v>12</v>
      </c>
      <c r="N36" s="1">
        <v>7</v>
      </c>
      <c r="O36" s="1">
        <v>4</v>
      </c>
      <c r="P36" s="1">
        <v>2</v>
      </c>
      <c r="Q36" s="1"/>
      <c r="R36" s="1"/>
      <c r="S36" s="1"/>
      <c r="T36" s="1">
        <v>65</v>
      </c>
      <c r="U36" s="1">
        <v>96</v>
      </c>
      <c r="V36" s="1"/>
      <c r="X36">
        <f t="shared" si="0"/>
        <v>0</v>
      </c>
      <c r="Y36">
        <f t="shared" si="1"/>
        <v>0</v>
      </c>
      <c r="Z36">
        <f t="shared" si="2"/>
        <v>0</v>
      </c>
      <c r="AA36">
        <f t="shared" si="3"/>
        <v>0</v>
      </c>
      <c r="AB36">
        <f t="shared" si="4"/>
        <v>-1</v>
      </c>
    </row>
    <row r="38" spans="1:28">
      <c r="B38">
        <f>B5-SUM(B6:B36)</f>
        <v>0</v>
      </c>
      <c r="C38">
        <f t="shared" ref="C38:V38" si="5">C5-SUM(C6:C36)</f>
        <v>6.0000000000002274E-2</v>
      </c>
      <c r="D38">
        <f t="shared" si="5"/>
        <v>0</v>
      </c>
      <c r="E38">
        <f t="shared" si="5"/>
        <v>2.6999999999998181</v>
      </c>
      <c r="F38">
        <f t="shared" si="5"/>
        <v>0</v>
      </c>
      <c r="H38">
        <f t="shared" si="5"/>
        <v>0</v>
      </c>
      <c r="I38">
        <f t="shared" si="5"/>
        <v>-1.2999999999999545</v>
      </c>
      <c r="J38">
        <f t="shared" si="5"/>
        <v>-1.2999999999999545</v>
      </c>
      <c r="L38">
        <f t="shared" si="5"/>
        <v>0</v>
      </c>
      <c r="M38">
        <f t="shared" si="5"/>
        <v>1.7000000000000455</v>
      </c>
      <c r="N38">
        <f t="shared" si="5"/>
        <v>-0.39999999999997726</v>
      </c>
      <c r="O38">
        <f t="shared" si="5"/>
        <v>-3</v>
      </c>
      <c r="P38">
        <f t="shared" si="5"/>
        <v>-2</v>
      </c>
      <c r="S38">
        <f t="shared" si="5"/>
        <v>0</v>
      </c>
      <c r="T38">
        <f t="shared" si="5"/>
        <v>1</v>
      </c>
      <c r="U38">
        <f t="shared" si="5"/>
        <v>0</v>
      </c>
      <c r="V38">
        <f t="shared" si="5"/>
        <v>0</v>
      </c>
    </row>
  </sheetData>
  <mergeCells count="16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I3:K3"/>
    <mergeCell ref="M3:R3"/>
    <mergeCell ref="E2:R2"/>
    <mergeCell ref="D3:D4"/>
    <mergeCell ref="E3:E4"/>
    <mergeCell ref="F3:H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B5A2-B9C3-4DE7-8168-9FF3324DBF3B}">
  <dimension ref="A1:AG38"/>
  <sheetViews>
    <sheetView workbookViewId="0">
      <selection activeCell="V5" sqref="B5:V5"/>
    </sheetView>
  </sheetViews>
  <sheetFormatPr defaultRowHeight="12.75"/>
  <cols>
    <col min="1" max="22" width="7.5703125" customWidth="1"/>
  </cols>
  <sheetData>
    <row r="1" spans="1:33" ht="12.75" customHeight="1">
      <c r="A1" s="58" t="s">
        <v>45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33" ht="12.75" customHeight="1">
      <c r="A2" s="59" t="s">
        <v>34</v>
      </c>
      <c r="B2" s="59" t="s">
        <v>35</v>
      </c>
      <c r="C2" s="61" t="s">
        <v>36</v>
      </c>
      <c r="D2" s="61"/>
      <c r="E2" s="62" t="s">
        <v>37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59" t="s">
        <v>38</v>
      </c>
      <c r="T2" s="59" t="s">
        <v>39</v>
      </c>
      <c r="U2" s="65" t="s">
        <v>1</v>
      </c>
      <c r="V2" s="59" t="s">
        <v>40</v>
      </c>
    </row>
    <row r="3" spans="1:33">
      <c r="A3" s="60"/>
      <c r="B3" s="59"/>
      <c r="C3" s="59" t="s">
        <v>35</v>
      </c>
      <c r="D3" s="59" t="s">
        <v>41</v>
      </c>
      <c r="E3" s="59" t="s">
        <v>35</v>
      </c>
      <c r="F3" s="59" t="s">
        <v>42</v>
      </c>
      <c r="G3" s="59"/>
      <c r="H3" s="59"/>
      <c r="I3" s="55" t="s">
        <v>43</v>
      </c>
      <c r="J3" s="56"/>
      <c r="K3" s="57"/>
      <c r="L3" s="59" t="s">
        <v>44</v>
      </c>
      <c r="M3" s="55" t="s">
        <v>40</v>
      </c>
      <c r="N3" s="56"/>
      <c r="O3" s="56"/>
      <c r="P3" s="56"/>
      <c r="Q3" s="56"/>
      <c r="R3" s="57"/>
      <c r="S3" s="59"/>
      <c r="T3" s="59"/>
      <c r="U3" s="65"/>
      <c r="V3" s="59"/>
      <c r="AB3" s="24" t="s">
        <v>60</v>
      </c>
      <c r="AC3" s="24" t="s">
        <v>55</v>
      </c>
      <c r="AD3" s="24" t="s">
        <v>56</v>
      </c>
      <c r="AE3" s="24" t="s">
        <v>57</v>
      </c>
      <c r="AF3" s="24" t="s">
        <v>58</v>
      </c>
    </row>
    <row r="4" spans="1:33" ht="48">
      <c r="A4" s="60"/>
      <c r="B4" s="59"/>
      <c r="C4" s="59"/>
      <c r="D4" s="59"/>
      <c r="E4" s="59"/>
      <c r="F4" s="2" t="s">
        <v>35</v>
      </c>
      <c r="G4" s="2" t="s">
        <v>65</v>
      </c>
      <c r="H4" s="2" t="s">
        <v>0</v>
      </c>
      <c r="I4" s="2" t="s">
        <v>35</v>
      </c>
      <c r="J4" s="2" t="s">
        <v>64</v>
      </c>
      <c r="K4" s="2" t="s">
        <v>46</v>
      </c>
      <c r="L4" s="59"/>
      <c r="M4" s="2" t="s">
        <v>35</v>
      </c>
      <c r="N4" s="2" t="s">
        <v>62</v>
      </c>
      <c r="O4" s="2" t="s">
        <v>61</v>
      </c>
      <c r="P4" s="2" t="s">
        <v>63</v>
      </c>
      <c r="Q4" s="10" t="s">
        <v>47</v>
      </c>
      <c r="R4" s="10" t="s">
        <v>48</v>
      </c>
      <c r="S4" s="59"/>
      <c r="T4" s="59"/>
      <c r="U4" s="65"/>
      <c r="V4" s="59"/>
      <c r="AB4" s="2" t="s">
        <v>53</v>
      </c>
      <c r="AC4" s="2" t="s">
        <v>53</v>
      </c>
      <c r="AD4" s="2" t="s">
        <v>53</v>
      </c>
      <c r="AE4" s="2" t="s">
        <v>53</v>
      </c>
      <c r="AF4" s="2" t="s">
        <v>53</v>
      </c>
    </row>
    <row r="5" spans="1:33">
      <c r="A5" s="4" t="s">
        <v>5</v>
      </c>
      <c r="B5" s="1">
        <v>19144</v>
      </c>
      <c r="C5" s="1">
        <v>1313</v>
      </c>
      <c r="D5" s="1">
        <v>120</v>
      </c>
      <c r="E5" s="1">
        <v>5660</v>
      </c>
      <c r="F5" s="1">
        <v>4030</v>
      </c>
      <c r="G5" s="1">
        <v>3861</v>
      </c>
      <c r="H5" s="1">
        <v>169</v>
      </c>
      <c r="I5" s="1">
        <v>824</v>
      </c>
      <c r="J5" s="1">
        <v>811</v>
      </c>
      <c r="K5" s="1"/>
      <c r="L5" s="1"/>
      <c r="M5" s="1">
        <v>805</v>
      </c>
      <c r="N5" s="1">
        <v>283</v>
      </c>
      <c r="O5" s="1">
        <v>300</v>
      </c>
      <c r="P5" s="1">
        <v>222</v>
      </c>
      <c r="Q5" s="1">
        <v>1</v>
      </c>
      <c r="R5" s="1"/>
      <c r="S5" s="1">
        <v>112</v>
      </c>
      <c r="T5" s="1">
        <v>7211</v>
      </c>
      <c r="U5" s="1">
        <v>4820</v>
      </c>
      <c r="V5" s="1">
        <v>28</v>
      </c>
      <c r="X5">
        <f>B5-C5-E5-S5-T5-U5-V5</f>
        <v>0</v>
      </c>
      <c r="Y5">
        <f>E5-F5-I5-L5-M5</f>
        <v>1</v>
      </c>
      <c r="Z5">
        <f>M5-N5-O5-P5</f>
        <v>0</v>
      </c>
      <c r="AB5" s="15">
        <v>19144</v>
      </c>
      <c r="AC5" s="16">
        <v>1313</v>
      </c>
      <c r="AD5" s="16">
        <v>5660</v>
      </c>
      <c r="AE5" s="16">
        <v>7211</v>
      </c>
      <c r="AF5" s="17">
        <v>4820</v>
      </c>
      <c r="AG5">
        <f>AB5-AC5-AD5-AE5-AF5</f>
        <v>140</v>
      </c>
    </row>
    <row r="6" spans="1:33">
      <c r="A6" s="2" t="s">
        <v>6</v>
      </c>
      <c r="B6" s="1">
        <v>24</v>
      </c>
      <c r="C6" s="1"/>
      <c r="D6" s="1"/>
      <c r="E6" s="1">
        <v>9</v>
      </c>
      <c r="F6" s="1"/>
      <c r="G6" s="1"/>
      <c r="H6" s="1"/>
      <c r="I6" s="1">
        <v>7</v>
      </c>
      <c r="J6" s="1">
        <v>7</v>
      </c>
      <c r="K6" s="1"/>
      <c r="L6" s="1"/>
      <c r="M6" s="1">
        <v>2</v>
      </c>
      <c r="N6" s="1"/>
      <c r="O6" s="1">
        <v>2</v>
      </c>
      <c r="P6" s="1"/>
      <c r="Q6" s="1"/>
      <c r="R6" s="1"/>
      <c r="S6" s="1"/>
      <c r="T6" s="1">
        <v>5</v>
      </c>
      <c r="U6" s="1">
        <v>11</v>
      </c>
      <c r="V6" s="1"/>
      <c r="X6">
        <f t="shared" ref="X6:X36" si="0">B6-C6-E6-S6-T6-U6-V6</f>
        <v>-1</v>
      </c>
      <c r="Y6">
        <f t="shared" ref="Y6:Y36" si="1">E6-F6-I6-L6-M6</f>
        <v>0</v>
      </c>
      <c r="Z6">
        <f t="shared" ref="Z6:Z36" si="2">M6-N6-O6-P6</f>
        <v>0</v>
      </c>
      <c r="AB6" s="18">
        <v>24</v>
      </c>
      <c r="AC6" s="19"/>
      <c r="AD6" s="20">
        <v>9</v>
      </c>
      <c r="AE6" s="20">
        <v>5</v>
      </c>
      <c r="AF6" s="21">
        <v>11</v>
      </c>
      <c r="AG6">
        <f t="shared" ref="AG6:AG36" si="3">AB6-AC6-AD6-AE6-AF6</f>
        <v>-1</v>
      </c>
    </row>
    <row r="7" spans="1:33">
      <c r="A7" s="2" t="s">
        <v>7</v>
      </c>
      <c r="B7" s="1">
        <v>147</v>
      </c>
      <c r="C7" s="1"/>
      <c r="D7" s="1"/>
      <c r="E7" s="1">
        <v>94</v>
      </c>
      <c r="F7" s="1">
        <v>5</v>
      </c>
      <c r="G7" s="1">
        <v>5</v>
      </c>
      <c r="H7" s="1"/>
      <c r="I7" s="1">
        <v>65</v>
      </c>
      <c r="J7" s="1">
        <v>65</v>
      </c>
      <c r="K7" s="1"/>
      <c r="L7" s="1"/>
      <c r="M7" s="1">
        <v>24</v>
      </c>
      <c r="N7" s="1">
        <v>7</v>
      </c>
      <c r="O7" s="1">
        <v>17</v>
      </c>
      <c r="P7" s="1"/>
      <c r="Q7" s="1"/>
      <c r="R7" s="1"/>
      <c r="S7" s="1"/>
      <c r="T7" s="1">
        <v>32</v>
      </c>
      <c r="U7" s="1">
        <v>21</v>
      </c>
      <c r="V7" s="1"/>
      <c r="X7">
        <f t="shared" si="0"/>
        <v>0</v>
      </c>
      <c r="Y7">
        <f t="shared" si="1"/>
        <v>0</v>
      </c>
      <c r="Z7">
        <f t="shared" si="2"/>
        <v>0</v>
      </c>
      <c r="AB7" s="18">
        <v>147</v>
      </c>
      <c r="AC7" s="19"/>
      <c r="AD7" s="20">
        <v>94</v>
      </c>
      <c r="AE7" s="20">
        <v>32</v>
      </c>
      <c r="AF7" s="21">
        <v>21</v>
      </c>
      <c r="AG7">
        <f t="shared" si="3"/>
        <v>0</v>
      </c>
    </row>
    <row r="8" spans="1:33">
      <c r="A8" s="2" t="s">
        <v>8</v>
      </c>
      <c r="B8" s="1">
        <v>1720</v>
      </c>
      <c r="C8" s="1">
        <v>0.3</v>
      </c>
      <c r="D8" s="1"/>
      <c r="E8" s="1">
        <v>361</v>
      </c>
      <c r="F8" s="1">
        <v>284</v>
      </c>
      <c r="G8" s="1">
        <v>284</v>
      </c>
      <c r="H8" s="1"/>
      <c r="I8" s="1">
        <v>47</v>
      </c>
      <c r="J8" s="1">
        <v>47</v>
      </c>
      <c r="K8" s="1"/>
      <c r="L8" s="1"/>
      <c r="M8" s="1">
        <v>31</v>
      </c>
      <c r="N8" s="1">
        <v>9</v>
      </c>
      <c r="O8" s="1">
        <v>9</v>
      </c>
      <c r="P8" s="1">
        <v>13</v>
      </c>
      <c r="Q8" s="1"/>
      <c r="R8" s="1"/>
      <c r="S8" s="1"/>
      <c r="T8" s="1">
        <v>642</v>
      </c>
      <c r="U8" s="1">
        <v>715</v>
      </c>
      <c r="V8" s="1">
        <v>1</v>
      </c>
      <c r="X8">
        <f t="shared" si="0"/>
        <v>0.70000000000004547</v>
      </c>
      <c r="Y8">
        <f t="shared" si="1"/>
        <v>-1</v>
      </c>
      <c r="Z8">
        <f t="shared" si="2"/>
        <v>0</v>
      </c>
      <c r="AB8" s="18">
        <v>1720</v>
      </c>
      <c r="AC8" s="20">
        <v>0.3</v>
      </c>
      <c r="AD8" s="20">
        <v>361</v>
      </c>
      <c r="AE8" s="20">
        <v>642</v>
      </c>
      <c r="AF8" s="21">
        <v>715</v>
      </c>
      <c r="AG8">
        <f t="shared" si="3"/>
        <v>1.7000000000000455</v>
      </c>
    </row>
    <row r="9" spans="1:33">
      <c r="A9" s="2" t="s">
        <v>9</v>
      </c>
      <c r="B9" s="1">
        <v>1225</v>
      </c>
      <c r="C9" s="1">
        <v>0.1</v>
      </c>
      <c r="D9" s="1"/>
      <c r="E9" s="1">
        <v>284</v>
      </c>
      <c r="F9" s="1">
        <v>271</v>
      </c>
      <c r="G9" s="1">
        <v>104</v>
      </c>
      <c r="H9" s="1">
        <v>167</v>
      </c>
      <c r="I9" s="1">
        <v>10</v>
      </c>
      <c r="J9" s="1"/>
      <c r="K9" s="1"/>
      <c r="L9" s="1"/>
      <c r="M9" s="1">
        <v>4</v>
      </c>
      <c r="N9" s="1">
        <v>2</v>
      </c>
      <c r="O9" s="1"/>
      <c r="P9" s="1">
        <v>2</v>
      </c>
      <c r="Q9" s="1"/>
      <c r="R9" s="1"/>
      <c r="S9" s="1"/>
      <c r="T9" s="1">
        <v>720</v>
      </c>
      <c r="U9" s="1">
        <v>220</v>
      </c>
      <c r="V9" s="1"/>
      <c r="X9">
        <f t="shared" si="0"/>
        <v>0.90000000000009095</v>
      </c>
      <c r="Y9">
        <f t="shared" si="1"/>
        <v>-1</v>
      </c>
      <c r="Z9">
        <f t="shared" si="2"/>
        <v>0</v>
      </c>
      <c r="AB9" s="18">
        <v>1225</v>
      </c>
      <c r="AC9" s="20">
        <v>0.1</v>
      </c>
      <c r="AD9" s="20">
        <v>284</v>
      </c>
      <c r="AE9" s="20">
        <v>720</v>
      </c>
      <c r="AF9" s="21">
        <v>220</v>
      </c>
      <c r="AG9">
        <f t="shared" si="3"/>
        <v>0.90000000000009095</v>
      </c>
    </row>
    <row r="10" spans="1:33">
      <c r="A10" s="2" t="s">
        <v>2</v>
      </c>
      <c r="B10" s="1">
        <v>1413</v>
      </c>
      <c r="C10" s="1"/>
      <c r="D10" s="1"/>
      <c r="E10" s="1">
        <v>423</v>
      </c>
      <c r="F10" s="1">
        <v>414</v>
      </c>
      <c r="G10" s="1">
        <v>414</v>
      </c>
      <c r="H10" s="1"/>
      <c r="I10" s="1"/>
      <c r="J10" s="1"/>
      <c r="K10" s="1"/>
      <c r="L10" s="1"/>
      <c r="M10" s="1">
        <v>9</v>
      </c>
      <c r="N10" s="1">
        <v>1</v>
      </c>
      <c r="O10" s="1">
        <v>2</v>
      </c>
      <c r="P10" s="1">
        <v>6</v>
      </c>
      <c r="Q10" s="1"/>
      <c r="R10" s="1"/>
      <c r="S10" s="1"/>
      <c r="T10" s="1">
        <v>843</v>
      </c>
      <c r="U10" s="1">
        <v>147</v>
      </c>
      <c r="V10" s="1"/>
      <c r="X10">
        <f t="shared" si="0"/>
        <v>0</v>
      </c>
      <c r="Y10">
        <f t="shared" si="1"/>
        <v>0</v>
      </c>
      <c r="Z10">
        <f t="shared" si="2"/>
        <v>0</v>
      </c>
      <c r="AB10" s="18">
        <v>1413</v>
      </c>
      <c r="AC10" s="19"/>
      <c r="AD10" s="20">
        <v>423</v>
      </c>
      <c r="AE10" s="20">
        <v>843</v>
      </c>
      <c r="AF10" s="21">
        <v>147</v>
      </c>
      <c r="AG10">
        <f t="shared" si="3"/>
        <v>0</v>
      </c>
    </row>
    <row r="11" spans="1:33">
      <c r="A11" s="2" t="s">
        <v>10</v>
      </c>
      <c r="B11" s="1">
        <v>302</v>
      </c>
      <c r="C11" s="1">
        <v>0.1</v>
      </c>
      <c r="D11" s="1"/>
      <c r="E11" s="1">
        <v>98</v>
      </c>
      <c r="F11" s="1">
        <v>80</v>
      </c>
      <c r="G11" s="1">
        <v>80</v>
      </c>
      <c r="H11" s="1"/>
      <c r="I11" s="1">
        <v>10</v>
      </c>
      <c r="J11" s="1">
        <v>10</v>
      </c>
      <c r="K11" s="1"/>
      <c r="L11" s="1"/>
      <c r="M11" s="1">
        <v>8</v>
      </c>
      <c r="N11" s="1"/>
      <c r="O11" s="1">
        <v>2</v>
      </c>
      <c r="P11" s="1">
        <v>6</v>
      </c>
      <c r="Q11" s="1"/>
      <c r="R11" s="1"/>
      <c r="S11" s="1"/>
      <c r="T11" s="1">
        <v>147</v>
      </c>
      <c r="U11" s="1">
        <v>56</v>
      </c>
      <c r="V11" s="1"/>
      <c r="X11">
        <f t="shared" si="0"/>
        <v>0.89999999999997726</v>
      </c>
      <c r="Y11">
        <f t="shared" si="1"/>
        <v>0</v>
      </c>
      <c r="Z11">
        <f t="shared" si="2"/>
        <v>0</v>
      </c>
      <c r="AB11" s="18">
        <v>302</v>
      </c>
      <c r="AC11" s="20">
        <v>0.1</v>
      </c>
      <c r="AD11" s="20">
        <v>98</v>
      </c>
      <c r="AE11" s="20">
        <v>147</v>
      </c>
      <c r="AF11" s="21">
        <v>56</v>
      </c>
      <c r="AG11">
        <f t="shared" si="3"/>
        <v>0.89999999999997726</v>
      </c>
    </row>
    <row r="12" spans="1:33">
      <c r="A12" s="2" t="s">
        <v>3</v>
      </c>
      <c r="B12" s="1">
        <v>170</v>
      </c>
      <c r="C12" s="1">
        <v>69</v>
      </c>
      <c r="D12" s="1"/>
      <c r="E12" s="1">
        <v>4</v>
      </c>
      <c r="F12" s="1"/>
      <c r="G12" s="1"/>
      <c r="H12" s="1"/>
      <c r="I12" s="1"/>
      <c r="J12" s="1"/>
      <c r="K12" s="1"/>
      <c r="L12" s="1"/>
      <c r="M12" s="1">
        <v>4</v>
      </c>
      <c r="N12" s="1"/>
      <c r="O12" s="1"/>
      <c r="P12" s="1">
        <v>4</v>
      </c>
      <c r="Q12" s="1"/>
      <c r="R12" s="1"/>
      <c r="S12" s="1"/>
      <c r="T12" s="1">
        <v>39</v>
      </c>
      <c r="U12" s="1">
        <v>59</v>
      </c>
      <c r="V12" s="1"/>
      <c r="X12">
        <f t="shared" si="0"/>
        <v>-1</v>
      </c>
      <c r="Y12">
        <f t="shared" si="1"/>
        <v>0</v>
      </c>
      <c r="Z12">
        <f t="shared" si="2"/>
        <v>0</v>
      </c>
      <c r="AB12" s="18">
        <v>170</v>
      </c>
      <c r="AC12" s="20">
        <v>69</v>
      </c>
      <c r="AD12" s="20">
        <v>4</v>
      </c>
      <c r="AE12" s="20">
        <v>39</v>
      </c>
      <c r="AF12" s="21">
        <v>59</v>
      </c>
      <c r="AG12">
        <f t="shared" si="3"/>
        <v>-1</v>
      </c>
    </row>
    <row r="13" spans="1:33">
      <c r="A13" s="2" t="s">
        <v>4</v>
      </c>
      <c r="B13" s="1">
        <v>301</v>
      </c>
      <c r="C13" s="1">
        <v>2</v>
      </c>
      <c r="D13" s="1"/>
      <c r="E13" s="1">
        <v>180</v>
      </c>
      <c r="F13" s="1">
        <v>135</v>
      </c>
      <c r="G13" s="1">
        <v>135</v>
      </c>
      <c r="H13" s="1"/>
      <c r="I13" s="1">
        <v>1</v>
      </c>
      <c r="J13" s="1">
        <v>1</v>
      </c>
      <c r="K13" s="1"/>
      <c r="L13" s="1"/>
      <c r="M13" s="1">
        <v>44</v>
      </c>
      <c r="N13" s="1">
        <v>10</v>
      </c>
      <c r="O13" s="1">
        <v>2</v>
      </c>
      <c r="P13" s="1">
        <v>32</v>
      </c>
      <c r="Q13" s="1"/>
      <c r="R13" s="1"/>
      <c r="S13" s="1"/>
      <c r="T13" s="1">
        <v>76</v>
      </c>
      <c r="U13" s="1">
        <v>44</v>
      </c>
      <c r="V13" s="1"/>
      <c r="X13">
        <f t="shared" si="0"/>
        <v>-1</v>
      </c>
      <c r="Y13">
        <f t="shared" si="1"/>
        <v>0</v>
      </c>
      <c r="Z13">
        <f t="shared" si="2"/>
        <v>0</v>
      </c>
      <c r="AB13" s="18">
        <v>301</v>
      </c>
      <c r="AC13" s="20">
        <v>2</v>
      </c>
      <c r="AD13" s="20">
        <v>180</v>
      </c>
      <c r="AE13" s="20">
        <v>76</v>
      </c>
      <c r="AF13" s="21">
        <v>44</v>
      </c>
      <c r="AG13">
        <f t="shared" si="3"/>
        <v>-1</v>
      </c>
    </row>
    <row r="14" spans="1:33">
      <c r="A14" s="2" t="s">
        <v>11</v>
      </c>
      <c r="B14" s="1">
        <v>30</v>
      </c>
      <c r="C14" s="1"/>
      <c r="D14" s="1"/>
      <c r="E14" s="1">
        <v>1</v>
      </c>
      <c r="F14" s="1"/>
      <c r="G14" s="1"/>
      <c r="H14" s="1"/>
      <c r="I14" s="1"/>
      <c r="J14" s="1"/>
      <c r="K14" s="1"/>
      <c r="L14" s="1"/>
      <c r="M14" s="1">
        <v>1</v>
      </c>
      <c r="N14" s="1">
        <v>1</v>
      </c>
      <c r="O14" s="1"/>
      <c r="P14" s="1"/>
      <c r="Q14" s="1"/>
      <c r="R14" s="1"/>
      <c r="S14" s="1"/>
      <c r="T14" s="1">
        <v>1</v>
      </c>
      <c r="U14" s="1">
        <v>28</v>
      </c>
      <c r="V14" s="1"/>
      <c r="X14">
        <f t="shared" si="0"/>
        <v>0</v>
      </c>
      <c r="Y14">
        <f t="shared" si="1"/>
        <v>0</v>
      </c>
      <c r="Z14">
        <f t="shared" si="2"/>
        <v>0</v>
      </c>
      <c r="AB14" s="18">
        <v>30</v>
      </c>
      <c r="AC14" s="19"/>
      <c r="AD14" s="20">
        <v>1</v>
      </c>
      <c r="AE14" s="20">
        <v>1</v>
      </c>
      <c r="AF14" s="21">
        <v>28</v>
      </c>
      <c r="AG14">
        <f t="shared" si="3"/>
        <v>0</v>
      </c>
    </row>
    <row r="15" spans="1:33">
      <c r="A15" s="2" t="s">
        <v>12</v>
      </c>
      <c r="B15" s="1">
        <v>996</v>
      </c>
      <c r="C15" s="1"/>
      <c r="D15" s="1"/>
      <c r="E15" s="1">
        <v>168</v>
      </c>
      <c r="F15" s="1">
        <v>23</v>
      </c>
      <c r="G15" s="1">
        <v>23</v>
      </c>
      <c r="H15" s="1"/>
      <c r="I15" s="1">
        <v>88</v>
      </c>
      <c r="J15" s="1">
        <v>88</v>
      </c>
      <c r="K15" s="1"/>
      <c r="L15" s="1"/>
      <c r="M15" s="1">
        <v>58</v>
      </c>
      <c r="N15" s="1">
        <v>13</v>
      </c>
      <c r="O15" s="1">
        <v>24</v>
      </c>
      <c r="P15" s="1">
        <v>21</v>
      </c>
      <c r="Q15" s="1"/>
      <c r="R15" s="1"/>
      <c r="S15" s="1">
        <v>112</v>
      </c>
      <c r="T15" s="1">
        <v>506</v>
      </c>
      <c r="U15" s="1">
        <v>198</v>
      </c>
      <c r="V15" s="1">
        <v>13</v>
      </c>
      <c r="X15">
        <f t="shared" si="0"/>
        <v>-1</v>
      </c>
      <c r="Y15">
        <f t="shared" si="1"/>
        <v>-1</v>
      </c>
      <c r="Z15">
        <f t="shared" si="2"/>
        <v>0</v>
      </c>
      <c r="AB15" s="18">
        <v>996</v>
      </c>
      <c r="AC15" s="19"/>
      <c r="AD15" s="20">
        <v>168</v>
      </c>
      <c r="AE15" s="20">
        <v>506</v>
      </c>
      <c r="AF15" s="21">
        <v>198</v>
      </c>
      <c r="AG15">
        <f t="shared" si="3"/>
        <v>124</v>
      </c>
    </row>
    <row r="16" spans="1:33">
      <c r="A16" s="2" t="s">
        <v>13</v>
      </c>
      <c r="B16" s="1">
        <v>421</v>
      </c>
      <c r="C16" s="1">
        <v>3</v>
      </c>
      <c r="D16" s="1"/>
      <c r="E16" s="1">
        <v>212</v>
      </c>
      <c r="F16" s="1">
        <v>149</v>
      </c>
      <c r="G16" s="1">
        <v>149</v>
      </c>
      <c r="H16" s="1"/>
      <c r="I16" s="1"/>
      <c r="J16" s="1"/>
      <c r="K16" s="1"/>
      <c r="L16" s="1"/>
      <c r="M16" s="1">
        <v>63</v>
      </c>
      <c r="N16" s="1">
        <v>11</v>
      </c>
      <c r="O16" s="1">
        <v>50</v>
      </c>
      <c r="P16" s="1">
        <v>2</v>
      </c>
      <c r="Q16" s="1"/>
      <c r="R16" s="1"/>
      <c r="S16" s="1"/>
      <c r="T16" s="1">
        <v>27</v>
      </c>
      <c r="U16" s="1">
        <v>178</v>
      </c>
      <c r="V16" s="1"/>
      <c r="X16">
        <f t="shared" si="0"/>
        <v>1</v>
      </c>
      <c r="Y16">
        <f t="shared" si="1"/>
        <v>0</v>
      </c>
      <c r="Z16">
        <f t="shared" si="2"/>
        <v>0</v>
      </c>
      <c r="AB16" s="18">
        <v>421</v>
      </c>
      <c r="AC16" s="20">
        <v>3</v>
      </c>
      <c r="AD16" s="20">
        <v>212</v>
      </c>
      <c r="AE16" s="20">
        <v>27</v>
      </c>
      <c r="AF16" s="21">
        <v>178</v>
      </c>
      <c r="AG16">
        <f t="shared" si="3"/>
        <v>1</v>
      </c>
    </row>
    <row r="17" spans="1:33">
      <c r="A17" s="2" t="s">
        <v>14</v>
      </c>
      <c r="B17" s="1">
        <v>446</v>
      </c>
      <c r="C17" s="1">
        <v>136</v>
      </c>
      <c r="D17" s="1">
        <v>120</v>
      </c>
      <c r="E17" s="1">
        <v>61</v>
      </c>
      <c r="F17" s="1">
        <v>8</v>
      </c>
      <c r="G17" s="1">
        <v>6</v>
      </c>
      <c r="H17" s="1">
        <v>2</v>
      </c>
      <c r="I17" s="1"/>
      <c r="J17" s="1"/>
      <c r="K17" s="1"/>
      <c r="L17" s="1"/>
      <c r="M17" s="1">
        <v>53</v>
      </c>
      <c r="N17" s="1">
        <v>29</v>
      </c>
      <c r="O17" s="1">
        <v>10</v>
      </c>
      <c r="P17" s="1">
        <v>14</v>
      </c>
      <c r="Q17" s="1"/>
      <c r="R17" s="1"/>
      <c r="S17" s="1"/>
      <c r="T17" s="1">
        <v>134</v>
      </c>
      <c r="U17" s="1">
        <v>116</v>
      </c>
      <c r="V17" s="1"/>
      <c r="X17">
        <f t="shared" si="0"/>
        <v>-1</v>
      </c>
      <c r="Y17">
        <f t="shared" si="1"/>
        <v>0</v>
      </c>
      <c r="Z17">
        <f t="shared" si="2"/>
        <v>0</v>
      </c>
      <c r="AB17" s="18">
        <v>446</v>
      </c>
      <c r="AC17" s="20">
        <v>136</v>
      </c>
      <c r="AD17" s="20">
        <v>61</v>
      </c>
      <c r="AE17" s="20">
        <v>134</v>
      </c>
      <c r="AF17" s="21">
        <v>116</v>
      </c>
      <c r="AG17">
        <f t="shared" si="3"/>
        <v>-1</v>
      </c>
    </row>
    <row r="18" spans="1:33">
      <c r="A18" s="2" t="s">
        <v>15</v>
      </c>
      <c r="B18" s="1">
        <v>332</v>
      </c>
      <c r="C18" s="1">
        <v>13</v>
      </c>
      <c r="D18" s="1"/>
      <c r="E18" s="1">
        <v>174</v>
      </c>
      <c r="F18" s="1">
        <v>148</v>
      </c>
      <c r="G18" s="1">
        <v>148</v>
      </c>
      <c r="H18" s="1"/>
      <c r="I18" s="1"/>
      <c r="J18" s="1"/>
      <c r="K18" s="1"/>
      <c r="L18" s="1"/>
      <c r="M18" s="1">
        <v>26</v>
      </c>
      <c r="N18" s="1">
        <v>6</v>
      </c>
      <c r="O18" s="1">
        <v>20</v>
      </c>
      <c r="P18" s="1"/>
      <c r="Q18" s="1"/>
      <c r="R18" s="1"/>
      <c r="S18" s="1"/>
      <c r="T18" s="1">
        <v>109</v>
      </c>
      <c r="U18" s="1">
        <v>33</v>
      </c>
      <c r="V18" s="1">
        <v>3</v>
      </c>
      <c r="X18">
        <f t="shared" si="0"/>
        <v>0</v>
      </c>
      <c r="Y18">
        <f t="shared" si="1"/>
        <v>0</v>
      </c>
      <c r="Z18">
        <f t="shared" si="2"/>
        <v>0</v>
      </c>
      <c r="AB18" s="18">
        <v>332</v>
      </c>
      <c r="AC18" s="20">
        <v>13</v>
      </c>
      <c r="AD18" s="20">
        <v>174</v>
      </c>
      <c r="AE18" s="20">
        <v>109</v>
      </c>
      <c r="AF18" s="21">
        <v>33</v>
      </c>
      <c r="AG18">
        <f t="shared" si="3"/>
        <v>3</v>
      </c>
    </row>
    <row r="19" spans="1:33">
      <c r="A19" s="2" t="s">
        <v>16</v>
      </c>
      <c r="B19" s="1">
        <v>620</v>
      </c>
      <c r="C19" s="1">
        <v>12</v>
      </c>
      <c r="D19" s="1"/>
      <c r="E19" s="1">
        <v>256</v>
      </c>
      <c r="F19" s="1">
        <v>138</v>
      </c>
      <c r="G19" s="1">
        <v>138</v>
      </c>
      <c r="H19" s="1"/>
      <c r="I19" s="1">
        <v>1</v>
      </c>
      <c r="J19" s="1"/>
      <c r="K19" s="1"/>
      <c r="L19" s="1"/>
      <c r="M19" s="1">
        <v>117</v>
      </c>
      <c r="N19" s="1">
        <v>87</v>
      </c>
      <c r="O19" s="1">
        <v>25</v>
      </c>
      <c r="P19" s="1">
        <v>6</v>
      </c>
      <c r="Q19" s="1">
        <v>1</v>
      </c>
      <c r="R19" s="1"/>
      <c r="S19" s="1"/>
      <c r="T19" s="1">
        <v>208</v>
      </c>
      <c r="U19" s="1">
        <v>144</v>
      </c>
      <c r="V19" s="1"/>
      <c r="X19">
        <f t="shared" si="0"/>
        <v>0</v>
      </c>
      <c r="Y19">
        <f t="shared" si="1"/>
        <v>0</v>
      </c>
      <c r="Z19">
        <f t="shared" si="2"/>
        <v>-1</v>
      </c>
      <c r="AB19" s="18">
        <v>620</v>
      </c>
      <c r="AC19" s="20">
        <v>12</v>
      </c>
      <c r="AD19" s="20">
        <v>256</v>
      </c>
      <c r="AE19" s="20">
        <v>208</v>
      </c>
      <c r="AF19" s="21">
        <v>144</v>
      </c>
      <c r="AG19">
        <f t="shared" si="3"/>
        <v>0</v>
      </c>
    </row>
    <row r="20" spans="1:33">
      <c r="A20" s="2" t="s">
        <v>17</v>
      </c>
      <c r="B20" s="1">
        <v>1708</v>
      </c>
      <c r="C20" s="1"/>
      <c r="D20" s="1"/>
      <c r="E20" s="1">
        <v>621</v>
      </c>
      <c r="F20" s="1">
        <v>521</v>
      </c>
      <c r="G20" s="1">
        <v>521</v>
      </c>
      <c r="H20" s="1"/>
      <c r="I20" s="1"/>
      <c r="J20" s="1"/>
      <c r="K20" s="1"/>
      <c r="L20" s="1"/>
      <c r="M20" s="1">
        <v>99</v>
      </c>
      <c r="N20" s="1">
        <v>27</v>
      </c>
      <c r="O20" s="1">
        <v>33</v>
      </c>
      <c r="P20" s="1">
        <v>40</v>
      </c>
      <c r="Q20" s="1"/>
      <c r="R20" s="1"/>
      <c r="S20" s="1"/>
      <c r="T20" s="1">
        <v>440</v>
      </c>
      <c r="U20" s="1">
        <v>647</v>
      </c>
      <c r="V20" s="1"/>
      <c r="X20">
        <f t="shared" si="0"/>
        <v>0</v>
      </c>
      <c r="Y20">
        <f t="shared" si="1"/>
        <v>1</v>
      </c>
      <c r="Z20">
        <f t="shared" si="2"/>
        <v>-1</v>
      </c>
      <c r="AB20" s="18">
        <v>1708</v>
      </c>
      <c r="AC20" s="19"/>
      <c r="AD20" s="20">
        <v>621</v>
      </c>
      <c r="AE20" s="20">
        <v>440</v>
      </c>
      <c r="AF20" s="21">
        <v>647</v>
      </c>
      <c r="AG20">
        <f t="shared" si="3"/>
        <v>0</v>
      </c>
    </row>
    <row r="21" spans="1:33">
      <c r="A21" s="2" t="s">
        <v>18</v>
      </c>
      <c r="B21" s="1">
        <v>1091</v>
      </c>
      <c r="C21" s="1"/>
      <c r="D21" s="1"/>
      <c r="E21" s="1">
        <v>246</v>
      </c>
      <c r="F21" s="1">
        <v>148</v>
      </c>
      <c r="G21" s="1">
        <v>148</v>
      </c>
      <c r="H21" s="1"/>
      <c r="I21" s="1">
        <v>20</v>
      </c>
      <c r="J21" s="1">
        <v>20</v>
      </c>
      <c r="K21" s="1"/>
      <c r="L21" s="1"/>
      <c r="M21" s="1">
        <v>78</v>
      </c>
      <c r="N21" s="1">
        <v>3</v>
      </c>
      <c r="O21" s="1">
        <v>28</v>
      </c>
      <c r="P21" s="1">
        <v>46</v>
      </c>
      <c r="Q21" s="1"/>
      <c r="R21" s="1"/>
      <c r="S21" s="1"/>
      <c r="T21" s="1">
        <v>724</v>
      </c>
      <c r="U21" s="1">
        <v>121</v>
      </c>
      <c r="V21" s="1"/>
      <c r="X21">
        <f t="shared" si="0"/>
        <v>0</v>
      </c>
      <c r="Y21">
        <f t="shared" si="1"/>
        <v>0</v>
      </c>
      <c r="Z21">
        <f t="shared" si="2"/>
        <v>1</v>
      </c>
      <c r="AB21" s="18">
        <v>1091</v>
      </c>
      <c r="AC21" s="19"/>
      <c r="AD21" s="20">
        <v>246</v>
      </c>
      <c r="AE21" s="20">
        <v>724</v>
      </c>
      <c r="AF21" s="21">
        <v>121</v>
      </c>
      <c r="AG21">
        <f t="shared" si="3"/>
        <v>0</v>
      </c>
    </row>
    <row r="22" spans="1:33">
      <c r="A22" s="2" t="s">
        <v>19</v>
      </c>
      <c r="B22" s="1">
        <v>420</v>
      </c>
      <c r="C22" s="1">
        <v>65</v>
      </c>
      <c r="D22" s="1"/>
      <c r="E22" s="1">
        <v>188</v>
      </c>
      <c r="F22" s="1">
        <v>138</v>
      </c>
      <c r="G22" s="1">
        <v>138</v>
      </c>
      <c r="H22" s="1"/>
      <c r="I22" s="1">
        <v>15</v>
      </c>
      <c r="J22" s="1">
        <v>15</v>
      </c>
      <c r="K22" s="1"/>
      <c r="L22" s="1"/>
      <c r="M22" s="1">
        <v>34</v>
      </c>
      <c r="N22" s="1">
        <v>16</v>
      </c>
      <c r="O22" s="1">
        <v>10</v>
      </c>
      <c r="P22" s="1">
        <v>9</v>
      </c>
      <c r="Q22" s="1"/>
      <c r="R22" s="1"/>
      <c r="S22" s="1"/>
      <c r="T22" s="1">
        <v>91</v>
      </c>
      <c r="U22" s="1">
        <v>76</v>
      </c>
      <c r="V22" s="1"/>
      <c r="X22">
        <f t="shared" si="0"/>
        <v>0</v>
      </c>
      <c r="Y22">
        <f t="shared" si="1"/>
        <v>1</v>
      </c>
      <c r="Z22">
        <f t="shared" si="2"/>
        <v>-1</v>
      </c>
      <c r="AB22" s="18">
        <v>420</v>
      </c>
      <c r="AC22" s="20">
        <v>65</v>
      </c>
      <c r="AD22" s="20">
        <v>188</v>
      </c>
      <c r="AE22" s="20">
        <v>91</v>
      </c>
      <c r="AF22" s="21">
        <v>76</v>
      </c>
      <c r="AG22">
        <f t="shared" si="3"/>
        <v>0</v>
      </c>
    </row>
    <row r="23" spans="1:33">
      <c r="A23" s="2" t="s">
        <v>20</v>
      </c>
      <c r="B23" s="1">
        <v>316</v>
      </c>
      <c r="C23" s="1">
        <v>23</v>
      </c>
      <c r="D23" s="1"/>
      <c r="E23" s="1">
        <v>5</v>
      </c>
      <c r="F23" s="1">
        <v>0.2</v>
      </c>
      <c r="G23" s="1">
        <v>0.2</v>
      </c>
      <c r="H23" s="1"/>
      <c r="I23" s="1"/>
      <c r="J23" s="1"/>
      <c r="K23" s="1"/>
      <c r="L23" s="1"/>
      <c r="M23" s="1">
        <v>5</v>
      </c>
      <c r="N23" s="1">
        <v>5</v>
      </c>
      <c r="O23" s="1">
        <v>1</v>
      </c>
      <c r="P23" s="1"/>
      <c r="Q23" s="1"/>
      <c r="R23" s="1"/>
      <c r="S23" s="1"/>
      <c r="T23" s="1">
        <v>241</v>
      </c>
      <c r="U23" s="1">
        <v>47</v>
      </c>
      <c r="V23" s="1"/>
      <c r="X23">
        <f t="shared" si="0"/>
        <v>0</v>
      </c>
      <c r="Y23">
        <f t="shared" si="1"/>
        <v>-0.20000000000000018</v>
      </c>
      <c r="Z23">
        <f t="shared" si="2"/>
        <v>-1</v>
      </c>
      <c r="AB23" s="18">
        <v>316</v>
      </c>
      <c r="AC23" s="20">
        <v>23</v>
      </c>
      <c r="AD23" s="20">
        <v>5</v>
      </c>
      <c r="AE23" s="20">
        <v>241</v>
      </c>
      <c r="AF23" s="21">
        <v>47</v>
      </c>
      <c r="AG23">
        <f t="shared" si="3"/>
        <v>0</v>
      </c>
    </row>
    <row r="24" spans="1:33">
      <c r="A24" s="2" t="s">
        <v>21</v>
      </c>
      <c r="B24" s="1">
        <v>1041</v>
      </c>
      <c r="C24" s="1"/>
      <c r="D24" s="1"/>
      <c r="E24" s="1">
        <v>741</v>
      </c>
      <c r="F24" s="1">
        <v>300</v>
      </c>
      <c r="G24" s="1">
        <v>300</v>
      </c>
      <c r="H24" s="1"/>
      <c r="I24" s="1">
        <v>441</v>
      </c>
      <c r="J24" s="1">
        <v>441</v>
      </c>
      <c r="K24" s="1"/>
      <c r="L24" s="1"/>
      <c r="M24" s="1"/>
      <c r="N24" s="1"/>
      <c r="O24" s="1"/>
      <c r="P24" s="1"/>
      <c r="Q24" s="1"/>
      <c r="R24" s="1"/>
      <c r="S24" s="1"/>
      <c r="T24" s="1">
        <v>111</v>
      </c>
      <c r="U24" s="1">
        <v>189</v>
      </c>
      <c r="V24" s="1"/>
      <c r="X24">
        <f t="shared" si="0"/>
        <v>0</v>
      </c>
      <c r="Y24">
        <f t="shared" si="1"/>
        <v>0</v>
      </c>
      <c r="Z24">
        <f t="shared" si="2"/>
        <v>0</v>
      </c>
      <c r="AB24" s="18">
        <v>1041</v>
      </c>
      <c r="AC24" s="19"/>
      <c r="AD24" s="20">
        <v>741</v>
      </c>
      <c r="AE24" s="20">
        <v>111</v>
      </c>
      <c r="AF24" s="21">
        <v>189</v>
      </c>
      <c r="AG24">
        <f t="shared" si="3"/>
        <v>0</v>
      </c>
    </row>
    <row r="25" spans="1:33">
      <c r="A25" s="2" t="s">
        <v>22</v>
      </c>
      <c r="B25" s="1">
        <v>544</v>
      </c>
      <c r="C25" s="1">
        <v>69</v>
      </c>
      <c r="D25" s="1"/>
      <c r="E25" s="1">
        <v>49</v>
      </c>
      <c r="F25" s="1">
        <v>2</v>
      </c>
      <c r="G25" s="1">
        <v>2</v>
      </c>
      <c r="H25" s="1"/>
      <c r="I25" s="1">
        <v>15</v>
      </c>
      <c r="J25" s="1">
        <v>15</v>
      </c>
      <c r="K25" s="1"/>
      <c r="L25" s="1"/>
      <c r="M25" s="1">
        <v>32</v>
      </c>
      <c r="N25" s="1">
        <v>10</v>
      </c>
      <c r="O25" s="1">
        <v>6</v>
      </c>
      <c r="P25" s="1">
        <v>16</v>
      </c>
      <c r="Q25" s="1"/>
      <c r="R25" s="1"/>
      <c r="S25" s="1"/>
      <c r="T25" s="1">
        <v>354</v>
      </c>
      <c r="U25" s="1">
        <v>72</v>
      </c>
      <c r="V25" s="1"/>
      <c r="X25">
        <f t="shared" si="0"/>
        <v>0</v>
      </c>
      <c r="Y25">
        <f>E25-F25-I25-L25-M25</f>
        <v>0</v>
      </c>
      <c r="Z25">
        <f t="shared" si="2"/>
        <v>0</v>
      </c>
      <c r="AB25" s="18">
        <v>544</v>
      </c>
      <c r="AC25" s="20">
        <v>69</v>
      </c>
      <c r="AD25" s="20">
        <v>49</v>
      </c>
      <c r="AE25" s="20">
        <v>354</v>
      </c>
      <c r="AF25" s="21">
        <v>72</v>
      </c>
      <c r="AG25">
        <f t="shared" si="3"/>
        <v>0</v>
      </c>
    </row>
    <row r="26" spans="1:33">
      <c r="A26" s="2" t="s">
        <v>23</v>
      </c>
      <c r="B26" s="1">
        <v>98</v>
      </c>
      <c r="C26" s="1"/>
      <c r="D26" s="1"/>
      <c r="E26" s="1">
        <v>98</v>
      </c>
      <c r="F26" s="1"/>
      <c r="G26" s="1"/>
      <c r="H26" s="1"/>
      <c r="I26" s="1">
        <v>96</v>
      </c>
      <c r="J26" s="1">
        <v>96</v>
      </c>
      <c r="K26" s="1"/>
      <c r="L26" s="1"/>
      <c r="M26" s="1">
        <v>2</v>
      </c>
      <c r="N26" s="1"/>
      <c r="O26" s="1">
        <v>2</v>
      </c>
      <c r="P26" s="1"/>
      <c r="Q26" s="1"/>
      <c r="R26" s="1"/>
      <c r="S26" s="1"/>
      <c r="T26" s="1"/>
      <c r="U26" s="1">
        <v>0.5</v>
      </c>
      <c r="V26" s="1"/>
      <c r="X26">
        <f t="shared" si="0"/>
        <v>-0.5</v>
      </c>
      <c r="Y26">
        <f t="shared" si="1"/>
        <v>0</v>
      </c>
      <c r="Z26">
        <f t="shared" si="2"/>
        <v>0</v>
      </c>
      <c r="AB26" s="18">
        <v>98</v>
      </c>
      <c r="AC26" s="19"/>
      <c r="AD26" s="20">
        <v>98</v>
      </c>
      <c r="AE26" s="19"/>
      <c r="AF26" s="21">
        <v>0</v>
      </c>
      <c r="AG26">
        <f t="shared" si="3"/>
        <v>0</v>
      </c>
    </row>
    <row r="27" spans="1:33">
      <c r="A27" s="2" t="s">
        <v>24</v>
      </c>
      <c r="B27" s="1">
        <v>52</v>
      </c>
      <c r="C27" s="1">
        <v>4</v>
      </c>
      <c r="D27" s="1"/>
      <c r="E27" s="1">
        <v>16</v>
      </c>
      <c r="F27" s="1"/>
      <c r="G27" s="1"/>
      <c r="H27" s="1"/>
      <c r="I27" s="1"/>
      <c r="J27" s="1"/>
      <c r="K27" s="1"/>
      <c r="L27" s="1"/>
      <c r="M27" s="1">
        <v>16</v>
      </c>
      <c r="N27" s="1">
        <v>4</v>
      </c>
      <c r="O27" s="1">
        <v>12</v>
      </c>
      <c r="P27" s="1"/>
      <c r="Q27" s="1"/>
      <c r="R27" s="1"/>
      <c r="S27" s="1"/>
      <c r="T27" s="1">
        <v>28</v>
      </c>
      <c r="U27" s="1">
        <v>4</v>
      </c>
      <c r="V27" s="1"/>
      <c r="X27">
        <f t="shared" si="0"/>
        <v>0</v>
      </c>
      <c r="Y27">
        <f t="shared" si="1"/>
        <v>0</v>
      </c>
      <c r="Z27">
        <f t="shared" si="2"/>
        <v>0</v>
      </c>
      <c r="AB27" s="18">
        <v>52</v>
      </c>
      <c r="AC27" s="20">
        <v>4</v>
      </c>
      <c r="AD27" s="20">
        <v>16</v>
      </c>
      <c r="AE27" s="20">
        <v>28</v>
      </c>
      <c r="AF27" s="21">
        <v>4</v>
      </c>
      <c r="AG27">
        <f t="shared" si="3"/>
        <v>0</v>
      </c>
    </row>
    <row r="28" spans="1:33">
      <c r="A28" s="2" t="s">
        <v>25</v>
      </c>
      <c r="B28" s="1">
        <v>551</v>
      </c>
      <c r="C28" s="1">
        <v>413</v>
      </c>
      <c r="D28" s="1"/>
      <c r="E28" s="1">
        <v>35</v>
      </c>
      <c r="F28" s="1"/>
      <c r="G28" s="1"/>
      <c r="H28" s="1"/>
      <c r="I28" s="1">
        <v>3</v>
      </c>
      <c r="J28" s="1"/>
      <c r="K28" s="1"/>
      <c r="L28" s="1"/>
      <c r="M28" s="1">
        <v>33</v>
      </c>
      <c r="N28" s="1">
        <v>13</v>
      </c>
      <c r="O28" s="1">
        <v>17</v>
      </c>
      <c r="P28" s="1">
        <v>3</v>
      </c>
      <c r="Q28" s="1"/>
      <c r="R28" s="1"/>
      <c r="S28" s="1"/>
      <c r="T28" s="1">
        <v>100</v>
      </c>
      <c r="U28" s="1">
        <v>3</v>
      </c>
      <c r="V28" s="1"/>
      <c r="X28">
        <f t="shared" si="0"/>
        <v>0</v>
      </c>
      <c r="Y28">
        <f t="shared" si="1"/>
        <v>-1</v>
      </c>
      <c r="Z28">
        <f t="shared" si="2"/>
        <v>0</v>
      </c>
      <c r="AB28" s="18">
        <v>551</v>
      </c>
      <c r="AC28" s="20">
        <v>413</v>
      </c>
      <c r="AD28" s="20">
        <v>35</v>
      </c>
      <c r="AE28" s="20">
        <v>100</v>
      </c>
      <c r="AF28" s="21">
        <v>3</v>
      </c>
      <c r="AG28">
        <f t="shared" si="3"/>
        <v>0</v>
      </c>
    </row>
    <row r="29" spans="1:33">
      <c r="A29" s="2" t="s">
        <v>26</v>
      </c>
      <c r="B29" s="1">
        <v>715</v>
      </c>
      <c r="C29" s="1">
        <v>13</v>
      </c>
      <c r="D29" s="1"/>
      <c r="E29" s="1">
        <v>6</v>
      </c>
      <c r="F29" s="1"/>
      <c r="G29" s="1"/>
      <c r="H29" s="1"/>
      <c r="I29" s="1"/>
      <c r="J29" s="1"/>
      <c r="K29" s="1"/>
      <c r="L29" s="1"/>
      <c r="M29" s="1">
        <v>6</v>
      </c>
      <c r="N29" s="1"/>
      <c r="O29" s="1">
        <v>6</v>
      </c>
      <c r="P29" s="1"/>
      <c r="Q29" s="1"/>
      <c r="R29" s="1"/>
      <c r="S29" s="1"/>
      <c r="T29" s="1">
        <v>149</v>
      </c>
      <c r="U29" s="1">
        <v>547</v>
      </c>
      <c r="V29" s="1"/>
      <c r="X29">
        <f t="shared" si="0"/>
        <v>0</v>
      </c>
      <c r="Y29">
        <f t="shared" si="1"/>
        <v>0</v>
      </c>
      <c r="Z29">
        <f t="shared" si="2"/>
        <v>0</v>
      </c>
      <c r="AB29" s="18">
        <v>715</v>
      </c>
      <c r="AC29" s="20">
        <v>13</v>
      </c>
      <c r="AD29" s="20">
        <v>6</v>
      </c>
      <c r="AE29" s="20">
        <v>149</v>
      </c>
      <c r="AF29" s="21">
        <v>547</v>
      </c>
      <c r="AG29">
        <f t="shared" si="3"/>
        <v>0</v>
      </c>
    </row>
    <row r="30" spans="1:33">
      <c r="A30" s="2" t="s">
        <v>27</v>
      </c>
      <c r="B30" s="1">
        <v>373</v>
      </c>
      <c r="C30" s="1">
        <v>340</v>
      </c>
      <c r="D30" s="1"/>
      <c r="E30" s="1">
        <v>5</v>
      </c>
      <c r="F30" s="1"/>
      <c r="G30" s="1"/>
      <c r="H30" s="1"/>
      <c r="I30" s="1"/>
      <c r="J30" s="1"/>
      <c r="K30" s="1"/>
      <c r="L30" s="1"/>
      <c r="M30" s="1">
        <v>5</v>
      </c>
      <c r="N30" s="1"/>
      <c r="O30" s="1">
        <v>5</v>
      </c>
      <c r="P30" s="1"/>
      <c r="Q30" s="1"/>
      <c r="R30" s="1"/>
      <c r="S30" s="1"/>
      <c r="T30" s="1">
        <v>26</v>
      </c>
      <c r="U30" s="1">
        <v>2</v>
      </c>
      <c r="V30" s="1"/>
      <c r="X30">
        <f t="shared" si="0"/>
        <v>0</v>
      </c>
      <c r="Y30">
        <f t="shared" si="1"/>
        <v>0</v>
      </c>
      <c r="Z30">
        <f t="shared" si="2"/>
        <v>0</v>
      </c>
      <c r="AB30" s="18">
        <v>373</v>
      </c>
      <c r="AC30" s="20">
        <v>340</v>
      </c>
      <c r="AD30" s="20">
        <v>5</v>
      </c>
      <c r="AE30" s="20">
        <v>26</v>
      </c>
      <c r="AF30" s="21">
        <v>2</v>
      </c>
      <c r="AG30">
        <f t="shared" si="3"/>
        <v>0</v>
      </c>
    </row>
    <row r="31" spans="1:33">
      <c r="A31" s="2" t="s">
        <v>28</v>
      </c>
      <c r="B31" s="1">
        <v>66</v>
      </c>
      <c r="C31" s="1">
        <v>39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>
        <v>27</v>
      </c>
      <c r="V31" s="1">
        <v>1</v>
      </c>
      <c r="X31">
        <f t="shared" si="0"/>
        <v>-1</v>
      </c>
      <c r="Y31">
        <f t="shared" si="1"/>
        <v>0</v>
      </c>
      <c r="Z31">
        <f t="shared" si="2"/>
        <v>0</v>
      </c>
      <c r="AB31" s="18">
        <v>66</v>
      </c>
      <c r="AC31" s="20">
        <v>39</v>
      </c>
      <c r="AD31" s="19"/>
      <c r="AE31" s="19"/>
      <c r="AF31" s="21">
        <v>27</v>
      </c>
      <c r="AG31">
        <f t="shared" si="3"/>
        <v>0</v>
      </c>
    </row>
    <row r="32" spans="1:33">
      <c r="A32" s="2" t="s">
        <v>29</v>
      </c>
      <c r="B32" s="1">
        <v>1096</v>
      </c>
      <c r="C32" s="1">
        <v>29</v>
      </c>
      <c r="D32" s="1"/>
      <c r="E32" s="1">
        <v>584</v>
      </c>
      <c r="F32" s="1">
        <v>561</v>
      </c>
      <c r="G32" s="1">
        <v>561</v>
      </c>
      <c r="H32" s="1"/>
      <c r="I32" s="1"/>
      <c r="J32" s="1"/>
      <c r="K32" s="1"/>
      <c r="L32" s="1"/>
      <c r="M32" s="1">
        <v>23</v>
      </c>
      <c r="N32" s="1">
        <v>8</v>
      </c>
      <c r="O32" s="1">
        <v>15</v>
      </c>
      <c r="P32" s="1"/>
      <c r="Q32" s="1"/>
      <c r="R32" s="1"/>
      <c r="S32" s="1"/>
      <c r="T32" s="1">
        <v>344</v>
      </c>
      <c r="U32" s="1">
        <v>139</v>
      </c>
      <c r="V32" s="1"/>
      <c r="X32">
        <f t="shared" si="0"/>
        <v>0</v>
      </c>
      <c r="Y32">
        <f t="shared" si="1"/>
        <v>0</v>
      </c>
      <c r="Z32">
        <f t="shared" si="2"/>
        <v>0</v>
      </c>
      <c r="AB32" s="18">
        <v>1096</v>
      </c>
      <c r="AC32" s="20">
        <v>29</v>
      </c>
      <c r="AD32" s="20">
        <v>584</v>
      </c>
      <c r="AE32" s="20">
        <v>344</v>
      </c>
      <c r="AF32" s="21">
        <v>139</v>
      </c>
      <c r="AG32">
        <f t="shared" si="3"/>
        <v>0</v>
      </c>
    </row>
    <row r="33" spans="1:33">
      <c r="A33" s="2" t="s">
        <v>30</v>
      </c>
      <c r="B33" s="1">
        <v>350</v>
      </c>
      <c r="C33" s="1">
        <v>13</v>
      </c>
      <c r="D33" s="1"/>
      <c r="E33" s="1">
        <v>204</v>
      </c>
      <c r="F33" s="1">
        <v>200</v>
      </c>
      <c r="G33" s="1">
        <v>200</v>
      </c>
      <c r="H33" s="1"/>
      <c r="I33" s="1"/>
      <c r="J33" s="1"/>
      <c r="K33" s="1"/>
      <c r="L33" s="1"/>
      <c r="M33" s="1">
        <v>4</v>
      </c>
      <c r="N33" s="1"/>
      <c r="O33" s="1">
        <v>1</v>
      </c>
      <c r="P33" s="1">
        <v>3</v>
      </c>
      <c r="Q33" s="1"/>
      <c r="R33" s="1"/>
      <c r="S33" s="1"/>
      <c r="T33" s="1">
        <v>76</v>
      </c>
      <c r="U33" s="1">
        <v>57</v>
      </c>
      <c r="V33" s="1"/>
      <c r="X33">
        <f t="shared" si="0"/>
        <v>0</v>
      </c>
      <c r="Y33">
        <f t="shared" si="1"/>
        <v>0</v>
      </c>
      <c r="Z33">
        <f t="shared" si="2"/>
        <v>0</v>
      </c>
      <c r="AB33" s="18">
        <v>350</v>
      </c>
      <c r="AC33" s="20">
        <v>13</v>
      </c>
      <c r="AD33" s="20">
        <v>204</v>
      </c>
      <c r="AE33" s="20">
        <v>76</v>
      </c>
      <c r="AF33" s="21">
        <v>57</v>
      </c>
      <c r="AG33">
        <f t="shared" si="3"/>
        <v>0</v>
      </c>
    </row>
    <row r="34" spans="1:33">
      <c r="A34" s="2" t="s">
        <v>31</v>
      </c>
      <c r="B34" s="1">
        <v>836</v>
      </c>
      <c r="C34" s="1">
        <v>0.6</v>
      </c>
      <c r="D34" s="1"/>
      <c r="E34" s="1">
        <v>0.2</v>
      </c>
      <c r="F34" s="1"/>
      <c r="G34" s="1"/>
      <c r="H34" s="1"/>
      <c r="I34" s="1"/>
      <c r="J34" s="1"/>
      <c r="K34" s="1"/>
      <c r="L34" s="1"/>
      <c r="M34" s="1">
        <v>0.2</v>
      </c>
      <c r="N34" s="1">
        <v>0.2</v>
      </c>
      <c r="O34" s="1"/>
      <c r="P34" s="1"/>
      <c r="Q34" s="1"/>
      <c r="R34" s="1"/>
      <c r="S34" s="1"/>
      <c r="T34" s="1">
        <v>379</v>
      </c>
      <c r="U34" s="1">
        <v>457</v>
      </c>
      <c r="V34" s="1"/>
      <c r="X34">
        <f t="shared" si="0"/>
        <v>-0.80000000000006821</v>
      </c>
      <c r="Y34">
        <f t="shared" si="1"/>
        <v>0</v>
      </c>
      <c r="Z34">
        <f t="shared" si="2"/>
        <v>0</v>
      </c>
      <c r="AB34" s="18">
        <v>836</v>
      </c>
      <c r="AC34" s="20">
        <v>1</v>
      </c>
      <c r="AD34" s="20">
        <v>0.2</v>
      </c>
      <c r="AE34" s="20">
        <v>379</v>
      </c>
      <c r="AF34" s="21">
        <v>457</v>
      </c>
      <c r="AG34">
        <f t="shared" si="3"/>
        <v>-1.2000000000000455</v>
      </c>
    </row>
    <row r="35" spans="1:33">
      <c r="A35" s="2" t="s">
        <v>32</v>
      </c>
      <c r="B35" s="1">
        <v>676</v>
      </c>
      <c r="C35" s="1">
        <v>0.04</v>
      </c>
      <c r="D35" s="1"/>
      <c r="E35" s="1">
        <v>133</v>
      </c>
      <c r="F35" s="1">
        <v>132</v>
      </c>
      <c r="G35" s="1">
        <v>132</v>
      </c>
      <c r="H35" s="1"/>
      <c r="I35" s="1"/>
      <c r="J35" s="1"/>
      <c r="K35" s="1"/>
      <c r="L35" s="1"/>
      <c r="M35" s="1">
        <v>1</v>
      </c>
      <c r="N35" s="1"/>
      <c r="O35" s="1"/>
      <c r="P35" s="1"/>
      <c r="Q35" s="1"/>
      <c r="R35" s="1"/>
      <c r="S35" s="1"/>
      <c r="T35" s="1">
        <v>260</v>
      </c>
      <c r="U35" s="1">
        <v>282</v>
      </c>
      <c r="V35" s="1"/>
      <c r="X35">
        <f t="shared" si="0"/>
        <v>0.96000000000003638</v>
      </c>
      <c r="Y35">
        <f t="shared" si="1"/>
        <v>0</v>
      </c>
      <c r="Z35">
        <f t="shared" si="2"/>
        <v>1</v>
      </c>
      <c r="AB35" s="18">
        <v>676</v>
      </c>
      <c r="AC35" s="20">
        <v>0.04</v>
      </c>
      <c r="AD35" s="20">
        <v>133</v>
      </c>
      <c r="AE35" s="20">
        <v>260</v>
      </c>
      <c r="AF35" s="21">
        <v>282</v>
      </c>
      <c r="AG35">
        <f t="shared" si="3"/>
        <v>0.96000000000003638</v>
      </c>
    </row>
    <row r="36" spans="1:33" ht="13.5" customHeight="1">
      <c r="A36" s="2" t="s">
        <v>33</v>
      </c>
      <c r="B36" s="1">
        <v>1062</v>
      </c>
      <c r="C36" s="1">
        <v>70</v>
      </c>
      <c r="D36" s="1"/>
      <c r="E36" s="1">
        <v>403</v>
      </c>
      <c r="F36" s="1">
        <v>374</v>
      </c>
      <c r="G36" s="1">
        <v>374</v>
      </c>
      <c r="H36" s="1"/>
      <c r="I36" s="1">
        <v>6</v>
      </c>
      <c r="J36" s="1">
        <v>6</v>
      </c>
      <c r="K36" s="1"/>
      <c r="L36" s="1"/>
      <c r="M36" s="1">
        <v>23</v>
      </c>
      <c r="N36" s="1">
        <v>21</v>
      </c>
      <c r="O36" s="1">
        <v>1</v>
      </c>
      <c r="P36" s="1">
        <v>1</v>
      </c>
      <c r="Q36" s="1"/>
      <c r="R36" s="1"/>
      <c r="S36" s="1"/>
      <c r="T36" s="1">
        <v>399</v>
      </c>
      <c r="U36" s="1">
        <v>180</v>
      </c>
      <c r="V36" s="1">
        <v>11</v>
      </c>
      <c r="X36">
        <f t="shared" si="0"/>
        <v>-1</v>
      </c>
      <c r="Y36">
        <f t="shared" si="1"/>
        <v>0</v>
      </c>
      <c r="Z36">
        <f t="shared" si="2"/>
        <v>0</v>
      </c>
      <c r="AB36" s="13">
        <v>1062</v>
      </c>
      <c r="AC36" s="14">
        <v>70</v>
      </c>
      <c r="AD36" s="14">
        <v>403</v>
      </c>
      <c r="AE36" s="14">
        <v>399</v>
      </c>
      <c r="AF36" s="22">
        <v>180</v>
      </c>
      <c r="AG36">
        <f t="shared" si="3"/>
        <v>10</v>
      </c>
    </row>
    <row r="38" spans="1:33">
      <c r="B38">
        <f>B5-SUM(B6:B36)</f>
        <v>2</v>
      </c>
      <c r="C38">
        <f t="shared" ref="C38:V38" si="4">C5-SUM(C6:C36)</f>
        <v>-1.1399999999998727</v>
      </c>
      <c r="D38">
        <f t="shared" si="4"/>
        <v>0</v>
      </c>
      <c r="E38">
        <f t="shared" si="4"/>
        <v>0.8000000000001819</v>
      </c>
      <c r="F38">
        <f t="shared" si="4"/>
        <v>-1.1999999999998181</v>
      </c>
      <c r="H38">
        <f t="shared" si="4"/>
        <v>0</v>
      </c>
      <c r="I38">
        <f t="shared" si="4"/>
        <v>-1</v>
      </c>
      <c r="J38">
        <f t="shared" si="4"/>
        <v>0</v>
      </c>
      <c r="L38">
        <f t="shared" si="4"/>
        <v>0</v>
      </c>
      <c r="M38">
        <f t="shared" si="4"/>
        <v>-0.20000000000004547</v>
      </c>
      <c r="N38">
        <f t="shared" si="4"/>
        <v>-0.19999999999998863</v>
      </c>
      <c r="O38">
        <f t="shared" si="4"/>
        <v>0</v>
      </c>
      <c r="P38">
        <f t="shared" si="4"/>
        <v>-2</v>
      </c>
      <c r="S38">
        <f t="shared" si="4"/>
        <v>0</v>
      </c>
      <c r="T38">
        <f t="shared" si="4"/>
        <v>0</v>
      </c>
      <c r="U38">
        <f t="shared" si="4"/>
        <v>-0.5</v>
      </c>
      <c r="V38">
        <f t="shared" si="4"/>
        <v>-1</v>
      </c>
    </row>
  </sheetData>
  <mergeCells count="16">
    <mergeCell ref="A1:V1"/>
    <mergeCell ref="A2:A4"/>
    <mergeCell ref="B2:B4"/>
    <mergeCell ref="C2:D2"/>
    <mergeCell ref="S2:S4"/>
    <mergeCell ref="T2:T4"/>
    <mergeCell ref="U2:U4"/>
    <mergeCell ref="V2:V4"/>
    <mergeCell ref="C3:C4"/>
    <mergeCell ref="I3:K3"/>
    <mergeCell ref="M3:R3"/>
    <mergeCell ref="E2:R2"/>
    <mergeCell ref="D3:D4"/>
    <mergeCell ref="E3:E4"/>
    <mergeCell ref="F3:H3"/>
    <mergeCell ref="L3:L4"/>
  </mergeCells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0721-9724-46D7-B870-794E5270648A}">
  <dimension ref="A1:Z35"/>
  <sheetViews>
    <sheetView workbookViewId="0">
      <selection activeCell="A4" sqref="A4:A35"/>
    </sheetView>
  </sheetViews>
  <sheetFormatPr defaultRowHeight="12.75"/>
  <sheetData>
    <row r="1" spans="1:26">
      <c r="D1" s="12"/>
      <c r="E1" s="12"/>
      <c r="F1" s="12"/>
      <c r="H1" s="12"/>
      <c r="I1" s="12"/>
      <c r="J1" s="12"/>
      <c r="K1" s="12"/>
      <c r="M1" s="12"/>
      <c r="N1" s="12"/>
      <c r="O1" s="12"/>
      <c r="P1" s="12"/>
      <c r="R1" s="12"/>
      <c r="S1" s="12"/>
      <c r="T1" s="12"/>
      <c r="U1" s="12"/>
      <c r="W1" s="12"/>
      <c r="X1" s="12"/>
      <c r="Y1" s="12"/>
      <c r="Z1" s="12"/>
    </row>
    <row r="2" spans="1:26">
      <c r="A2" s="28" t="s">
        <v>59</v>
      </c>
      <c r="B2" s="24" t="s">
        <v>60</v>
      </c>
      <c r="C2" s="24" t="s">
        <v>55</v>
      </c>
      <c r="D2" s="24" t="s">
        <v>56</v>
      </c>
      <c r="E2" s="24" t="s">
        <v>57</v>
      </c>
      <c r="F2" s="24" t="s">
        <v>58</v>
      </c>
      <c r="G2" s="24" t="s">
        <v>60</v>
      </c>
      <c r="H2" s="24" t="s">
        <v>55</v>
      </c>
      <c r="I2" s="24" t="s">
        <v>56</v>
      </c>
      <c r="J2" s="24" t="s">
        <v>57</v>
      </c>
      <c r="K2" s="24" t="s">
        <v>58</v>
      </c>
      <c r="L2" s="24" t="s">
        <v>60</v>
      </c>
      <c r="M2" s="24" t="s">
        <v>55</v>
      </c>
      <c r="N2" s="24" t="s">
        <v>56</v>
      </c>
      <c r="O2" s="24" t="s">
        <v>57</v>
      </c>
      <c r="P2" s="24" t="s">
        <v>58</v>
      </c>
      <c r="Q2" s="24" t="s">
        <v>60</v>
      </c>
      <c r="R2" s="24" t="s">
        <v>55</v>
      </c>
      <c r="S2" s="24" t="s">
        <v>56</v>
      </c>
      <c r="T2" s="24" t="s">
        <v>57</v>
      </c>
      <c r="U2" s="24" t="s">
        <v>58</v>
      </c>
      <c r="V2" s="24" t="s">
        <v>60</v>
      </c>
      <c r="W2" s="24" t="s">
        <v>55</v>
      </c>
      <c r="X2" s="24" t="s">
        <v>56</v>
      </c>
      <c r="Y2" s="24" t="s">
        <v>57</v>
      </c>
      <c r="Z2" s="24" t="s">
        <v>58</v>
      </c>
    </row>
    <row r="3" spans="1:26">
      <c r="A3" s="2" t="s">
        <v>54</v>
      </c>
      <c r="B3" s="10" t="s">
        <v>49</v>
      </c>
      <c r="C3" s="10" t="s">
        <v>49</v>
      </c>
      <c r="D3" s="10" t="s">
        <v>49</v>
      </c>
      <c r="E3" s="10" t="s">
        <v>49</v>
      </c>
      <c r="F3" s="10" t="s">
        <v>49</v>
      </c>
      <c r="G3" s="2" t="s">
        <v>50</v>
      </c>
      <c r="H3" s="2" t="s">
        <v>50</v>
      </c>
      <c r="I3" s="2" t="s">
        <v>50</v>
      </c>
      <c r="J3" s="2" t="s">
        <v>50</v>
      </c>
      <c r="K3" s="2" t="s">
        <v>50</v>
      </c>
      <c r="L3" s="2" t="s">
        <v>51</v>
      </c>
      <c r="M3" s="2" t="s">
        <v>51</v>
      </c>
      <c r="N3" s="2" t="s">
        <v>51</v>
      </c>
      <c r="O3" s="2" t="s">
        <v>51</v>
      </c>
      <c r="P3" s="2" t="s">
        <v>51</v>
      </c>
      <c r="Q3" s="2" t="s">
        <v>52</v>
      </c>
      <c r="R3" s="2" t="s">
        <v>52</v>
      </c>
      <c r="S3" s="2" t="s">
        <v>52</v>
      </c>
      <c r="T3" s="2" t="s">
        <v>52</v>
      </c>
      <c r="U3" s="2" t="s">
        <v>52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53</v>
      </c>
    </row>
    <row r="4" spans="1:26">
      <c r="A4" s="25" t="s">
        <v>5</v>
      </c>
      <c r="B4" s="15">
        <v>12143</v>
      </c>
      <c r="C4" s="16">
        <v>1179</v>
      </c>
      <c r="D4" s="16">
        <v>5048</v>
      </c>
      <c r="E4" s="16">
        <v>2024</v>
      </c>
      <c r="F4" s="17">
        <v>3171</v>
      </c>
      <c r="G4" s="16">
        <v>13019</v>
      </c>
      <c r="H4" s="16">
        <v>1287</v>
      </c>
      <c r="I4" s="16">
        <v>4453</v>
      </c>
      <c r="J4" s="16">
        <v>1720</v>
      </c>
      <c r="K4" s="17">
        <v>5341</v>
      </c>
      <c r="L4" s="15">
        <v>12785</v>
      </c>
      <c r="M4" s="16">
        <v>859</v>
      </c>
      <c r="N4" s="16">
        <v>4380</v>
      </c>
      <c r="O4" s="16">
        <v>2127</v>
      </c>
      <c r="P4" s="17">
        <v>4525</v>
      </c>
      <c r="Q4" s="15">
        <v>10500</v>
      </c>
      <c r="R4" s="16">
        <v>445</v>
      </c>
      <c r="S4" s="16">
        <v>4423</v>
      </c>
      <c r="T4" s="16">
        <v>2572</v>
      </c>
      <c r="U4" s="17">
        <v>2652</v>
      </c>
      <c r="V4" s="15">
        <v>19144</v>
      </c>
      <c r="W4" s="16">
        <v>1313</v>
      </c>
      <c r="X4" s="16">
        <v>5660</v>
      </c>
      <c r="Y4" s="16">
        <v>7211</v>
      </c>
      <c r="Z4" s="17">
        <v>4820</v>
      </c>
    </row>
    <row r="5" spans="1:26">
      <c r="A5" s="26" t="s">
        <v>6</v>
      </c>
      <c r="B5" s="18">
        <v>32</v>
      </c>
      <c r="C5" s="19"/>
      <c r="D5" s="20">
        <v>6</v>
      </c>
      <c r="E5" s="20">
        <v>7</v>
      </c>
      <c r="F5" s="21">
        <v>18</v>
      </c>
      <c r="G5" s="20">
        <v>121</v>
      </c>
      <c r="H5" s="19"/>
      <c r="I5" s="20">
        <v>106</v>
      </c>
      <c r="J5" s="20">
        <v>0.3</v>
      </c>
      <c r="K5" s="21">
        <v>15</v>
      </c>
      <c r="L5" s="18">
        <v>56</v>
      </c>
      <c r="M5" s="19"/>
      <c r="N5" s="20">
        <v>41</v>
      </c>
      <c r="O5" s="19"/>
      <c r="P5" s="21">
        <v>15</v>
      </c>
      <c r="Q5" s="18">
        <v>37</v>
      </c>
      <c r="R5" s="19"/>
      <c r="S5" s="20">
        <v>26</v>
      </c>
      <c r="T5" s="19"/>
      <c r="U5" s="21">
        <v>11</v>
      </c>
      <c r="V5" s="18">
        <v>24</v>
      </c>
      <c r="W5" s="19"/>
      <c r="X5" s="20">
        <v>9</v>
      </c>
      <c r="Y5" s="20">
        <v>5</v>
      </c>
      <c r="Z5" s="21">
        <v>11</v>
      </c>
    </row>
    <row r="6" spans="1:26">
      <c r="A6" s="26" t="s">
        <v>7</v>
      </c>
      <c r="B6" s="18">
        <v>143</v>
      </c>
      <c r="C6" s="19"/>
      <c r="D6" s="20">
        <v>95</v>
      </c>
      <c r="E6" s="19"/>
      <c r="F6" s="21">
        <v>48</v>
      </c>
      <c r="G6" s="20">
        <v>22</v>
      </c>
      <c r="H6" s="19"/>
      <c r="I6" s="20">
        <v>0.2</v>
      </c>
      <c r="J6" s="20">
        <v>11</v>
      </c>
      <c r="K6" s="21">
        <v>11</v>
      </c>
      <c r="L6" s="18">
        <v>319</v>
      </c>
      <c r="M6" s="19"/>
      <c r="N6" s="20">
        <v>229</v>
      </c>
      <c r="O6" s="20">
        <v>28</v>
      </c>
      <c r="P6" s="21">
        <v>61</v>
      </c>
      <c r="Q6" s="18">
        <v>165</v>
      </c>
      <c r="R6" s="19"/>
      <c r="S6" s="20">
        <v>130</v>
      </c>
      <c r="T6" s="20">
        <v>13</v>
      </c>
      <c r="U6" s="21">
        <v>23</v>
      </c>
      <c r="V6" s="18">
        <v>147</v>
      </c>
      <c r="W6" s="19"/>
      <c r="X6" s="20">
        <v>94</v>
      </c>
      <c r="Y6" s="20">
        <v>32</v>
      </c>
      <c r="Z6" s="21">
        <v>21</v>
      </c>
    </row>
    <row r="7" spans="1:26">
      <c r="A7" s="26" t="s">
        <v>8</v>
      </c>
      <c r="B7" s="18">
        <v>631</v>
      </c>
      <c r="C7" s="19"/>
      <c r="D7" s="20">
        <v>170</v>
      </c>
      <c r="E7" s="20">
        <v>228</v>
      </c>
      <c r="F7" s="21">
        <v>232</v>
      </c>
      <c r="G7" s="20">
        <v>698</v>
      </c>
      <c r="H7" s="20">
        <v>2</v>
      </c>
      <c r="I7" s="20">
        <v>139</v>
      </c>
      <c r="J7" s="20">
        <v>107</v>
      </c>
      <c r="K7" s="21">
        <v>450</v>
      </c>
      <c r="L7" s="18">
        <v>840</v>
      </c>
      <c r="M7" s="19"/>
      <c r="N7" s="20">
        <v>205</v>
      </c>
      <c r="O7" s="20">
        <v>246</v>
      </c>
      <c r="P7" s="21">
        <v>389</v>
      </c>
      <c r="Q7" s="18">
        <v>780</v>
      </c>
      <c r="R7" s="19"/>
      <c r="S7" s="20">
        <v>306</v>
      </c>
      <c r="T7" s="20">
        <v>238</v>
      </c>
      <c r="U7" s="21">
        <v>236</v>
      </c>
      <c r="V7" s="18">
        <v>1720</v>
      </c>
      <c r="W7" s="20">
        <v>0.3</v>
      </c>
      <c r="X7" s="20">
        <v>361</v>
      </c>
      <c r="Y7" s="20">
        <v>642</v>
      </c>
      <c r="Z7" s="21">
        <v>715</v>
      </c>
    </row>
    <row r="8" spans="1:26">
      <c r="A8" s="26" t="s">
        <v>9</v>
      </c>
      <c r="B8" s="18">
        <v>793</v>
      </c>
      <c r="C8" s="19"/>
      <c r="D8" s="20">
        <v>374</v>
      </c>
      <c r="E8" s="20">
        <v>173</v>
      </c>
      <c r="F8" s="21">
        <v>246</v>
      </c>
      <c r="G8" s="20">
        <v>423</v>
      </c>
      <c r="H8" s="19"/>
      <c r="I8" s="20">
        <v>46</v>
      </c>
      <c r="J8" s="20">
        <v>96</v>
      </c>
      <c r="K8" s="21">
        <v>280</v>
      </c>
      <c r="L8" s="18">
        <v>822</v>
      </c>
      <c r="M8" s="19"/>
      <c r="N8" s="20">
        <v>297</v>
      </c>
      <c r="O8" s="20">
        <v>196</v>
      </c>
      <c r="P8" s="21">
        <v>329</v>
      </c>
      <c r="Q8" s="18">
        <v>445</v>
      </c>
      <c r="R8" s="19"/>
      <c r="S8" s="20">
        <v>72</v>
      </c>
      <c r="T8" s="20">
        <v>214</v>
      </c>
      <c r="U8" s="21">
        <v>158</v>
      </c>
      <c r="V8" s="18">
        <v>1225</v>
      </c>
      <c r="W8" s="20">
        <v>0.1</v>
      </c>
      <c r="X8" s="20">
        <v>284</v>
      </c>
      <c r="Y8" s="20">
        <v>720</v>
      </c>
      <c r="Z8" s="21">
        <v>220</v>
      </c>
    </row>
    <row r="9" spans="1:26">
      <c r="A9" s="26" t="s">
        <v>2</v>
      </c>
      <c r="B9" s="18">
        <v>473</v>
      </c>
      <c r="C9" s="19"/>
      <c r="D9" s="20">
        <v>366</v>
      </c>
      <c r="E9" s="20">
        <v>81</v>
      </c>
      <c r="F9" s="21">
        <v>26</v>
      </c>
      <c r="G9" s="20">
        <v>392</v>
      </c>
      <c r="H9" s="20">
        <v>1</v>
      </c>
      <c r="I9" s="20">
        <v>229</v>
      </c>
      <c r="J9" s="20">
        <v>88</v>
      </c>
      <c r="K9" s="21">
        <v>74</v>
      </c>
      <c r="L9" s="18">
        <v>413</v>
      </c>
      <c r="M9" s="19"/>
      <c r="N9" s="20">
        <v>67</v>
      </c>
      <c r="O9" s="20">
        <v>215</v>
      </c>
      <c r="P9" s="21">
        <v>132</v>
      </c>
      <c r="Q9" s="18">
        <v>658</v>
      </c>
      <c r="R9" s="19"/>
      <c r="S9" s="20">
        <v>410</v>
      </c>
      <c r="T9" s="20">
        <v>124</v>
      </c>
      <c r="U9" s="21">
        <v>123</v>
      </c>
      <c r="V9" s="18">
        <v>1413</v>
      </c>
      <c r="W9" s="19"/>
      <c r="X9" s="20">
        <v>423</v>
      </c>
      <c r="Y9" s="20">
        <v>843</v>
      </c>
      <c r="Z9" s="21">
        <v>147</v>
      </c>
    </row>
    <row r="10" spans="1:26">
      <c r="A10" s="26" t="s">
        <v>10</v>
      </c>
      <c r="B10" s="18">
        <v>147</v>
      </c>
      <c r="C10" s="19"/>
      <c r="D10" s="20">
        <v>1</v>
      </c>
      <c r="E10" s="20">
        <v>14</v>
      </c>
      <c r="F10" s="21">
        <v>21</v>
      </c>
      <c r="G10" s="20">
        <v>110</v>
      </c>
      <c r="H10" s="19"/>
      <c r="I10" s="20">
        <v>46</v>
      </c>
      <c r="J10" s="20">
        <v>20</v>
      </c>
      <c r="K10" s="21">
        <v>43</v>
      </c>
      <c r="L10" s="18">
        <v>193</v>
      </c>
      <c r="M10" s="19"/>
      <c r="N10" s="20">
        <v>105</v>
      </c>
      <c r="O10" s="20">
        <v>50</v>
      </c>
      <c r="P10" s="21">
        <v>37</v>
      </c>
      <c r="Q10" s="18">
        <v>113</v>
      </c>
      <c r="R10" s="19"/>
      <c r="S10" s="20">
        <v>2</v>
      </c>
      <c r="T10" s="20">
        <v>78</v>
      </c>
      <c r="U10" s="21">
        <v>34</v>
      </c>
      <c r="V10" s="18">
        <v>302</v>
      </c>
      <c r="W10" s="20">
        <v>0.1</v>
      </c>
      <c r="X10" s="20">
        <v>98</v>
      </c>
      <c r="Y10" s="20">
        <v>147</v>
      </c>
      <c r="Z10" s="21">
        <v>56</v>
      </c>
    </row>
    <row r="11" spans="1:26">
      <c r="A11" s="26" t="s">
        <v>3</v>
      </c>
      <c r="B11" s="18">
        <v>84</v>
      </c>
      <c r="C11" s="19"/>
      <c r="D11" s="20">
        <v>11</v>
      </c>
      <c r="E11" s="20">
        <v>22</v>
      </c>
      <c r="F11" s="21">
        <v>52</v>
      </c>
      <c r="G11" s="20">
        <v>125</v>
      </c>
      <c r="H11" s="20">
        <v>5</v>
      </c>
      <c r="I11" s="19"/>
      <c r="J11" s="20">
        <v>5</v>
      </c>
      <c r="K11" s="21">
        <v>115</v>
      </c>
      <c r="L11" s="18">
        <v>189</v>
      </c>
      <c r="M11" s="19"/>
      <c r="N11" s="20">
        <v>51</v>
      </c>
      <c r="O11" s="20">
        <v>9</v>
      </c>
      <c r="P11" s="21">
        <v>129</v>
      </c>
      <c r="Q11" s="18">
        <v>111</v>
      </c>
      <c r="R11" s="20">
        <v>60</v>
      </c>
      <c r="S11" s="19"/>
      <c r="T11" s="20">
        <v>41</v>
      </c>
      <c r="U11" s="21">
        <v>9</v>
      </c>
      <c r="V11" s="18">
        <v>170</v>
      </c>
      <c r="W11" s="20">
        <v>69</v>
      </c>
      <c r="X11" s="20">
        <v>4</v>
      </c>
      <c r="Y11" s="20">
        <v>39</v>
      </c>
      <c r="Z11" s="21">
        <v>59</v>
      </c>
    </row>
    <row r="12" spans="1:26">
      <c r="A12" s="26" t="s">
        <v>4</v>
      </c>
      <c r="B12" s="18">
        <v>139</v>
      </c>
      <c r="C12" s="19"/>
      <c r="D12" s="20">
        <v>59</v>
      </c>
      <c r="E12" s="20">
        <v>66</v>
      </c>
      <c r="F12" s="21">
        <v>14</v>
      </c>
      <c r="G12" s="20">
        <v>248</v>
      </c>
      <c r="H12" s="20">
        <v>2</v>
      </c>
      <c r="I12" s="20">
        <v>128</v>
      </c>
      <c r="J12" s="20">
        <v>29</v>
      </c>
      <c r="K12" s="21">
        <v>89</v>
      </c>
      <c r="L12" s="18">
        <v>213</v>
      </c>
      <c r="M12" s="20">
        <v>3</v>
      </c>
      <c r="N12" s="20">
        <v>36</v>
      </c>
      <c r="O12" s="20">
        <v>31</v>
      </c>
      <c r="P12" s="21">
        <v>143</v>
      </c>
      <c r="Q12" s="18">
        <v>164</v>
      </c>
      <c r="R12" s="20">
        <v>4</v>
      </c>
      <c r="S12" s="20">
        <v>88</v>
      </c>
      <c r="T12" s="20">
        <v>12</v>
      </c>
      <c r="U12" s="21">
        <v>59</v>
      </c>
      <c r="V12" s="18">
        <v>301</v>
      </c>
      <c r="W12" s="20">
        <v>2</v>
      </c>
      <c r="X12" s="20">
        <v>180</v>
      </c>
      <c r="Y12" s="20">
        <v>76</v>
      </c>
      <c r="Z12" s="21">
        <v>44</v>
      </c>
    </row>
    <row r="13" spans="1:26">
      <c r="A13" s="26" t="s">
        <v>11</v>
      </c>
      <c r="B13" s="18">
        <v>45</v>
      </c>
      <c r="C13" s="19"/>
      <c r="D13" s="20">
        <v>11</v>
      </c>
      <c r="E13" s="20">
        <v>20</v>
      </c>
      <c r="F13" s="21">
        <v>15</v>
      </c>
      <c r="G13" s="20">
        <v>36</v>
      </c>
      <c r="H13" s="19"/>
      <c r="I13" s="20">
        <v>6</v>
      </c>
      <c r="J13" s="19"/>
      <c r="K13" s="21">
        <v>29</v>
      </c>
      <c r="L13" s="18">
        <v>128</v>
      </c>
      <c r="M13" s="19"/>
      <c r="N13" s="20">
        <v>96</v>
      </c>
      <c r="O13" s="19"/>
      <c r="P13" s="21">
        <v>32</v>
      </c>
      <c r="Q13" s="18">
        <v>146</v>
      </c>
      <c r="R13" s="19"/>
      <c r="S13" s="20">
        <v>114</v>
      </c>
      <c r="T13" s="20">
        <v>11</v>
      </c>
      <c r="U13" s="21">
        <v>20</v>
      </c>
      <c r="V13" s="18">
        <v>30</v>
      </c>
      <c r="W13" s="19"/>
      <c r="X13" s="20">
        <v>1</v>
      </c>
      <c r="Y13" s="20">
        <v>1</v>
      </c>
      <c r="Z13" s="21">
        <v>28</v>
      </c>
    </row>
    <row r="14" spans="1:26">
      <c r="A14" s="26" t="s">
        <v>12</v>
      </c>
      <c r="B14" s="18">
        <v>645</v>
      </c>
      <c r="C14" s="19"/>
      <c r="D14" s="20">
        <v>380</v>
      </c>
      <c r="E14" s="20">
        <v>95</v>
      </c>
      <c r="F14" s="21">
        <v>170</v>
      </c>
      <c r="G14" s="20">
        <v>1410</v>
      </c>
      <c r="H14" s="20">
        <v>150</v>
      </c>
      <c r="I14" s="20">
        <v>744</v>
      </c>
      <c r="J14" s="20">
        <v>130</v>
      </c>
      <c r="K14" s="21">
        <v>386</v>
      </c>
      <c r="L14" s="18">
        <v>1258</v>
      </c>
      <c r="M14" s="19"/>
      <c r="N14" s="20">
        <v>374</v>
      </c>
      <c r="O14" s="20">
        <v>197</v>
      </c>
      <c r="P14" s="21">
        <v>452</v>
      </c>
      <c r="Q14" s="18">
        <v>791</v>
      </c>
      <c r="R14" s="19"/>
      <c r="S14" s="20">
        <v>456</v>
      </c>
      <c r="T14" s="20">
        <v>176</v>
      </c>
      <c r="U14" s="21">
        <v>159</v>
      </c>
      <c r="V14" s="18">
        <v>996</v>
      </c>
      <c r="W14" s="19"/>
      <c r="X14" s="20">
        <v>168</v>
      </c>
      <c r="Y14" s="20">
        <v>506</v>
      </c>
      <c r="Z14" s="21">
        <v>198</v>
      </c>
    </row>
    <row r="15" spans="1:26">
      <c r="A15" s="26" t="s">
        <v>13</v>
      </c>
      <c r="B15" s="18">
        <v>496</v>
      </c>
      <c r="C15" s="20">
        <v>177</v>
      </c>
      <c r="D15" s="20">
        <v>64</v>
      </c>
      <c r="E15" s="20">
        <v>27</v>
      </c>
      <c r="F15" s="21">
        <v>228</v>
      </c>
      <c r="G15" s="20">
        <v>773</v>
      </c>
      <c r="H15" s="20">
        <v>12</v>
      </c>
      <c r="I15" s="20">
        <v>106</v>
      </c>
      <c r="J15" s="20">
        <v>15</v>
      </c>
      <c r="K15" s="21">
        <v>639</v>
      </c>
      <c r="L15" s="18">
        <v>859</v>
      </c>
      <c r="M15" s="20">
        <v>7</v>
      </c>
      <c r="N15" s="20">
        <v>163</v>
      </c>
      <c r="O15" s="20">
        <v>26</v>
      </c>
      <c r="P15" s="21">
        <v>412</v>
      </c>
      <c r="Q15" s="18">
        <v>297</v>
      </c>
      <c r="R15" s="20">
        <v>30</v>
      </c>
      <c r="S15" s="20">
        <v>48</v>
      </c>
      <c r="T15" s="20">
        <v>15</v>
      </c>
      <c r="U15" s="21">
        <v>205</v>
      </c>
      <c r="V15" s="18">
        <v>421</v>
      </c>
      <c r="W15" s="20">
        <v>3</v>
      </c>
      <c r="X15" s="20">
        <v>212</v>
      </c>
      <c r="Y15" s="20">
        <v>27</v>
      </c>
      <c r="Z15" s="21">
        <v>178</v>
      </c>
    </row>
    <row r="16" spans="1:26">
      <c r="A16" s="26" t="s">
        <v>14</v>
      </c>
      <c r="B16" s="18">
        <v>503</v>
      </c>
      <c r="C16" s="20">
        <v>5</v>
      </c>
      <c r="D16" s="20">
        <v>301</v>
      </c>
      <c r="E16" s="20">
        <v>45</v>
      </c>
      <c r="F16" s="21">
        <v>153</v>
      </c>
      <c r="G16" s="20">
        <v>965</v>
      </c>
      <c r="H16" s="20">
        <v>16</v>
      </c>
      <c r="I16" s="20">
        <v>148</v>
      </c>
      <c r="J16" s="20">
        <v>43</v>
      </c>
      <c r="K16" s="21">
        <v>758</v>
      </c>
      <c r="L16" s="18">
        <v>724</v>
      </c>
      <c r="M16" s="20">
        <v>2</v>
      </c>
      <c r="N16" s="20">
        <v>353</v>
      </c>
      <c r="O16" s="20">
        <v>24</v>
      </c>
      <c r="P16" s="21">
        <v>345</v>
      </c>
      <c r="Q16" s="18">
        <v>343</v>
      </c>
      <c r="R16" s="20">
        <v>36</v>
      </c>
      <c r="S16" s="20">
        <v>140</v>
      </c>
      <c r="T16" s="20">
        <v>30</v>
      </c>
      <c r="U16" s="21">
        <v>137</v>
      </c>
      <c r="V16" s="18">
        <v>446</v>
      </c>
      <c r="W16" s="20">
        <v>136</v>
      </c>
      <c r="X16" s="20">
        <v>61</v>
      </c>
      <c r="Y16" s="20">
        <v>134</v>
      </c>
      <c r="Z16" s="21">
        <v>116</v>
      </c>
    </row>
    <row r="17" spans="1:26">
      <c r="A17" s="26" t="s">
        <v>15</v>
      </c>
      <c r="B17" s="18">
        <v>338</v>
      </c>
      <c r="C17" s="20">
        <v>6</v>
      </c>
      <c r="D17" s="20">
        <v>33</v>
      </c>
      <c r="E17" s="20">
        <v>62</v>
      </c>
      <c r="F17" s="21">
        <v>20</v>
      </c>
      <c r="G17" s="20">
        <v>524</v>
      </c>
      <c r="H17" s="20">
        <v>41</v>
      </c>
      <c r="I17" s="20">
        <v>225</v>
      </c>
      <c r="J17" s="20">
        <v>69</v>
      </c>
      <c r="K17" s="21">
        <v>79</v>
      </c>
      <c r="L17" s="18">
        <v>210</v>
      </c>
      <c r="M17" s="20">
        <v>22</v>
      </c>
      <c r="N17" s="20">
        <v>74</v>
      </c>
      <c r="O17" s="20">
        <v>56</v>
      </c>
      <c r="P17" s="21">
        <v>58</v>
      </c>
      <c r="Q17" s="18">
        <v>155</v>
      </c>
      <c r="R17" s="20">
        <v>8</v>
      </c>
      <c r="S17" s="20">
        <v>43</v>
      </c>
      <c r="T17" s="20">
        <v>82</v>
      </c>
      <c r="U17" s="21">
        <v>22</v>
      </c>
      <c r="V17" s="18">
        <v>332</v>
      </c>
      <c r="W17" s="20">
        <v>13</v>
      </c>
      <c r="X17" s="20">
        <v>174</v>
      </c>
      <c r="Y17" s="20">
        <v>109</v>
      </c>
      <c r="Z17" s="21">
        <v>33</v>
      </c>
    </row>
    <row r="18" spans="1:26">
      <c r="A18" s="26" t="s">
        <v>16</v>
      </c>
      <c r="B18" s="18">
        <v>400</v>
      </c>
      <c r="C18" s="20">
        <v>121</v>
      </c>
      <c r="D18" s="20">
        <v>115</v>
      </c>
      <c r="E18" s="20">
        <v>27</v>
      </c>
      <c r="F18" s="21">
        <v>137</v>
      </c>
      <c r="G18" s="20">
        <v>280</v>
      </c>
      <c r="H18" s="20">
        <v>11</v>
      </c>
      <c r="I18" s="20">
        <v>0.2</v>
      </c>
      <c r="J18" s="20">
        <v>53</v>
      </c>
      <c r="K18" s="21">
        <v>216</v>
      </c>
      <c r="L18" s="18">
        <v>402</v>
      </c>
      <c r="M18" s="20">
        <v>16</v>
      </c>
      <c r="N18" s="20">
        <v>205</v>
      </c>
      <c r="O18" s="20">
        <v>62</v>
      </c>
      <c r="P18" s="21">
        <v>120</v>
      </c>
      <c r="Q18" s="18">
        <v>195</v>
      </c>
      <c r="R18" s="20">
        <v>35</v>
      </c>
      <c r="S18" s="20">
        <v>0.3</v>
      </c>
      <c r="T18" s="20">
        <v>61</v>
      </c>
      <c r="U18" s="21">
        <v>99</v>
      </c>
      <c r="V18" s="18">
        <v>620</v>
      </c>
      <c r="W18" s="20">
        <v>12</v>
      </c>
      <c r="X18" s="20">
        <v>256</v>
      </c>
      <c r="Y18" s="20">
        <v>208</v>
      </c>
      <c r="Z18" s="21">
        <v>144</v>
      </c>
    </row>
    <row r="19" spans="1:26">
      <c r="A19" s="26" t="s">
        <v>17</v>
      </c>
      <c r="B19" s="18">
        <v>1281</v>
      </c>
      <c r="C19" s="19"/>
      <c r="D19" s="20">
        <v>883</v>
      </c>
      <c r="E19" s="20">
        <v>111</v>
      </c>
      <c r="F19" s="21">
        <v>286</v>
      </c>
      <c r="G19" s="20">
        <v>1657</v>
      </c>
      <c r="H19" s="19"/>
      <c r="I19" s="20">
        <v>821</v>
      </c>
      <c r="J19" s="20">
        <v>191</v>
      </c>
      <c r="K19" s="21">
        <v>645</v>
      </c>
      <c r="L19" s="18">
        <v>758</v>
      </c>
      <c r="M19" s="19"/>
      <c r="N19" s="20">
        <v>145</v>
      </c>
      <c r="O19" s="20">
        <v>94</v>
      </c>
      <c r="P19" s="21">
        <v>393</v>
      </c>
      <c r="Q19" s="18">
        <v>808</v>
      </c>
      <c r="R19" s="19"/>
      <c r="S19" s="20">
        <v>214</v>
      </c>
      <c r="T19" s="20">
        <v>213</v>
      </c>
      <c r="U19" s="21">
        <v>256</v>
      </c>
      <c r="V19" s="18">
        <v>1708</v>
      </c>
      <c r="W19" s="19"/>
      <c r="X19" s="20">
        <v>621</v>
      </c>
      <c r="Y19" s="20">
        <v>440</v>
      </c>
      <c r="Z19" s="21">
        <v>647</v>
      </c>
    </row>
    <row r="20" spans="1:26">
      <c r="A20" s="26" t="s">
        <v>18</v>
      </c>
      <c r="B20" s="18">
        <v>387</v>
      </c>
      <c r="C20" s="19"/>
      <c r="D20" s="20">
        <v>102</v>
      </c>
      <c r="E20" s="20">
        <v>34</v>
      </c>
      <c r="F20" s="21">
        <v>250</v>
      </c>
      <c r="G20" s="20">
        <v>887</v>
      </c>
      <c r="H20" s="19"/>
      <c r="I20" s="20">
        <v>325</v>
      </c>
      <c r="J20" s="20">
        <v>135</v>
      </c>
      <c r="K20" s="21">
        <v>428</v>
      </c>
      <c r="L20" s="18">
        <v>956</v>
      </c>
      <c r="M20" s="20">
        <v>2.5</v>
      </c>
      <c r="N20" s="20">
        <v>422</v>
      </c>
      <c r="O20" s="20">
        <v>238</v>
      </c>
      <c r="P20" s="21">
        <v>294</v>
      </c>
      <c r="Q20" s="18">
        <v>665</v>
      </c>
      <c r="R20" s="20">
        <v>5</v>
      </c>
      <c r="S20" s="20">
        <v>261</v>
      </c>
      <c r="T20" s="20">
        <v>327</v>
      </c>
      <c r="U20" s="21">
        <v>72</v>
      </c>
      <c r="V20" s="18">
        <v>1091</v>
      </c>
      <c r="W20" s="19"/>
      <c r="X20" s="20">
        <v>246</v>
      </c>
      <c r="Y20" s="20">
        <v>724</v>
      </c>
      <c r="Z20" s="21">
        <v>121</v>
      </c>
    </row>
    <row r="21" spans="1:26">
      <c r="A21" s="26" t="s">
        <v>19</v>
      </c>
      <c r="B21" s="18">
        <v>376</v>
      </c>
      <c r="C21" s="20">
        <v>13</v>
      </c>
      <c r="D21" s="20">
        <v>122</v>
      </c>
      <c r="E21" s="20">
        <v>83</v>
      </c>
      <c r="F21" s="21">
        <v>158</v>
      </c>
      <c r="G21" s="20">
        <v>449</v>
      </c>
      <c r="H21" s="20">
        <v>8</v>
      </c>
      <c r="I21" s="20">
        <v>120</v>
      </c>
      <c r="J21" s="20">
        <v>67</v>
      </c>
      <c r="K21" s="21">
        <v>254</v>
      </c>
      <c r="L21" s="18">
        <v>365</v>
      </c>
      <c r="M21" s="20">
        <v>6</v>
      </c>
      <c r="N21" s="20">
        <v>112</v>
      </c>
      <c r="O21" s="20">
        <v>81</v>
      </c>
      <c r="P21" s="21">
        <v>166</v>
      </c>
      <c r="Q21" s="18">
        <v>531</v>
      </c>
      <c r="R21" s="20">
        <v>6</v>
      </c>
      <c r="S21" s="20">
        <v>324</v>
      </c>
      <c r="T21" s="20">
        <v>76</v>
      </c>
      <c r="U21" s="21">
        <v>125</v>
      </c>
      <c r="V21" s="18">
        <v>420</v>
      </c>
      <c r="W21" s="20">
        <v>65</v>
      </c>
      <c r="X21" s="20">
        <v>188</v>
      </c>
      <c r="Y21" s="20">
        <v>91</v>
      </c>
      <c r="Z21" s="21">
        <v>76</v>
      </c>
    </row>
    <row r="22" spans="1:26">
      <c r="A22" s="26" t="s">
        <v>20</v>
      </c>
      <c r="B22" s="18">
        <v>135</v>
      </c>
      <c r="C22" s="20">
        <v>27</v>
      </c>
      <c r="D22" s="20">
        <v>9</v>
      </c>
      <c r="E22" s="20">
        <v>86</v>
      </c>
      <c r="F22" s="21">
        <v>13</v>
      </c>
      <c r="G22" s="20">
        <v>274</v>
      </c>
      <c r="H22" s="20">
        <v>32</v>
      </c>
      <c r="I22" s="20">
        <v>12</v>
      </c>
      <c r="J22" s="20">
        <v>50</v>
      </c>
      <c r="K22" s="21">
        <v>180</v>
      </c>
      <c r="L22" s="18">
        <v>296</v>
      </c>
      <c r="M22" s="20">
        <v>29</v>
      </c>
      <c r="N22" s="20">
        <v>33</v>
      </c>
      <c r="O22" s="20">
        <v>100</v>
      </c>
      <c r="P22" s="21">
        <v>135</v>
      </c>
      <c r="Q22" s="18">
        <v>181</v>
      </c>
      <c r="R22" s="20">
        <v>51</v>
      </c>
      <c r="S22" s="20">
        <v>19</v>
      </c>
      <c r="T22" s="20">
        <v>71</v>
      </c>
      <c r="U22" s="21">
        <v>40</v>
      </c>
      <c r="V22" s="18">
        <v>316</v>
      </c>
      <c r="W22" s="20">
        <v>23</v>
      </c>
      <c r="X22" s="20">
        <v>5</v>
      </c>
      <c r="Y22" s="20">
        <v>241</v>
      </c>
      <c r="Z22" s="21">
        <v>47</v>
      </c>
    </row>
    <row r="23" spans="1:26">
      <c r="A23" s="26" t="s">
        <v>21</v>
      </c>
      <c r="B23" s="18">
        <v>300</v>
      </c>
      <c r="C23" s="20">
        <v>96</v>
      </c>
      <c r="D23" s="20">
        <v>60</v>
      </c>
      <c r="E23" s="20">
        <v>16</v>
      </c>
      <c r="F23" s="21">
        <v>19</v>
      </c>
      <c r="G23" s="20">
        <v>196</v>
      </c>
      <c r="H23" s="20">
        <v>35</v>
      </c>
      <c r="I23" s="19"/>
      <c r="J23" s="20">
        <v>29</v>
      </c>
      <c r="K23" s="21">
        <v>23</v>
      </c>
      <c r="L23" s="18">
        <v>894</v>
      </c>
      <c r="M23" s="20">
        <v>90</v>
      </c>
      <c r="N23" s="20">
        <v>484</v>
      </c>
      <c r="O23" s="20">
        <v>2</v>
      </c>
      <c r="P23" s="21">
        <v>34</v>
      </c>
      <c r="Q23" s="18">
        <v>898</v>
      </c>
      <c r="R23" s="19"/>
      <c r="S23" s="20">
        <v>480</v>
      </c>
      <c r="T23" s="20">
        <v>31</v>
      </c>
      <c r="U23" s="21">
        <v>104</v>
      </c>
      <c r="V23" s="18">
        <v>1041</v>
      </c>
      <c r="W23" s="19"/>
      <c r="X23" s="20">
        <v>741</v>
      </c>
      <c r="Y23" s="20">
        <v>111</v>
      </c>
      <c r="Z23" s="21">
        <v>189</v>
      </c>
    </row>
    <row r="24" spans="1:26">
      <c r="A24" s="26" t="s">
        <v>22</v>
      </c>
      <c r="B24" s="18">
        <v>798</v>
      </c>
      <c r="C24" s="20">
        <v>14</v>
      </c>
      <c r="D24" s="20">
        <v>528</v>
      </c>
      <c r="E24" s="20">
        <v>35</v>
      </c>
      <c r="F24" s="21">
        <v>4</v>
      </c>
      <c r="G24" s="20">
        <v>139</v>
      </c>
      <c r="H24" s="19"/>
      <c r="I24" s="20">
        <v>51</v>
      </c>
      <c r="J24" s="20">
        <v>82</v>
      </c>
      <c r="K24" s="21">
        <v>6</v>
      </c>
      <c r="L24" s="18">
        <v>216</v>
      </c>
      <c r="M24" s="20">
        <v>5</v>
      </c>
      <c r="N24" s="20">
        <v>119</v>
      </c>
      <c r="O24" s="20">
        <v>61</v>
      </c>
      <c r="P24" s="21">
        <v>30</v>
      </c>
      <c r="Q24" s="18">
        <v>140</v>
      </c>
      <c r="R24" s="20">
        <v>29</v>
      </c>
      <c r="S24" s="20">
        <v>11</v>
      </c>
      <c r="T24" s="20">
        <v>90</v>
      </c>
      <c r="U24" s="21">
        <v>10</v>
      </c>
      <c r="V24" s="18">
        <v>544</v>
      </c>
      <c r="W24" s="20">
        <v>69</v>
      </c>
      <c r="X24" s="20">
        <v>49</v>
      </c>
      <c r="Y24" s="20">
        <v>354</v>
      </c>
      <c r="Z24" s="21">
        <v>72</v>
      </c>
    </row>
    <row r="25" spans="1:26">
      <c r="A25" s="26" t="s">
        <v>23</v>
      </c>
      <c r="B25" s="18">
        <v>66</v>
      </c>
      <c r="C25" s="19"/>
      <c r="D25" s="19"/>
      <c r="E25" s="19"/>
      <c r="F25" s="21">
        <v>1</v>
      </c>
      <c r="G25" s="20">
        <v>23</v>
      </c>
      <c r="H25" s="20">
        <v>20</v>
      </c>
      <c r="I25" s="19"/>
      <c r="J25" s="19"/>
      <c r="K25" s="21">
        <v>3</v>
      </c>
      <c r="L25" s="18">
        <v>56</v>
      </c>
      <c r="M25" s="20">
        <v>40</v>
      </c>
      <c r="N25" s="19"/>
      <c r="O25" s="19"/>
      <c r="P25" s="21">
        <v>16</v>
      </c>
      <c r="Q25" s="18">
        <v>53</v>
      </c>
      <c r="R25" s="19"/>
      <c r="S25" s="20">
        <v>46</v>
      </c>
      <c r="T25" s="19"/>
      <c r="U25" s="21">
        <v>7</v>
      </c>
      <c r="V25" s="18">
        <v>98</v>
      </c>
      <c r="W25" s="19"/>
      <c r="X25" s="20">
        <v>98</v>
      </c>
      <c r="Y25" s="19"/>
      <c r="Z25" s="21">
        <v>0</v>
      </c>
    </row>
    <row r="26" spans="1:26">
      <c r="A26" s="26" t="s">
        <v>24</v>
      </c>
      <c r="B26" s="18">
        <v>154</v>
      </c>
      <c r="C26" s="20">
        <v>11</v>
      </c>
      <c r="D26" s="20">
        <v>132</v>
      </c>
      <c r="E26" s="20">
        <v>10</v>
      </c>
      <c r="F26" s="21">
        <v>1</v>
      </c>
      <c r="G26" s="20">
        <v>118</v>
      </c>
      <c r="H26" s="20">
        <v>74</v>
      </c>
      <c r="I26" s="20">
        <v>18</v>
      </c>
      <c r="J26" s="20">
        <v>14</v>
      </c>
      <c r="K26" s="21">
        <v>13</v>
      </c>
      <c r="L26" s="18">
        <v>91</v>
      </c>
      <c r="M26" s="20">
        <v>14</v>
      </c>
      <c r="N26" s="20">
        <v>31</v>
      </c>
      <c r="O26" s="20">
        <v>19</v>
      </c>
      <c r="P26" s="21">
        <v>27</v>
      </c>
      <c r="Q26" s="18">
        <v>51</v>
      </c>
      <c r="R26" s="20">
        <v>6</v>
      </c>
      <c r="S26" s="20">
        <v>5</v>
      </c>
      <c r="T26" s="20">
        <v>18</v>
      </c>
      <c r="U26" s="21">
        <v>22</v>
      </c>
      <c r="V26" s="18">
        <v>52</v>
      </c>
      <c r="W26" s="20">
        <v>4</v>
      </c>
      <c r="X26" s="20">
        <v>16</v>
      </c>
      <c r="Y26" s="20">
        <v>28</v>
      </c>
      <c r="Z26" s="21">
        <v>4</v>
      </c>
    </row>
    <row r="27" spans="1:26">
      <c r="A27" s="26" t="s">
        <v>25</v>
      </c>
      <c r="B27" s="18">
        <v>489</v>
      </c>
      <c r="C27" s="20">
        <v>308</v>
      </c>
      <c r="D27" s="20">
        <v>30</v>
      </c>
      <c r="E27" s="20">
        <v>68</v>
      </c>
      <c r="F27" s="21">
        <v>83</v>
      </c>
      <c r="G27" s="20">
        <v>780</v>
      </c>
      <c r="H27" s="20">
        <v>602</v>
      </c>
      <c r="I27" s="20">
        <v>23</v>
      </c>
      <c r="J27" s="20">
        <v>126</v>
      </c>
      <c r="K27" s="21">
        <v>30</v>
      </c>
      <c r="L27" s="18">
        <v>280</v>
      </c>
      <c r="M27" s="20">
        <v>155</v>
      </c>
      <c r="N27" s="20">
        <v>30</v>
      </c>
      <c r="O27" s="20">
        <v>47</v>
      </c>
      <c r="P27" s="21">
        <v>48</v>
      </c>
      <c r="Q27" s="18">
        <v>125</v>
      </c>
      <c r="R27" s="20">
        <v>27</v>
      </c>
      <c r="S27" s="20">
        <v>25</v>
      </c>
      <c r="T27" s="20">
        <v>66</v>
      </c>
      <c r="U27" s="21">
        <v>7</v>
      </c>
      <c r="V27" s="18">
        <v>551</v>
      </c>
      <c r="W27" s="20">
        <v>413</v>
      </c>
      <c r="X27" s="20">
        <v>35</v>
      </c>
      <c r="Y27" s="20">
        <v>100</v>
      </c>
      <c r="Z27" s="21">
        <v>3</v>
      </c>
    </row>
    <row r="28" spans="1:26">
      <c r="A28" s="26" t="s">
        <v>26</v>
      </c>
      <c r="B28" s="18">
        <v>359</v>
      </c>
      <c r="C28" s="20">
        <v>9</v>
      </c>
      <c r="D28" s="20">
        <v>318</v>
      </c>
      <c r="E28" s="20">
        <v>32</v>
      </c>
      <c r="F28" s="23"/>
      <c r="G28" s="20">
        <v>80</v>
      </c>
      <c r="H28" s="20">
        <v>31</v>
      </c>
      <c r="I28" s="19"/>
      <c r="J28" s="20">
        <v>31</v>
      </c>
      <c r="K28" s="21">
        <v>19</v>
      </c>
      <c r="L28" s="18">
        <v>26</v>
      </c>
      <c r="M28" s="19"/>
      <c r="N28" s="19"/>
      <c r="O28" s="20">
        <v>15</v>
      </c>
      <c r="P28" s="21">
        <v>11</v>
      </c>
      <c r="Q28" s="18">
        <v>234</v>
      </c>
      <c r="R28" s="20">
        <v>5</v>
      </c>
      <c r="S28" s="20">
        <v>105</v>
      </c>
      <c r="T28" s="20">
        <v>78</v>
      </c>
      <c r="U28" s="21">
        <v>45</v>
      </c>
      <c r="V28" s="18">
        <v>715</v>
      </c>
      <c r="W28" s="20">
        <v>13</v>
      </c>
      <c r="X28" s="20">
        <v>6</v>
      </c>
      <c r="Y28" s="20">
        <v>149</v>
      </c>
      <c r="Z28" s="21">
        <v>547</v>
      </c>
    </row>
    <row r="29" spans="1:26">
      <c r="A29" s="26" t="s">
        <v>27</v>
      </c>
      <c r="B29" s="18">
        <v>289</v>
      </c>
      <c r="C29" s="20">
        <v>180</v>
      </c>
      <c r="D29" s="19"/>
      <c r="E29" s="20">
        <v>97</v>
      </c>
      <c r="F29" s="21">
        <v>12</v>
      </c>
      <c r="G29" s="20">
        <v>174</v>
      </c>
      <c r="H29" s="20">
        <v>115</v>
      </c>
      <c r="I29" s="19"/>
      <c r="J29" s="20">
        <v>53</v>
      </c>
      <c r="K29" s="21">
        <v>6</v>
      </c>
      <c r="L29" s="18">
        <v>393</v>
      </c>
      <c r="M29" s="20">
        <v>392</v>
      </c>
      <c r="N29" s="19"/>
      <c r="O29" s="20">
        <v>0.4</v>
      </c>
      <c r="P29" s="21">
        <v>1</v>
      </c>
      <c r="Q29" s="18">
        <v>133</v>
      </c>
      <c r="R29" s="20">
        <v>92</v>
      </c>
      <c r="S29" s="19"/>
      <c r="T29" s="20">
        <v>7</v>
      </c>
      <c r="U29" s="21">
        <v>33</v>
      </c>
      <c r="V29" s="18">
        <v>373</v>
      </c>
      <c r="W29" s="20">
        <v>340</v>
      </c>
      <c r="X29" s="20">
        <v>5</v>
      </c>
      <c r="Y29" s="20">
        <v>26</v>
      </c>
      <c r="Z29" s="21">
        <v>2</v>
      </c>
    </row>
    <row r="30" spans="1:26">
      <c r="A30" s="26" t="s">
        <v>28</v>
      </c>
      <c r="B30" s="18">
        <v>60</v>
      </c>
      <c r="C30" s="20">
        <v>41</v>
      </c>
      <c r="D30" s="20">
        <v>3</v>
      </c>
      <c r="E30" s="19"/>
      <c r="F30" s="21">
        <v>16</v>
      </c>
      <c r="G30" s="20">
        <v>48</v>
      </c>
      <c r="H30" s="20">
        <v>2</v>
      </c>
      <c r="I30" s="19"/>
      <c r="J30" s="19"/>
      <c r="K30" s="21">
        <v>47</v>
      </c>
      <c r="L30" s="18">
        <v>13</v>
      </c>
      <c r="M30" s="20">
        <v>1</v>
      </c>
      <c r="N30" s="19"/>
      <c r="O30" s="19"/>
      <c r="P30" s="21">
        <v>12</v>
      </c>
      <c r="Q30" s="18">
        <v>26</v>
      </c>
      <c r="R30" s="20">
        <v>14</v>
      </c>
      <c r="S30" s="19"/>
      <c r="T30" s="19"/>
      <c r="U30" s="21">
        <v>12</v>
      </c>
      <c r="V30" s="18">
        <v>66</v>
      </c>
      <c r="W30" s="20">
        <v>39</v>
      </c>
      <c r="X30" s="19"/>
      <c r="Y30" s="19"/>
      <c r="Z30" s="21">
        <v>27</v>
      </c>
    </row>
    <row r="31" spans="1:26">
      <c r="A31" s="26" t="s">
        <v>29</v>
      </c>
      <c r="B31" s="18">
        <v>450</v>
      </c>
      <c r="C31" s="20">
        <v>15</v>
      </c>
      <c r="D31" s="20">
        <v>149</v>
      </c>
      <c r="E31" s="20">
        <v>91</v>
      </c>
      <c r="F31" s="21">
        <v>194</v>
      </c>
      <c r="G31" s="20">
        <v>532</v>
      </c>
      <c r="H31" s="20">
        <v>70</v>
      </c>
      <c r="I31" s="20">
        <v>126</v>
      </c>
      <c r="J31" s="20">
        <v>132</v>
      </c>
      <c r="K31" s="21">
        <v>203</v>
      </c>
      <c r="L31" s="18">
        <v>607</v>
      </c>
      <c r="M31" s="20">
        <v>4</v>
      </c>
      <c r="N31" s="20">
        <v>389</v>
      </c>
      <c r="O31" s="20">
        <v>59</v>
      </c>
      <c r="P31" s="21">
        <v>155</v>
      </c>
      <c r="Q31" s="18">
        <v>740</v>
      </c>
      <c r="R31" s="20">
        <v>11</v>
      </c>
      <c r="S31" s="20">
        <v>430</v>
      </c>
      <c r="T31" s="20">
        <v>117</v>
      </c>
      <c r="U31" s="21">
        <v>182</v>
      </c>
      <c r="V31" s="18">
        <v>1096</v>
      </c>
      <c r="W31" s="20">
        <v>29</v>
      </c>
      <c r="X31" s="20">
        <v>584</v>
      </c>
      <c r="Y31" s="20">
        <v>344</v>
      </c>
      <c r="Z31" s="21">
        <v>139</v>
      </c>
    </row>
    <row r="32" spans="1:26">
      <c r="A32" s="26" t="s">
        <v>30</v>
      </c>
      <c r="B32" s="18">
        <v>152</v>
      </c>
      <c r="C32" s="20">
        <v>9</v>
      </c>
      <c r="D32" s="20">
        <v>40</v>
      </c>
      <c r="E32" s="20">
        <v>25</v>
      </c>
      <c r="F32" s="21">
        <v>78</v>
      </c>
      <c r="G32" s="20">
        <v>227</v>
      </c>
      <c r="H32" s="20">
        <v>7</v>
      </c>
      <c r="I32" s="20">
        <v>112</v>
      </c>
      <c r="J32" s="20">
        <v>5</v>
      </c>
      <c r="K32" s="21">
        <v>102</v>
      </c>
      <c r="L32" s="18">
        <v>130</v>
      </c>
      <c r="M32" s="20">
        <v>61</v>
      </c>
      <c r="N32" s="20">
        <v>4</v>
      </c>
      <c r="O32" s="19"/>
      <c r="P32" s="21">
        <v>65</v>
      </c>
      <c r="Q32" s="18">
        <v>108</v>
      </c>
      <c r="R32" s="20">
        <v>15</v>
      </c>
      <c r="S32" s="19"/>
      <c r="T32" s="20">
        <v>12</v>
      </c>
      <c r="U32" s="21">
        <v>81</v>
      </c>
      <c r="V32" s="18">
        <v>350</v>
      </c>
      <c r="W32" s="20">
        <v>13</v>
      </c>
      <c r="X32" s="20">
        <v>204</v>
      </c>
      <c r="Y32" s="20">
        <v>76</v>
      </c>
      <c r="Z32" s="21">
        <v>57</v>
      </c>
    </row>
    <row r="33" spans="1:26">
      <c r="A33" s="26" t="s">
        <v>31</v>
      </c>
      <c r="B33" s="18">
        <v>319</v>
      </c>
      <c r="C33" s="20">
        <v>46</v>
      </c>
      <c r="D33" s="20">
        <v>113</v>
      </c>
      <c r="E33" s="20">
        <v>30</v>
      </c>
      <c r="F33" s="21">
        <v>131</v>
      </c>
      <c r="G33" s="20">
        <v>226</v>
      </c>
      <c r="H33" s="20">
        <v>4</v>
      </c>
      <c r="I33" s="20">
        <v>27</v>
      </c>
      <c r="J33" s="20">
        <v>110</v>
      </c>
      <c r="K33" s="21">
        <v>85</v>
      </c>
      <c r="L33" s="18">
        <v>321</v>
      </c>
      <c r="M33" s="20">
        <v>1</v>
      </c>
      <c r="N33" s="19"/>
      <c r="O33" s="20">
        <v>112</v>
      </c>
      <c r="P33" s="21">
        <v>208</v>
      </c>
      <c r="Q33" s="18">
        <v>338</v>
      </c>
      <c r="R33" s="19"/>
      <c r="S33" s="19"/>
      <c r="T33" s="20">
        <v>195</v>
      </c>
      <c r="U33" s="21">
        <v>142</v>
      </c>
      <c r="V33" s="18">
        <v>836</v>
      </c>
      <c r="W33" s="20">
        <v>1</v>
      </c>
      <c r="X33" s="20">
        <v>0.2</v>
      </c>
      <c r="Y33" s="20">
        <v>379</v>
      </c>
      <c r="Z33" s="21">
        <v>457</v>
      </c>
    </row>
    <row r="34" spans="1:26">
      <c r="A34" s="26" t="s">
        <v>32</v>
      </c>
      <c r="B34" s="18">
        <v>574</v>
      </c>
      <c r="C34" s="19"/>
      <c r="D34" s="20">
        <v>180</v>
      </c>
      <c r="E34" s="20">
        <v>177</v>
      </c>
      <c r="F34" s="21">
        <v>217</v>
      </c>
      <c r="G34" s="20">
        <v>525</v>
      </c>
      <c r="H34" s="19"/>
      <c r="I34" s="20">
        <v>432</v>
      </c>
      <c r="J34" s="19"/>
      <c r="K34" s="21">
        <v>93</v>
      </c>
      <c r="L34" s="18">
        <v>372</v>
      </c>
      <c r="M34" s="19"/>
      <c r="N34" s="20">
        <v>101</v>
      </c>
      <c r="O34" s="20">
        <v>84</v>
      </c>
      <c r="P34" s="21">
        <v>187</v>
      </c>
      <c r="Q34" s="18">
        <v>600</v>
      </c>
      <c r="R34" s="19"/>
      <c r="S34" s="20">
        <v>367</v>
      </c>
      <c r="T34" s="20">
        <v>110</v>
      </c>
      <c r="U34" s="21">
        <v>123</v>
      </c>
      <c r="V34" s="18">
        <v>676</v>
      </c>
      <c r="W34" s="20">
        <v>0.04</v>
      </c>
      <c r="X34" s="20">
        <v>133</v>
      </c>
      <c r="Y34" s="20">
        <v>260</v>
      </c>
      <c r="Z34" s="21">
        <v>282</v>
      </c>
    </row>
    <row r="35" spans="1:26">
      <c r="A35" s="27" t="s">
        <v>33</v>
      </c>
      <c r="B35" s="13">
        <v>1085</v>
      </c>
      <c r="C35" s="14">
        <v>98</v>
      </c>
      <c r="D35" s="14">
        <v>394</v>
      </c>
      <c r="E35" s="14">
        <v>262</v>
      </c>
      <c r="F35" s="22">
        <v>330</v>
      </c>
      <c r="G35" s="14">
        <v>560</v>
      </c>
      <c r="H35" s="14">
        <v>47</v>
      </c>
      <c r="I35" s="14">
        <v>462</v>
      </c>
      <c r="J35" s="14">
        <v>30</v>
      </c>
      <c r="K35" s="22">
        <v>21</v>
      </c>
      <c r="L35" s="13">
        <v>385</v>
      </c>
      <c r="M35" s="14">
        <v>10</v>
      </c>
      <c r="N35" s="14">
        <v>214</v>
      </c>
      <c r="O35" s="14">
        <v>74</v>
      </c>
      <c r="P35" s="22">
        <v>87</v>
      </c>
      <c r="Q35" s="13">
        <v>469</v>
      </c>
      <c r="R35" s="14">
        <v>10</v>
      </c>
      <c r="S35" s="14">
        <v>298</v>
      </c>
      <c r="T35" s="14">
        <v>65</v>
      </c>
      <c r="U35" s="22">
        <v>96</v>
      </c>
      <c r="V35" s="13">
        <v>1062</v>
      </c>
      <c r="W35" s="14">
        <v>70</v>
      </c>
      <c r="X35" s="14">
        <v>403</v>
      </c>
      <c r="Y35" s="14">
        <v>399</v>
      </c>
      <c r="Z35" s="22">
        <v>180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1F53-9DCA-40D7-8EF3-D6279C3DD246}">
  <dimension ref="A1:AA67"/>
  <sheetViews>
    <sheetView workbookViewId="0">
      <selection activeCell="K16" sqref="K16"/>
    </sheetView>
  </sheetViews>
  <sheetFormatPr defaultRowHeight="12.75"/>
  <sheetData>
    <row r="1" spans="1:27">
      <c r="A1" s="3" t="s">
        <v>34</v>
      </c>
      <c r="B1" s="1">
        <v>2008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</row>
    <row r="2" spans="1:27">
      <c r="A2" s="3" t="s">
        <v>68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66</v>
      </c>
      <c r="I2" s="3" t="s">
        <v>66</v>
      </c>
      <c r="J2" s="3" t="s">
        <v>66</v>
      </c>
      <c r="K2" s="3" t="s">
        <v>66</v>
      </c>
      <c r="L2" s="3" t="s">
        <v>66</v>
      </c>
      <c r="M2" s="3" t="s">
        <v>66</v>
      </c>
      <c r="N2" s="3" t="s">
        <v>66</v>
      </c>
      <c r="O2" s="3" t="s">
        <v>67</v>
      </c>
      <c r="P2" s="3" t="s">
        <v>67</v>
      </c>
      <c r="Q2" s="3" t="s">
        <v>67</v>
      </c>
      <c r="R2" s="3" t="s">
        <v>67</v>
      </c>
      <c r="S2" s="3" t="s">
        <v>67</v>
      </c>
      <c r="T2" s="3" t="s">
        <v>67</v>
      </c>
      <c r="U2" s="3" t="s">
        <v>67</v>
      </c>
      <c r="V2" s="3" t="s">
        <v>67</v>
      </c>
      <c r="W2" s="3" t="s">
        <v>67</v>
      </c>
      <c r="X2" s="3" t="s">
        <v>67</v>
      </c>
      <c r="Y2" s="3" t="s">
        <v>67</v>
      </c>
      <c r="Z2" s="3" t="s">
        <v>67</v>
      </c>
      <c r="AA2" s="3" t="s">
        <v>67</v>
      </c>
    </row>
    <row r="3" spans="1:27">
      <c r="A3" s="4" t="s">
        <v>5</v>
      </c>
      <c r="B3" s="30">
        <v>6040</v>
      </c>
      <c r="C3" s="30">
        <v>6341.71</v>
      </c>
      <c r="D3" s="30">
        <v>5555.98</v>
      </c>
      <c r="E3" s="30">
        <v>5653.6</v>
      </c>
      <c r="F3" s="30">
        <v>4788</v>
      </c>
      <c r="G3" s="30">
        <v>3447</v>
      </c>
      <c r="H3" s="30">
        <v>3498</v>
      </c>
      <c r="I3" s="30">
        <v>5402</v>
      </c>
      <c r="J3" s="30">
        <v>3866</v>
      </c>
      <c r="K3" s="30">
        <v>3504</v>
      </c>
      <c r="L3" s="30">
        <v>3056</v>
      </c>
      <c r="M3" s="30">
        <v>3236</v>
      </c>
      <c r="N3" s="30">
        <v>4030</v>
      </c>
      <c r="O3" s="31">
        <v>321</v>
      </c>
      <c r="P3" s="31">
        <v>127.34</v>
      </c>
      <c r="Q3" s="31">
        <v>123.5</v>
      </c>
      <c r="R3" s="31">
        <v>236.64</v>
      </c>
      <c r="S3" s="31">
        <v>247</v>
      </c>
      <c r="T3" s="31">
        <v>440</v>
      </c>
      <c r="U3" s="31">
        <v>946</v>
      </c>
      <c r="V3" s="31">
        <v>696</v>
      </c>
      <c r="W3" s="31">
        <v>214</v>
      </c>
      <c r="X3" s="31">
        <v>571</v>
      </c>
      <c r="Y3" s="31">
        <v>884</v>
      </c>
      <c r="Z3" s="31">
        <v>630</v>
      </c>
      <c r="AA3" s="31">
        <v>824</v>
      </c>
    </row>
    <row r="4" spans="1:27">
      <c r="A4" s="2" t="s">
        <v>6</v>
      </c>
      <c r="B4" s="30">
        <v>16</v>
      </c>
      <c r="C4" s="30">
        <v>0</v>
      </c>
      <c r="D4" s="30"/>
      <c r="E4" s="30"/>
      <c r="F4" s="30">
        <v>0</v>
      </c>
      <c r="G4" s="30">
        <v>0</v>
      </c>
      <c r="H4" s="30"/>
      <c r="I4" s="30"/>
      <c r="J4" s="30">
        <v>0</v>
      </c>
      <c r="K4" s="30">
        <v>0</v>
      </c>
      <c r="L4" s="30"/>
      <c r="M4" s="30"/>
      <c r="N4" s="30"/>
      <c r="O4" s="31">
        <v>129</v>
      </c>
      <c r="P4" s="31"/>
      <c r="Q4" s="31"/>
      <c r="R4" s="31">
        <v>92.34</v>
      </c>
      <c r="S4" s="31">
        <v>0</v>
      </c>
      <c r="T4" s="31">
        <v>84</v>
      </c>
      <c r="U4" s="31">
        <v>379</v>
      </c>
      <c r="V4" s="31">
        <v>95</v>
      </c>
      <c r="W4" s="31">
        <v>1</v>
      </c>
      <c r="X4" s="31">
        <v>100</v>
      </c>
      <c r="Y4" s="31">
        <v>34</v>
      </c>
      <c r="Z4" s="31">
        <v>16</v>
      </c>
      <c r="AA4" s="31">
        <v>7</v>
      </c>
    </row>
    <row r="5" spans="1:27">
      <c r="A5" s="2" t="s">
        <v>7</v>
      </c>
      <c r="B5" s="30">
        <v>60</v>
      </c>
      <c r="C5" s="30">
        <v>266</v>
      </c>
      <c r="D5" s="30">
        <v>90</v>
      </c>
      <c r="E5" s="30">
        <v>60</v>
      </c>
      <c r="F5" s="30">
        <v>27</v>
      </c>
      <c r="G5" s="30">
        <v>0</v>
      </c>
      <c r="H5" s="30">
        <v>70</v>
      </c>
      <c r="I5" s="30"/>
      <c r="J5" s="30">
        <v>0</v>
      </c>
      <c r="K5" s="30">
        <v>0</v>
      </c>
      <c r="L5" s="30">
        <v>200</v>
      </c>
      <c r="M5" s="30">
        <v>35</v>
      </c>
      <c r="N5" s="30">
        <v>5</v>
      </c>
      <c r="O5" s="31"/>
      <c r="P5" s="31"/>
      <c r="Q5" s="31"/>
      <c r="R5" s="31"/>
      <c r="S5" s="31">
        <v>0</v>
      </c>
      <c r="T5" s="31"/>
      <c r="U5" s="31">
        <v>86</v>
      </c>
      <c r="V5" s="31"/>
      <c r="W5" s="31">
        <v>92</v>
      </c>
      <c r="X5" s="31">
        <v>0.2</v>
      </c>
      <c r="Y5" s="31">
        <v>25</v>
      </c>
      <c r="Z5" s="31">
        <v>93</v>
      </c>
      <c r="AA5" s="31">
        <v>65</v>
      </c>
    </row>
    <row r="6" spans="1:27">
      <c r="A6" s="2" t="s">
        <v>8</v>
      </c>
      <c r="B6" s="30">
        <v>257</v>
      </c>
      <c r="C6" s="30">
        <v>579</v>
      </c>
      <c r="D6" s="30">
        <v>154</v>
      </c>
      <c r="E6" s="30">
        <v>126</v>
      </c>
      <c r="F6" s="30">
        <v>153</v>
      </c>
      <c r="G6" s="30">
        <v>190</v>
      </c>
      <c r="H6" s="30">
        <v>70</v>
      </c>
      <c r="I6" s="30">
        <v>150</v>
      </c>
      <c r="J6" s="30">
        <v>142</v>
      </c>
      <c r="K6" s="30">
        <v>116</v>
      </c>
      <c r="L6" s="30">
        <v>178</v>
      </c>
      <c r="M6" s="30">
        <v>242</v>
      </c>
      <c r="N6" s="30">
        <v>284</v>
      </c>
      <c r="O6" s="31">
        <v>2</v>
      </c>
      <c r="P6" s="31"/>
      <c r="Q6" s="31"/>
      <c r="R6" s="31"/>
      <c r="S6" s="31">
        <v>0</v>
      </c>
      <c r="T6" s="31"/>
      <c r="U6" s="31"/>
      <c r="V6" s="31"/>
      <c r="W6" s="31">
        <v>0</v>
      </c>
      <c r="X6" s="31">
        <v>0</v>
      </c>
      <c r="Y6" s="31"/>
      <c r="Z6" s="31">
        <v>45</v>
      </c>
      <c r="AA6" s="31">
        <v>47</v>
      </c>
    </row>
    <row r="7" spans="1:27">
      <c r="A7" s="2" t="s">
        <v>9</v>
      </c>
      <c r="B7" s="30">
        <v>418</v>
      </c>
      <c r="C7" s="30">
        <v>432</v>
      </c>
      <c r="D7" s="30">
        <v>153</v>
      </c>
      <c r="E7" s="30">
        <v>448.8</v>
      </c>
      <c r="F7" s="30">
        <v>317</v>
      </c>
      <c r="G7" s="30">
        <v>187</v>
      </c>
      <c r="H7" s="30">
        <v>259</v>
      </c>
      <c r="I7" s="30">
        <v>200</v>
      </c>
      <c r="J7" s="30">
        <v>337</v>
      </c>
      <c r="K7" s="30">
        <v>45</v>
      </c>
      <c r="L7" s="30">
        <v>280</v>
      </c>
      <c r="M7" s="30">
        <v>70</v>
      </c>
      <c r="N7" s="30">
        <v>271</v>
      </c>
      <c r="O7" s="31"/>
      <c r="P7" s="31"/>
      <c r="Q7" s="31"/>
      <c r="R7" s="31"/>
      <c r="S7" s="31">
        <v>0.5</v>
      </c>
      <c r="T7" s="31"/>
      <c r="U7" s="31">
        <v>86.4</v>
      </c>
      <c r="V7" s="31">
        <v>89.6</v>
      </c>
      <c r="W7" s="31">
        <v>0</v>
      </c>
      <c r="X7" s="31">
        <v>0</v>
      </c>
      <c r="Y7" s="31">
        <v>6</v>
      </c>
      <c r="Z7" s="31"/>
      <c r="AA7" s="31">
        <v>10</v>
      </c>
    </row>
    <row r="8" spans="1:27">
      <c r="A8" s="2" t="s">
        <v>2</v>
      </c>
      <c r="B8" s="30">
        <v>515</v>
      </c>
      <c r="C8" s="30">
        <v>290.26</v>
      </c>
      <c r="D8" s="30">
        <v>574</v>
      </c>
      <c r="E8" s="30">
        <v>457.7</v>
      </c>
      <c r="F8" s="30">
        <v>71</v>
      </c>
      <c r="G8" s="30">
        <v>229</v>
      </c>
      <c r="H8" s="30">
        <v>99</v>
      </c>
      <c r="I8" s="30">
        <v>106</v>
      </c>
      <c r="J8" s="30">
        <v>363</v>
      </c>
      <c r="K8" s="30">
        <v>228</v>
      </c>
      <c r="L8" s="30">
        <v>66</v>
      </c>
      <c r="M8" s="30">
        <v>410</v>
      </c>
      <c r="N8" s="30">
        <v>414</v>
      </c>
      <c r="O8" s="31"/>
      <c r="P8" s="31"/>
      <c r="Q8" s="31"/>
      <c r="R8" s="31"/>
      <c r="S8" s="31">
        <v>0</v>
      </c>
      <c r="T8" s="31"/>
      <c r="U8" s="31"/>
      <c r="V8" s="31"/>
      <c r="W8" s="31">
        <v>0</v>
      </c>
      <c r="X8" s="31">
        <v>0</v>
      </c>
      <c r="Y8" s="31"/>
      <c r="Z8" s="31"/>
      <c r="AA8" s="31"/>
    </row>
    <row r="9" spans="1:27">
      <c r="A9" s="2" t="s">
        <v>10</v>
      </c>
      <c r="B9" s="30">
        <v>240</v>
      </c>
      <c r="C9" s="30">
        <v>242.5</v>
      </c>
      <c r="D9" s="30">
        <v>482.4</v>
      </c>
      <c r="E9" s="30">
        <v>155.19999999999999</v>
      </c>
      <c r="F9" s="30">
        <v>221</v>
      </c>
      <c r="G9" s="30">
        <v>0</v>
      </c>
      <c r="H9" s="30">
        <v>70</v>
      </c>
      <c r="I9" s="30"/>
      <c r="J9" s="30">
        <v>0</v>
      </c>
      <c r="K9" s="30">
        <v>45</v>
      </c>
      <c r="L9" s="30">
        <v>105</v>
      </c>
      <c r="M9" s="30"/>
      <c r="N9" s="30">
        <v>80</v>
      </c>
      <c r="O9" s="31"/>
      <c r="P9" s="31"/>
      <c r="Q9" s="31"/>
      <c r="R9" s="31"/>
      <c r="S9" s="31">
        <v>0</v>
      </c>
      <c r="T9" s="31"/>
      <c r="U9" s="31"/>
      <c r="V9" s="31"/>
      <c r="W9" s="31">
        <v>0</v>
      </c>
      <c r="X9" s="31">
        <v>0</v>
      </c>
      <c r="Y9" s="31"/>
      <c r="Z9" s="31"/>
      <c r="AA9" s="31">
        <v>10</v>
      </c>
    </row>
    <row r="10" spans="1:27">
      <c r="A10" s="2" t="s">
        <v>3</v>
      </c>
      <c r="B10" s="30">
        <v>69</v>
      </c>
      <c r="C10" s="30">
        <v>338</v>
      </c>
      <c r="D10" s="30">
        <v>349.7</v>
      </c>
      <c r="E10" s="30">
        <v>149.4</v>
      </c>
      <c r="F10" s="30">
        <v>104</v>
      </c>
      <c r="G10" s="30">
        <v>9</v>
      </c>
      <c r="H10" s="30">
        <v>70</v>
      </c>
      <c r="I10" s="30"/>
      <c r="J10" s="30">
        <v>0</v>
      </c>
      <c r="K10" s="30">
        <v>0</v>
      </c>
      <c r="L10" s="30">
        <v>51</v>
      </c>
      <c r="M10" s="30"/>
      <c r="N10" s="30"/>
      <c r="O10" s="31"/>
      <c r="P10" s="31"/>
      <c r="Q10" s="31"/>
      <c r="R10" s="31"/>
      <c r="S10" s="31">
        <v>0</v>
      </c>
      <c r="T10" s="31"/>
      <c r="U10" s="31"/>
      <c r="V10" s="31"/>
      <c r="W10" s="31">
        <v>0</v>
      </c>
      <c r="X10" s="31">
        <v>0</v>
      </c>
      <c r="Y10" s="31"/>
      <c r="Z10" s="31"/>
      <c r="AA10" s="31"/>
    </row>
    <row r="11" spans="1:27">
      <c r="A11" s="2" t="s">
        <v>4</v>
      </c>
      <c r="B11" s="30">
        <v>184</v>
      </c>
      <c r="C11" s="30">
        <v>62.85</v>
      </c>
      <c r="D11" s="30">
        <v>41.1</v>
      </c>
      <c r="E11" s="30">
        <v>42.95</v>
      </c>
      <c r="F11" s="30">
        <v>0</v>
      </c>
      <c r="G11" s="30">
        <v>100</v>
      </c>
      <c r="H11" s="30">
        <v>70</v>
      </c>
      <c r="I11" s="30">
        <v>70</v>
      </c>
      <c r="J11" s="30">
        <v>35</v>
      </c>
      <c r="K11" s="30">
        <v>117</v>
      </c>
      <c r="L11" s="30">
        <v>28</v>
      </c>
      <c r="M11" s="30">
        <v>47</v>
      </c>
      <c r="N11" s="30">
        <v>135</v>
      </c>
      <c r="O11" s="31"/>
      <c r="P11" s="31"/>
      <c r="Q11" s="31"/>
      <c r="R11" s="31"/>
      <c r="S11" s="31">
        <v>2</v>
      </c>
      <c r="T11" s="31"/>
      <c r="U11" s="31"/>
      <c r="V11" s="31"/>
      <c r="W11" s="31">
        <v>0</v>
      </c>
      <c r="X11" s="31">
        <v>0</v>
      </c>
      <c r="Y11" s="31"/>
      <c r="Z11" s="31">
        <v>7</v>
      </c>
      <c r="AA11" s="31">
        <v>1</v>
      </c>
    </row>
    <row r="12" spans="1:27">
      <c r="A12" s="2" t="s">
        <v>11</v>
      </c>
      <c r="B12" s="30">
        <v>266</v>
      </c>
      <c r="C12" s="30">
        <v>132</v>
      </c>
      <c r="D12" s="30">
        <v>260</v>
      </c>
      <c r="E12" s="30">
        <v>4</v>
      </c>
      <c r="F12" s="30">
        <v>42</v>
      </c>
      <c r="G12" s="30">
        <v>0</v>
      </c>
      <c r="H12" s="30"/>
      <c r="I12" s="30">
        <v>22</v>
      </c>
      <c r="J12" s="30">
        <v>0</v>
      </c>
      <c r="K12" s="30">
        <v>0</v>
      </c>
      <c r="L12" s="30">
        <v>1</v>
      </c>
      <c r="M12" s="30"/>
      <c r="N12" s="30"/>
      <c r="O12" s="31"/>
      <c r="P12" s="31"/>
      <c r="Q12" s="31"/>
      <c r="R12" s="31">
        <v>122.3</v>
      </c>
      <c r="S12" s="31">
        <v>0</v>
      </c>
      <c r="T12" s="31">
        <v>1</v>
      </c>
      <c r="U12" s="31"/>
      <c r="V12" s="31">
        <v>101.1</v>
      </c>
      <c r="W12" s="31">
        <v>3</v>
      </c>
      <c r="X12" s="31">
        <v>3</v>
      </c>
      <c r="Y12" s="31">
        <v>88</v>
      </c>
      <c r="Z12" s="31">
        <v>99</v>
      </c>
      <c r="AA12" s="31"/>
    </row>
    <row r="13" spans="1:27">
      <c r="A13" s="2" t="s">
        <v>12</v>
      </c>
      <c r="B13" s="30">
        <v>179</v>
      </c>
      <c r="C13" s="30">
        <v>224.3</v>
      </c>
      <c r="D13" s="30">
        <v>837.1</v>
      </c>
      <c r="E13" s="30">
        <v>479.2</v>
      </c>
      <c r="F13" s="30">
        <v>399</v>
      </c>
      <c r="G13" s="30">
        <v>569</v>
      </c>
      <c r="H13" s="30">
        <v>205</v>
      </c>
      <c r="I13" s="30">
        <v>238</v>
      </c>
      <c r="J13" s="30">
        <v>137</v>
      </c>
      <c r="K13" s="30">
        <v>333</v>
      </c>
      <c r="L13" s="30">
        <v>131</v>
      </c>
      <c r="M13" s="30">
        <v>289</v>
      </c>
      <c r="N13" s="30">
        <v>23</v>
      </c>
      <c r="O13" s="31"/>
      <c r="P13" s="31"/>
      <c r="Q13" s="31"/>
      <c r="R13" s="31">
        <v>22</v>
      </c>
      <c r="S13" s="31">
        <v>117</v>
      </c>
      <c r="T13" s="31">
        <v>124</v>
      </c>
      <c r="U13" s="31"/>
      <c r="V13" s="31">
        <v>216</v>
      </c>
      <c r="W13" s="31">
        <v>87</v>
      </c>
      <c r="X13" s="31">
        <v>386</v>
      </c>
      <c r="Y13" s="31">
        <v>214</v>
      </c>
      <c r="Z13" s="31">
        <v>111</v>
      </c>
      <c r="AA13" s="31">
        <v>88</v>
      </c>
    </row>
    <row r="14" spans="1:27">
      <c r="A14" s="2" t="s">
        <v>13</v>
      </c>
      <c r="B14" s="30">
        <v>269</v>
      </c>
      <c r="C14" s="30">
        <v>300</v>
      </c>
      <c r="D14" s="30">
        <v>162</v>
      </c>
      <c r="E14" s="30">
        <v>260</v>
      </c>
      <c r="F14" s="30">
        <v>4</v>
      </c>
      <c r="G14" s="30"/>
      <c r="H14" s="30">
        <v>597</v>
      </c>
      <c r="I14" s="30">
        <v>338</v>
      </c>
      <c r="J14" s="30">
        <v>0</v>
      </c>
      <c r="K14" s="30">
        <v>51</v>
      </c>
      <c r="L14" s="30">
        <v>79</v>
      </c>
      <c r="M14" s="30">
        <v>10</v>
      </c>
      <c r="N14" s="30">
        <v>149</v>
      </c>
      <c r="O14" s="31">
        <v>78</v>
      </c>
      <c r="P14" s="31"/>
      <c r="Q14" s="31"/>
      <c r="R14" s="31"/>
      <c r="S14" s="31">
        <v>127</v>
      </c>
      <c r="T14" s="31">
        <v>231</v>
      </c>
      <c r="U14" s="31">
        <v>194</v>
      </c>
      <c r="V14" s="31">
        <v>156</v>
      </c>
      <c r="W14" s="31">
        <v>0</v>
      </c>
      <c r="X14" s="31">
        <v>22</v>
      </c>
      <c r="Y14" s="31">
        <v>24</v>
      </c>
      <c r="Z14" s="31">
        <v>3</v>
      </c>
      <c r="AA14" s="31"/>
    </row>
    <row r="15" spans="1:27">
      <c r="A15" s="2" t="s">
        <v>14</v>
      </c>
      <c r="B15" s="30">
        <v>744</v>
      </c>
      <c r="C15" s="30">
        <v>214.5</v>
      </c>
      <c r="D15" s="30">
        <v>66.900000000000006</v>
      </c>
      <c r="E15" s="30">
        <v>168.5</v>
      </c>
      <c r="F15" s="30">
        <v>263</v>
      </c>
      <c r="G15" s="30">
        <v>423</v>
      </c>
      <c r="H15" s="30">
        <v>264</v>
      </c>
      <c r="I15" s="30">
        <v>718</v>
      </c>
      <c r="J15" s="30">
        <v>296</v>
      </c>
      <c r="K15" s="30">
        <v>102</v>
      </c>
      <c r="L15" s="30">
        <v>302</v>
      </c>
      <c r="M15" s="30">
        <v>100</v>
      </c>
      <c r="N15" s="30">
        <v>8</v>
      </c>
      <c r="O15" s="31"/>
      <c r="P15" s="31"/>
      <c r="Q15" s="31"/>
      <c r="R15" s="31"/>
      <c r="S15" s="31">
        <v>0</v>
      </c>
      <c r="T15" s="31"/>
      <c r="U15" s="31">
        <v>8</v>
      </c>
      <c r="V15" s="31"/>
      <c r="W15" s="31">
        <v>0</v>
      </c>
      <c r="X15" s="31">
        <v>0</v>
      </c>
      <c r="Y15" s="31">
        <v>1</v>
      </c>
      <c r="Z15" s="31"/>
      <c r="AA15" s="31"/>
    </row>
    <row r="16" spans="1:27">
      <c r="A16" s="2" t="s">
        <v>15</v>
      </c>
      <c r="B16" s="30">
        <v>246</v>
      </c>
      <c r="C16" s="30">
        <v>161</v>
      </c>
      <c r="D16" s="30">
        <v>227</v>
      </c>
      <c r="E16" s="30">
        <v>127</v>
      </c>
      <c r="F16" s="30">
        <v>127</v>
      </c>
      <c r="G16" s="30">
        <v>0</v>
      </c>
      <c r="H16" s="30"/>
      <c r="I16" s="30">
        <v>200</v>
      </c>
      <c r="J16" s="30">
        <v>0</v>
      </c>
      <c r="K16" s="30">
        <v>205</v>
      </c>
      <c r="L16" s="30">
        <v>49</v>
      </c>
      <c r="M16" s="30">
        <v>12</v>
      </c>
      <c r="N16" s="30">
        <v>148</v>
      </c>
      <c r="O16" s="31">
        <v>70</v>
      </c>
      <c r="P16" s="31">
        <v>105</v>
      </c>
      <c r="Q16" s="31">
        <v>105</v>
      </c>
      <c r="R16" s="31"/>
      <c r="S16" s="31">
        <v>0</v>
      </c>
      <c r="T16" s="31"/>
      <c r="U16" s="31"/>
      <c r="V16" s="31"/>
      <c r="W16" s="31">
        <v>0</v>
      </c>
      <c r="X16" s="31">
        <v>3</v>
      </c>
      <c r="Y16" s="31"/>
      <c r="Z16" s="31">
        <v>0.3</v>
      </c>
      <c r="AA16" s="31"/>
    </row>
    <row r="17" spans="1:27">
      <c r="A17" s="2" t="s">
        <v>16</v>
      </c>
      <c r="B17" s="30">
        <v>70</v>
      </c>
      <c r="C17" s="30">
        <v>231</v>
      </c>
      <c r="D17" s="30">
        <v>132</v>
      </c>
      <c r="E17" s="30">
        <v>130</v>
      </c>
      <c r="F17" s="30">
        <v>130</v>
      </c>
      <c r="G17" s="30">
        <v>0</v>
      </c>
      <c r="H17" s="30"/>
      <c r="I17" s="30">
        <v>232</v>
      </c>
      <c r="J17" s="30">
        <v>100</v>
      </c>
      <c r="K17" s="30">
        <v>0</v>
      </c>
      <c r="L17" s="30">
        <v>200</v>
      </c>
      <c r="M17" s="30"/>
      <c r="N17" s="30">
        <v>138</v>
      </c>
      <c r="O17" s="31"/>
      <c r="P17" s="31"/>
      <c r="Q17" s="31"/>
      <c r="R17" s="31"/>
      <c r="S17" s="31">
        <v>0</v>
      </c>
      <c r="T17" s="31"/>
      <c r="U17" s="31">
        <v>9</v>
      </c>
      <c r="V17" s="31"/>
      <c r="W17" s="31">
        <v>0</v>
      </c>
      <c r="X17" s="31">
        <v>0</v>
      </c>
      <c r="Y17" s="31"/>
      <c r="Z17" s="31"/>
      <c r="AA17" s="31">
        <v>1</v>
      </c>
    </row>
    <row r="18" spans="1:27">
      <c r="A18" s="2" t="s">
        <v>17</v>
      </c>
      <c r="B18" s="30">
        <v>307</v>
      </c>
      <c r="C18" s="30">
        <v>442.3</v>
      </c>
      <c r="D18" s="30">
        <v>166.06</v>
      </c>
      <c r="E18" s="30">
        <v>351.45</v>
      </c>
      <c r="F18" s="30">
        <v>337</v>
      </c>
      <c r="G18" s="30">
        <v>290</v>
      </c>
      <c r="H18" s="30">
        <v>140</v>
      </c>
      <c r="I18" s="30">
        <v>240</v>
      </c>
      <c r="J18" s="30">
        <v>793</v>
      </c>
      <c r="K18" s="30">
        <v>769</v>
      </c>
      <c r="L18" s="30">
        <v>64</v>
      </c>
      <c r="M18" s="30">
        <v>125</v>
      </c>
      <c r="N18" s="30">
        <v>521</v>
      </c>
      <c r="O18" s="31"/>
      <c r="P18" s="31"/>
      <c r="Q18" s="31"/>
      <c r="R18" s="31"/>
      <c r="S18" s="31">
        <v>0.4</v>
      </c>
      <c r="T18" s="31"/>
      <c r="U18" s="31"/>
      <c r="V18" s="31"/>
      <c r="W18" s="31">
        <v>0</v>
      </c>
      <c r="X18" s="31">
        <v>0</v>
      </c>
      <c r="Y18" s="31">
        <v>1</v>
      </c>
      <c r="Z18" s="31">
        <v>1</v>
      </c>
      <c r="AA18" s="31"/>
    </row>
    <row r="19" spans="1:27">
      <c r="A19" s="2" t="s">
        <v>18</v>
      </c>
      <c r="B19" s="30">
        <v>418</v>
      </c>
      <c r="C19" s="30">
        <v>401</v>
      </c>
      <c r="D19" s="30">
        <v>353</v>
      </c>
      <c r="E19" s="30">
        <v>346</v>
      </c>
      <c r="F19" s="30">
        <v>613</v>
      </c>
      <c r="G19" s="30">
        <v>153</v>
      </c>
      <c r="H19" s="30">
        <v>60</v>
      </c>
      <c r="I19" s="30">
        <v>634</v>
      </c>
      <c r="J19" s="30">
        <v>80</v>
      </c>
      <c r="K19" s="30">
        <v>287</v>
      </c>
      <c r="L19" s="30">
        <v>373</v>
      </c>
      <c r="M19" s="30">
        <v>204</v>
      </c>
      <c r="N19" s="30">
        <v>148</v>
      </c>
      <c r="O19" s="31">
        <v>39</v>
      </c>
      <c r="P19" s="31"/>
      <c r="Q19" s="31"/>
      <c r="R19" s="31"/>
      <c r="S19" s="31">
        <v>0</v>
      </c>
      <c r="T19" s="31"/>
      <c r="U19" s="31"/>
      <c r="V19" s="31"/>
      <c r="W19" s="31">
        <v>0</v>
      </c>
      <c r="X19" s="31">
        <v>4</v>
      </c>
      <c r="Y19" s="31">
        <v>35</v>
      </c>
      <c r="Z19" s="31">
        <v>35</v>
      </c>
      <c r="AA19" s="31">
        <v>20</v>
      </c>
    </row>
    <row r="20" spans="1:27">
      <c r="A20" s="2" t="s">
        <v>19</v>
      </c>
      <c r="B20" s="30">
        <v>120</v>
      </c>
      <c r="C20" s="30">
        <v>153.15</v>
      </c>
      <c r="D20" s="30">
        <v>194.6</v>
      </c>
      <c r="E20" s="30">
        <v>81.099999999999994</v>
      </c>
      <c r="F20" s="30">
        <v>203</v>
      </c>
      <c r="G20" s="30">
        <v>100</v>
      </c>
      <c r="H20" s="30">
        <v>221</v>
      </c>
      <c r="I20" s="30">
        <v>38</v>
      </c>
      <c r="J20" s="30">
        <v>108</v>
      </c>
      <c r="K20" s="30">
        <v>73</v>
      </c>
      <c r="L20" s="30">
        <v>104</v>
      </c>
      <c r="M20" s="30">
        <v>301</v>
      </c>
      <c r="N20" s="30">
        <v>138</v>
      </c>
      <c r="O20" s="31"/>
      <c r="P20" s="31"/>
      <c r="Q20" s="31">
        <v>18.5</v>
      </c>
      <c r="R20" s="31"/>
      <c r="S20" s="31">
        <v>0.2</v>
      </c>
      <c r="T20" s="31"/>
      <c r="U20" s="31"/>
      <c r="V20" s="31">
        <v>37.799999999999997</v>
      </c>
      <c r="W20" s="31">
        <v>0</v>
      </c>
      <c r="X20" s="31">
        <v>19</v>
      </c>
      <c r="Y20" s="31"/>
      <c r="Z20" s="31"/>
      <c r="AA20" s="31">
        <v>15</v>
      </c>
    </row>
    <row r="21" spans="1:27">
      <c r="A21" s="2" t="s">
        <v>20</v>
      </c>
      <c r="B21" s="30">
        <v>126</v>
      </c>
      <c r="C21" s="30">
        <v>139.25</v>
      </c>
      <c r="D21" s="30"/>
      <c r="E21" s="30">
        <v>188.7</v>
      </c>
      <c r="F21" s="30">
        <v>66</v>
      </c>
      <c r="G21" s="30">
        <v>0</v>
      </c>
      <c r="H21" s="30">
        <v>64</v>
      </c>
      <c r="I21" s="30">
        <v>142</v>
      </c>
      <c r="J21" s="30">
        <v>2</v>
      </c>
      <c r="K21" s="30">
        <v>1</v>
      </c>
      <c r="L21" s="30">
        <v>2</v>
      </c>
      <c r="M21" s="30">
        <v>3</v>
      </c>
      <c r="N21" s="30">
        <v>0.2</v>
      </c>
      <c r="O21" s="31"/>
      <c r="P21" s="31"/>
      <c r="Q21" s="31"/>
      <c r="R21" s="31"/>
      <c r="S21" s="31">
        <v>0</v>
      </c>
      <c r="T21" s="31"/>
      <c r="U21" s="31"/>
      <c r="V21" s="31"/>
      <c r="W21" s="31">
        <v>0</v>
      </c>
      <c r="X21" s="31">
        <v>0</v>
      </c>
      <c r="Y21" s="31">
        <v>1</v>
      </c>
      <c r="Z21" s="31">
        <v>1</v>
      </c>
      <c r="AA21" s="31"/>
    </row>
    <row r="22" spans="1:27">
      <c r="A22" s="2" t="s">
        <v>21</v>
      </c>
      <c r="B22" s="30">
        <v>300</v>
      </c>
      <c r="C22" s="30">
        <v>701.2</v>
      </c>
      <c r="D22" s="30">
        <v>337</v>
      </c>
      <c r="E22" s="30">
        <v>575.6</v>
      </c>
      <c r="F22" s="30">
        <v>496</v>
      </c>
      <c r="G22" s="30">
        <v>196</v>
      </c>
      <c r="H22" s="30"/>
      <c r="I22" s="30">
        <v>415</v>
      </c>
      <c r="J22" s="30">
        <v>60</v>
      </c>
      <c r="K22" s="30">
        <v>0</v>
      </c>
      <c r="L22" s="30">
        <v>35</v>
      </c>
      <c r="M22" s="30">
        <v>235</v>
      </c>
      <c r="N22" s="30">
        <v>300</v>
      </c>
      <c r="O22" s="31"/>
      <c r="P22" s="31">
        <v>15.6</v>
      </c>
      <c r="Q22" s="31"/>
      <c r="R22" s="31"/>
      <c r="S22" s="31">
        <v>0</v>
      </c>
      <c r="T22" s="31"/>
      <c r="U22" s="31">
        <v>78</v>
      </c>
      <c r="V22" s="31"/>
      <c r="W22" s="31">
        <v>0</v>
      </c>
      <c r="X22" s="31">
        <v>0</v>
      </c>
      <c r="Y22" s="31">
        <v>449</v>
      </c>
      <c r="Z22" s="31">
        <v>174</v>
      </c>
      <c r="AA22" s="31">
        <v>441</v>
      </c>
    </row>
    <row r="23" spans="1:27">
      <c r="A23" s="2" t="s">
        <v>22</v>
      </c>
      <c r="B23" s="30">
        <v>60</v>
      </c>
      <c r="C23" s="30">
        <v>0.9</v>
      </c>
      <c r="D23" s="30"/>
      <c r="E23" s="30">
        <v>133</v>
      </c>
      <c r="F23" s="30">
        <v>266</v>
      </c>
      <c r="G23" s="30">
        <v>0</v>
      </c>
      <c r="H23" s="30"/>
      <c r="I23" s="30"/>
      <c r="J23" s="30">
        <v>270</v>
      </c>
      <c r="K23" s="30">
        <v>0</v>
      </c>
      <c r="L23" s="30">
        <v>105</v>
      </c>
      <c r="M23" s="30"/>
      <c r="N23" s="30">
        <v>2</v>
      </c>
      <c r="O23" s="31"/>
      <c r="P23" s="31"/>
      <c r="Q23" s="31"/>
      <c r="R23" s="31"/>
      <c r="S23" s="31">
        <v>0</v>
      </c>
      <c r="T23" s="31">
        <v>0.1</v>
      </c>
      <c r="U23" s="31">
        <v>12</v>
      </c>
      <c r="V23" s="31"/>
      <c r="W23" s="31">
        <v>0</v>
      </c>
      <c r="X23" s="31">
        <v>21</v>
      </c>
      <c r="Y23" s="31"/>
      <c r="Z23" s="31"/>
      <c r="AA23" s="31">
        <v>15</v>
      </c>
    </row>
    <row r="24" spans="1:27">
      <c r="A24" s="2" t="s">
        <v>23</v>
      </c>
      <c r="B24" s="30"/>
      <c r="C24" s="30">
        <v>70</v>
      </c>
      <c r="D24" s="30"/>
      <c r="E24" s="30">
        <v>0</v>
      </c>
      <c r="F24" s="30">
        <v>70</v>
      </c>
      <c r="G24" s="30">
        <v>0</v>
      </c>
      <c r="H24" s="30"/>
      <c r="I24" s="30">
        <v>70</v>
      </c>
      <c r="J24" s="30">
        <v>0</v>
      </c>
      <c r="K24" s="30">
        <v>0</v>
      </c>
      <c r="L24" s="30"/>
      <c r="M24" s="30"/>
      <c r="N24" s="30"/>
      <c r="O24" s="31"/>
      <c r="P24" s="31"/>
      <c r="Q24" s="31"/>
      <c r="R24" s="31"/>
      <c r="S24" s="31">
        <v>0</v>
      </c>
      <c r="T24" s="31"/>
      <c r="U24" s="31"/>
      <c r="V24" s="31"/>
      <c r="W24" s="31">
        <v>0</v>
      </c>
      <c r="X24" s="31">
        <v>0</v>
      </c>
      <c r="Y24" s="31"/>
      <c r="Z24" s="31">
        <v>46</v>
      </c>
      <c r="AA24" s="31">
        <v>96</v>
      </c>
    </row>
    <row r="25" spans="1:27">
      <c r="A25" s="2" t="s">
        <v>24</v>
      </c>
      <c r="B25" s="30">
        <v>33</v>
      </c>
      <c r="C25" s="30"/>
      <c r="D25" s="30"/>
      <c r="E25" s="30"/>
      <c r="F25" s="30">
        <v>0</v>
      </c>
      <c r="G25" s="30">
        <v>66</v>
      </c>
      <c r="H25" s="30">
        <v>136</v>
      </c>
      <c r="I25" s="30">
        <v>276</v>
      </c>
      <c r="J25" s="30">
        <v>120</v>
      </c>
      <c r="K25" s="30">
        <v>13</v>
      </c>
      <c r="L25" s="30">
        <v>1</v>
      </c>
      <c r="M25" s="30"/>
      <c r="N25" s="30"/>
      <c r="O25" s="31"/>
      <c r="P25" s="31"/>
      <c r="Q25" s="31"/>
      <c r="R25" s="31"/>
      <c r="S25" s="31">
        <v>0</v>
      </c>
      <c r="T25" s="31"/>
      <c r="U25" s="31">
        <v>93</v>
      </c>
      <c r="V25" s="31"/>
      <c r="W25" s="31">
        <v>0</v>
      </c>
      <c r="X25" s="31">
        <v>0</v>
      </c>
      <c r="Y25" s="31">
        <v>1</v>
      </c>
      <c r="Z25" s="31"/>
      <c r="AA25" s="31"/>
    </row>
    <row r="26" spans="1:27">
      <c r="A26" s="2" t="s">
        <v>25</v>
      </c>
      <c r="B26" s="30">
        <v>92</v>
      </c>
      <c r="C26" s="30"/>
      <c r="D26" s="30"/>
      <c r="E26" s="30">
        <v>180</v>
      </c>
      <c r="F26" s="30">
        <v>62</v>
      </c>
      <c r="G26" s="30">
        <v>60</v>
      </c>
      <c r="H26" s="30"/>
      <c r="I26" s="30">
        <v>70</v>
      </c>
      <c r="J26" s="30">
        <v>3</v>
      </c>
      <c r="K26" s="30">
        <v>0</v>
      </c>
      <c r="L26" s="30">
        <v>16</v>
      </c>
      <c r="M26" s="30">
        <v>3</v>
      </c>
      <c r="N26" s="30"/>
      <c r="O26" s="31"/>
      <c r="P26" s="31"/>
      <c r="Q26" s="31"/>
      <c r="R26" s="31"/>
      <c r="S26" s="31">
        <v>0</v>
      </c>
      <c r="T26" s="31"/>
      <c r="U26" s="31"/>
      <c r="V26" s="31"/>
      <c r="W26" s="31">
        <v>0</v>
      </c>
      <c r="X26" s="31">
        <v>0.2</v>
      </c>
      <c r="Y26" s="31">
        <v>2</v>
      </c>
      <c r="Z26" s="31"/>
      <c r="AA26" s="31">
        <v>3</v>
      </c>
    </row>
    <row r="27" spans="1:27">
      <c r="A27" s="2" t="s">
        <v>26</v>
      </c>
      <c r="B27" s="30">
        <v>180</v>
      </c>
      <c r="C27" s="30">
        <v>150</v>
      </c>
      <c r="D27" s="30">
        <v>65</v>
      </c>
      <c r="E27" s="30">
        <v>125</v>
      </c>
      <c r="F27" s="30">
        <v>126</v>
      </c>
      <c r="G27" s="30">
        <v>282</v>
      </c>
      <c r="H27" s="30">
        <v>156</v>
      </c>
      <c r="I27" s="30">
        <v>198</v>
      </c>
      <c r="J27" s="30">
        <v>318</v>
      </c>
      <c r="K27" s="30">
        <v>0</v>
      </c>
      <c r="L27" s="30"/>
      <c r="M27" s="30">
        <v>81</v>
      </c>
      <c r="N27" s="30"/>
      <c r="O27" s="31"/>
      <c r="P27" s="31"/>
      <c r="Q27" s="31"/>
      <c r="R27" s="31"/>
      <c r="S27" s="31">
        <v>0</v>
      </c>
      <c r="T27" s="31"/>
      <c r="U27" s="31"/>
      <c r="V27" s="31"/>
      <c r="W27" s="31">
        <v>0</v>
      </c>
      <c r="X27" s="31">
        <v>0</v>
      </c>
      <c r="Y27" s="31"/>
      <c r="Z27" s="31"/>
      <c r="AA27" s="31"/>
    </row>
    <row r="28" spans="1:27">
      <c r="A28" s="2" t="s">
        <v>27</v>
      </c>
      <c r="B28" s="30"/>
      <c r="C28" s="30">
        <v>60</v>
      </c>
      <c r="D28" s="30">
        <v>60</v>
      </c>
      <c r="E28" s="30"/>
      <c r="F28" s="30">
        <v>180</v>
      </c>
      <c r="G28" s="30">
        <v>0</v>
      </c>
      <c r="H28" s="30"/>
      <c r="I28" s="30"/>
      <c r="J28" s="30">
        <v>0</v>
      </c>
      <c r="K28" s="30">
        <v>0</v>
      </c>
      <c r="L28" s="30"/>
      <c r="M28" s="30"/>
      <c r="N28" s="30"/>
      <c r="O28" s="31"/>
      <c r="P28" s="31"/>
      <c r="Q28" s="31"/>
      <c r="R28" s="31"/>
      <c r="S28" s="31">
        <v>0</v>
      </c>
      <c r="T28" s="31"/>
      <c r="U28" s="31"/>
      <c r="V28" s="31"/>
      <c r="W28" s="31">
        <v>0</v>
      </c>
      <c r="X28" s="31">
        <v>0</v>
      </c>
      <c r="Y28" s="31"/>
      <c r="Z28" s="31"/>
      <c r="AA28" s="31"/>
    </row>
    <row r="29" spans="1:27">
      <c r="A29" s="2" t="s">
        <v>28</v>
      </c>
      <c r="B29" s="30"/>
      <c r="C29" s="30"/>
      <c r="D29" s="30">
        <v>20.88</v>
      </c>
      <c r="E29" s="30"/>
      <c r="F29" s="30">
        <v>0</v>
      </c>
      <c r="G29" s="30">
        <v>0</v>
      </c>
      <c r="H29" s="30"/>
      <c r="I29" s="30"/>
      <c r="J29" s="30">
        <v>1</v>
      </c>
      <c r="K29" s="30">
        <v>0</v>
      </c>
      <c r="L29" s="30"/>
      <c r="M29" s="30"/>
      <c r="N29" s="30"/>
      <c r="O29" s="31"/>
      <c r="P29" s="31"/>
      <c r="Q29" s="31"/>
      <c r="R29" s="31"/>
      <c r="S29" s="31">
        <v>0</v>
      </c>
      <c r="T29" s="31"/>
      <c r="U29" s="31"/>
      <c r="V29" s="31"/>
      <c r="W29" s="31">
        <v>0</v>
      </c>
      <c r="X29" s="31">
        <v>0</v>
      </c>
      <c r="Y29" s="31"/>
      <c r="Z29" s="31"/>
      <c r="AA29" s="31"/>
    </row>
    <row r="30" spans="1:27">
      <c r="A30" s="2" t="s">
        <v>29</v>
      </c>
      <c r="B30" s="30">
        <v>522</v>
      </c>
      <c r="C30" s="30">
        <v>252</v>
      </c>
      <c r="D30" s="30">
        <v>169</v>
      </c>
      <c r="E30" s="30">
        <v>137</v>
      </c>
      <c r="F30" s="30">
        <v>66</v>
      </c>
      <c r="G30" s="30">
        <v>66</v>
      </c>
      <c r="H30" s="30">
        <v>66</v>
      </c>
      <c r="I30" s="30">
        <v>350</v>
      </c>
      <c r="J30" s="30">
        <v>110</v>
      </c>
      <c r="K30" s="30">
        <v>112</v>
      </c>
      <c r="L30" s="30">
        <v>375</v>
      </c>
      <c r="M30" s="30">
        <v>417</v>
      </c>
      <c r="N30" s="30">
        <v>561</v>
      </c>
      <c r="O30" s="31">
        <v>3</v>
      </c>
      <c r="P30" s="31"/>
      <c r="Q30" s="31"/>
      <c r="R30" s="31"/>
      <c r="S30" s="31">
        <v>0</v>
      </c>
      <c r="T30" s="31"/>
      <c r="U30" s="31"/>
      <c r="V30" s="31"/>
      <c r="W30" s="31">
        <v>0</v>
      </c>
      <c r="X30" s="31">
        <v>0</v>
      </c>
      <c r="Y30" s="31"/>
      <c r="Z30" s="31"/>
      <c r="AA30" s="31"/>
    </row>
    <row r="31" spans="1:27">
      <c r="A31" s="2" t="s">
        <v>30</v>
      </c>
      <c r="B31" s="30">
        <v>120</v>
      </c>
      <c r="C31" s="30">
        <v>258</v>
      </c>
      <c r="D31" s="30">
        <v>213</v>
      </c>
      <c r="E31" s="30">
        <v>104</v>
      </c>
      <c r="F31" s="30">
        <v>12</v>
      </c>
      <c r="G31" s="30">
        <v>2</v>
      </c>
      <c r="H31" s="30">
        <v>243</v>
      </c>
      <c r="I31" s="30"/>
      <c r="J31" s="30">
        <v>33</v>
      </c>
      <c r="K31" s="30">
        <v>104</v>
      </c>
      <c r="L31" s="30">
        <v>1</v>
      </c>
      <c r="M31" s="30"/>
      <c r="N31" s="30">
        <v>200</v>
      </c>
      <c r="O31" s="31"/>
      <c r="P31" s="31"/>
      <c r="Q31" s="31"/>
      <c r="R31" s="31"/>
      <c r="S31" s="31">
        <v>0</v>
      </c>
      <c r="T31" s="31"/>
      <c r="U31" s="31"/>
      <c r="V31" s="31"/>
      <c r="W31" s="31">
        <v>0</v>
      </c>
      <c r="X31" s="31">
        <v>0</v>
      </c>
      <c r="Y31" s="31"/>
      <c r="Z31" s="31"/>
      <c r="AA31" s="31"/>
    </row>
    <row r="32" spans="1:27">
      <c r="A32" s="2" t="s">
        <v>31</v>
      </c>
      <c r="B32" s="30">
        <v>14</v>
      </c>
      <c r="C32" s="30"/>
      <c r="D32" s="30"/>
      <c r="E32" s="30">
        <v>27</v>
      </c>
      <c r="F32" s="30">
        <v>0</v>
      </c>
      <c r="G32" s="30">
        <v>4</v>
      </c>
      <c r="H32" s="30"/>
      <c r="I32" s="30">
        <v>101</v>
      </c>
      <c r="J32" s="30">
        <v>101</v>
      </c>
      <c r="K32" s="30">
        <v>27</v>
      </c>
      <c r="L32" s="30"/>
      <c r="M32" s="30"/>
      <c r="N32" s="30"/>
      <c r="O32" s="31"/>
      <c r="P32" s="31"/>
      <c r="Q32" s="31"/>
      <c r="R32" s="31"/>
      <c r="S32" s="31">
        <v>0</v>
      </c>
      <c r="T32" s="31"/>
      <c r="U32" s="31"/>
      <c r="V32" s="31"/>
      <c r="W32" s="31">
        <v>0</v>
      </c>
      <c r="X32" s="31">
        <v>0</v>
      </c>
      <c r="Y32" s="31"/>
      <c r="Z32" s="31"/>
      <c r="AA32" s="31"/>
    </row>
    <row r="33" spans="1:27">
      <c r="A33" s="2" t="s">
        <v>32</v>
      </c>
      <c r="B33" s="30">
        <v>43</v>
      </c>
      <c r="C33" s="30">
        <v>120</v>
      </c>
      <c r="D33" s="30">
        <v>370</v>
      </c>
      <c r="E33" s="30">
        <v>374</v>
      </c>
      <c r="F33" s="30">
        <v>0</v>
      </c>
      <c r="G33" s="30">
        <v>72</v>
      </c>
      <c r="H33" s="30">
        <v>56</v>
      </c>
      <c r="I33" s="30">
        <v>118</v>
      </c>
      <c r="J33" s="30">
        <v>175</v>
      </c>
      <c r="K33" s="30">
        <v>431</v>
      </c>
      <c r="L33" s="30">
        <v>101</v>
      </c>
      <c r="M33" s="30">
        <v>366</v>
      </c>
      <c r="N33" s="30">
        <v>132</v>
      </c>
      <c r="O33" s="31">
        <v>0</v>
      </c>
      <c r="P33" s="31">
        <v>6.4</v>
      </c>
      <c r="Q33" s="31"/>
      <c r="R33" s="31"/>
      <c r="S33" s="31">
        <v>0</v>
      </c>
      <c r="T33" s="31"/>
      <c r="U33" s="31"/>
      <c r="V33" s="31"/>
      <c r="W33" s="31">
        <v>0</v>
      </c>
      <c r="X33" s="31">
        <v>0</v>
      </c>
      <c r="Y33" s="31"/>
      <c r="Z33" s="31"/>
      <c r="AA33" s="31"/>
    </row>
    <row r="34" spans="1:27">
      <c r="A34" s="2" t="s">
        <v>33</v>
      </c>
      <c r="B34" s="30">
        <v>174</v>
      </c>
      <c r="C34" s="30">
        <v>120.5</v>
      </c>
      <c r="D34" s="30">
        <v>79.5</v>
      </c>
      <c r="E34" s="30">
        <v>422</v>
      </c>
      <c r="F34" s="30">
        <v>433</v>
      </c>
      <c r="G34" s="30">
        <v>449</v>
      </c>
      <c r="H34" s="30">
        <v>581</v>
      </c>
      <c r="I34" s="30">
        <v>477</v>
      </c>
      <c r="J34" s="30">
        <v>282</v>
      </c>
      <c r="K34" s="30">
        <v>447</v>
      </c>
      <c r="L34" s="30">
        <v>208</v>
      </c>
      <c r="M34" s="30">
        <v>286</v>
      </c>
      <c r="N34" s="30">
        <v>374</v>
      </c>
      <c r="O34" s="31"/>
      <c r="P34" s="31">
        <v>0.34</v>
      </c>
      <c r="Q34" s="31"/>
      <c r="R34" s="31"/>
      <c r="S34" s="31">
        <v>0</v>
      </c>
      <c r="T34" s="31"/>
      <c r="U34" s="31"/>
      <c r="V34" s="31"/>
      <c r="W34" s="31">
        <v>31</v>
      </c>
      <c r="X34" s="31">
        <v>12</v>
      </c>
      <c r="Y34" s="31">
        <v>1</v>
      </c>
      <c r="Z34" s="31"/>
      <c r="AA34" s="31">
        <v>6</v>
      </c>
    </row>
    <row r="36" spans="1:27">
      <c r="N36" s="4" t="s">
        <v>5</v>
      </c>
      <c r="O36" s="32">
        <f>IF(O3&gt;0,O3/(B3+O3),"")</f>
        <v>5.0463763559188808E-2</v>
      </c>
      <c r="P36" s="32">
        <f t="shared" ref="P36:AA36" si="0">IF(P3&gt;0,P3/(C3+P3),"")</f>
        <v>1.9684497723777061E-2</v>
      </c>
      <c r="Q36" s="32">
        <f t="shared" si="0"/>
        <v>2.1744948481198983E-2</v>
      </c>
      <c r="R36" s="32">
        <f t="shared" si="0"/>
        <v>4.0174933449231266E-2</v>
      </c>
      <c r="S36" s="32">
        <f t="shared" si="0"/>
        <v>4.9056603773584909E-2</v>
      </c>
      <c r="T36" s="32">
        <f t="shared" si="0"/>
        <v>0.11319783895034731</v>
      </c>
      <c r="U36" s="32">
        <f t="shared" si="0"/>
        <v>0.21287128712871287</v>
      </c>
      <c r="V36" s="32">
        <f t="shared" si="0"/>
        <v>0.1141357822236799</v>
      </c>
      <c r="W36" s="32">
        <f t="shared" si="0"/>
        <v>5.2450980392156864E-2</v>
      </c>
      <c r="X36" s="32">
        <f t="shared" si="0"/>
        <v>0.14012269938650307</v>
      </c>
      <c r="Y36" s="32">
        <f t="shared" si="0"/>
        <v>0.22436548223350253</v>
      </c>
      <c r="Z36" s="32">
        <f t="shared" si="0"/>
        <v>0.16295913088463529</v>
      </c>
      <c r="AA36" s="32">
        <f t="shared" si="0"/>
        <v>0.16975690152451586</v>
      </c>
    </row>
    <row r="37" spans="1:27">
      <c r="N37" s="2" t="s">
        <v>6</v>
      </c>
      <c r="O37" s="32">
        <f t="shared" ref="O37:O67" si="1">IF(O4&gt;0,O4/(B4+O4),"")</f>
        <v>0.8896551724137931</v>
      </c>
      <c r="P37" s="32" t="str">
        <f t="shared" ref="P37:P67" si="2">IF(P4&gt;0,P4/(C4+P4),"")</f>
        <v/>
      </c>
      <c r="Q37" s="32" t="str">
        <f t="shared" ref="Q37:Q67" si="3">IF(Q4&gt;0,Q4/(D4+Q4),"")</f>
        <v/>
      </c>
      <c r="R37" s="32">
        <f t="shared" ref="R37:R67" si="4">IF(R4&gt;0,R4/(E4+R4),"")</f>
        <v>1</v>
      </c>
      <c r="S37" s="32" t="str">
        <f t="shared" ref="S37:S67" si="5">IF(S4&gt;0,S4/(F4+S4),"")</f>
        <v/>
      </c>
      <c r="T37" s="32">
        <f t="shared" ref="T37:T67" si="6">IF(T4&gt;0,T4/(G4+T4),"")</f>
        <v>1</v>
      </c>
      <c r="U37" s="32">
        <f t="shared" ref="U37:U67" si="7">IF(U4&gt;0,U4/(H4+U4),"")</f>
        <v>1</v>
      </c>
      <c r="V37" s="32">
        <f t="shared" ref="V37:V67" si="8">IF(V4&gt;0,V4/(I4+V4),"")</f>
        <v>1</v>
      </c>
      <c r="W37" s="32">
        <f t="shared" ref="W37:W67" si="9">IF(W4&gt;0,W4/(J4+W4),"")</f>
        <v>1</v>
      </c>
      <c r="X37" s="32">
        <f t="shared" ref="X37:X67" si="10">IF(X4&gt;0,X4/(K4+X4),"")</f>
        <v>1</v>
      </c>
      <c r="Y37" s="32">
        <f t="shared" ref="Y37:Y67" si="11">IF(Y4&gt;0,Y4/(L4+Y4),"")</f>
        <v>1</v>
      </c>
      <c r="Z37" s="32">
        <f t="shared" ref="Z37:Z67" si="12">IF(Z4&gt;0,Z4/(M4+Z4),"")</f>
        <v>1</v>
      </c>
      <c r="AA37" s="32">
        <f t="shared" ref="AA37:AA67" si="13">IF(AA4&gt;0,AA4/(N4+AA4),"")</f>
        <v>1</v>
      </c>
    </row>
    <row r="38" spans="1:27">
      <c r="N38" s="2" t="s">
        <v>7</v>
      </c>
      <c r="O38" s="32" t="str">
        <f t="shared" si="1"/>
        <v/>
      </c>
      <c r="P38" s="32" t="str">
        <f t="shared" si="2"/>
        <v/>
      </c>
      <c r="Q38" s="32" t="str">
        <f t="shared" si="3"/>
        <v/>
      </c>
      <c r="R38" s="32" t="str">
        <f t="shared" si="4"/>
        <v/>
      </c>
      <c r="S38" s="32" t="str">
        <f t="shared" si="5"/>
        <v/>
      </c>
      <c r="T38" s="32" t="str">
        <f t="shared" si="6"/>
        <v/>
      </c>
      <c r="U38" s="32">
        <f t="shared" si="7"/>
        <v>0.55128205128205132</v>
      </c>
      <c r="V38" s="32" t="str">
        <f t="shared" si="8"/>
        <v/>
      </c>
      <c r="W38" s="32">
        <f t="shared" si="9"/>
        <v>1</v>
      </c>
      <c r="X38" s="32">
        <f t="shared" si="10"/>
        <v>1</v>
      </c>
      <c r="Y38" s="32">
        <f t="shared" si="11"/>
        <v>0.1111111111111111</v>
      </c>
      <c r="Z38" s="32">
        <f t="shared" si="12"/>
        <v>0.7265625</v>
      </c>
      <c r="AA38" s="32">
        <f t="shared" si="13"/>
        <v>0.9285714285714286</v>
      </c>
    </row>
    <row r="39" spans="1:27">
      <c r="N39" s="2" t="s">
        <v>8</v>
      </c>
      <c r="O39" s="32">
        <f t="shared" si="1"/>
        <v>7.7220077220077222E-3</v>
      </c>
      <c r="P39" s="32" t="str">
        <f t="shared" si="2"/>
        <v/>
      </c>
      <c r="Q39" s="32" t="str">
        <f t="shared" si="3"/>
        <v/>
      </c>
      <c r="R39" s="32" t="str">
        <f t="shared" si="4"/>
        <v/>
      </c>
      <c r="S39" s="32" t="str">
        <f t="shared" si="5"/>
        <v/>
      </c>
      <c r="T39" s="32" t="str">
        <f t="shared" si="6"/>
        <v/>
      </c>
      <c r="U39" s="32" t="str">
        <f t="shared" si="7"/>
        <v/>
      </c>
      <c r="V39" s="32" t="str">
        <f t="shared" si="8"/>
        <v/>
      </c>
      <c r="W39" s="32" t="str">
        <f t="shared" si="9"/>
        <v/>
      </c>
      <c r="X39" s="32" t="str">
        <f t="shared" si="10"/>
        <v/>
      </c>
      <c r="Y39" s="32" t="str">
        <f t="shared" si="11"/>
        <v/>
      </c>
      <c r="Z39" s="32">
        <f t="shared" si="12"/>
        <v>0.156794425087108</v>
      </c>
      <c r="AA39" s="32">
        <f t="shared" si="13"/>
        <v>0.1419939577039275</v>
      </c>
    </row>
    <row r="40" spans="1:27">
      <c r="N40" s="2" t="s">
        <v>9</v>
      </c>
      <c r="O40" s="32" t="str">
        <f t="shared" si="1"/>
        <v/>
      </c>
      <c r="P40" s="32" t="str">
        <f t="shared" si="2"/>
        <v/>
      </c>
      <c r="Q40" s="32" t="str">
        <f t="shared" si="3"/>
        <v/>
      </c>
      <c r="R40" s="32" t="str">
        <f t="shared" si="4"/>
        <v/>
      </c>
      <c r="S40" s="32">
        <f t="shared" si="5"/>
        <v>1.5748031496062992E-3</v>
      </c>
      <c r="T40" s="32" t="str">
        <f t="shared" si="6"/>
        <v/>
      </c>
      <c r="U40" s="32">
        <f t="shared" si="7"/>
        <v>0.25014475969889988</v>
      </c>
      <c r="V40" s="32">
        <f t="shared" si="8"/>
        <v>0.3093922651933701</v>
      </c>
      <c r="W40" s="32" t="str">
        <f t="shared" si="9"/>
        <v/>
      </c>
      <c r="X40" s="32" t="str">
        <f t="shared" si="10"/>
        <v/>
      </c>
      <c r="Y40" s="32">
        <f t="shared" si="11"/>
        <v>2.097902097902098E-2</v>
      </c>
      <c r="Z40" s="32" t="str">
        <f t="shared" si="12"/>
        <v/>
      </c>
      <c r="AA40" s="32">
        <f t="shared" si="13"/>
        <v>3.5587188612099648E-2</v>
      </c>
    </row>
    <row r="41" spans="1:27">
      <c r="N41" s="2" t="s">
        <v>2</v>
      </c>
      <c r="O41" s="32" t="str">
        <f t="shared" si="1"/>
        <v/>
      </c>
      <c r="P41" s="32" t="str">
        <f t="shared" si="2"/>
        <v/>
      </c>
      <c r="Q41" s="32" t="str">
        <f t="shared" si="3"/>
        <v/>
      </c>
      <c r="R41" s="32" t="str">
        <f t="shared" si="4"/>
        <v/>
      </c>
      <c r="S41" s="32" t="str">
        <f t="shared" si="5"/>
        <v/>
      </c>
      <c r="T41" s="32" t="str">
        <f t="shared" si="6"/>
        <v/>
      </c>
      <c r="U41" s="32" t="str">
        <f t="shared" si="7"/>
        <v/>
      </c>
      <c r="V41" s="32" t="str">
        <f t="shared" si="8"/>
        <v/>
      </c>
      <c r="W41" s="32" t="str">
        <f t="shared" si="9"/>
        <v/>
      </c>
      <c r="X41" s="32" t="str">
        <f t="shared" si="10"/>
        <v/>
      </c>
      <c r="Y41" s="32" t="str">
        <f t="shared" si="11"/>
        <v/>
      </c>
      <c r="Z41" s="32" t="str">
        <f t="shared" si="12"/>
        <v/>
      </c>
      <c r="AA41" s="32" t="str">
        <f t="shared" si="13"/>
        <v/>
      </c>
    </row>
    <row r="42" spans="1:27">
      <c r="N42" s="2" t="s">
        <v>10</v>
      </c>
      <c r="O42" s="32" t="str">
        <f t="shared" si="1"/>
        <v/>
      </c>
      <c r="P42" s="32" t="str">
        <f t="shared" si="2"/>
        <v/>
      </c>
      <c r="Q42" s="32" t="str">
        <f t="shared" si="3"/>
        <v/>
      </c>
      <c r="R42" s="32" t="str">
        <f t="shared" si="4"/>
        <v/>
      </c>
      <c r="S42" s="32" t="str">
        <f t="shared" si="5"/>
        <v/>
      </c>
      <c r="T42" s="32" t="str">
        <f t="shared" si="6"/>
        <v/>
      </c>
      <c r="U42" s="32" t="str">
        <f t="shared" si="7"/>
        <v/>
      </c>
      <c r="V42" s="32" t="str">
        <f t="shared" si="8"/>
        <v/>
      </c>
      <c r="W42" s="32" t="str">
        <f t="shared" si="9"/>
        <v/>
      </c>
      <c r="X42" s="32" t="str">
        <f t="shared" si="10"/>
        <v/>
      </c>
      <c r="Y42" s="32" t="str">
        <f t="shared" si="11"/>
        <v/>
      </c>
      <c r="Z42" s="32" t="str">
        <f t="shared" si="12"/>
        <v/>
      </c>
      <c r="AA42" s="32">
        <f t="shared" si="13"/>
        <v>0.1111111111111111</v>
      </c>
    </row>
    <row r="43" spans="1:27">
      <c r="N43" s="2" t="s">
        <v>3</v>
      </c>
      <c r="O43" s="32" t="str">
        <f t="shared" si="1"/>
        <v/>
      </c>
      <c r="P43" s="32" t="str">
        <f t="shared" si="2"/>
        <v/>
      </c>
      <c r="Q43" s="32" t="str">
        <f t="shared" si="3"/>
        <v/>
      </c>
      <c r="R43" s="32" t="str">
        <f t="shared" si="4"/>
        <v/>
      </c>
      <c r="S43" s="32" t="str">
        <f t="shared" si="5"/>
        <v/>
      </c>
      <c r="T43" s="32" t="str">
        <f t="shared" si="6"/>
        <v/>
      </c>
      <c r="U43" s="32" t="str">
        <f t="shared" si="7"/>
        <v/>
      </c>
      <c r="V43" s="32" t="str">
        <f t="shared" si="8"/>
        <v/>
      </c>
      <c r="W43" s="32" t="str">
        <f t="shared" si="9"/>
        <v/>
      </c>
      <c r="X43" s="32" t="str">
        <f t="shared" si="10"/>
        <v/>
      </c>
      <c r="Y43" s="32" t="str">
        <f t="shared" si="11"/>
        <v/>
      </c>
      <c r="Z43" s="32" t="str">
        <f t="shared" si="12"/>
        <v/>
      </c>
      <c r="AA43" s="32" t="str">
        <f t="shared" si="13"/>
        <v/>
      </c>
    </row>
    <row r="44" spans="1:27">
      <c r="N44" s="2" t="s">
        <v>4</v>
      </c>
      <c r="O44" s="32" t="str">
        <f t="shared" si="1"/>
        <v/>
      </c>
      <c r="P44" s="32" t="str">
        <f t="shared" si="2"/>
        <v/>
      </c>
      <c r="Q44" s="32" t="str">
        <f t="shared" si="3"/>
        <v/>
      </c>
      <c r="R44" s="32" t="str">
        <f t="shared" si="4"/>
        <v/>
      </c>
      <c r="S44" s="32">
        <f t="shared" si="5"/>
        <v>1</v>
      </c>
      <c r="T44" s="32" t="str">
        <f t="shared" si="6"/>
        <v/>
      </c>
      <c r="U44" s="32" t="str">
        <f t="shared" si="7"/>
        <v/>
      </c>
      <c r="V44" s="32" t="str">
        <f t="shared" si="8"/>
        <v/>
      </c>
      <c r="W44" s="32" t="str">
        <f t="shared" si="9"/>
        <v/>
      </c>
      <c r="X44" s="32" t="str">
        <f t="shared" si="10"/>
        <v/>
      </c>
      <c r="Y44" s="32" t="str">
        <f t="shared" si="11"/>
        <v/>
      </c>
      <c r="Z44" s="32">
        <f t="shared" si="12"/>
        <v>0.12962962962962962</v>
      </c>
      <c r="AA44" s="32">
        <f t="shared" si="13"/>
        <v>7.3529411764705881E-3</v>
      </c>
    </row>
    <row r="45" spans="1:27">
      <c r="N45" s="2" t="s">
        <v>11</v>
      </c>
      <c r="O45" s="32" t="str">
        <f t="shared" si="1"/>
        <v/>
      </c>
      <c r="P45" s="32" t="str">
        <f t="shared" si="2"/>
        <v/>
      </c>
      <c r="Q45" s="32" t="str">
        <f t="shared" si="3"/>
        <v/>
      </c>
      <c r="R45" s="32">
        <f t="shared" si="4"/>
        <v>0.96832937450514645</v>
      </c>
      <c r="S45" s="32" t="str">
        <f t="shared" si="5"/>
        <v/>
      </c>
      <c r="T45" s="32">
        <f t="shared" si="6"/>
        <v>1</v>
      </c>
      <c r="U45" s="32" t="str">
        <f t="shared" si="7"/>
        <v/>
      </c>
      <c r="V45" s="32">
        <f t="shared" si="8"/>
        <v>0.82128350934199834</v>
      </c>
      <c r="W45" s="32">
        <f>IF(W12&gt;0,W12/(J12+W12),"")</f>
        <v>1</v>
      </c>
      <c r="X45" s="32">
        <f t="shared" si="10"/>
        <v>1</v>
      </c>
      <c r="Y45" s="32">
        <f t="shared" si="11"/>
        <v>0.9887640449438202</v>
      </c>
      <c r="Z45" s="32">
        <f t="shared" si="12"/>
        <v>1</v>
      </c>
      <c r="AA45" s="32" t="str">
        <f t="shared" si="13"/>
        <v/>
      </c>
    </row>
    <row r="46" spans="1:27">
      <c r="N46" s="2" t="s">
        <v>12</v>
      </c>
      <c r="O46" s="32" t="str">
        <f t="shared" si="1"/>
        <v/>
      </c>
      <c r="P46" s="32" t="str">
        <f t="shared" si="2"/>
        <v/>
      </c>
      <c r="Q46" s="32" t="str">
        <f t="shared" si="3"/>
        <v/>
      </c>
      <c r="R46" s="32">
        <f t="shared" si="4"/>
        <v>4.3894652833200321E-2</v>
      </c>
      <c r="S46" s="32">
        <f t="shared" si="5"/>
        <v>0.22674418604651161</v>
      </c>
      <c r="T46" s="32">
        <f t="shared" si="6"/>
        <v>0.17893217893217894</v>
      </c>
      <c r="U46" s="32" t="str">
        <f t="shared" si="7"/>
        <v/>
      </c>
      <c r="V46" s="32">
        <f t="shared" si="8"/>
        <v>0.47577092511013214</v>
      </c>
      <c r="W46" s="32">
        <f t="shared" si="9"/>
        <v>0.38839285714285715</v>
      </c>
      <c r="X46" s="32">
        <f t="shared" si="10"/>
        <v>0.53685674547983309</v>
      </c>
      <c r="Y46" s="32">
        <f t="shared" si="11"/>
        <v>0.62028985507246381</v>
      </c>
      <c r="Z46" s="32">
        <f t="shared" si="12"/>
        <v>0.27750000000000002</v>
      </c>
      <c r="AA46" s="32">
        <f t="shared" si="13"/>
        <v>0.7927927927927928</v>
      </c>
    </row>
    <row r="47" spans="1:27">
      <c r="N47" s="2" t="s">
        <v>13</v>
      </c>
      <c r="O47" s="32">
        <f t="shared" si="1"/>
        <v>0.22478386167146974</v>
      </c>
      <c r="P47" s="32" t="str">
        <f t="shared" si="2"/>
        <v/>
      </c>
      <c r="Q47" s="32" t="str">
        <f t="shared" si="3"/>
        <v/>
      </c>
      <c r="R47" s="32" t="str">
        <f t="shared" si="4"/>
        <v/>
      </c>
      <c r="S47" s="32">
        <f t="shared" si="5"/>
        <v>0.96946564885496178</v>
      </c>
      <c r="T47" s="32">
        <f t="shared" si="6"/>
        <v>1</v>
      </c>
      <c r="U47" s="32">
        <f t="shared" si="7"/>
        <v>0.24525916561314792</v>
      </c>
      <c r="V47" s="32">
        <f t="shared" si="8"/>
        <v>0.31578947368421051</v>
      </c>
      <c r="W47" s="32" t="str">
        <f t="shared" si="9"/>
        <v/>
      </c>
      <c r="X47" s="32">
        <f t="shared" si="10"/>
        <v>0.30136986301369861</v>
      </c>
      <c r="Y47" s="32">
        <f t="shared" si="11"/>
        <v>0.23300970873786409</v>
      </c>
      <c r="Z47" s="32">
        <f t="shared" si="12"/>
        <v>0.23076923076923078</v>
      </c>
      <c r="AA47" s="32" t="str">
        <f t="shared" si="13"/>
        <v/>
      </c>
    </row>
    <row r="48" spans="1:27">
      <c r="N48" s="2" t="s">
        <v>14</v>
      </c>
      <c r="O48" s="32" t="str">
        <f t="shared" si="1"/>
        <v/>
      </c>
      <c r="P48" s="32" t="str">
        <f t="shared" si="2"/>
        <v/>
      </c>
      <c r="Q48" s="32" t="str">
        <f t="shared" si="3"/>
        <v/>
      </c>
      <c r="R48" s="32" t="str">
        <f t="shared" si="4"/>
        <v/>
      </c>
      <c r="S48" s="32" t="str">
        <f t="shared" si="5"/>
        <v/>
      </c>
      <c r="T48" s="32" t="str">
        <f t="shared" si="6"/>
        <v/>
      </c>
      <c r="U48" s="32">
        <f t="shared" si="7"/>
        <v>2.9411764705882353E-2</v>
      </c>
      <c r="V48" s="32" t="str">
        <f t="shared" si="8"/>
        <v/>
      </c>
      <c r="W48" s="32" t="str">
        <f t="shared" si="9"/>
        <v/>
      </c>
      <c r="X48" s="32" t="str">
        <f t="shared" si="10"/>
        <v/>
      </c>
      <c r="Y48" s="32">
        <f t="shared" si="11"/>
        <v>3.3003300330033004E-3</v>
      </c>
      <c r="Z48" s="32" t="str">
        <f t="shared" si="12"/>
        <v/>
      </c>
      <c r="AA48" s="32" t="str">
        <f t="shared" si="13"/>
        <v/>
      </c>
    </row>
    <row r="49" spans="14:27">
      <c r="N49" s="2" t="s">
        <v>15</v>
      </c>
      <c r="O49" s="32">
        <f t="shared" si="1"/>
        <v>0.22151898734177214</v>
      </c>
      <c r="P49" s="32">
        <f t="shared" si="2"/>
        <v>0.39473684210526316</v>
      </c>
      <c r="Q49" s="32">
        <f t="shared" si="3"/>
        <v>0.31626506024096385</v>
      </c>
      <c r="R49" s="32" t="str">
        <f t="shared" si="4"/>
        <v/>
      </c>
      <c r="S49" s="32" t="str">
        <f t="shared" si="5"/>
        <v/>
      </c>
      <c r="T49" s="32" t="str">
        <f t="shared" si="6"/>
        <v/>
      </c>
      <c r="U49" s="32" t="str">
        <f t="shared" si="7"/>
        <v/>
      </c>
      <c r="V49" s="32" t="str">
        <f t="shared" si="8"/>
        <v/>
      </c>
      <c r="W49" s="32" t="str">
        <f t="shared" si="9"/>
        <v/>
      </c>
      <c r="X49" s="32">
        <f t="shared" si="10"/>
        <v>1.4423076923076924E-2</v>
      </c>
      <c r="Y49" s="32" t="str">
        <f t="shared" si="11"/>
        <v/>
      </c>
      <c r="Z49" s="32">
        <f t="shared" si="12"/>
        <v>2.4390243902439022E-2</v>
      </c>
      <c r="AA49" s="32" t="str">
        <f t="shared" si="13"/>
        <v/>
      </c>
    </row>
    <row r="50" spans="14:27">
      <c r="N50" s="2" t="s">
        <v>16</v>
      </c>
      <c r="O50" s="32" t="str">
        <f t="shared" si="1"/>
        <v/>
      </c>
      <c r="P50" s="32" t="str">
        <f t="shared" si="2"/>
        <v/>
      </c>
      <c r="Q50" s="32" t="str">
        <f t="shared" si="3"/>
        <v/>
      </c>
      <c r="R50" s="32" t="str">
        <f t="shared" si="4"/>
        <v/>
      </c>
      <c r="S50" s="32" t="str">
        <f t="shared" si="5"/>
        <v/>
      </c>
      <c r="T50" s="32" t="str">
        <f t="shared" si="6"/>
        <v/>
      </c>
      <c r="U50" s="32">
        <f t="shared" si="7"/>
        <v>1</v>
      </c>
      <c r="V50" s="32" t="str">
        <f t="shared" si="8"/>
        <v/>
      </c>
      <c r="W50" s="32" t="str">
        <f t="shared" si="9"/>
        <v/>
      </c>
      <c r="X50" s="32" t="str">
        <f t="shared" si="10"/>
        <v/>
      </c>
      <c r="Y50" s="32" t="str">
        <f t="shared" si="11"/>
        <v/>
      </c>
      <c r="Z50" s="32" t="str">
        <f t="shared" si="12"/>
        <v/>
      </c>
      <c r="AA50" s="32">
        <f t="shared" si="13"/>
        <v>7.1942446043165471E-3</v>
      </c>
    </row>
    <row r="51" spans="14:27">
      <c r="N51" s="2" t="s">
        <v>17</v>
      </c>
      <c r="O51" s="32" t="str">
        <f t="shared" si="1"/>
        <v/>
      </c>
      <c r="P51" s="32" t="str">
        <f t="shared" si="2"/>
        <v/>
      </c>
      <c r="Q51" s="32" t="str">
        <f t="shared" si="3"/>
        <v/>
      </c>
      <c r="R51" s="32" t="str">
        <f t="shared" si="4"/>
        <v/>
      </c>
      <c r="S51" s="32">
        <f t="shared" si="5"/>
        <v>1.1855364552459989E-3</v>
      </c>
      <c r="T51" s="32" t="str">
        <f t="shared" si="6"/>
        <v/>
      </c>
      <c r="U51" s="32" t="str">
        <f t="shared" si="7"/>
        <v/>
      </c>
      <c r="V51" s="32" t="str">
        <f t="shared" si="8"/>
        <v/>
      </c>
      <c r="W51" s="32" t="str">
        <f t="shared" si="9"/>
        <v/>
      </c>
      <c r="X51" s="32" t="str">
        <f t="shared" si="10"/>
        <v/>
      </c>
      <c r="Y51" s="32">
        <f t="shared" si="11"/>
        <v>1.5384615384615385E-2</v>
      </c>
      <c r="Z51" s="32">
        <f t="shared" si="12"/>
        <v>7.9365079365079361E-3</v>
      </c>
      <c r="AA51" s="32" t="str">
        <f t="shared" si="13"/>
        <v/>
      </c>
    </row>
    <row r="52" spans="14:27">
      <c r="N52" s="2" t="s">
        <v>18</v>
      </c>
      <c r="O52" s="32">
        <f t="shared" si="1"/>
        <v>8.5339168490153175E-2</v>
      </c>
      <c r="P52" s="32" t="str">
        <f t="shared" si="2"/>
        <v/>
      </c>
      <c r="Q52" s="32" t="str">
        <f t="shared" si="3"/>
        <v/>
      </c>
      <c r="R52" s="32" t="str">
        <f t="shared" si="4"/>
        <v/>
      </c>
      <c r="S52" s="32" t="str">
        <f t="shared" si="5"/>
        <v/>
      </c>
      <c r="T52" s="32" t="str">
        <f t="shared" si="6"/>
        <v/>
      </c>
      <c r="U52" s="32" t="str">
        <f t="shared" si="7"/>
        <v/>
      </c>
      <c r="V52" s="32" t="str">
        <f t="shared" si="8"/>
        <v/>
      </c>
      <c r="W52" s="32" t="str">
        <f t="shared" si="9"/>
        <v/>
      </c>
      <c r="X52" s="32">
        <f t="shared" si="10"/>
        <v>1.3745704467353952E-2</v>
      </c>
      <c r="Y52" s="32">
        <f t="shared" si="11"/>
        <v>8.5784313725490197E-2</v>
      </c>
      <c r="Z52" s="32">
        <f t="shared" si="12"/>
        <v>0.14644351464435146</v>
      </c>
      <c r="AA52" s="32">
        <f t="shared" si="13"/>
        <v>0.11904761904761904</v>
      </c>
    </row>
    <row r="53" spans="14:27">
      <c r="N53" s="2" t="s">
        <v>19</v>
      </c>
      <c r="O53" s="32" t="str">
        <f t="shared" si="1"/>
        <v/>
      </c>
      <c r="P53" s="32" t="str">
        <f t="shared" si="2"/>
        <v/>
      </c>
      <c r="Q53" s="32">
        <f t="shared" si="3"/>
        <v>8.6813702487095259E-2</v>
      </c>
      <c r="R53" s="32" t="str">
        <f t="shared" si="4"/>
        <v/>
      </c>
      <c r="S53" s="32">
        <f t="shared" si="5"/>
        <v>9.8425196850393721E-4</v>
      </c>
      <c r="T53" s="32" t="str">
        <f t="shared" si="6"/>
        <v/>
      </c>
      <c r="U53" s="32" t="str">
        <f t="shared" si="7"/>
        <v/>
      </c>
      <c r="V53" s="32">
        <f t="shared" si="8"/>
        <v>0.49868073878627966</v>
      </c>
      <c r="W53" s="32" t="str">
        <f t="shared" si="9"/>
        <v/>
      </c>
      <c r="X53" s="32">
        <f t="shared" si="10"/>
        <v>0.20652173913043478</v>
      </c>
      <c r="Y53" s="32" t="str">
        <f t="shared" si="11"/>
        <v/>
      </c>
      <c r="Z53" s="32" t="str">
        <f t="shared" si="12"/>
        <v/>
      </c>
      <c r="AA53" s="32">
        <f t="shared" si="13"/>
        <v>9.8039215686274508E-2</v>
      </c>
    </row>
    <row r="54" spans="14:27">
      <c r="N54" s="2" t="s">
        <v>20</v>
      </c>
      <c r="O54" s="32" t="str">
        <f t="shared" si="1"/>
        <v/>
      </c>
      <c r="P54" s="32" t="str">
        <f t="shared" si="2"/>
        <v/>
      </c>
      <c r="Q54" s="32" t="str">
        <f t="shared" si="3"/>
        <v/>
      </c>
      <c r="R54" s="32" t="str">
        <f t="shared" si="4"/>
        <v/>
      </c>
      <c r="S54" s="32" t="str">
        <f t="shared" si="5"/>
        <v/>
      </c>
      <c r="T54" s="32" t="str">
        <f t="shared" si="6"/>
        <v/>
      </c>
      <c r="U54" s="32" t="str">
        <f t="shared" si="7"/>
        <v/>
      </c>
      <c r="V54" s="32" t="str">
        <f t="shared" si="8"/>
        <v/>
      </c>
      <c r="W54" s="32" t="str">
        <f t="shared" si="9"/>
        <v/>
      </c>
      <c r="X54" s="32" t="str">
        <f t="shared" si="10"/>
        <v/>
      </c>
      <c r="Y54" s="32">
        <f t="shared" si="11"/>
        <v>0.33333333333333331</v>
      </c>
      <c r="Z54" s="32">
        <f t="shared" si="12"/>
        <v>0.25</v>
      </c>
      <c r="AA54" s="32" t="str">
        <f t="shared" si="13"/>
        <v/>
      </c>
    </row>
    <row r="55" spans="14:27">
      <c r="N55" s="2" t="s">
        <v>21</v>
      </c>
      <c r="O55" s="32" t="str">
        <f t="shared" si="1"/>
        <v/>
      </c>
      <c r="P55" s="32">
        <f t="shared" si="2"/>
        <v>2.1763392857142856E-2</v>
      </c>
      <c r="Q55" s="32" t="str">
        <f t="shared" si="3"/>
        <v/>
      </c>
      <c r="R55" s="32" t="str">
        <f t="shared" si="4"/>
        <v/>
      </c>
      <c r="S55" s="32" t="str">
        <f t="shared" si="5"/>
        <v/>
      </c>
      <c r="T55" s="32" t="str">
        <f t="shared" si="6"/>
        <v/>
      </c>
      <c r="U55" s="32">
        <f t="shared" si="7"/>
        <v>1</v>
      </c>
      <c r="V55" s="32" t="str">
        <f t="shared" si="8"/>
        <v/>
      </c>
      <c r="W55" s="32" t="str">
        <f t="shared" si="9"/>
        <v/>
      </c>
      <c r="X55" s="32" t="str">
        <f t="shared" si="10"/>
        <v/>
      </c>
      <c r="Y55" s="32">
        <f t="shared" si="11"/>
        <v>0.9276859504132231</v>
      </c>
      <c r="Z55" s="32">
        <f t="shared" si="12"/>
        <v>0.42542787286063571</v>
      </c>
      <c r="AA55" s="32">
        <f t="shared" si="13"/>
        <v>0.59514170040485825</v>
      </c>
    </row>
    <row r="56" spans="14:27">
      <c r="N56" s="2" t="s">
        <v>22</v>
      </c>
      <c r="O56" s="32" t="str">
        <f t="shared" si="1"/>
        <v/>
      </c>
      <c r="P56" s="32" t="str">
        <f t="shared" si="2"/>
        <v/>
      </c>
      <c r="Q56" s="32" t="str">
        <f t="shared" si="3"/>
        <v/>
      </c>
      <c r="R56" s="32" t="str">
        <f t="shared" si="4"/>
        <v/>
      </c>
      <c r="S56" s="32" t="str">
        <f t="shared" si="5"/>
        <v/>
      </c>
      <c r="T56" s="32">
        <f t="shared" si="6"/>
        <v>1</v>
      </c>
      <c r="U56" s="32">
        <f t="shared" si="7"/>
        <v>1</v>
      </c>
      <c r="V56" s="32" t="str">
        <f t="shared" si="8"/>
        <v/>
      </c>
      <c r="W56" s="32" t="str">
        <f t="shared" si="9"/>
        <v/>
      </c>
      <c r="X56" s="32">
        <f t="shared" si="10"/>
        <v>1</v>
      </c>
      <c r="Y56" s="32" t="str">
        <f t="shared" si="11"/>
        <v/>
      </c>
      <c r="Z56" s="32" t="str">
        <f t="shared" si="12"/>
        <v/>
      </c>
      <c r="AA56" s="32">
        <f t="shared" si="13"/>
        <v>0.88235294117647056</v>
      </c>
    </row>
    <row r="57" spans="14:27">
      <c r="N57" s="2" t="s">
        <v>23</v>
      </c>
      <c r="O57" s="32" t="str">
        <f t="shared" si="1"/>
        <v/>
      </c>
      <c r="P57" s="32" t="str">
        <f t="shared" si="2"/>
        <v/>
      </c>
      <c r="Q57" s="32" t="str">
        <f t="shared" si="3"/>
        <v/>
      </c>
      <c r="R57" s="32" t="str">
        <f t="shared" si="4"/>
        <v/>
      </c>
      <c r="S57" s="32" t="str">
        <f t="shared" si="5"/>
        <v/>
      </c>
      <c r="T57" s="32" t="str">
        <f t="shared" si="6"/>
        <v/>
      </c>
      <c r="U57" s="32" t="str">
        <f t="shared" si="7"/>
        <v/>
      </c>
      <c r="V57" s="32" t="str">
        <f t="shared" si="8"/>
        <v/>
      </c>
      <c r="W57" s="32" t="str">
        <f t="shared" si="9"/>
        <v/>
      </c>
      <c r="X57" s="32" t="str">
        <f t="shared" si="10"/>
        <v/>
      </c>
      <c r="Y57" s="32" t="str">
        <f t="shared" si="11"/>
        <v/>
      </c>
      <c r="Z57" s="32">
        <f t="shared" si="12"/>
        <v>1</v>
      </c>
      <c r="AA57" s="32">
        <f t="shared" si="13"/>
        <v>1</v>
      </c>
    </row>
    <row r="58" spans="14:27">
      <c r="N58" s="2" t="s">
        <v>24</v>
      </c>
      <c r="O58" s="32" t="str">
        <f t="shared" si="1"/>
        <v/>
      </c>
      <c r="P58" s="32" t="str">
        <f t="shared" si="2"/>
        <v/>
      </c>
      <c r="Q58" s="32" t="str">
        <f t="shared" si="3"/>
        <v/>
      </c>
      <c r="R58" s="32" t="str">
        <f t="shared" si="4"/>
        <v/>
      </c>
      <c r="S58" s="32" t="str">
        <f t="shared" si="5"/>
        <v/>
      </c>
      <c r="T58" s="32" t="str">
        <f t="shared" si="6"/>
        <v/>
      </c>
      <c r="U58" s="32">
        <f t="shared" si="7"/>
        <v>0.40611353711790393</v>
      </c>
      <c r="V58" s="32" t="str">
        <f t="shared" si="8"/>
        <v/>
      </c>
      <c r="W58" s="32" t="str">
        <f t="shared" si="9"/>
        <v/>
      </c>
      <c r="X58" s="32" t="str">
        <f t="shared" si="10"/>
        <v/>
      </c>
      <c r="Y58" s="32">
        <f t="shared" si="11"/>
        <v>0.5</v>
      </c>
      <c r="Z58" s="32" t="str">
        <f t="shared" si="12"/>
        <v/>
      </c>
      <c r="AA58" s="32" t="str">
        <f t="shared" si="13"/>
        <v/>
      </c>
    </row>
    <row r="59" spans="14:27">
      <c r="N59" s="2" t="s">
        <v>25</v>
      </c>
      <c r="O59" s="32" t="str">
        <f t="shared" si="1"/>
        <v/>
      </c>
      <c r="P59" s="32" t="str">
        <f t="shared" si="2"/>
        <v/>
      </c>
      <c r="Q59" s="32" t="str">
        <f t="shared" si="3"/>
        <v/>
      </c>
      <c r="R59" s="32" t="str">
        <f t="shared" si="4"/>
        <v/>
      </c>
      <c r="S59" s="32" t="str">
        <f t="shared" si="5"/>
        <v/>
      </c>
      <c r="T59" s="32" t="str">
        <f t="shared" si="6"/>
        <v/>
      </c>
      <c r="U59" s="32" t="str">
        <f t="shared" si="7"/>
        <v/>
      </c>
      <c r="V59" s="32" t="str">
        <f t="shared" si="8"/>
        <v/>
      </c>
      <c r="W59" s="32" t="str">
        <f t="shared" si="9"/>
        <v/>
      </c>
      <c r="X59" s="32">
        <f t="shared" si="10"/>
        <v>1</v>
      </c>
      <c r="Y59" s="32">
        <f t="shared" si="11"/>
        <v>0.1111111111111111</v>
      </c>
      <c r="Z59" s="32" t="str">
        <f t="shared" si="12"/>
        <v/>
      </c>
      <c r="AA59" s="32">
        <f t="shared" si="13"/>
        <v>1</v>
      </c>
    </row>
    <row r="60" spans="14:27">
      <c r="N60" s="2" t="s">
        <v>26</v>
      </c>
      <c r="O60" s="32" t="str">
        <f t="shared" si="1"/>
        <v/>
      </c>
      <c r="P60" s="32" t="str">
        <f t="shared" si="2"/>
        <v/>
      </c>
      <c r="Q60" s="32" t="str">
        <f t="shared" si="3"/>
        <v/>
      </c>
      <c r="R60" s="32" t="str">
        <f t="shared" si="4"/>
        <v/>
      </c>
      <c r="S60" s="32" t="str">
        <f t="shared" si="5"/>
        <v/>
      </c>
      <c r="T60" s="32" t="str">
        <f t="shared" si="6"/>
        <v/>
      </c>
      <c r="U60" s="32" t="str">
        <f t="shared" si="7"/>
        <v/>
      </c>
      <c r="V60" s="32" t="str">
        <f t="shared" si="8"/>
        <v/>
      </c>
      <c r="W60" s="32" t="str">
        <f t="shared" si="9"/>
        <v/>
      </c>
      <c r="X60" s="32" t="str">
        <f t="shared" si="10"/>
        <v/>
      </c>
      <c r="Y60" s="32" t="str">
        <f t="shared" si="11"/>
        <v/>
      </c>
      <c r="Z60" s="32" t="str">
        <f t="shared" si="12"/>
        <v/>
      </c>
      <c r="AA60" s="32" t="str">
        <f t="shared" si="13"/>
        <v/>
      </c>
    </row>
    <row r="61" spans="14:27">
      <c r="N61" s="2" t="s">
        <v>27</v>
      </c>
      <c r="O61" s="32" t="str">
        <f t="shared" si="1"/>
        <v/>
      </c>
      <c r="P61" s="32" t="str">
        <f t="shared" si="2"/>
        <v/>
      </c>
      <c r="Q61" s="32" t="str">
        <f t="shared" si="3"/>
        <v/>
      </c>
      <c r="R61" s="32" t="str">
        <f t="shared" si="4"/>
        <v/>
      </c>
      <c r="S61" s="32" t="str">
        <f t="shared" si="5"/>
        <v/>
      </c>
      <c r="T61" s="32" t="str">
        <f t="shared" si="6"/>
        <v/>
      </c>
      <c r="U61" s="32" t="str">
        <f t="shared" si="7"/>
        <v/>
      </c>
      <c r="V61" s="32" t="str">
        <f t="shared" si="8"/>
        <v/>
      </c>
      <c r="W61" s="32" t="str">
        <f t="shared" si="9"/>
        <v/>
      </c>
      <c r="X61" s="32" t="str">
        <f t="shared" si="10"/>
        <v/>
      </c>
      <c r="Y61" s="32" t="str">
        <f t="shared" si="11"/>
        <v/>
      </c>
      <c r="Z61" s="32" t="str">
        <f t="shared" si="12"/>
        <v/>
      </c>
      <c r="AA61" s="32" t="str">
        <f t="shared" si="13"/>
        <v/>
      </c>
    </row>
    <row r="62" spans="14:27">
      <c r="N62" s="2" t="s">
        <v>28</v>
      </c>
      <c r="O62" s="32" t="str">
        <f t="shared" si="1"/>
        <v/>
      </c>
      <c r="P62" s="32" t="str">
        <f t="shared" si="2"/>
        <v/>
      </c>
      <c r="Q62" s="32" t="str">
        <f t="shared" si="3"/>
        <v/>
      </c>
      <c r="R62" s="32" t="str">
        <f t="shared" si="4"/>
        <v/>
      </c>
      <c r="S62" s="32" t="str">
        <f t="shared" si="5"/>
        <v/>
      </c>
      <c r="T62" s="32" t="str">
        <f t="shared" si="6"/>
        <v/>
      </c>
      <c r="U62" s="32" t="str">
        <f t="shared" si="7"/>
        <v/>
      </c>
      <c r="V62" s="32" t="str">
        <f t="shared" si="8"/>
        <v/>
      </c>
      <c r="W62" s="32" t="str">
        <f t="shared" si="9"/>
        <v/>
      </c>
      <c r="X62" s="32" t="str">
        <f t="shared" si="10"/>
        <v/>
      </c>
      <c r="Y62" s="32" t="str">
        <f t="shared" si="11"/>
        <v/>
      </c>
      <c r="Z62" s="32" t="str">
        <f t="shared" si="12"/>
        <v/>
      </c>
      <c r="AA62" s="32" t="str">
        <f t="shared" si="13"/>
        <v/>
      </c>
    </row>
    <row r="63" spans="14:27">
      <c r="N63" s="2" t="s">
        <v>29</v>
      </c>
      <c r="O63" s="32">
        <f t="shared" si="1"/>
        <v>5.7142857142857143E-3</v>
      </c>
      <c r="P63" s="32" t="str">
        <f t="shared" si="2"/>
        <v/>
      </c>
      <c r="Q63" s="32" t="str">
        <f t="shared" si="3"/>
        <v/>
      </c>
      <c r="R63" s="32" t="str">
        <f t="shared" si="4"/>
        <v/>
      </c>
      <c r="S63" s="32" t="str">
        <f t="shared" si="5"/>
        <v/>
      </c>
      <c r="T63" s="32" t="str">
        <f t="shared" si="6"/>
        <v/>
      </c>
      <c r="U63" s="32" t="str">
        <f t="shared" si="7"/>
        <v/>
      </c>
      <c r="V63" s="32" t="str">
        <f t="shared" si="8"/>
        <v/>
      </c>
      <c r="W63" s="32" t="str">
        <f t="shared" si="9"/>
        <v/>
      </c>
      <c r="X63" s="32" t="str">
        <f t="shared" si="10"/>
        <v/>
      </c>
      <c r="Y63" s="32" t="str">
        <f t="shared" si="11"/>
        <v/>
      </c>
      <c r="Z63" s="32" t="str">
        <f t="shared" si="12"/>
        <v/>
      </c>
      <c r="AA63" s="32" t="str">
        <f t="shared" si="13"/>
        <v/>
      </c>
    </row>
    <row r="64" spans="14:27">
      <c r="N64" s="2" t="s">
        <v>30</v>
      </c>
      <c r="O64" s="32" t="str">
        <f t="shared" si="1"/>
        <v/>
      </c>
      <c r="P64" s="32" t="str">
        <f t="shared" si="2"/>
        <v/>
      </c>
      <c r="Q64" s="32" t="str">
        <f t="shared" si="3"/>
        <v/>
      </c>
      <c r="R64" s="32" t="str">
        <f t="shared" si="4"/>
        <v/>
      </c>
      <c r="S64" s="32" t="str">
        <f t="shared" si="5"/>
        <v/>
      </c>
      <c r="T64" s="32" t="str">
        <f t="shared" si="6"/>
        <v/>
      </c>
      <c r="U64" s="32" t="str">
        <f t="shared" si="7"/>
        <v/>
      </c>
      <c r="V64" s="32" t="str">
        <f t="shared" si="8"/>
        <v/>
      </c>
      <c r="W64" s="32" t="str">
        <f t="shared" si="9"/>
        <v/>
      </c>
      <c r="X64" s="32" t="str">
        <f t="shared" si="10"/>
        <v/>
      </c>
      <c r="Y64" s="32" t="str">
        <f t="shared" si="11"/>
        <v/>
      </c>
      <c r="Z64" s="32" t="str">
        <f t="shared" si="12"/>
        <v/>
      </c>
      <c r="AA64" s="32" t="str">
        <f t="shared" si="13"/>
        <v/>
      </c>
    </row>
    <row r="65" spans="14:27">
      <c r="N65" s="2" t="s">
        <v>31</v>
      </c>
      <c r="O65" s="32" t="str">
        <f t="shared" si="1"/>
        <v/>
      </c>
      <c r="P65" s="32" t="str">
        <f t="shared" si="2"/>
        <v/>
      </c>
      <c r="Q65" s="32" t="str">
        <f t="shared" si="3"/>
        <v/>
      </c>
      <c r="R65" s="32" t="str">
        <f t="shared" si="4"/>
        <v/>
      </c>
      <c r="S65" s="32" t="str">
        <f t="shared" si="5"/>
        <v/>
      </c>
      <c r="T65" s="32" t="str">
        <f t="shared" si="6"/>
        <v/>
      </c>
      <c r="U65" s="32" t="str">
        <f t="shared" si="7"/>
        <v/>
      </c>
      <c r="V65" s="32" t="str">
        <f t="shared" si="8"/>
        <v/>
      </c>
      <c r="W65" s="32" t="str">
        <f t="shared" si="9"/>
        <v/>
      </c>
      <c r="X65" s="32" t="str">
        <f t="shared" si="10"/>
        <v/>
      </c>
      <c r="Y65" s="32" t="str">
        <f t="shared" si="11"/>
        <v/>
      </c>
      <c r="Z65" s="32" t="str">
        <f t="shared" si="12"/>
        <v/>
      </c>
      <c r="AA65" s="32" t="str">
        <f t="shared" si="13"/>
        <v/>
      </c>
    </row>
    <row r="66" spans="14:27">
      <c r="N66" s="2" t="s">
        <v>32</v>
      </c>
      <c r="O66" s="32" t="str">
        <f t="shared" si="1"/>
        <v/>
      </c>
      <c r="P66" s="32">
        <f t="shared" si="2"/>
        <v>5.0632911392405063E-2</v>
      </c>
      <c r="Q66" s="32" t="str">
        <f t="shared" si="3"/>
        <v/>
      </c>
      <c r="R66" s="32" t="str">
        <f t="shared" si="4"/>
        <v/>
      </c>
      <c r="S66" s="32" t="str">
        <f t="shared" si="5"/>
        <v/>
      </c>
      <c r="T66" s="32" t="str">
        <f t="shared" si="6"/>
        <v/>
      </c>
      <c r="U66" s="32" t="str">
        <f t="shared" si="7"/>
        <v/>
      </c>
      <c r="V66" s="32" t="str">
        <f t="shared" si="8"/>
        <v/>
      </c>
      <c r="W66" s="32" t="str">
        <f t="shared" si="9"/>
        <v/>
      </c>
      <c r="X66" s="32" t="str">
        <f t="shared" si="10"/>
        <v/>
      </c>
      <c r="Y66" s="32" t="str">
        <f t="shared" si="11"/>
        <v/>
      </c>
      <c r="Z66" s="32" t="str">
        <f t="shared" si="12"/>
        <v/>
      </c>
      <c r="AA66" s="32" t="str">
        <f t="shared" si="13"/>
        <v/>
      </c>
    </row>
    <row r="67" spans="14:27">
      <c r="N67" s="2" t="s">
        <v>33</v>
      </c>
      <c r="O67" s="32" t="str">
        <f t="shared" si="1"/>
        <v/>
      </c>
      <c r="P67" s="32">
        <f t="shared" si="2"/>
        <v>2.8136378682555446E-3</v>
      </c>
      <c r="Q67" s="32" t="str">
        <f t="shared" si="3"/>
        <v/>
      </c>
      <c r="R67" s="32" t="str">
        <f t="shared" si="4"/>
        <v/>
      </c>
      <c r="S67" s="32" t="str">
        <f t="shared" si="5"/>
        <v/>
      </c>
      <c r="T67" s="32" t="str">
        <f t="shared" si="6"/>
        <v/>
      </c>
      <c r="U67" s="32" t="str">
        <f t="shared" si="7"/>
        <v/>
      </c>
      <c r="V67" s="32" t="str">
        <f t="shared" si="8"/>
        <v/>
      </c>
      <c r="W67" s="32">
        <f t="shared" si="9"/>
        <v>9.9041533546325874E-2</v>
      </c>
      <c r="X67" s="32">
        <f t="shared" si="10"/>
        <v>2.6143790849673203E-2</v>
      </c>
      <c r="Y67" s="32">
        <f t="shared" si="11"/>
        <v>4.7846889952153108E-3</v>
      </c>
      <c r="Z67" s="32" t="str">
        <f t="shared" si="12"/>
        <v/>
      </c>
      <c r="AA67" s="32">
        <f t="shared" si="13"/>
        <v>1.5789473684210527E-2</v>
      </c>
    </row>
  </sheetData>
  <phoneticPr fontId="2" type="noConversion"/>
  <conditionalFormatting sqref="O36:AA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B7F7-104F-4041-9E72-C14FA488D225}">
  <dimension ref="A1:H30"/>
  <sheetViews>
    <sheetView zoomScale="62" workbookViewId="0">
      <selection activeCell="J28" sqref="J28"/>
    </sheetView>
  </sheetViews>
  <sheetFormatPr defaultColWidth="12.42578125" defaultRowHeight="15.75"/>
  <cols>
    <col min="1" max="1" width="72" style="36" customWidth="1"/>
    <col min="2" max="2" width="16.7109375" style="36" customWidth="1"/>
    <col min="3" max="4" width="15.7109375" style="36" bestFit="1" customWidth="1"/>
    <col min="5" max="5" width="65.28515625" style="36" customWidth="1"/>
    <col min="6" max="6" width="12.42578125" style="36"/>
    <col min="7" max="7" width="22.28515625" style="37" bestFit="1" customWidth="1"/>
    <col min="8" max="16384" width="12.42578125" style="36"/>
  </cols>
  <sheetData>
    <row r="1" spans="1:7">
      <c r="A1" s="35" t="s">
        <v>91</v>
      </c>
      <c r="B1" s="36" t="s">
        <v>92</v>
      </c>
      <c r="C1" s="36" t="s">
        <v>93</v>
      </c>
      <c r="D1" s="36" t="s">
        <v>94</v>
      </c>
      <c r="E1" s="36" t="s">
        <v>95</v>
      </c>
      <c r="F1" s="36" t="s">
        <v>96</v>
      </c>
      <c r="G1" s="37" t="s">
        <v>97</v>
      </c>
    </row>
    <row r="2" spans="1:7">
      <c r="A2" s="43" t="s">
        <v>98</v>
      </c>
      <c r="B2" s="36">
        <v>50</v>
      </c>
      <c r="C2" s="36">
        <v>1.9750000000000001</v>
      </c>
      <c r="D2" s="36" t="s">
        <v>99</v>
      </c>
      <c r="E2" s="36" t="s">
        <v>100</v>
      </c>
      <c r="F2" s="36" t="s">
        <v>101</v>
      </c>
    </row>
    <row r="3" spans="1:7" ht="31.5">
      <c r="A3" s="44" t="s">
        <v>102</v>
      </c>
      <c r="B3" s="36">
        <v>100</v>
      </c>
      <c r="C3" s="36">
        <v>3.9</v>
      </c>
      <c r="D3" s="36" t="s">
        <v>103</v>
      </c>
      <c r="E3" s="36" t="s">
        <v>104</v>
      </c>
      <c r="F3" s="36" t="s">
        <v>101</v>
      </c>
    </row>
    <row r="4" spans="1:7" ht="31.5">
      <c r="A4" s="45" t="s">
        <v>105</v>
      </c>
      <c r="B4" s="36">
        <v>50</v>
      </c>
      <c r="C4" s="36">
        <v>1.46</v>
      </c>
      <c r="D4" s="36" t="s">
        <v>103</v>
      </c>
      <c r="E4" s="38" t="s">
        <v>106</v>
      </c>
      <c r="F4" s="36" t="s">
        <v>101</v>
      </c>
    </row>
    <row r="5" spans="1:7" ht="31.5">
      <c r="A5" s="45" t="s">
        <v>107</v>
      </c>
      <c r="B5" s="36">
        <v>50</v>
      </c>
      <c r="C5" s="36">
        <v>1.569</v>
      </c>
      <c r="D5" s="36" t="s">
        <v>103</v>
      </c>
      <c r="E5" s="38" t="s">
        <v>108</v>
      </c>
      <c r="F5" s="36" t="s">
        <v>101</v>
      </c>
    </row>
    <row r="6" spans="1:7" ht="31.5">
      <c r="A6" s="45" t="s">
        <v>109</v>
      </c>
      <c r="B6" s="36">
        <v>50</v>
      </c>
      <c r="C6" s="36">
        <v>1.9830000000000001</v>
      </c>
      <c r="D6" s="36" t="s">
        <v>103</v>
      </c>
      <c r="E6" s="38" t="s">
        <v>110</v>
      </c>
      <c r="F6" s="36" t="s">
        <v>101</v>
      </c>
      <c r="G6" s="37" t="s">
        <v>111</v>
      </c>
    </row>
    <row r="7" spans="1:7" ht="31.5">
      <c r="A7" s="45" t="s">
        <v>112</v>
      </c>
      <c r="B7" s="36">
        <v>50</v>
      </c>
      <c r="C7" s="36">
        <v>2.14</v>
      </c>
      <c r="D7" s="38" t="s">
        <v>113</v>
      </c>
      <c r="E7" s="38" t="s">
        <v>114</v>
      </c>
      <c r="F7" s="36" t="s">
        <v>101</v>
      </c>
    </row>
    <row r="8" spans="1:7" ht="47.25">
      <c r="A8" s="45" t="s">
        <v>115</v>
      </c>
      <c r="B8" s="36">
        <v>100</v>
      </c>
      <c r="C8" s="36">
        <v>3.92</v>
      </c>
      <c r="D8" s="36" t="s">
        <v>99</v>
      </c>
      <c r="E8" s="38" t="s">
        <v>116</v>
      </c>
      <c r="F8" s="36" t="s">
        <v>101</v>
      </c>
      <c r="G8" s="37" t="s">
        <v>117</v>
      </c>
    </row>
    <row r="9" spans="1:7">
      <c r="A9" s="45" t="s">
        <v>118</v>
      </c>
      <c r="B9" s="36">
        <v>50</v>
      </c>
      <c r="C9" s="36">
        <v>1.6</v>
      </c>
      <c r="D9" s="36" t="s">
        <v>103</v>
      </c>
      <c r="E9" s="36" t="s">
        <v>119</v>
      </c>
      <c r="F9" s="36" t="s">
        <v>101</v>
      </c>
    </row>
    <row r="10" spans="1:7">
      <c r="A10" s="42" t="s">
        <v>120</v>
      </c>
      <c r="B10" s="39">
        <v>50</v>
      </c>
      <c r="C10" s="36">
        <v>2.16</v>
      </c>
      <c r="D10" s="36" t="s">
        <v>103</v>
      </c>
      <c r="E10" s="40">
        <v>44560</v>
      </c>
      <c r="F10" s="36" t="s">
        <v>101</v>
      </c>
      <c r="G10" s="40" t="s">
        <v>121</v>
      </c>
    </row>
    <row r="11" spans="1:7">
      <c r="A11" s="42" t="s">
        <v>122</v>
      </c>
      <c r="B11" s="39">
        <v>50</v>
      </c>
      <c r="C11" s="36">
        <v>2.56</v>
      </c>
      <c r="D11" s="36" t="s">
        <v>99</v>
      </c>
      <c r="F11" s="36" t="s">
        <v>123</v>
      </c>
      <c r="G11" s="40" t="s">
        <v>124</v>
      </c>
    </row>
    <row r="12" spans="1:7" ht="31.5">
      <c r="A12" s="42" t="s">
        <v>140</v>
      </c>
      <c r="B12" s="39">
        <v>135</v>
      </c>
      <c r="D12" s="36" t="s">
        <v>103</v>
      </c>
      <c r="F12" s="36" t="s">
        <v>123</v>
      </c>
      <c r="G12" s="37" t="s">
        <v>125</v>
      </c>
    </row>
    <row r="13" spans="1:7" ht="31.5">
      <c r="A13" s="42" t="s">
        <v>126</v>
      </c>
      <c r="B13" s="39">
        <v>100</v>
      </c>
      <c r="C13" s="36">
        <v>13.7</v>
      </c>
      <c r="D13" s="36" t="s">
        <v>103</v>
      </c>
      <c r="E13" s="36" t="s">
        <v>127</v>
      </c>
      <c r="G13" s="40">
        <v>44645</v>
      </c>
    </row>
    <row r="14" spans="1:7">
      <c r="A14" s="42" t="s">
        <v>128</v>
      </c>
      <c r="B14" s="39">
        <v>50</v>
      </c>
      <c r="C14" s="36">
        <v>1.21</v>
      </c>
      <c r="D14" s="36" t="s">
        <v>103</v>
      </c>
    </row>
    <row r="15" spans="1:7" ht="31.5">
      <c r="A15" s="46" t="s">
        <v>129</v>
      </c>
      <c r="B15" s="39">
        <v>100</v>
      </c>
      <c r="D15" s="36" t="s">
        <v>103</v>
      </c>
      <c r="F15" s="36" t="s">
        <v>130</v>
      </c>
    </row>
    <row r="16" spans="1:7" ht="31.5">
      <c r="A16" s="46" t="s">
        <v>131</v>
      </c>
      <c r="B16" s="39">
        <v>50</v>
      </c>
      <c r="D16" s="36" t="s">
        <v>99</v>
      </c>
      <c r="G16" s="37" t="s">
        <v>132</v>
      </c>
    </row>
    <row r="17" spans="1:8">
      <c r="A17" s="41" t="s">
        <v>141</v>
      </c>
      <c r="B17" s="39">
        <v>50</v>
      </c>
      <c r="D17" s="36" t="s">
        <v>99</v>
      </c>
      <c r="G17" s="37" t="s">
        <v>133</v>
      </c>
    </row>
    <row r="18" spans="1:8" ht="31.5">
      <c r="A18" s="46" t="s">
        <v>134</v>
      </c>
      <c r="B18" s="39">
        <v>100</v>
      </c>
      <c r="D18" s="36" t="s">
        <v>99</v>
      </c>
    </row>
    <row r="19" spans="1:8">
      <c r="A19" s="46" t="s">
        <v>135</v>
      </c>
      <c r="B19" s="39">
        <v>64</v>
      </c>
      <c r="C19" s="36">
        <v>3.5</v>
      </c>
      <c r="D19" s="36" t="s">
        <v>99</v>
      </c>
      <c r="G19" s="40" t="s">
        <v>136</v>
      </c>
    </row>
    <row r="20" spans="1:8" ht="31.5">
      <c r="A20" s="46" t="s">
        <v>137</v>
      </c>
      <c r="B20" s="39">
        <v>50</v>
      </c>
      <c r="D20" s="38" t="s">
        <v>113</v>
      </c>
      <c r="F20" s="36" t="s">
        <v>130</v>
      </c>
    </row>
    <row r="21" spans="1:8" ht="31.5">
      <c r="A21" s="46" t="s">
        <v>138</v>
      </c>
      <c r="B21" s="39">
        <v>50</v>
      </c>
      <c r="D21" s="38" t="s">
        <v>113</v>
      </c>
      <c r="F21" s="36" t="s">
        <v>130</v>
      </c>
    </row>
    <row r="22" spans="1:8" ht="31.5">
      <c r="A22" s="46" t="s">
        <v>139</v>
      </c>
      <c r="B22" s="39">
        <v>50</v>
      </c>
      <c r="D22" s="38" t="s">
        <v>113</v>
      </c>
      <c r="G22" s="40">
        <v>42842</v>
      </c>
    </row>
    <row r="27" spans="1:8">
      <c r="H27" s="66"/>
    </row>
    <row r="28" spans="1:8">
      <c r="H28" s="66"/>
    </row>
    <row r="29" spans="1:8">
      <c r="H29" s="66"/>
    </row>
    <row r="30" spans="1:8">
      <c r="H30" s="66"/>
    </row>
  </sheetData>
  <mergeCells count="1">
    <mergeCell ref="H27:H30"/>
  </mergeCells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CD72-63C3-4DA8-93F1-67544014C465}">
  <dimension ref="A1"/>
  <sheetViews>
    <sheetView topLeftCell="A3" workbookViewId="0">
      <selection activeCell="I40" sqref="I40"/>
    </sheetView>
  </sheetViews>
  <sheetFormatPr defaultRowHeight="12.75"/>
  <sheetData/>
  <phoneticPr fontId="2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A93D-D311-4D89-B2FD-7EB8EDC6699F}">
  <dimension ref="A1:K25"/>
  <sheetViews>
    <sheetView workbookViewId="0">
      <selection activeCell="K2" sqref="K2:K25"/>
    </sheetView>
  </sheetViews>
  <sheetFormatPr defaultRowHeight="12.75"/>
  <cols>
    <col min="1" max="1" width="6.7109375" bestFit="1" customWidth="1"/>
    <col min="2" max="2" width="9" bestFit="1" customWidth="1"/>
    <col min="3" max="3" width="24.28515625" bestFit="1" customWidth="1"/>
    <col min="4" max="4" width="9.28515625" bestFit="1" customWidth="1"/>
    <col min="5" max="5" width="11.85546875" bestFit="1" customWidth="1"/>
    <col min="6" max="6" width="16.28515625" bestFit="1" customWidth="1"/>
    <col min="7" max="7" width="20.5703125" bestFit="1" customWidth="1"/>
    <col min="8" max="8" width="25" bestFit="1" customWidth="1"/>
  </cols>
  <sheetData>
    <row r="1" spans="1:11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s="5" t="s">
        <v>147</v>
      </c>
      <c r="G1" t="s">
        <v>148</v>
      </c>
      <c r="H1" s="5" t="s">
        <v>149</v>
      </c>
    </row>
    <row r="2" spans="1:11">
      <c r="A2" t="s">
        <v>35</v>
      </c>
      <c r="B2" t="s">
        <v>150</v>
      </c>
      <c r="C2" t="s">
        <v>35</v>
      </c>
      <c r="F2" s="5">
        <v>36699.15</v>
      </c>
      <c r="H2" s="5">
        <v>20562.18</v>
      </c>
      <c r="J2" s="47">
        <f>F2-H2</f>
        <v>16136.970000000001</v>
      </c>
    </row>
    <row r="3" spans="1:11">
      <c r="A3" t="s">
        <v>35</v>
      </c>
      <c r="B3" t="s">
        <v>150</v>
      </c>
      <c r="C3" t="s">
        <v>151</v>
      </c>
      <c r="E3">
        <v>339</v>
      </c>
      <c r="F3" s="5">
        <v>9980.93</v>
      </c>
      <c r="G3">
        <v>69</v>
      </c>
      <c r="H3" s="5">
        <v>1795.11</v>
      </c>
      <c r="J3" s="47">
        <f t="shared" ref="J3:J25" si="0">F3-H3</f>
        <v>8185.8200000000006</v>
      </c>
    </row>
    <row r="4" spans="1:11">
      <c r="A4" t="s">
        <v>35</v>
      </c>
      <c r="B4" t="s">
        <v>150</v>
      </c>
      <c r="C4" t="s">
        <v>152</v>
      </c>
      <c r="E4">
        <v>172</v>
      </c>
      <c r="F4" s="5">
        <v>4904.7299999999996</v>
      </c>
      <c r="G4">
        <v>53</v>
      </c>
      <c r="H4" s="5">
        <v>1337.11</v>
      </c>
      <c r="J4" s="47">
        <f t="shared" si="0"/>
        <v>3567.62</v>
      </c>
      <c r="K4">
        <v>7</v>
      </c>
    </row>
    <row r="5" spans="1:11">
      <c r="A5" t="s">
        <v>35</v>
      </c>
      <c r="B5" t="s">
        <v>150</v>
      </c>
      <c r="C5" t="s">
        <v>41</v>
      </c>
      <c r="E5">
        <v>167</v>
      </c>
      <c r="F5" s="5">
        <v>5076.2</v>
      </c>
      <c r="G5">
        <v>16</v>
      </c>
      <c r="H5" s="5">
        <v>458</v>
      </c>
      <c r="J5" s="47">
        <f t="shared" si="0"/>
        <v>4618.2</v>
      </c>
    </row>
    <row r="6" spans="1:11">
      <c r="A6" t="s">
        <v>35</v>
      </c>
      <c r="B6" t="s">
        <v>150</v>
      </c>
      <c r="C6" t="s">
        <v>153</v>
      </c>
      <c r="E6">
        <v>223</v>
      </c>
      <c r="F6" s="5">
        <v>10025.59</v>
      </c>
      <c r="G6">
        <v>132</v>
      </c>
      <c r="H6" s="5">
        <v>6142.97</v>
      </c>
      <c r="J6" s="47">
        <f t="shared" si="0"/>
        <v>3882.62</v>
      </c>
    </row>
    <row r="7" spans="1:11">
      <c r="A7" t="s">
        <v>35</v>
      </c>
      <c r="B7" t="s">
        <v>150</v>
      </c>
      <c r="C7" t="s">
        <v>42</v>
      </c>
      <c r="E7">
        <v>125</v>
      </c>
      <c r="F7" s="5">
        <v>7566.6</v>
      </c>
      <c r="G7">
        <v>72</v>
      </c>
      <c r="H7" s="5">
        <v>4401.1000000000004</v>
      </c>
      <c r="J7" s="47">
        <f t="shared" si="0"/>
        <v>3165.5</v>
      </c>
    </row>
    <row r="8" spans="1:11">
      <c r="A8" t="s">
        <v>35</v>
      </c>
      <c r="B8" t="s">
        <v>150</v>
      </c>
      <c r="C8" t="s">
        <v>154</v>
      </c>
      <c r="E8">
        <v>123</v>
      </c>
      <c r="F8" s="5">
        <v>7397.8</v>
      </c>
      <c r="G8">
        <v>70</v>
      </c>
      <c r="H8" s="5">
        <v>4232.3</v>
      </c>
      <c r="J8" s="47">
        <f t="shared" si="0"/>
        <v>3165.5</v>
      </c>
      <c r="K8">
        <v>3</v>
      </c>
    </row>
    <row r="9" spans="1:11">
      <c r="A9" t="s">
        <v>35</v>
      </c>
      <c r="B9" t="s">
        <v>150</v>
      </c>
      <c r="C9" t="s">
        <v>155</v>
      </c>
      <c r="E9">
        <v>2</v>
      </c>
      <c r="F9" s="5">
        <v>168.8</v>
      </c>
      <c r="G9">
        <v>2</v>
      </c>
      <c r="H9" s="5">
        <v>168.8</v>
      </c>
      <c r="J9" s="47">
        <f t="shared" si="0"/>
        <v>0</v>
      </c>
      <c r="K9">
        <v>3</v>
      </c>
    </row>
    <row r="10" spans="1:11">
      <c r="A10" t="s">
        <v>35</v>
      </c>
      <c r="B10" t="s">
        <v>150</v>
      </c>
      <c r="C10" t="s">
        <v>43</v>
      </c>
      <c r="E10">
        <v>58</v>
      </c>
      <c r="F10" s="5">
        <v>1611.32</v>
      </c>
      <c r="G10">
        <v>37</v>
      </c>
      <c r="H10" s="5">
        <v>930.4</v>
      </c>
      <c r="J10" s="47">
        <f t="shared" si="0"/>
        <v>680.92</v>
      </c>
    </row>
    <row r="11" spans="1:11">
      <c r="A11" t="s">
        <v>35</v>
      </c>
      <c r="B11" t="s">
        <v>150</v>
      </c>
      <c r="C11" t="s">
        <v>156</v>
      </c>
      <c r="E11">
        <v>56</v>
      </c>
      <c r="F11" s="5">
        <v>1597.8</v>
      </c>
      <c r="G11">
        <v>37</v>
      </c>
      <c r="H11" s="5">
        <v>917</v>
      </c>
      <c r="J11" s="47">
        <f t="shared" si="0"/>
        <v>680.8</v>
      </c>
      <c r="K11">
        <v>3</v>
      </c>
    </row>
    <row r="12" spans="1:11">
      <c r="A12" t="s">
        <v>35</v>
      </c>
      <c r="B12" t="s">
        <v>150</v>
      </c>
      <c r="C12" t="s">
        <v>157</v>
      </c>
      <c r="F12" s="5">
        <v>12.2</v>
      </c>
      <c r="H12" s="5">
        <v>12.2</v>
      </c>
      <c r="J12" s="47">
        <f t="shared" si="0"/>
        <v>0</v>
      </c>
    </row>
    <row r="13" spans="1:11">
      <c r="A13" t="s">
        <v>35</v>
      </c>
      <c r="B13" t="s">
        <v>150</v>
      </c>
      <c r="C13" t="s">
        <v>158</v>
      </c>
      <c r="E13">
        <v>2</v>
      </c>
      <c r="F13" s="5">
        <v>1.32</v>
      </c>
      <c r="H13" s="5">
        <v>1.2</v>
      </c>
      <c r="J13" s="47">
        <f t="shared" si="0"/>
        <v>0.12000000000000011</v>
      </c>
    </row>
    <row r="14" spans="1:11">
      <c r="A14" t="s">
        <v>35</v>
      </c>
      <c r="B14" t="s">
        <v>150</v>
      </c>
      <c r="C14" t="s">
        <v>44</v>
      </c>
      <c r="F14" s="5"/>
      <c r="H14" s="5"/>
      <c r="J14" s="47">
        <f t="shared" si="0"/>
        <v>0</v>
      </c>
    </row>
    <row r="15" spans="1:11">
      <c r="A15" t="s">
        <v>35</v>
      </c>
      <c r="B15" t="s">
        <v>150</v>
      </c>
      <c r="C15" t="s">
        <v>40</v>
      </c>
      <c r="E15">
        <v>40</v>
      </c>
      <c r="F15" s="5">
        <v>847.67</v>
      </c>
      <c r="G15">
        <v>23</v>
      </c>
      <c r="H15" s="5">
        <v>811.47</v>
      </c>
      <c r="J15" s="47">
        <f t="shared" si="0"/>
        <v>36.199999999999932</v>
      </c>
    </row>
    <row r="16" spans="1:11">
      <c r="A16" t="s">
        <v>35</v>
      </c>
      <c r="B16" t="s">
        <v>150</v>
      </c>
      <c r="C16" t="s">
        <v>159</v>
      </c>
      <c r="E16">
        <v>2</v>
      </c>
      <c r="F16" s="5">
        <v>283.39</v>
      </c>
      <c r="G16">
        <v>2</v>
      </c>
      <c r="H16" s="5">
        <v>283.39</v>
      </c>
      <c r="J16" s="47">
        <f t="shared" si="0"/>
        <v>0</v>
      </c>
    </row>
    <row r="17" spans="1:11">
      <c r="A17" t="s">
        <v>35</v>
      </c>
      <c r="B17" t="s">
        <v>150</v>
      </c>
      <c r="C17" t="s">
        <v>160</v>
      </c>
      <c r="E17">
        <v>28</v>
      </c>
      <c r="F17" s="5">
        <v>332.13</v>
      </c>
      <c r="G17">
        <v>13</v>
      </c>
      <c r="H17" s="5">
        <v>301.43</v>
      </c>
      <c r="J17" s="47">
        <f t="shared" si="0"/>
        <v>30.699999999999989</v>
      </c>
    </row>
    <row r="18" spans="1:11">
      <c r="A18" t="s">
        <v>35</v>
      </c>
      <c r="B18" t="s">
        <v>150</v>
      </c>
      <c r="C18" t="s">
        <v>161</v>
      </c>
      <c r="E18">
        <v>9</v>
      </c>
      <c r="F18" s="5">
        <v>229.65</v>
      </c>
      <c r="G18">
        <v>8</v>
      </c>
      <c r="H18" s="5">
        <v>226.65</v>
      </c>
      <c r="J18" s="47">
        <f t="shared" si="0"/>
        <v>3</v>
      </c>
    </row>
    <row r="19" spans="1:11">
      <c r="A19" t="s">
        <v>35</v>
      </c>
      <c r="B19" t="s">
        <v>150</v>
      </c>
      <c r="C19" t="s">
        <v>162</v>
      </c>
      <c r="E19">
        <v>15</v>
      </c>
      <c r="F19" s="5">
        <v>1659.28</v>
      </c>
      <c r="H19" s="5">
        <v>111.8</v>
      </c>
      <c r="J19" s="47">
        <f t="shared" si="0"/>
        <v>1547.48</v>
      </c>
      <c r="K19">
        <v>9</v>
      </c>
    </row>
    <row r="20" spans="1:11">
      <c r="A20" t="s">
        <v>35</v>
      </c>
      <c r="B20" t="s">
        <v>150</v>
      </c>
      <c r="C20" t="s">
        <v>163</v>
      </c>
      <c r="F20" s="5">
        <v>9524.02</v>
      </c>
      <c r="H20" s="5">
        <v>7527.55</v>
      </c>
      <c r="J20" s="47">
        <f t="shared" si="0"/>
        <v>1996.4700000000003</v>
      </c>
      <c r="K20">
        <v>1</v>
      </c>
    </row>
    <row r="21" spans="1:11">
      <c r="A21" t="s">
        <v>35</v>
      </c>
      <c r="B21" t="s">
        <v>150</v>
      </c>
      <c r="C21" t="s">
        <v>164</v>
      </c>
      <c r="F21" s="5">
        <v>5481.33</v>
      </c>
      <c r="H21" s="5">
        <v>4956.75</v>
      </c>
      <c r="J21" s="47">
        <f t="shared" si="0"/>
        <v>524.57999999999993</v>
      </c>
      <c r="K21">
        <v>1</v>
      </c>
    </row>
    <row r="22" spans="1:11">
      <c r="A22" t="s">
        <v>35</v>
      </c>
      <c r="B22" t="s">
        <v>150</v>
      </c>
      <c r="C22" t="s">
        <v>165</v>
      </c>
      <c r="F22" s="5">
        <v>28</v>
      </c>
      <c r="H22" s="5">
        <v>28</v>
      </c>
      <c r="J22" s="47">
        <f t="shared" si="0"/>
        <v>0</v>
      </c>
    </row>
    <row r="23" spans="1:11">
      <c r="A23" t="s">
        <v>35</v>
      </c>
      <c r="B23" t="s">
        <v>150</v>
      </c>
      <c r="C23" t="s">
        <v>166</v>
      </c>
      <c r="F23" s="5"/>
      <c r="H23" s="5"/>
      <c r="J23" s="47">
        <f t="shared" si="0"/>
        <v>0</v>
      </c>
    </row>
    <row r="24" spans="1:11">
      <c r="A24" t="s">
        <v>35</v>
      </c>
      <c r="B24" t="s">
        <v>150</v>
      </c>
      <c r="C24" t="s">
        <v>167</v>
      </c>
      <c r="F24" s="5"/>
      <c r="H24" s="5"/>
      <c r="J24" s="47">
        <f t="shared" si="0"/>
        <v>0</v>
      </c>
    </row>
    <row r="25" spans="1:11">
      <c r="A25" t="s">
        <v>35</v>
      </c>
      <c r="B25" t="s">
        <v>150</v>
      </c>
      <c r="C25" t="s">
        <v>40</v>
      </c>
      <c r="F25" s="5">
        <v>28</v>
      </c>
      <c r="H25" s="5">
        <v>28</v>
      </c>
      <c r="J25" s="47">
        <f t="shared" si="0"/>
        <v>0</v>
      </c>
    </row>
  </sheetData>
  <phoneticPr fontId="2" type="noConversion"/>
  <conditionalFormatting sqref="E1:H25">
    <cfRule type="containsText" dxfId="2" priority="5" operator="containsText" text=", ">
      <formula>NOT(ISERROR(SEARCH(", ",E1)))</formula>
    </cfRule>
  </conditionalFormatting>
  <conditionalFormatting sqref="E1:E2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2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2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:H2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333C-D559-41AF-8480-D7D197BA166D}">
  <dimension ref="A1:AA48"/>
  <sheetViews>
    <sheetView tabSelected="1" topLeftCell="A16" workbookViewId="0">
      <selection activeCell="I44" sqref="I44"/>
    </sheetView>
  </sheetViews>
  <sheetFormatPr defaultRowHeight="12.75"/>
  <cols>
    <col min="1" max="5" width="11.85546875" customWidth="1"/>
    <col min="11" max="11" width="23.5703125" bestFit="1" customWidth="1"/>
    <col min="12" max="12" width="20.7109375" bestFit="1" customWidth="1"/>
    <col min="13" max="13" width="13.5703125" bestFit="1" customWidth="1"/>
    <col min="14" max="15" width="16.7109375" customWidth="1"/>
    <col min="16" max="16" width="20.85546875" bestFit="1" customWidth="1"/>
  </cols>
  <sheetData>
    <row r="1" spans="1:27" ht="16.5">
      <c r="A1" s="59" t="s">
        <v>34</v>
      </c>
      <c r="B1" s="60"/>
      <c r="C1" s="60"/>
      <c r="D1" s="4">
        <v>2019</v>
      </c>
      <c r="E1" s="4">
        <v>2020</v>
      </c>
      <c r="F1" s="6">
        <v>2021</v>
      </c>
      <c r="G1" s="6">
        <v>2022</v>
      </c>
      <c r="I1" t="s">
        <v>142</v>
      </c>
      <c r="J1" t="s">
        <v>143</v>
      </c>
      <c r="K1" t="s">
        <v>144</v>
      </c>
      <c r="L1" s="52" t="s">
        <v>169</v>
      </c>
      <c r="M1" s="53" t="s">
        <v>170</v>
      </c>
      <c r="N1" s="54" t="s">
        <v>171</v>
      </c>
      <c r="O1" s="54"/>
    </row>
    <row r="2" spans="1:27">
      <c r="A2" s="59" t="s">
        <v>35</v>
      </c>
      <c r="B2" s="59"/>
      <c r="C2" s="59"/>
      <c r="D2" s="31">
        <v>105000</v>
      </c>
      <c r="E2" s="31">
        <v>191440</v>
      </c>
      <c r="F2" s="49">
        <v>179080</v>
      </c>
      <c r="G2" s="49">
        <v>199740</v>
      </c>
      <c r="H2" s="48"/>
      <c r="I2" t="s">
        <v>35</v>
      </c>
      <c r="J2" t="s">
        <v>150</v>
      </c>
      <c r="K2" t="s">
        <v>35</v>
      </c>
      <c r="L2" s="48">
        <v>366991.5</v>
      </c>
      <c r="M2" s="5"/>
      <c r="Q2">
        <v>2019</v>
      </c>
      <c r="R2">
        <v>2020</v>
      </c>
      <c r="S2">
        <v>2021</v>
      </c>
      <c r="T2">
        <v>2022</v>
      </c>
      <c r="U2">
        <v>2023</v>
      </c>
      <c r="V2">
        <v>2024</v>
      </c>
      <c r="W2">
        <v>2025</v>
      </c>
      <c r="X2">
        <v>2026</v>
      </c>
      <c r="Y2">
        <v>2027</v>
      </c>
      <c r="Z2">
        <v>2028</v>
      </c>
      <c r="AA2">
        <v>2029</v>
      </c>
    </row>
    <row r="3" spans="1:27">
      <c r="A3" s="61" t="s">
        <v>36</v>
      </c>
      <c r="B3" s="59" t="s">
        <v>35</v>
      </c>
      <c r="C3" s="59"/>
      <c r="D3" s="31">
        <v>4450</v>
      </c>
      <c r="E3" s="31">
        <v>13130</v>
      </c>
      <c r="F3" s="49">
        <v>23490</v>
      </c>
      <c r="G3" s="49">
        <v>23870</v>
      </c>
      <c r="H3" s="48"/>
      <c r="I3" t="s">
        <v>35</v>
      </c>
      <c r="J3" t="s">
        <v>150</v>
      </c>
      <c r="K3" t="s">
        <v>151</v>
      </c>
      <c r="L3" s="48">
        <v>99809.3</v>
      </c>
      <c r="M3" s="5"/>
      <c r="P3" s="33" t="s">
        <v>69</v>
      </c>
      <c r="Q3" s="48">
        <f>D7</f>
        <v>30960</v>
      </c>
      <c r="R3" s="48">
        <f>E7</f>
        <v>38610</v>
      </c>
      <c r="S3" s="48">
        <f>F7</f>
        <v>29370</v>
      </c>
      <c r="T3" s="51">
        <f>G7</f>
        <v>26587.015590200444</v>
      </c>
      <c r="U3" s="48">
        <v>0</v>
      </c>
      <c r="V3" s="48">
        <v>0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</row>
    <row r="4" spans="1:27">
      <c r="A4" s="61"/>
      <c r="B4" s="59" t="s">
        <v>41</v>
      </c>
      <c r="C4" s="59"/>
      <c r="D4" s="31">
        <v>300</v>
      </c>
      <c r="E4" s="31">
        <v>1200</v>
      </c>
      <c r="F4" s="49">
        <v>5200</v>
      </c>
      <c r="G4" s="49">
        <v>8000</v>
      </c>
      <c r="H4" s="48"/>
      <c r="I4" t="s">
        <v>35</v>
      </c>
      <c r="J4" t="s">
        <v>150</v>
      </c>
      <c r="K4" t="s">
        <v>152</v>
      </c>
      <c r="L4" s="48">
        <v>49047.299999999996</v>
      </c>
      <c r="M4" s="5">
        <f>L4-T6-S6-R6</f>
        <v>2957.2999999999956</v>
      </c>
      <c r="N4">
        <v>7</v>
      </c>
      <c r="P4" s="33" t="s">
        <v>70</v>
      </c>
      <c r="Q4" s="48">
        <f>D10*0.7</f>
        <v>4403</v>
      </c>
      <c r="R4" s="48">
        <f>E10*0.7</f>
        <v>5677</v>
      </c>
      <c r="S4" s="48">
        <f>F10*0.7</f>
        <v>5306</v>
      </c>
      <c r="T4" s="51">
        <f>G10*0.7</f>
        <v>4803.2245393804415</v>
      </c>
      <c r="U4" s="48">
        <v>0</v>
      </c>
      <c r="V4" s="48">
        <v>0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</row>
    <row r="5" spans="1:27">
      <c r="A5" s="61" t="s">
        <v>37</v>
      </c>
      <c r="B5" s="59" t="s">
        <v>35</v>
      </c>
      <c r="C5" s="59"/>
      <c r="D5" s="31">
        <v>44230</v>
      </c>
      <c r="E5" s="31">
        <v>56600</v>
      </c>
      <c r="F5" s="49">
        <v>49390</v>
      </c>
      <c r="G5" s="49">
        <v>44710</v>
      </c>
      <c r="H5" s="48"/>
      <c r="I5" t="s">
        <v>35</v>
      </c>
      <c r="J5" t="s">
        <v>150</v>
      </c>
      <c r="K5" t="s">
        <v>41</v>
      </c>
      <c r="L5" s="48">
        <v>50762</v>
      </c>
      <c r="M5" s="5">
        <f>L5-G4-F4-E4</f>
        <v>36362</v>
      </c>
      <c r="P5" s="33" t="s">
        <v>71</v>
      </c>
      <c r="Q5" s="48">
        <f>D19</f>
        <v>4090</v>
      </c>
      <c r="R5" s="48">
        <f>E19</f>
        <v>1120</v>
      </c>
      <c r="S5" s="48">
        <f>F19</f>
        <v>3400</v>
      </c>
      <c r="T5" s="48">
        <f>G19</f>
        <v>2289.34803451582</v>
      </c>
      <c r="U5" s="48">
        <f>$M19/($N19-3)</f>
        <v>1630.5753275806965</v>
      </c>
      <c r="V5" s="48">
        <f t="shared" ref="V5:Z5" si="0">$M19/($N19-3)</f>
        <v>1630.5753275806965</v>
      </c>
      <c r="W5" s="48">
        <f t="shared" si="0"/>
        <v>1630.5753275806965</v>
      </c>
      <c r="X5" s="48">
        <f t="shared" si="0"/>
        <v>1630.5753275806965</v>
      </c>
      <c r="Y5" s="48">
        <f t="shared" si="0"/>
        <v>1630.5753275806965</v>
      </c>
      <c r="Z5" s="48">
        <f t="shared" si="0"/>
        <v>1630.5753275806965</v>
      </c>
      <c r="AA5" s="48">
        <v>0</v>
      </c>
    </row>
    <row r="6" spans="1:27">
      <c r="A6" s="61"/>
      <c r="B6" s="59" t="s">
        <v>42</v>
      </c>
      <c r="C6" s="2" t="s">
        <v>35</v>
      </c>
      <c r="D6" s="31">
        <v>32360</v>
      </c>
      <c r="E6" s="31">
        <v>40300</v>
      </c>
      <c r="F6" s="49">
        <v>29370</v>
      </c>
      <c r="G6" s="50">
        <f>F6/F$5*G$5</f>
        <v>26587.015590200444</v>
      </c>
      <c r="H6" s="51"/>
      <c r="I6" t="s">
        <v>35</v>
      </c>
      <c r="J6" t="s">
        <v>150</v>
      </c>
      <c r="K6" t="s">
        <v>153</v>
      </c>
      <c r="L6" s="48">
        <v>100255.9</v>
      </c>
      <c r="M6" s="5"/>
      <c r="P6" s="33" t="s">
        <v>72</v>
      </c>
      <c r="Q6" s="48">
        <f>D3-D4</f>
        <v>4150</v>
      </c>
      <c r="R6" s="48">
        <f>E3-E4</f>
        <v>11930</v>
      </c>
      <c r="S6" s="48">
        <f>F3-F4</f>
        <v>18290</v>
      </c>
      <c r="T6" s="51">
        <f>G3-G4</f>
        <v>15870</v>
      </c>
      <c r="U6" s="48">
        <f>$M4/($N4-3)</f>
        <v>739.32499999999891</v>
      </c>
      <c r="V6" s="48">
        <f t="shared" ref="V6:W6" si="1">$M4/($N4-3)</f>
        <v>739.32499999999891</v>
      </c>
      <c r="W6" s="48">
        <f t="shared" si="1"/>
        <v>739.32499999999891</v>
      </c>
      <c r="X6" s="48">
        <f>$M4/($N4-3)</f>
        <v>739.32499999999891</v>
      </c>
      <c r="Y6" s="48">
        <v>0</v>
      </c>
      <c r="Z6" s="48">
        <v>0</v>
      </c>
      <c r="AA6" s="48">
        <v>0</v>
      </c>
    </row>
    <row r="7" spans="1:27">
      <c r="A7" s="61"/>
      <c r="B7" s="59"/>
      <c r="C7" s="2" t="s">
        <v>65</v>
      </c>
      <c r="D7" s="31">
        <v>30960</v>
      </c>
      <c r="E7" s="31">
        <v>38610</v>
      </c>
      <c r="F7" s="49">
        <v>29370</v>
      </c>
      <c r="G7" s="50">
        <f t="shared" ref="G7:G18" si="2">F7/F$5*G$5</f>
        <v>26587.015590200444</v>
      </c>
      <c r="H7" s="51"/>
      <c r="I7" t="s">
        <v>35</v>
      </c>
      <c r="J7" t="s">
        <v>150</v>
      </c>
      <c r="K7" t="s">
        <v>42</v>
      </c>
      <c r="L7" s="48">
        <v>75666</v>
      </c>
      <c r="M7" s="5">
        <f>L7-G6-F6-E6</f>
        <v>-20591.015590200448</v>
      </c>
      <c r="P7" s="33" t="s">
        <v>73</v>
      </c>
      <c r="Q7" s="48">
        <f>D20-Q15</f>
        <v>24230</v>
      </c>
      <c r="R7" s="48">
        <f>E20-R15</f>
        <v>67170</v>
      </c>
      <c r="S7" s="48">
        <f>F20-S15</f>
        <v>32050</v>
      </c>
      <c r="T7" s="48">
        <f>G20-T15</f>
        <v>33520</v>
      </c>
      <c r="U7" s="48">
        <v>0</v>
      </c>
      <c r="V7" s="48">
        <v>0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</row>
    <row r="8" spans="1:27">
      <c r="A8" s="61"/>
      <c r="B8" s="59"/>
      <c r="C8" s="2" t="s">
        <v>0</v>
      </c>
      <c r="D8" s="31">
        <v>1400</v>
      </c>
      <c r="E8" s="31">
        <v>1690</v>
      </c>
      <c r="F8" s="49">
        <v>0</v>
      </c>
      <c r="G8" s="50">
        <f t="shared" si="2"/>
        <v>0</v>
      </c>
      <c r="H8" s="51"/>
      <c r="I8" t="s">
        <v>35</v>
      </c>
      <c r="J8" t="s">
        <v>150</v>
      </c>
      <c r="K8" t="s">
        <v>154</v>
      </c>
      <c r="L8" s="48">
        <v>73978</v>
      </c>
      <c r="M8" s="5">
        <f>L8-G7-F7-E7</f>
        <v>-20589.015590200448</v>
      </c>
      <c r="N8">
        <v>3</v>
      </c>
      <c r="P8" s="33" t="s">
        <v>74</v>
      </c>
      <c r="Q8" s="48">
        <f>(D28-C28)*10</f>
        <v>17610</v>
      </c>
      <c r="R8" s="48">
        <f>(E28-D28)*10</f>
        <v>31208.69999999999</v>
      </c>
      <c r="S8" s="48">
        <f>(F28-E28)*10</f>
        <v>25600.699999999997</v>
      </c>
      <c r="T8" s="48">
        <f>(G28-F28)*10</f>
        <v>35940.600000000013</v>
      </c>
      <c r="U8" s="48">
        <v>0</v>
      </c>
      <c r="V8" s="48">
        <v>0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</row>
    <row r="9" spans="1:27">
      <c r="A9" s="61"/>
      <c r="B9" s="59" t="s">
        <v>43</v>
      </c>
      <c r="C9" s="2" t="s">
        <v>35</v>
      </c>
      <c r="D9" s="31">
        <v>6300</v>
      </c>
      <c r="E9" s="31">
        <v>8240</v>
      </c>
      <c r="F9" s="49">
        <v>7710</v>
      </c>
      <c r="G9" s="50">
        <f t="shared" si="2"/>
        <v>6979.4310589188099</v>
      </c>
      <c r="H9" s="51"/>
      <c r="I9" t="s">
        <v>35</v>
      </c>
      <c r="J9" t="s">
        <v>150</v>
      </c>
      <c r="K9" t="s">
        <v>155</v>
      </c>
      <c r="L9" s="48">
        <v>1688</v>
      </c>
      <c r="M9" s="5">
        <f>L9-G8-E8</f>
        <v>-2</v>
      </c>
      <c r="N9">
        <v>3</v>
      </c>
      <c r="P9" s="33" t="s">
        <v>75</v>
      </c>
      <c r="Q9" s="48">
        <f>首批20个太阳能热发电示范项目!B3+首批20个太阳能热发电示范项目!B4</f>
        <v>150</v>
      </c>
      <c r="R9" s="48">
        <f>首批20个太阳能热发电示范项目!B5+首批20个太阳能热发电示范项目!B7+首批20个太阳能热发电示范项目!B8+首批20个太阳能热发电示范项目!B9</f>
        <v>250</v>
      </c>
      <c r="S9" s="48">
        <f>首批20个太阳能热发电示范项目!B5+首批20个太阳能热发电示范项目!B10</f>
        <v>100</v>
      </c>
      <c r="T9" s="48">
        <v>0</v>
      </c>
      <c r="U9" s="48">
        <f>首批20个太阳能热发电示范项目!B13+首批20个太阳能热发电示范项目!B12+首批20个太阳能热发电示范项目!B17+首批20个太阳能热发电示范项目!B19</f>
        <v>349</v>
      </c>
      <c r="V9" s="48">
        <v>0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</row>
    <row r="10" spans="1:27">
      <c r="A10" s="61"/>
      <c r="B10" s="59"/>
      <c r="C10" s="2" t="s">
        <v>64</v>
      </c>
      <c r="D10" s="31">
        <v>6290</v>
      </c>
      <c r="E10" s="31">
        <v>8110</v>
      </c>
      <c r="F10" s="49">
        <v>7580</v>
      </c>
      <c r="G10" s="50">
        <f t="shared" si="2"/>
        <v>6861.7493419720595</v>
      </c>
      <c r="H10" s="51"/>
      <c r="I10" t="s">
        <v>35</v>
      </c>
      <c r="J10" t="s">
        <v>150</v>
      </c>
      <c r="K10" t="s">
        <v>43</v>
      </c>
      <c r="L10" s="48">
        <v>16113.199999999999</v>
      </c>
      <c r="M10" s="5">
        <f>L10-G9-F9-E9</f>
        <v>-6816.231058918811</v>
      </c>
      <c r="P10" s="33" t="s">
        <v>76</v>
      </c>
      <c r="Q10" s="48">
        <f>D17+D16</f>
        <v>1180</v>
      </c>
      <c r="R10" s="48">
        <f>E17+E16</f>
        <v>2230</v>
      </c>
      <c r="S10" s="48">
        <f>F17+F16</f>
        <v>2120</v>
      </c>
      <c r="T10" s="51">
        <f>G17+G16</f>
        <v>1919.1172302085445</v>
      </c>
      <c r="U10" s="48">
        <v>0</v>
      </c>
      <c r="V10" s="48">
        <v>0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</row>
    <row r="11" spans="1:27">
      <c r="A11" s="61"/>
      <c r="B11" s="59"/>
      <c r="C11" s="2" t="s">
        <v>46</v>
      </c>
      <c r="D11" s="31">
        <v>0</v>
      </c>
      <c r="E11" s="31">
        <v>0</v>
      </c>
      <c r="F11" s="49">
        <v>130</v>
      </c>
      <c r="G11" s="50">
        <f t="shared" si="2"/>
        <v>117.68171694675036</v>
      </c>
      <c r="H11" s="51"/>
      <c r="I11" t="s">
        <v>35</v>
      </c>
      <c r="J11" t="s">
        <v>150</v>
      </c>
      <c r="K11" t="s">
        <v>156</v>
      </c>
      <c r="L11" s="48">
        <v>15978</v>
      </c>
      <c r="M11" s="5">
        <f t="shared" ref="M11:M12" si="3">L11-G10-F10-E10</f>
        <v>-6573.7493419720595</v>
      </c>
      <c r="N11">
        <v>3</v>
      </c>
      <c r="P11" s="33" t="s">
        <v>77</v>
      </c>
      <c r="Q11" s="48">
        <f>D22</f>
        <v>0</v>
      </c>
      <c r="R11" s="48">
        <f>E22</f>
        <v>280</v>
      </c>
      <c r="S11" s="48">
        <f>F22</f>
        <v>620</v>
      </c>
      <c r="T11" s="51">
        <f>G22</f>
        <v>0</v>
      </c>
      <c r="U11" s="48">
        <v>0</v>
      </c>
      <c r="V11" s="48">
        <v>0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</row>
    <row r="12" spans="1:27">
      <c r="A12" s="61"/>
      <c r="B12" s="59" t="s">
        <v>44</v>
      </c>
      <c r="C12" s="59"/>
      <c r="D12" s="31">
        <v>0</v>
      </c>
      <c r="E12" s="31">
        <v>0</v>
      </c>
      <c r="F12" s="49">
        <v>0</v>
      </c>
      <c r="G12" s="50">
        <f t="shared" si="2"/>
        <v>0</v>
      </c>
      <c r="H12" s="51"/>
      <c r="I12" t="s">
        <v>35</v>
      </c>
      <c r="J12" t="s">
        <v>150</v>
      </c>
      <c r="K12" t="s">
        <v>157</v>
      </c>
      <c r="L12" s="48">
        <v>122</v>
      </c>
      <c r="M12" s="5">
        <f t="shared" si="3"/>
        <v>-125.68171694675036</v>
      </c>
      <c r="P12" s="33" t="s">
        <v>78</v>
      </c>
      <c r="Q12" s="48">
        <f>D12*$D$35</f>
        <v>0</v>
      </c>
      <c r="R12" s="48">
        <f>E12</f>
        <v>0</v>
      </c>
      <c r="S12" s="48">
        <f>F12</f>
        <v>0</v>
      </c>
      <c r="T12" s="51">
        <f>G12</f>
        <v>0</v>
      </c>
      <c r="U12" s="48">
        <v>0</v>
      </c>
      <c r="V12" s="48">
        <v>0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</row>
    <row r="13" spans="1:27">
      <c r="A13" s="61"/>
      <c r="B13" s="59" t="s">
        <v>40</v>
      </c>
      <c r="C13" s="2" t="s">
        <v>35</v>
      </c>
      <c r="D13" s="31">
        <v>5570</v>
      </c>
      <c r="E13" s="31">
        <v>8050</v>
      </c>
      <c r="F13" s="49">
        <v>12390</v>
      </c>
      <c r="G13" s="50">
        <f t="shared" si="2"/>
        <v>11215.972869001822</v>
      </c>
      <c r="H13" s="51"/>
      <c r="I13" t="s">
        <v>35</v>
      </c>
      <c r="J13" t="s">
        <v>150</v>
      </c>
      <c r="K13" t="s">
        <v>158</v>
      </c>
      <c r="L13" s="48">
        <v>13.200000000000001</v>
      </c>
      <c r="M13" s="5">
        <f>L13-G17-F17-E17</f>
        <v>3.2000000000000011</v>
      </c>
      <c r="P13" s="33" t="s">
        <v>79</v>
      </c>
      <c r="Q13" s="48">
        <f>D10*0.3</f>
        <v>1887</v>
      </c>
      <c r="R13" s="48">
        <f>E10*0.3</f>
        <v>2433</v>
      </c>
      <c r="S13" s="48">
        <f>F10*0.3</f>
        <v>2274</v>
      </c>
      <c r="T13" s="51">
        <f>G10*0.3</f>
        <v>2058.5248025916176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</row>
    <row r="14" spans="1:27" ht="24">
      <c r="A14" s="61"/>
      <c r="B14" s="59"/>
      <c r="C14" s="2" t="s">
        <v>62</v>
      </c>
      <c r="D14" s="31">
        <v>1660</v>
      </c>
      <c r="E14" s="31">
        <v>2830</v>
      </c>
      <c r="F14" s="49">
        <v>3370</v>
      </c>
      <c r="G14" s="50">
        <f t="shared" si="2"/>
        <v>3050.6722008503743</v>
      </c>
      <c r="H14" s="51"/>
      <c r="I14" t="s">
        <v>35</v>
      </c>
      <c r="J14" t="s">
        <v>150</v>
      </c>
      <c r="K14" t="s">
        <v>44</v>
      </c>
      <c r="L14" s="48">
        <v>0</v>
      </c>
      <c r="M14" s="5">
        <f>L14-G12-F12-E12</f>
        <v>0</v>
      </c>
      <c r="P14" s="33" t="s">
        <v>80</v>
      </c>
      <c r="Q14" s="48">
        <f>D8</f>
        <v>1400</v>
      </c>
      <c r="R14" s="48">
        <f>E8</f>
        <v>1690</v>
      </c>
      <c r="S14" s="48">
        <f>F8</f>
        <v>0</v>
      </c>
      <c r="T14" s="51">
        <f>G8</f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</row>
    <row r="15" spans="1:27">
      <c r="A15" s="61"/>
      <c r="B15" s="59"/>
      <c r="C15" s="2" t="s">
        <v>61</v>
      </c>
      <c r="D15" s="31">
        <v>2730</v>
      </c>
      <c r="E15" s="31">
        <v>3000</v>
      </c>
      <c r="F15" s="49">
        <v>6390</v>
      </c>
      <c r="G15" s="50">
        <f t="shared" si="2"/>
        <v>5784.5090099210365</v>
      </c>
      <c r="H15" s="51"/>
      <c r="I15" t="s">
        <v>35</v>
      </c>
      <c r="J15" t="s">
        <v>150</v>
      </c>
      <c r="K15" t="s">
        <v>40</v>
      </c>
      <c r="L15" s="48">
        <v>8476.6999999999989</v>
      </c>
      <c r="M15" s="5">
        <f>L15-G13-F13-E13</f>
        <v>-23179.272869001823</v>
      </c>
      <c r="P15" s="33" t="s">
        <v>81</v>
      </c>
      <c r="Q15" s="48">
        <f>D48</f>
        <v>1489.9999999999993</v>
      </c>
      <c r="R15" s="48">
        <f t="shared" ref="R15" si="4">E48</f>
        <v>4939.9999999999991</v>
      </c>
      <c r="S15" s="48">
        <f>F48</f>
        <v>15520.000000000002</v>
      </c>
      <c r="T15" s="48">
        <f>G48</f>
        <v>4109.9999999999991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</row>
    <row r="16" spans="1:27" ht="24">
      <c r="A16" s="61"/>
      <c r="B16" s="59"/>
      <c r="C16" s="2" t="s">
        <v>63</v>
      </c>
      <c r="D16" s="31">
        <v>1180</v>
      </c>
      <c r="E16" s="31">
        <v>2220</v>
      </c>
      <c r="F16" s="49">
        <v>2120</v>
      </c>
      <c r="G16" s="50">
        <f t="shared" si="2"/>
        <v>1919.1172302085445</v>
      </c>
      <c r="H16" s="51"/>
      <c r="I16" t="s">
        <v>35</v>
      </c>
      <c r="J16" t="s">
        <v>150</v>
      </c>
      <c r="K16" t="s">
        <v>159</v>
      </c>
      <c r="L16" s="48">
        <v>2833.8999999999996</v>
      </c>
      <c r="M16" s="5">
        <f t="shared" ref="M16:M18" si="5">L16-G14-F14-E14</f>
        <v>-6416.7722008503752</v>
      </c>
      <c r="P16" s="33" t="s">
        <v>82</v>
      </c>
      <c r="Q16" s="48">
        <f>D12*$C$35</f>
        <v>0</v>
      </c>
      <c r="R16" s="48">
        <f>E12</f>
        <v>0</v>
      </c>
      <c r="S16" s="48">
        <f>F12</f>
        <v>0</v>
      </c>
      <c r="T16" s="51">
        <f>G12</f>
        <v>0</v>
      </c>
      <c r="U16" s="48">
        <v>0</v>
      </c>
      <c r="V16" s="48">
        <v>0</v>
      </c>
      <c r="W16" s="48">
        <v>0</v>
      </c>
      <c r="X16" s="48">
        <v>0</v>
      </c>
      <c r="Y16" s="48">
        <v>0</v>
      </c>
      <c r="Z16" s="48">
        <v>0</v>
      </c>
      <c r="AA16" s="48">
        <v>0</v>
      </c>
    </row>
    <row r="17" spans="1:27">
      <c r="A17" s="61"/>
      <c r="B17" s="59"/>
      <c r="C17" s="2" t="s">
        <v>47</v>
      </c>
      <c r="D17" s="31">
        <v>0</v>
      </c>
      <c r="E17" s="31">
        <v>10</v>
      </c>
      <c r="F17" s="49">
        <v>0</v>
      </c>
      <c r="G17" s="50">
        <f t="shared" si="2"/>
        <v>0</v>
      </c>
      <c r="H17" s="51"/>
      <c r="I17" t="s">
        <v>35</v>
      </c>
      <c r="J17" t="s">
        <v>150</v>
      </c>
      <c r="K17" t="s">
        <v>160</v>
      </c>
      <c r="L17" s="48">
        <v>3321.3</v>
      </c>
      <c r="M17" s="5">
        <f t="shared" si="5"/>
        <v>-11853.209009921036</v>
      </c>
      <c r="P17" s="33" t="s">
        <v>83</v>
      </c>
      <c r="Q17" s="48">
        <f>D12*$E$35</f>
        <v>0</v>
      </c>
      <c r="R17" s="48">
        <f>E12</f>
        <v>0</v>
      </c>
      <c r="S17" s="48">
        <f>F12</f>
        <v>0</v>
      </c>
      <c r="T17" s="51">
        <f>G12</f>
        <v>0</v>
      </c>
      <c r="U17" s="48">
        <v>0</v>
      </c>
      <c r="V17" s="48">
        <v>0</v>
      </c>
      <c r="W17" s="48">
        <v>0</v>
      </c>
      <c r="X17" s="48">
        <v>0</v>
      </c>
      <c r="Y17" s="48">
        <v>0</v>
      </c>
      <c r="Z17" s="48">
        <v>0</v>
      </c>
      <c r="AA17" s="48">
        <v>0</v>
      </c>
    </row>
    <row r="18" spans="1:27">
      <c r="A18" s="61"/>
      <c r="B18" s="59"/>
      <c r="C18" s="2" t="s">
        <v>48</v>
      </c>
      <c r="D18" s="31">
        <v>0</v>
      </c>
      <c r="E18" s="31">
        <v>0</v>
      </c>
      <c r="F18" s="49">
        <v>0</v>
      </c>
      <c r="G18" s="50">
        <f t="shared" si="2"/>
        <v>0</v>
      </c>
      <c r="H18" s="51"/>
      <c r="I18" t="s">
        <v>35</v>
      </c>
      <c r="J18" t="s">
        <v>150</v>
      </c>
      <c r="K18" t="s">
        <v>161</v>
      </c>
      <c r="L18" s="48">
        <v>2296.5</v>
      </c>
      <c r="M18" s="5">
        <f t="shared" si="5"/>
        <v>-3962.6172302085442</v>
      </c>
      <c r="P18" s="33" t="s">
        <v>84</v>
      </c>
      <c r="Q18" s="48">
        <f>D15</f>
        <v>2730</v>
      </c>
      <c r="R18" s="48">
        <f>E15</f>
        <v>3000</v>
      </c>
      <c r="S18" s="48">
        <f>F15</f>
        <v>6390</v>
      </c>
      <c r="T18" s="51">
        <f>G15</f>
        <v>5784.5090099210365</v>
      </c>
      <c r="U18" s="48">
        <v>0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</row>
    <row r="19" spans="1:27">
      <c r="A19" s="59" t="s">
        <v>38</v>
      </c>
      <c r="B19" s="59"/>
      <c r="C19" s="59"/>
      <c r="D19" s="31">
        <v>4090</v>
      </c>
      <c r="E19" s="31">
        <v>1120</v>
      </c>
      <c r="F19" s="49">
        <v>3400</v>
      </c>
      <c r="G19" s="49">
        <f>55530/104.3*4.3</f>
        <v>2289.34803451582</v>
      </c>
      <c r="H19" s="48"/>
      <c r="I19" t="s">
        <v>35</v>
      </c>
      <c r="J19" t="s">
        <v>150</v>
      </c>
      <c r="K19" t="s">
        <v>162</v>
      </c>
      <c r="L19" s="48">
        <v>16592.8</v>
      </c>
      <c r="M19" s="5">
        <f>L19-G19-F19-E19</f>
        <v>9783.4519654841788</v>
      </c>
      <c r="N19">
        <v>9</v>
      </c>
    </row>
    <row r="20" spans="1:27">
      <c r="A20" s="59" t="s">
        <v>39</v>
      </c>
      <c r="B20" s="59"/>
      <c r="C20" s="59"/>
      <c r="D20" s="31">
        <v>25720</v>
      </c>
      <c r="E20" s="31">
        <v>72110</v>
      </c>
      <c r="F20" s="49">
        <v>47570</v>
      </c>
      <c r="G20" s="49">
        <v>37630</v>
      </c>
      <c r="H20" s="48"/>
      <c r="I20" t="s">
        <v>35</v>
      </c>
      <c r="J20" t="s">
        <v>150</v>
      </c>
      <c r="K20" t="s">
        <v>163</v>
      </c>
      <c r="L20" s="48">
        <v>95240.200000000012</v>
      </c>
      <c r="M20" s="5">
        <f t="shared" ref="M20:M22" si="6">L20-G20-F20-E20</f>
        <v>-62069.799999999988</v>
      </c>
      <c r="N20">
        <v>1</v>
      </c>
    </row>
    <row r="21" spans="1:27">
      <c r="A21" s="65" t="s">
        <v>1</v>
      </c>
      <c r="B21" s="65"/>
      <c r="C21" s="65"/>
      <c r="D21" s="31">
        <v>26520</v>
      </c>
      <c r="E21" s="31">
        <v>48200</v>
      </c>
      <c r="F21" s="49">
        <v>54540</v>
      </c>
      <c r="G21" s="49">
        <v>87410</v>
      </c>
      <c r="H21" s="48"/>
      <c r="I21" t="s">
        <v>35</v>
      </c>
      <c r="J21" t="s">
        <v>150</v>
      </c>
      <c r="K21" t="s">
        <v>164</v>
      </c>
      <c r="L21" s="48">
        <v>54813.3</v>
      </c>
      <c r="M21" s="5">
        <f t="shared" si="6"/>
        <v>-135336.70000000001</v>
      </c>
      <c r="N21">
        <v>1</v>
      </c>
    </row>
    <row r="22" spans="1:27">
      <c r="A22" s="59" t="s">
        <v>40</v>
      </c>
      <c r="B22" s="59"/>
      <c r="C22" s="59"/>
      <c r="D22" s="1">
        <v>0</v>
      </c>
      <c r="E22" s="1">
        <v>280</v>
      </c>
      <c r="F22" s="6">
        <v>620</v>
      </c>
      <c r="G22" s="6"/>
      <c r="I22" t="s">
        <v>35</v>
      </c>
      <c r="J22" t="s">
        <v>150</v>
      </c>
      <c r="K22" t="s">
        <v>165</v>
      </c>
      <c r="L22" s="48">
        <v>280</v>
      </c>
      <c r="M22" s="5">
        <f t="shared" si="6"/>
        <v>-620</v>
      </c>
    </row>
    <row r="23" spans="1:27">
      <c r="I23" t="s">
        <v>35</v>
      </c>
      <c r="J23" t="s">
        <v>150</v>
      </c>
      <c r="K23" t="s">
        <v>166</v>
      </c>
      <c r="L23" s="48">
        <v>0</v>
      </c>
      <c r="M23" s="5"/>
    </row>
    <row r="24" spans="1:27">
      <c r="I24" t="s">
        <v>35</v>
      </c>
      <c r="J24" t="s">
        <v>150</v>
      </c>
      <c r="K24" t="s">
        <v>167</v>
      </c>
      <c r="L24" s="48">
        <v>0</v>
      </c>
      <c r="M24" s="5"/>
    </row>
    <row r="25" spans="1:27">
      <c r="I25" t="s">
        <v>35</v>
      </c>
      <c r="J25" t="s">
        <v>150</v>
      </c>
      <c r="K25" t="s">
        <v>40</v>
      </c>
      <c r="L25" s="48">
        <v>280</v>
      </c>
      <c r="M25" s="5"/>
    </row>
    <row r="26" spans="1:27">
      <c r="B26">
        <v>2017</v>
      </c>
      <c r="C26">
        <v>2018</v>
      </c>
      <c r="D26">
        <v>2019</v>
      </c>
      <c r="E26">
        <v>2020</v>
      </c>
      <c r="F26">
        <v>2021</v>
      </c>
    </row>
    <row r="27" spans="1:27">
      <c r="B27" t="s">
        <v>85</v>
      </c>
      <c r="C27" t="s">
        <v>85</v>
      </c>
      <c r="D27" t="s">
        <v>85</v>
      </c>
      <c r="E27" t="s">
        <v>85</v>
      </c>
      <c r="F27" t="s">
        <v>85</v>
      </c>
    </row>
    <row r="28" spans="1:27">
      <c r="B28">
        <v>9384</v>
      </c>
      <c r="C28">
        <v>12406</v>
      </c>
      <c r="D28">
        <v>14167</v>
      </c>
      <c r="E28">
        <v>17287.87</v>
      </c>
      <c r="F28">
        <v>19847.939999999999</v>
      </c>
      <c r="G28">
        <v>23442</v>
      </c>
    </row>
    <row r="29" spans="1:27">
      <c r="B29">
        <v>2017</v>
      </c>
      <c r="C29">
        <v>2018</v>
      </c>
      <c r="D29">
        <v>2019</v>
      </c>
      <c r="E29">
        <v>2020</v>
      </c>
      <c r="F29">
        <v>2021</v>
      </c>
    </row>
    <row r="30" spans="1:27">
      <c r="B30" t="s">
        <v>86</v>
      </c>
      <c r="C30" t="s">
        <v>86</v>
      </c>
      <c r="D30" t="s">
        <v>86</v>
      </c>
      <c r="E30" t="s">
        <v>86</v>
      </c>
      <c r="F30" t="s">
        <v>86</v>
      </c>
    </row>
    <row r="31" spans="1:27">
      <c r="B31">
        <v>3658</v>
      </c>
      <c r="C31">
        <v>5027</v>
      </c>
      <c r="D31">
        <v>6263</v>
      </c>
      <c r="E31">
        <v>7822.9</v>
      </c>
      <c r="F31">
        <v>10750.8</v>
      </c>
      <c r="G31">
        <v>15762</v>
      </c>
    </row>
    <row r="34" spans="1:7">
      <c r="C34" t="s">
        <v>87</v>
      </c>
      <c r="D34" t="s">
        <v>88</v>
      </c>
      <c r="E34" t="s">
        <v>89</v>
      </c>
    </row>
    <row r="35" spans="1:7">
      <c r="B35" t="s">
        <v>90</v>
      </c>
      <c r="C35" s="34">
        <v>5.2028721737791911E-2</v>
      </c>
      <c r="D35" s="34">
        <v>0.22804896820869439</v>
      </c>
      <c r="E35" s="34">
        <v>0.7199223100535137</v>
      </c>
    </row>
    <row r="36" spans="1:7">
      <c r="B36">
        <v>2020</v>
      </c>
      <c r="C36">
        <v>23.64</v>
      </c>
      <c r="D36">
        <v>40.19</v>
      </c>
      <c r="E36">
        <v>251.76</v>
      </c>
    </row>
    <row r="37" spans="1:7">
      <c r="B37">
        <v>2019</v>
      </c>
      <c r="C37">
        <v>0</v>
      </c>
      <c r="D37">
        <v>252.45</v>
      </c>
      <c r="E37">
        <v>351.85999999999996</v>
      </c>
    </row>
    <row r="38" spans="1:7">
      <c r="B38">
        <v>2018</v>
      </c>
      <c r="C38">
        <v>21.86</v>
      </c>
      <c r="D38">
        <v>47</v>
      </c>
      <c r="E38">
        <v>218</v>
      </c>
    </row>
    <row r="39" spans="1:7">
      <c r="B39">
        <v>2017</v>
      </c>
      <c r="C39">
        <v>20.28</v>
      </c>
      <c r="D39">
        <v>50.959999999999994</v>
      </c>
      <c r="E39">
        <v>179.61</v>
      </c>
    </row>
    <row r="40" spans="1:7">
      <c r="B40">
        <v>2016</v>
      </c>
      <c r="C40">
        <v>18.670000000000002</v>
      </c>
      <c r="D40">
        <v>42.57</v>
      </c>
      <c r="E40">
        <v>207.59</v>
      </c>
    </row>
    <row r="41" spans="1:7">
      <c r="B41">
        <v>2015</v>
      </c>
      <c r="C41">
        <v>17.8</v>
      </c>
      <c r="D41">
        <v>32.83</v>
      </c>
      <c r="E41">
        <v>204.52</v>
      </c>
    </row>
    <row r="42" spans="1:7">
      <c r="B42">
        <v>2014</v>
      </c>
      <c r="C42">
        <v>12.67</v>
      </c>
      <c r="D42">
        <v>37.71</v>
      </c>
      <c r="E42">
        <v>176.81</v>
      </c>
    </row>
    <row r="45" spans="1:7">
      <c r="B45" s="12" t="s">
        <v>168</v>
      </c>
    </row>
    <row r="46" spans="1:7">
      <c r="A46">
        <v>2016</v>
      </c>
      <c r="B46">
        <v>2017</v>
      </c>
      <c r="C46">
        <v>2018</v>
      </c>
      <c r="D46">
        <v>2019</v>
      </c>
      <c r="E46">
        <v>2020</v>
      </c>
      <c r="F46">
        <v>2021</v>
      </c>
      <c r="G46">
        <v>2022</v>
      </c>
    </row>
    <row r="47" spans="1:7">
      <c r="A47">
        <v>1.63</v>
      </c>
      <c r="B47">
        <v>2.79</v>
      </c>
      <c r="C47">
        <v>4.4400000000000004</v>
      </c>
      <c r="D47">
        <v>5.93</v>
      </c>
      <c r="E47">
        <v>10.87</v>
      </c>
      <c r="F47">
        <v>26.39</v>
      </c>
      <c r="G47">
        <v>30.5</v>
      </c>
    </row>
    <row r="48" spans="1:7">
      <c r="B48">
        <f>(B47-A47)*1000</f>
        <v>1160.0000000000002</v>
      </c>
      <c r="C48">
        <f t="shared" ref="B48:E48" si="7">(C47-B47)*1000</f>
        <v>1650.0000000000005</v>
      </c>
      <c r="D48">
        <f t="shared" si="7"/>
        <v>1489.9999999999993</v>
      </c>
      <c r="E48">
        <f t="shared" si="7"/>
        <v>4939.9999999999991</v>
      </c>
      <c r="F48">
        <f>(F47-E47)*1000</f>
        <v>15520.000000000002</v>
      </c>
      <c r="G48">
        <f>(G47-F47)*1000</f>
        <v>4109.9999999999991</v>
      </c>
    </row>
  </sheetData>
  <mergeCells count="15">
    <mergeCell ref="B13:B18"/>
    <mergeCell ref="A19:C19"/>
    <mergeCell ref="A20:C20"/>
    <mergeCell ref="A21:C21"/>
    <mergeCell ref="A22:C22"/>
    <mergeCell ref="A5:A18"/>
    <mergeCell ref="B5:C5"/>
    <mergeCell ref="B6:B8"/>
    <mergeCell ref="B9:B11"/>
    <mergeCell ref="B12:C12"/>
    <mergeCell ref="A1:C1"/>
    <mergeCell ref="A2:C2"/>
    <mergeCell ref="A3:A4"/>
    <mergeCell ref="B3:C3"/>
    <mergeCell ref="B4:C4"/>
  </mergeCells>
  <phoneticPr fontId="2" type="noConversion"/>
  <conditionalFormatting sqref="L1:L25 N1:O1">
    <cfRule type="containsText" dxfId="1" priority="6" operator="containsText" text=", ">
      <formula>NOT(ISERROR(SEARCH(", ",L1)))</formula>
    </cfRule>
  </conditionalFormatting>
  <conditionalFormatting sqref="L1:L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:O1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1:M104857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D6A2-DA6E-4C3E-9B9A-3BD03CBCE94C}">
  <dimension ref="A1:AQ17"/>
  <sheetViews>
    <sheetView workbookViewId="0">
      <selection activeCell="B13" sqref="B13"/>
    </sheetView>
  </sheetViews>
  <sheetFormatPr defaultRowHeight="12.75"/>
  <cols>
    <col min="1" max="1" width="28" bestFit="1" customWidth="1"/>
  </cols>
  <sheetData>
    <row r="1" spans="1:43">
      <c r="A1" t="s">
        <v>172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s="33" t="s">
        <v>69</v>
      </c>
      <c r="B2" s="48">
        <f>Addition!Q3</f>
        <v>30960</v>
      </c>
      <c r="C2" s="48">
        <f>Addition!R3</f>
        <v>38610</v>
      </c>
      <c r="D2" s="48">
        <f>Addition!S3</f>
        <v>29370</v>
      </c>
      <c r="E2" s="48">
        <f>Addition!T3</f>
        <v>26587.015590200444</v>
      </c>
      <c r="F2" s="48">
        <f>Addition!U3</f>
        <v>0</v>
      </c>
      <c r="G2" s="48">
        <f>Addition!V3</f>
        <v>0</v>
      </c>
      <c r="H2" s="48">
        <f>Addition!W3</f>
        <v>0</v>
      </c>
      <c r="I2" s="48">
        <f>Addition!X3</f>
        <v>0</v>
      </c>
      <c r="J2" s="48">
        <f>Addition!Y3</f>
        <v>0</v>
      </c>
      <c r="K2" s="48">
        <f>Addition!Z3</f>
        <v>0</v>
      </c>
      <c r="L2" s="48">
        <f>Addition!AA3</f>
        <v>0</v>
      </c>
      <c r="M2" s="48">
        <f>Addition!AB3</f>
        <v>0</v>
      </c>
      <c r="N2" s="48">
        <f>Addition!AC3</f>
        <v>0</v>
      </c>
      <c r="O2" s="48">
        <f>Addition!AD3</f>
        <v>0</v>
      </c>
      <c r="P2" s="48">
        <f>Addition!AE3</f>
        <v>0</v>
      </c>
      <c r="Q2" s="48">
        <f>Addition!AF3</f>
        <v>0</v>
      </c>
      <c r="R2" s="48">
        <f>Addition!AG3</f>
        <v>0</v>
      </c>
      <c r="S2" s="48">
        <f>Addition!AH3</f>
        <v>0</v>
      </c>
      <c r="T2" s="48">
        <f>Addition!AI3</f>
        <v>0</v>
      </c>
      <c r="U2" s="48">
        <f>Addition!AJ3</f>
        <v>0</v>
      </c>
      <c r="V2" s="48">
        <f>Addition!AK3</f>
        <v>0</v>
      </c>
      <c r="W2" s="48">
        <f>Addition!AL3</f>
        <v>0</v>
      </c>
      <c r="X2" s="48">
        <f>Addition!AM3</f>
        <v>0</v>
      </c>
      <c r="Y2" s="48">
        <f>Addition!AN3</f>
        <v>0</v>
      </c>
      <c r="Z2" s="48">
        <f>Addition!AO3</f>
        <v>0</v>
      </c>
      <c r="AA2" s="48">
        <f>Addition!AP3</f>
        <v>0</v>
      </c>
      <c r="AB2" s="48">
        <f>Addition!AQ3</f>
        <v>0</v>
      </c>
      <c r="AC2" s="48">
        <f>Addition!AR3</f>
        <v>0</v>
      </c>
      <c r="AD2" s="48">
        <f>Addition!AS3</f>
        <v>0</v>
      </c>
      <c r="AE2" s="48">
        <f>Addition!AT3</f>
        <v>0</v>
      </c>
      <c r="AF2" s="48">
        <f>Addition!AU3</f>
        <v>0</v>
      </c>
      <c r="AG2" s="48">
        <f>Addition!AV3</f>
        <v>0</v>
      </c>
      <c r="AH2" s="48">
        <f>Addition!AW3</f>
        <v>0</v>
      </c>
      <c r="AI2" s="48">
        <f>Addition!AX3</f>
        <v>0</v>
      </c>
      <c r="AJ2" s="48">
        <f>Addition!AY3</f>
        <v>0</v>
      </c>
      <c r="AK2" s="48">
        <f>Addition!AZ3</f>
        <v>0</v>
      </c>
      <c r="AL2" s="48">
        <f>Addition!BA3</f>
        <v>0</v>
      </c>
      <c r="AM2" s="48">
        <f>Addition!BB3</f>
        <v>0</v>
      </c>
      <c r="AN2" s="48">
        <f>Addition!BC3</f>
        <v>0</v>
      </c>
      <c r="AO2" s="48">
        <f>Addition!BD3</f>
        <v>0</v>
      </c>
      <c r="AP2" s="48">
        <f>Addition!BE3</f>
        <v>0</v>
      </c>
      <c r="AQ2" s="48">
        <f>Addition!BF3</f>
        <v>0</v>
      </c>
    </row>
    <row r="3" spans="1:43">
      <c r="A3" s="33" t="s">
        <v>70</v>
      </c>
      <c r="B3" s="48">
        <f>Addition!Q4</f>
        <v>4403</v>
      </c>
      <c r="C3" s="48">
        <f>Addition!R4</f>
        <v>5677</v>
      </c>
      <c r="D3" s="48">
        <f>Addition!S4</f>
        <v>5306</v>
      </c>
      <c r="E3" s="48">
        <f>Addition!T4</f>
        <v>4803.2245393804415</v>
      </c>
      <c r="F3" s="48">
        <f>Addition!U4</f>
        <v>0</v>
      </c>
      <c r="G3" s="48">
        <f>Addition!V4</f>
        <v>0</v>
      </c>
      <c r="H3" s="48">
        <f>Addition!W4</f>
        <v>0</v>
      </c>
      <c r="I3" s="48">
        <f>Addition!X4</f>
        <v>0</v>
      </c>
      <c r="J3" s="48">
        <f>Addition!Y4</f>
        <v>0</v>
      </c>
      <c r="K3" s="48">
        <f>Addition!Z4</f>
        <v>0</v>
      </c>
      <c r="L3" s="48">
        <f>Addition!AA4</f>
        <v>0</v>
      </c>
      <c r="M3" s="48">
        <f>Addition!AB4</f>
        <v>0</v>
      </c>
      <c r="N3" s="48">
        <f>Addition!AC4</f>
        <v>0</v>
      </c>
      <c r="O3" s="48">
        <f>Addition!AD4</f>
        <v>0</v>
      </c>
      <c r="P3" s="48">
        <f>Addition!AE4</f>
        <v>0</v>
      </c>
      <c r="Q3" s="48">
        <f>Addition!AF4</f>
        <v>0</v>
      </c>
      <c r="R3" s="48">
        <f>Addition!AG4</f>
        <v>0</v>
      </c>
      <c r="S3" s="48">
        <f>Addition!AH4</f>
        <v>0</v>
      </c>
      <c r="T3" s="48">
        <f>Addition!AI4</f>
        <v>0</v>
      </c>
      <c r="U3" s="48">
        <f>Addition!AJ4</f>
        <v>0</v>
      </c>
      <c r="V3" s="48">
        <f>Addition!AK4</f>
        <v>0</v>
      </c>
      <c r="W3" s="48">
        <f>Addition!AL4</f>
        <v>0</v>
      </c>
      <c r="X3" s="48">
        <f>Addition!AM4</f>
        <v>0</v>
      </c>
      <c r="Y3" s="48">
        <f>Addition!AN4</f>
        <v>0</v>
      </c>
      <c r="Z3" s="48">
        <f>Addition!AO4</f>
        <v>0</v>
      </c>
      <c r="AA3" s="48">
        <f>Addition!AP4</f>
        <v>0</v>
      </c>
      <c r="AB3" s="48">
        <f>Addition!AQ4</f>
        <v>0</v>
      </c>
      <c r="AC3" s="48">
        <f>Addition!AR4</f>
        <v>0</v>
      </c>
      <c r="AD3" s="48">
        <f>Addition!AS4</f>
        <v>0</v>
      </c>
      <c r="AE3" s="48">
        <f>Addition!AT4</f>
        <v>0</v>
      </c>
      <c r="AF3" s="48">
        <f>Addition!AU4</f>
        <v>0</v>
      </c>
      <c r="AG3" s="48">
        <f>Addition!AV4</f>
        <v>0</v>
      </c>
      <c r="AH3" s="48">
        <f>Addition!AW4</f>
        <v>0</v>
      </c>
      <c r="AI3" s="48">
        <f>Addition!AX4</f>
        <v>0</v>
      </c>
      <c r="AJ3" s="48">
        <f>Addition!AY4</f>
        <v>0</v>
      </c>
      <c r="AK3" s="48">
        <f>Addition!AZ4</f>
        <v>0</v>
      </c>
      <c r="AL3" s="48">
        <f>Addition!BA4</f>
        <v>0</v>
      </c>
      <c r="AM3" s="48">
        <f>Addition!BB4</f>
        <v>0</v>
      </c>
      <c r="AN3" s="48">
        <f>Addition!BC4</f>
        <v>0</v>
      </c>
      <c r="AO3" s="48">
        <f>Addition!BD4</f>
        <v>0</v>
      </c>
      <c r="AP3" s="48">
        <f>Addition!BE4</f>
        <v>0</v>
      </c>
      <c r="AQ3" s="48">
        <f>Addition!BF4</f>
        <v>0</v>
      </c>
    </row>
    <row r="4" spans="1:43">
      <c r="A4" s="33" t="s">
        <v>71</v>
      </c>
      <c r="B4" s="48">
        <f>Addition!Q5</f>
        <v>4090</v>
      </c>
      <c r="C4" s="48">
        <f>Addition!R5</f>
        <v>1120</v>
      </c>
      <c r="D4" s="48">
        <f>Addition!S5</f>
        <v>3400</v>
      </c>
      <c r="E4" s="48">
        <f>Addition!T5</f>
        <v>2289.34803451582</v>
      </c>
      <c r="F4" s="48">
        <f>Addition!U5</f>
        <v>1630.5753275806965</v>
      </c>
      <c r="G4" s="48">
        <f>Addition!V5</f>
        <v>1630.5753275806965</v>
      </c>
      <c r="H4" s="48">
        <f>Addition!W5</f>
        <v>1630.5753275806965</v>
      </c>
      <c r="I4" s="48">
        <f>Addition!X5</f>
        <v>1630.5753275806965</v>
      </c>
      <c r="J4" s="48">
        <f>Addition!Y5</f>
        <v>1630.5753275806965</v>
      </c>
      <c r="K4" s="48">
        <f>Addition!Z5</f>
        <v>1630.5753275806965</v>
      </c>
      <c r="L4" s="48">
        <f>Addition!AA5</f>
        <v>0</v>
      </c>
      <c r="M4" s="48">
        <f>Addition!AB5</f>
        <v>0</v>
      </c>
      <c r="N4" s="48">
        <f>Addition!AC5</f>
        <v>0</v>
      </c>
      <c r="O4" s="48">
        <f>Addition!AD5</f>
        <v>0</v>
      </c>
      <c r="P4" s="48">
        <f>Addition!AE5</f>
        <v>0</v>
      </c>
      <c r="Q4" s="48">
        <f>Addition!AF5</f>
        <v>0</v>
      </c>
      <c r="R4" s="48">
        <f>Addition!AG5</f>
        <v>0</v>
      </c>
      <c r="S4" s="48">
        <f>Addition!AH5</f>
        <v>0</v>
      </c>
      <c r="T4" s="48">
        <f>Addition!AI5</f>
        <v>0</v>
      </c>
      <c r="U4" s="48">
        <f>Addition!AJ5</f>
        <v>0</v>
      </c>
      <c r="V4" s="48">
        <f>Addition!AK5</f>
        <v>0</v>
      </c>
      <c r="W4" s="48">
        <f>Addition!AL5</f>
        <v>0</v>
      </c>
      <c r="X4" s="48">
        <f>Addition!AM5</f>
        <v>0</v>
      </c>
      <c r="Y4" s="48">
        <f>Addition!AN5</f>
        <v>0</v>
      </c>
      <c r="Z4" s="48">
        <f>Addition!AO5</f>
        <v>0</v>
      </c>
      <c r="AA4" s="48">
        <f>Addition!AP5</f>
        <v>0</v>
      </c>
      <c r="AB4" s="48">
        <f>Addition!AQ5</f>
        <v>0</v>
      </c>
      <c r="AC4" s="48">
        <f>Addition!AR5</f>
        <v>0</v>
      </c>
      <c r="AD4" s="48">
        <f>Addition!AS5</f>
        <v>0</v>
      </c>
      <c r="AE4" s="48">
        <f>Addition!AT5</f>
        <v>0</v>
      </c>
      <c r="AF4" s="48">
        <f>Addition!AU5</f>
        <v>0</v>
      </c>
      <c r="AG4" s="48">
        <f>Addition!AV5</f>
        <v>0</v>
      </c>
      <c r="AH4" s="48">
        <f>Addition!AW5</f>
        <v>0</v>
      </c>
      <c r="AI4" s="48">
        <f>Addition!AX5</f>
        <v>0</v>
      </c>
      <c r="AJ4" s="48">
        <f>Addition!AY5</f>
        <v>0</v>
      </c>
      <c r="AK4" s="48">
        <f>Addition!AZ5</f>
        <v>0</v>
      </c>
      <c r="AL4" s="48">
        <f>Addition!BA5</f>
        <v>0</v>
      </c>
      <c r="AM4" s="48">
        <f>Addition!BB5</f>
        <v>0</v>
      </c>
      <c r="AN4" s="48">
        <f>Addition!BC5</f>
        <v>0</v>
      </c>
      <c r="AO4" s="48">
        <f>Addition!BD5</f>
        <v>0</v>
      </c>
      <c r="AP4" s="48">
        <f>Addition!BE5</f>
        <v>0</v>
      </c>
      <c r="AQ4" s="48">
        <f>Addition!BF5</f>
        <v>0</v>
      </c>
    </row>
    <row r="5" spans="1:43">
      <c r="A5" s="33" t="s">
        <v>72</v>
      </c>
      <c r="B5" s="48">
        <f>Addition!Q6</f>
        <v>4150</v>
      </c>
      <c r="C5" s="48">
        <f>Addition!R6</f>
        <v>11930</v>
      </c>
      <c r="D5" s="48">
        <f>Addition!S6</f>
        <v>18290</v>
      </c>
      <c r="E5" s="48">
        <f>Addition!T6</f>
        <v>15870</v>
      </c>
      <c r="F5" s="48">
        <f>Addition!U6</f>
        <v>739.32499999999891</v>
      </c>
      <c r="G5" s="48">
        <f>Addition!V6</f>
        <v>739.32499999999891</v>
      </c>
      <c r="H5" s="48">
        <f>Addition!W6</f>
        <v>739.32499999999891</v>
      </c>
      <c r="I5" s="48">
        <f>Addition!X6</f>
        <v>739.32499999999891</v>
      </c>
      <c r="J5" s="48">
        <f>Addition!Y6</f>
        <v>0</v>
      </c>
      <c r="K5" s="48">
        <f>Addition!Z6</f>
        <v>0</v>
      </c>
      <c r="L5" s="48">
        <f>Addition!AA6</f>
        <v>0</v>
      </c>
      <c r="M5" s="48">
        <f>Addition!AB6</f>
        <v>0</v>
      </c>
      <c r="N5" s="48">
        <f>Addition!AC6</f>
        <v>0</v>
      </c>
      <c r="O5" s="48">
        <f>Addition!AD6</f>
        <v>0</v>
      </c>
      <c r="P5" s="48">
        <f>Addition!AE6</f>
        <v>0</v>
      </c>
      <c r="Q5" s="48">
        <f>Addition!AF6</f>
        <v>0</v>
      </c>
      <c r="R5" s="48">
        <f>Addition!AG6</f>
        <v>0</v>
      </c>
      <c r="S5" s="48">
        <f>Addition!AH6</f>
        <v>0</v>
      </c>
      <c r="T5" s="48">
        <f>Addition!AI6</f>
        <v>0</v>
      </c>
      <c r="U5" s="48">
        <f>Addition!AJ6</f>
        <v>0</v>
      </c>
      <c r="V5" s="48">
        <f>Addition!AK6</f>
        <v>0</v>
      </c>
      <c r="W5" s="48">
        <f>Addition!AL6</f>
        <v>0</v>
      </c>
      <c r="X5" s="48">
        <f>Addition!AM6</f>
        <v>0</v>
      </c>
      <c r="Y5" s="48">
        <f>Addition!AN6</f>
        <v>0</v>
      </c>
      <c r="Z5" s="48">
        <f>Addition!AO6</f>
        <v>0</v>
      </c>
      <c r="AA5" s="48">
        <f>Addition!AP6</f>
        <v>0</v>
      </c>
      <c r="AB5" s="48">
        <f>Addition!AQ6</f>
        <v>0</v>
      </c>
      <c r="AC5" s="48">
        <f>Addition!AR6</f>
        <v>0</v>
      </c>
      <c r="AD5" s="48">
        <f>Addition!AS6</f>
        <v>0</v>
      </c>
      <c r="AE5" s="48">
        <f>Addition!AT6</f>
        <v>0</v>
      </c>
      <c r="AF5" s="48">
        <f>Addition!AU6</f>
        <v>0</v>
      </c>
      <c r="AG5" s="48">
        <f>Addition!AV6</f>
        <v>0</v>
      </c>
      <c r="AH5" s="48">
        <f>Addition!AW6</f>
        <v>0</v>
      </c>
      <c r="AI5" s="48">
        <f>Addition!AX6</f>
        <v>0</v>
      </c>
      <c r="AJ5" s="48">
        <f>Addition!AY6</f>
        <v>0</v>
      </c>
      <c r="AK5" s="48">
        <f>Addition!AZ6</f>
        <v>0</v>
      </c>
      <c r="AL5" s="48">
        <f>Addition!BA6</f>
        <v>0</v>
      </c>
      <c r="AM5" s="48">
        <f>Addition!BB6</f>
        <v>0</v>
      </c>
      <c r="AN5" s="48">
        <f>Addition!BC6</f>
        <v>0</v>
      </c>
      <c r="AO5" s="48">
        <f>Addition!BD6</f>
        <v>0</v>
      </c>
      <c r="AP5" s="48">
        <f>Addition!BE6</f>
        <v>0</v>
      </c>
      <c r="AQ5" s="48">
        <f>Addition!BF6</f>
        <v>0</v>
      </c>
    </row>
    <row r="6" spans="1:43">
      <c r="A6" s="33" t="s">
        <v>73</v>
      </c>
      <c r="B6" s="48">
        <f>Addition!Q7</f>
        <v>24230</v>
      </c>
      <c r="C6" s="48">
        <f>Addition!R7</f>
        <v>67170</v>
      </c>
      <c r="D6" s="48">
        <f>Addition!S7</f>
        <v>32050</v>
      </c>
      <c r="E6" s="48">
        <f>Addition!T7</f>
        <v>33520</v>
      </c>
      <c r="F6" s="48">
        <f>Addition!U7</f>
        <v>0</v>
      </c>
      <c r="G6" s="48">
        <f>Addition!V7</f>
        <v>0</v>
      </c>
      <c r="H6" s="48">
        <f>Addition!W7</f>
        <v>0</v>
      </c>
      <c r="I6" s="48">
        <f>Addition!X7</f>
        <v>0</v>
      </c>
      <c r="J6" s="48">
        <f>Addition!Y7</f>
        <v>0</v>
      </c>
      <c r="K6" s="48">
        <f>Addition!Z7</f>
        <v>0</v>
      </c>
      <c r="L6" s="48">
        <f>Addition!AA7</f>
        <v>0</v>
      </c>
      <c r="M6" s="48">
        <f>Addition!AB7</f>
        <v>0</v>
      </c>
      <c r="N6" s="48">
        <f>Addition!AC7</f>
        <v>0</v>
      </c>
      <c r="O6" s="48">
        <f>Addition!AD7</f>
        <v>0</v>
      </c>
      <c r="P6" s="48">
        <f>Addition!AE7</f>
        <v>0</v>
      </c>
      <c r="Q6" s="48">
        <f>Addition!AF7</f>
        <v>0</v>
      </c>
      <c r="R6" s="48">
        <f>Addition!AG7</f>
        <v>0</v>
      </c>
      <c r="S6" s="48">
        <f>Addition!AH7</f>
        <v>0</v>
      </c>
      <c r="T6" s="48">
        <f>Addition!AI7</f>
        <v>0</v>
      </c>
      <c r="U6" s="48">
        <f>Addition!AJ7</f>
        <v>0</v>
      </c>
      <c r="V6" s="48">
        <f>Addition!AK7</f>
        <v>0</v>
      </c>
      <c r="W6" s="48">
        <f>Addition!AL7</f>
        <v>0</v>
      </c>
      <c r="X6" s="48">
        <f>Addition!AM7</f>
        <v>0</v>
      </c>
      <c r="Y6" s="48">
        <f>Addition!AN7</f>
        <v>0</v>
      </c>
      <c r="Z6" s="48">
        <f>Addition!AO7</f>
        <v>0</v>
      </c>
      <c r="AA6" s="48">
        <f>Addition!AP7</f>
        <v>0</v>
      </c>
      <c r="AB6" s="48">
        <f>Addition!AQ7</f>
        <v>0</v>
      </c>
      <c r="AC6" s="48">
        <f>Addition!AR7</f>
        <v>0</v>
      </c>
      <c r="AD6" s="48">
        <f>Addition!AS7</f>
        <v>0</v>
      </c>
      <c r="AE6" s="48">
        <f>Addition!AT7</f>
        <v>0</v>
      </c>
      <c r="AF6" s="48">
        <f>Addition!AU7</f>
        <v>0</v>
      </c>
      <c r="AG6" s="48">
        <f>Addition!AV7</f>
        <v>0</v>
      </c>
      <c r="AH6" s="48">
        <f>Addition!AW7</f>
        <v>0</v>
      </c>
      <c r="AI6" s="48">
        <f>Addition!AX7</f>
        <v>0</v>
      </c>
      <c r="AJ6" s="48">
        <f>Addition!AY7</f>
        <v>0</v>
      </c>
      <c r="AK6" s="48">
        <f>Addition!AZ7</f>
        <v>0</v>
      </c>
      <c r="AL6" s="48">
        <f>Addition!BA7</f>
        <v>0</v>
      </c>
      <c r="AM6" s="48">
        <f>Addition!BB7</f>
        <v>0</v>
      </c>
      <c r="AN6" s="48">
        <f>Addition!BC7</f>
        <v>0</v>
      </c>
      <c r="AO6" s="48">
        <f>Addition!BD7</f>
        <v>0</v>
      </c>
      <c r="AP6" s="48">
        <f>Addition!BE7</f>
        <v>0</v>
      </c>
      <c r="AQ6" s="48">
        <f>Addition!BF7</f>
        <v>0</v>
      </c>
    </row>
    <row r="7" spans="1:43">
      <c r="A7" s="33" t="s">
        <v>74</v>
      </c>
      <c r="B7" s="48">
        <f>Addition!Q8</f>
        <v>17610</v>
      </c>
      <c r="C7" s="48">
        <f>Addition!R8</f>
        <v>31208.69999999999</v>
      </c>
      <c r="D7" s="48">
        <f>Addition!S8</f>
        <v>25600.699999999997</v>
      </c>
      <c r="E7" s="48">
        <f>Addition!T8</f>
        <v>35940.600000000013</v>
      </c>
      <c r="F7" s="48">
        <f>Addition!U8</f>
        <v>0</v>
      </c>
      <c r="G7" s="48">
        <f>Addition!V8</f>
        <v>0</v>
      </c>
      <c r="H7" s="48">
        <f>Addition!W8</f>
        <v>0</v>
      </c>
      <c r="I7" s="48">
        <f>Addition!X8</f>
        <v>0</v>
      </c>
      <c r="J7" s="48">
        <f>Addition!Y8</f>
        <v>0</v>
      </c>
      <c r="K7" s="48">
        <f>Addition!Z8</f>
        <v>0</v>
      </c>
      <c r="L7" s="48">
        <f>Addition!AA8</f>
        <v>0</v>
      </c>
      <c r="M7" s="48">
        <f>Addition!AB8</f>
        <v>0</v>
      </c>
      <c r="N7" s="48">
        <f>Addition!AC8</f>
        <v>0</v>
      </c>
      <c r="O7" s="48">
        <f>Addition!AD8</f>
        <v>0</v>
      </c>
      <c r="P7" s="48">
        <f>Addition!AE8</f>
        <v>0</v>
      </c>
      <c r="Q7" s="48">
        <f>Addition!AF8</f>
        <v>0</v>
      </c>
      <c r="R7" s="48">
        <f>Addition!AG8</f>
        <v>0</v>
      </c>
      <c r="S7" s="48">
        <f>Addition!AH8</f>
        <v>0</v>
      </c>
      <c r="T7" s="48">
        <f>Addition!AI8</f>
        <v>0</v>
      </c>
      <c r="U7" s="48">
        <f>Addition!AJ8</f>
        <v>0</v>
      </c>
      <c r="V7" s="48">
        <f>Addition!AK8</f>
        <v>0</v>
      </c>
      <c r="W7" s="48">
        <f>Addition!AL8</f>
        <v>0</v>
      </c>
      <c r="X7" s="48">
        <f>Addition!AM8</f>
        <v>0</v>
      </c>
      <c r="Y7" s="48">
        <f>Addition!AN8</f>
        <v>0</v>
      </c>
      <c r="Z7" s="48">
        <f>Addition!AO8</f>
        <v>0</v>
      </c>
      <c r="AA7" s="48">
        <f>Addition!AP8</f>
        <v>0</v>
      </c>
      <c r="AB7" s="48">
        <f>Addition!AQ8</f>
        <v>0</v>
      </c>
      <c r="AC7" s="48">
        <f>Addition!AR8</f>
        <v>0</v>
      </c>
      <c r="AD7" s="48">
        <f>Addition!AS8</f>
        <v>0</v>
      </c>
      <c r="AE7" s="48">
        <f>Addition!AT8</f>
        <v>0</v>
      </c>
      <c r="AF7" s="48">
        <f>Addition!AU8</f>
        <v>0</v>
      </c>
      <c r="AG7" s="48">
        <f>Addition!AV8</f>
        <v>0</v>
      </c>
      <c r="AH7" s="48">
        <f>Addition!AW8</f>
        <v>0</v>
      </c>
      <c r="AI7" s="48">
        <f>Addition!AX8</f>
        <v>0</v>
      </c>
      <c r="AJ7" s="48">
        <f>Addition!AY8</f>
        <v>0</v>
      </c>
      <c r="AK7" s="48">
        <f>Addition!AZ8</f>
        <v>0</v>
      </c>
      <c r="AL7" s="48">
        <f>Addition!BA8</f>
        <v>0</v>
      </c>
      <c r="AM7" s="48">
        <f>Addition!BB8</f>
        <v>0</v>
      </c>
      <c r="AN7" s="48">
        <f>Addition!BC8</f>
        <v>0</v>
      </c>
      <c r="AO7" s="48">
        <f>Addition!BD8</f>
        <v>0</v>
      </c>
      <c r="AP7" s="48">
        <f>Addition!BE8</f>
        <v>0</v>
      </c>
      <c r="AQ7" s="48">
        <f>Addition!BF8</f>
        <v>0</v>
      </c>
    </row>
    <row r="8" spans="1:43">
      <c r="A8" s="33" t="s">
        <v>75</v>
      </c>
      <c r="B8" s="48">
        <f>Addition!Q9</f>
        <v>150</v>
      </c>
      <c r="C8" s="48">
        <f>Addition!R9</f>
        <v>250</v>
      </c>
      <c r="D8" s="48">
        <f>Addition!S9</f>
        <v>100</v>
      </c>
      <c r="E8" s="48">
        <f>Addition!T9</f>
        <v>0</v>
      </c>
      <c r="F8" s="48">
        <f>Addition!U9</f>
        <v>349</v>
      </c>
      <c r="G8" s="48">
        <f>Addition!V9</f>
        <v>0</v>
      </c>
      <c r="H8" s="48">
        <f>Addition!W9</f>
        <v>0</v>
      </c>
      <c r="I8" s="48">
        <f>Addition!X9</f>
        <v>0</v>
      </c>
      <c r="J8" s="48">
        <f>Addition!Y9</f>
        <v>0</v>
      </c>
      <c r="K8" s="48">
        <f>Addition!Z9</f>
        <v>0</v>
      </c>
      <c r="L8" s="48">
        <f>Addition!AA9</f>
        <v>0</v>
      </c>
      <c r="M8" s="48">
        <f>Addition!AB9</f>
        <v>0</v>
      </c>
      <c r="N8" s="48">
        <f>Addition!AC9</f>
        <v>0</v>
      </c>
      <c r="O8" s="48">
        <f>Addition!AD9</f>
        <v>0</v>
      </c>
      <c r="P8" s="48">
        <f>Addition!AE9</f>
        <v>0</v>
      </c>
      <c r="Q8" s="48">
        <f>Addition!AF9</f>
        <v>0</v>
      </c>
      <c r="R8" s="48">
        <f>Addition!AG9</f>
        <v>0</v>
      </c>
      <c r="S8" s="48">
        <f>Addition!AH9</f>
        <v>0</v>
      </c>
      <c r="T8" s="48">
        <f>Addition!AI9</f>
        <v>0</v>
      </c>
      <c r="U8" s="48">
        <f>Addition!AJ9</f>
        <v>0</v>
      </c>
      <c r="V8" s="48">
        <f>Addition!AK9</f>
        <v>0</v>
      </c>
      <c r="W8" s="48">
        <f>Addition!AL9</f>
        <v>0</v>
      </c>
      <c r="X8" s="48">
        <f>Addition!AM9</f>
        <v>0</v>
      </c>
      <c r="Y8" s="48">
        <f>Addition!AN9</f>
        <v>0</v>
      </c>
      <c r="Z8" s="48">
        <f>Addition!AO9</f>
        <v>0</v>
      </c>
      <c r="AA8" s="48">
        <f>Addition!AP9</f>
        <v>0</v>
      </c>
      <c r="AB8" s="48">
        <f>Addition!AQ9</f>
        <v>0</v>
      </c>
      <c r="AC8" s="48">
        <f>Addition!AR9</f>
        <v>0</v>
      </c>
      <c r="AD8" s="48">
        <f>Addition!AS9</f>
        <v>0</v>
      </c>
      <c r="AE8" s="48">
        <f>Addition!AT9</f>
        <v>0</v>
      </c>
      <c r="AF8" s="48">
        <f>Addition!AU9</f>
        <v>0</v>
      </c>
      <c r="AG8" s="48">
        <f>Addition!AV9</f>
        <v>0</v>
      </c>
      <c r="AH8" s="48">
        <f>Addition!AW9</f>
        <v>0</v>
      </c>
      <c r="AI8" s="48">
        <f>Addition!AX9</f>
        <v>0</v>
      </c>
      <c r="AJ8" s="48">
        <f>Addition!AY9</f>
        <v>0</v>
      </c>
      <c r="AK8" s="48">
        <f>Addition!AZ9</f>
        <v>0</v>
      </c>
      <c r="AL8" s="48">
        <f>Addition!BA9</f>
        <v>0</v>
      </c>
      <c r="AM8" s="48">
        <f>Addition!BB9</f>
        <v>0</v>
      </c>
      <c r="AN8" s="48">
        <f>Addition!BC9</f>
        <v>0</v>
      </c>
      <c r="AO8" s="48">
        <f>Addition!BD9</f>
        <v>0</v>
      </c>
      <c r="AP8" s="48">
        <f>Addition!BE9</f>
        <v>0</v>
      </c>
      <c r="AQ8" s="48">
        <f>Addition!BF9</f>
        <v>0</v>
      </c>
    </row>
    <row r="9" spans="1:43">
      <c r="A9" s="33" t="s">
        <v>76</v>
      </c>
      <c r="B9" s="48">
        <f>Addition!Q10</f>
        <v>1180</v>
      </c>
      <c r="C9" s="48">
        <f>Addition!R10</f>
        <v>2230</v>
      </c>
      <c r="D9" s="48">
        <f>Addition!S10</f>
        <v>2120</v>
      </c>
      <c r="E9" s="48">
        <f>Addition!T10</f>
        <v>1919.1172302085445</v>
      </c>
      <c r="F9" s="48">
        <f>Addition!U10</f>
        <v>0</v>
      </c>
      <c r="G9" s="48">
        <f>Addition!V10</f>
        <v>0</v>
      </c>
      <c r="H9" s="48">
        <f>Addition!W10</f>
        <v>0</v>
      </c>
      <c r="I9" s="48">
        <f>Addition!X10</f>
        <v>0</v>
      </c>
      <c r="J9" s="48">
        <f>Addition!Y10</f>
        <v>0</v>
      </c>
      <c r="K9" s="48">
        <f>Addition!Z10</f>
        <v>0</v>
      </c>
      <c r="L9" s="48">
        <f>Addition!AA10</f>
        <v>0</v>
      </c>
      <c r="M9" s="48">
        <f>Addition!AB10</f>
        <v>0</v>
      </c>
      <c r="N9" s="48">
        <f>Addition!AC10</f>
        <v>0</v>
      </c>
      <c r="O9" s="48">
        <f>Addition!AD10</f>
        <v>0</v>
      </c>
      <c r="P9" s="48">
        <f>Addition!AE10</f>
        <v>0</v>
      </c>
      <c r="Q9" s="48">
        <f>Addition!AF10</f>
        <v>0</v>
      </c>
      <c r="R9" s="48">
        <f>Addition!AG10</f>
        <v>0</v>
      </c>
      <c r="S9" s="48">
        <f>Addition!AH10</f>
        <v>0</v>
      </c>
      <c r="T9" s="48">
        <f>Addition!AI10</f>
        <v>0</v>
      </c>
      <c r="U9" s="48">
        <f>Addition!AJ10</f>
        <v>0</v>
      </c>
      <c r="V9" s="48">
        <f>Addition!AK10</f>
        <v>0</v>
      </c>
      <c r="W9" s="48">
        <f>Addition!AL10</f>
        <v>0</v>
      </c>
      <c r="X9" s="48">
        <f>Addition!AM10</f>
        <v>0</v>
      </c>
      <c r="Y9" s="48">
        <f>Addition!AN10</f>
        <v>0</v>
      </c>
      <c r="Z9" s="48">
        <f>Addition!AO10</f>
        <v>0</v>
      </c>
      <c r="AA9" s="48">
        <f>Addition!AP10</f>
        <v>0</v>
      </c>
      <c r="AB9" s="48">
        <f>Addition!AQ10</f>
        <v>0</v>
      </c>
      <c r="AC9" s="48">
        <f>Addition!AR10</f>
        <v>0</v>
      </c>
      <c r="AD9" s="48">
        <f>Addition!AS10</f>
        <v>0</v>
      </c>
      <c r="AE9" s="48">
        <f>Addition!AT10</f>
        <v>0</v>
      </c>
      <c r="AF9" s="48">
        <f>Addition!AU10</f>
        <v>0</v>
      </c>
      <c r="AG9" s="48">
        <f>Addition!AV10</f>
        <v>0</v>
      </c>
      <c r="AH9" s="48">
        <f>Addition!AW10</f>
        <v>0</v>
      </c>
      <c r="AI9" s="48">
        <f>Addition!AX10</f>
        <v>0</v>
      </c>
      <c r="AJ9" s="48">
        <f>Addition!AY10</f>
        <v>0</v>
      </c>
      <c r="AK9" s="48">
        <f>Addition!AZ10</f>
        <v>0</v>
      </c>
      <c r="AL9" s="48">
        <f>Addition!BA10</f>
        <v>0</v>
      </c>
      <c r="AM9" s="48">
        <f>Addition!BB10</f>
        <v>0</v>
      </c>
      <c r="AN9" s="48">
        <f>Addition!BC10</f>
        <v>0</v>
      </c>
      <c r="AO9" s="48">
        <f>Addition!BD10</f>
        <v>0</v>
      </c>
      <c r="AP9" s="48">
        <f>Addition!BE10</f>
        <v>0</v>
      </c>
      <c r="AQ9" s="48">
        <f>Addition!BF10</f>
        <v>0</v>
      </c>
    </row>
    <row r="10" spans="1:43">
      <c r="A10" s="33" t="s">
        <v>77</v>
      </c>
      <c r="B10" s="48">
        <f>Addition!Q11</f>
        <v>0</v>
      </c>
      <c r="C10" s="48">
        <f>Addition!R11</f>
        <v>280</v>
      </c>
      <c r="D10" s="48">
        <f>Addition!S11</f>
        <v>620</v>
      </c>
      <c r="E10" s="48">
        <f>Addition!T11</f>
        <v>0</v>
      </c>
      <c r="F10" s="48">
        <f>Addition!U11</f>
        <v>0</v>
      </c>
      <c r="G10" s="48">
        <f>Addition!V11</f>
        <v>0</v>
      </c>
      <c r="H10" s="48">
        <f>Addition!W11</f>
        <v>0</v>
      </c>
      <c r="I10" s="48">
        <f>Addition!X11</f>
        <v>0</v>
      </c>
      <c r="J10" s="48">
        <f>Addition!Y11</f>
        <v>0</v>
      </c>
      <c r="K10" s="48">
        <f>Addition!Z11</f>
        <v>0</v>
      </c>
      <c r="L10" s="48">
        <f>Addition!AA11</f>
        <v>0</v>
      </c>
      <c r="M10" s="48">
        <f>Addition!AB11</f>
        <v>0</v>
      </c>
      <c r="N10" s="48">
        <f>Addition!AC11</f>
        <v>0</v>
      </c>
      <c r="O10" s="48">
        <f>Addition!AD11</f>
        <v>0</v>
      </c>
      <c r="P10" s="48">
        <f>Addition!AE11</f>
        <v>0</v>
      </c>
      <c r="Q10" s="48">
        <f>Addition!AF11</f>
        <v>0</v>
      </c>
      <c r="R10" s="48">
        <f>Addition!AG11</f>
        <v>0</v>
      </c>
      <c r="S10" s="48">
        <f>Addition!AH11</f>
        <v>0</v>
      </c>
      <c r="T10" s="48">
        <f>Addition!AI11</f>
        <v>0</v>
      </c>
      <c r="U10" s="48">
        <f>Addition!AJ11</f>
        <v>0</v>
      </c>
      <c r="V10" s="48">
        <f>Addition!AK11</f>
        <v>0</v>
      </c>
      <c r="W10" s="48">
        <f>Addition!AL11</f>
        <v>0</v>
      </c>
      <c r="X10" s="48">
        <f>Addition!AM11</f>
        <v>0</v>
      </c>
      <c r="Y10" s="48">
        <f>Addition!AN11</f>
        <v>0</v>
      </c>
      <c r="Z10" s="48">
        <f>Addition!AO11</f>
        <v>0</v>
      </c>
      <c r="AA10" s="48">
        <f>Addition!AP11</f>
        <v>0</v>
      </c>
      <c r="AB10" s="48">
        <f>Addition!AQ11</f>
        <v>0</v>
      </c>
      <c r="AC10" s="48">
        <f>Addition!AR11</f>
        <v>0</v>
      </c>
      <c r="AD10" s="48">
        <f>Addition!AS11</f>
        <v>0</v>
      </c>
      <c r="AE10" s="48">
        <f>Addition!AT11</f>
        <v>0</v>
      </c>
      <c r="AF10" s="48">
        <f>Addition!AU11</f>
        <v>0</v>
      </c>
      <c r="AG10" s="48">
        <f>Addition!AV11</f>
        <v>0</v>
      </c>
      <c r="AH10" s="48">
        <f>Addition!AW11</f>
        <v>0</v>
      </c>
      <c r="AI10" s="48">
        <f>Addition!AX11</f>
        <v>0</v>
      </c>
      <c r="AJ10" s="48">
        <f>Addition!AY11</f>
        <v>0</v>
      </c>
      <c r="AK10" s="48">
        <f>Addition!AZ11</f>
        <v>0</v>
      </c>
      <c r="AL10" s="48">
        <f>Addition!BA11</f>
        <v>0</v>
      </c>
      <c r="AM10" s="48">
        <f>Addition!BB11</f>
        <v>0</v>
      </c>
      <c r="AN10" s="48">
        <f>Addition!BC11</f>
        <v>0</v>
      </c>
      <c r="AO10" s="48">
        <f>Addition!BD11</f>
        <v>0</v>
      </c>
      <c r="AP10" s="48">
        <f>Addition!BE11</f>
        <v>0</v>
      </c>
      <c r="AQ10" s="48">
        <f>Addition!BF11</f>
        <v>0</v>
      </c>
    </row>
    <row r="11" spans="1:43">
      <c r="A11" s="33" t="s">
        <v>78</v>
      </c>
      <c r="B11" s="48">
        <f>Addition!Q12</f>
        <v>0</v>
      </c>
      <c r="C11" s="48">
        <f>Addition!R12</f>
        <v>0</v>
      </c>
      <c r="D11" s="48">
        <f>Addition!S12</f>
        <v>0</v>
      </c>
      <c r="E11" s="48">
        <f>Addition!T12</f>
        <v>0</v>
      </c>
      <c r="F11" s="48">
        <f>Addition!U12</f>
        <v>0</v>
      </c>
      <c r="G11" s="48">
        <f>Addition!V12</f>
        <v>0</v>
      </c>
      <c r="H11" s="48">
        <f>Addition!W12</f>
        <v>0</v>
      </c>
      <c r="I11" s="48">
        <f>Addition!X12</f>
        <v>0</v>
      </c>
      <c r="J11" s="48">
        <f>Addition!Y12</f>
        <v>0</v>
      </c>
      <c r="K11" s="48">
        <f>Addition!Z12</f>
        <v>0</v>
      </c>
      <c r="L11" s="48">
        <f>Addition!AA12</f>
        <v>0</v>
      </c>
      <c r="M11" s="48">
        <f>Addition!AB12</f>
        <v>0</v>
      </c>
      <c r="N11" s="48">
        <f>Addition!AC12</f>
        <v>0</v>
      </c>
      <c r="O11" s="48">
        <f>Addition!AD12</f>
        <v>0</v>
      </c>
      <c r="P11" s="48">
        <f>Addition!AE12</f>
        <v>0</v>
      </c>
      <c r="Q11" s="48">
        <f>Addition!AF12</f>
        <v>0</v>
      </c>
      <c r="R11" s="48">
        <f>Addition!AG12</f>
        <v>0</v>
      </c>
      <c r="S11" s="48">
        <f>Addition!AH12</f>
        <v>0</v>
      </c>
      <c r="T11" s="48">
        <f>Addition!AI12</f>
        <v>0</v>
      </c>
      <c r="U11" s="48">
        <f>Addition!AJ12</f>
        <v>0</v>
      </c>
      <c r="V11" s="48">
        <f>Addition!AK12</f>
        <v>0</v>
      </c>
      <c r="W11" s="48">
        <f>Addition!AL12</f>
        <v>0</v>
      </c>
      <c r="X11" s="48">
        <f>Addition!AM12</f>
        <v>0</v>
      </c>
      <c r="Y11" s="48">
        <f>Addition!AN12</f>
        <v>0</v>
      </c>
      <c r="Z11" s="48">
        <f>Addition!AO12</f>
        <v>0</v>
      </c>
      <c r="AA11" s="48">
        <f>Addition!AP12</f>
        <v>0</v>
      </c>
      <c r="AB11" s="48">
        <f>Addition!AQ12</f>
        <v>0</v>
      </c>
      <c r="AC11" s="48">
        <f>Addition!AR12</f>
        <v>0</v>
      </c>
      <c r="AD11" s="48">
        <f>Addition!AS12</f>
        <v>0</v>
      </c>
      <c r="AE11" s="48">
        <f>Addition!AT12</f>
        <v>0</v>
      </c>
      <c r="AF11" s="48">
        <f>Addition!AU12</f>
        <v>0</v>
      </c>
      <c r="AG11" s="48">
        <f>Addition!AV12</f>
        <v>0</v>
      </c>
      <c r="AH11" s="48">
        <f>Addition!AW12</f>
        <v>0</v>
      </c>
      <c r="AI11" s="48">
        <f>Addition!AX12</f>
        <v>0</v>
      </c>
      <c r="AJ11" s="48">
        <f>Addition!AY12</f>
        <v>0</v>
      </c>
      <c r="AK11" s="48">
        <f>Addition!AZ12</f>
        <v>0</v>
      </c>
      <c r="AL11" s="48">
        <f>Addition!BA12</f>
        <v>0</v>
      </c>
      <c r="AM11" s="48">
        <f>Addition!BB12</f>
        <v>0</v>
      </c>
      <c r="AN11" s="48">
        <f>Addition!BC12</f>
        <v>0</v>
      </c>
      <c r="AO11" s="48">
        <f>Addition!BD12</f>
        <v>0</v>
      </c>
      <c r="AP11" s="48">
        <f>Addition!BE12</f>
        <v>0</v>
      </c>
      <c r="AQ11" s="48">
        <f>Addition!BF12</f>
        <v>0</v>
      </c>
    </row>
    <row r="12" spans="1:43">
      <c r="A12" s="33" t="s">
        <v>79</v>
      </c>
      <c r="B12" s="48">
        <f>Addition!Q13</f>
        <v>1887</v>
      </c>
      <c r="C12" s="48">
        <f>Addition!R13</f>
        <v>2433</v>
      </c>
      <c r="D12" s="48">
        <f>Addition!S13</f>
        <v>2274</v>
      </c>
      <c r="E12" s="48">
        <f>Addition!T13</f>
        <v>2058.5248025916176</v>
      </c>
      <c r="F12" s="48">
        <f>Addition!U13</f>
        <v>0</v>
      </c>
      <c r="G12" s="48">
        <f>Addition!V13</f>
        <v>0</v>
      </c>
      <c r="H12" s="48">
        <f>Addition!W13</f>
        <v>0</v>
      </c>
      <c r="I12" s="48">
        <f>Addition!X13</f>
        <v>0</v>
      </c>
      <c r="J12" s="48">
        <f>Addition!Y13</f>
        <v>0</v>
      </c>
      <c r="K12" s="48">
        <f>Addition!Z13</f>
        <v>0</v>
      </c>
      <c r="L12" s="48">
        <f>Addition!AA13</f>
        <v>0</v>
      </c>
      <c r="M12" s="48">
        <f>Addition!AB13</f>
        <v>0</v>
      </c>
      <c r="N12" s="48">
        <f>Addition!AC13</f>
        <v>0</v>
      </c>
      <c r="O12" s="48">
        <f>Addition!AD13</f>
        <v>0</v>
      </c>
      <c r="P12" s="48">
        <f>Addition!AE13</f>
        <v>0</v>
      </c>
      <c r="Q12" s="48">
        <f>Addition!AF13</f>
        <v>0</v>
      </c>
      <c r="R12" s="48">
        <f>Addition!AG13</f>
        <v>0</v>
      </c>
      <c r="S12" s="48">
        <f>Addition!AH13</f>
        <v>0</v>
      </c>
      <c r="T12" s="48">
        <f>Addition!AI13</f>
        <v>0</v>
      </c>
      <c r="U12" s="48">
        <f>Addition!AJ13</f>
        <v>0</v>
      </c>
      <c r="V12" s="48">
        <f>Addition!AK13</f>
        <v>0</v>
      </c>
      <c r="W12" s="48">
        <f>Addition!AL13</f>
        <v>0</v>
      </c>
      <c r="X12" s="48">
        <f>Addition!AM13</f>
        <v>0</v>
      </c>
      <c r="Y12" s="48">
        <f>Addition!AN13</f>
        <v>0</v>
      </c>
      <c r="Z12" s="48">
        <f>Addition!AO13</f>
        <v>0</v>
      </c>
      <c r="AA12" s="48">
        <f>Addition!AP13</f>
        <v>0</v>
      </c>
      <c r="AB12" s="48">
        <f>Addition!AQ13</f>
        <v>0</v>
      </c>
      <c r="AC12" s="48">
        <f>Addition!AR13</f>
        <v>0</v>
      </c>
      <c r="AD12" s="48">
        <f>Addition!AS13</f>
        <v>0</v>
      </c>
      <c r="AE12" s="48">
        <f>Addition!AT13</f>
        <v>0</v>
      </c>
      <c r="AF12" s="48">
        <f>Addition!AU13</f>
        <v>0</v>
      </c>
      <c r="AG12" s="48">
        <f>Addition!AV13</f>
        <v>0</v>
      </c>
      <c r="AH12" s="48">
        <f>Addition!AW13</f>
        <v>0</v>
      </c>
      <c r="AI12" s="48">
        <f>Addition!AX13</f>
        <v>0</v>
      </c>
      <c r="AJ12" s="48">
        <f>Addition!AY13</f>
        <v>0</v>
      </c>
      <c r="AK12" s="48">
        <f>Addition!AZ13</f>
        <v>0</v>
      </c>
      <c r="AL12" s="48">
        <f>Addition!BA13</f>
        <v>0</v>
      </c>
      <c r="AM12" s="48">
        <f>Addition!BB13</f>
        <v>0</v>
      </c>
      <c r="AN12" s="48">
        <f>Addition!BC13</f>
        <v>0</v>
      </c>
      <c r="AO12" s="48">
        <f>Addition!BD13</f>
        <v>0</v>
      </c>
      <c r="AP12" s="48">
        <f>Addition!BE13</f>
        <v>0</v>
      </c>
      <c r="AQ12" s="48">
        <f>Addition!BF13</f>
        <v>0</v>
      </c>
    </row>
    <row r="13" spans="1:43">
      <c r="A13" s="33" t="s">
        <v>80</v>
      </c>
      <c r="B13" s="48">
        <f>Addition!Q14</f>
        <v>1400</v>
      </c>
      <c r="C13" s="48">
        <f>Addition!R14</f>
        <v>1690</v>
      </c>
      <c r="D13" s="48">
        <f>Addition!S14</f>
        <v>0</v>
      </c>
      <c r="E13" s="48">
        <f>Addition!T14</f>
        <v>0</v>
      </c>
      <c r="F13" s="48">
        <f>Addition!U14</f>
        <v>0</v>
      </c>
      <c r="G13" s="48">
        <f>Addition!V14</f>
        <v>0</v>
      </c>
      <c r="H13" s="48">
        <f>Addition!W14</f>
        <v>0</v>
      </c>
      <c r="I13" s="48">
        <f>Addition!X14</f>
        <v>0</v>
      </c>
      <c r="J13" s="48">
        <f>Addition!Y14</f>
        <v>0</v>
      </c>
      <c r="K13" s="48">
        <f>Addition!Z14</f>
        <v>0</v>
      </c>
      <c r="L13" s="48">
        <f>Addition!AA14</f>
        <v>0</v>
      </c>
      <c r="M13" s="48">
        <f>Addition!AB14</f>
        <v>0</v>
      </c>
      <c r="N13" s="48">
        <f>Addition!AC14</f>
        <v>0</v>
      </c>
      <c r="O13" s="48">
        <f>Addition!AD14</f>
        <v>0</v>
      </c>
      <c r="P13" s="48">
        <f>Addition!AE14</f>
        <v>0</v>
      </c>
      <c r="Q13" s="48">
        <f>Addition!AF14</f>
        <v>0</v>
      </c>
      <c r="R13" s="48">
        <f>Addition!AG14</f>
        <v>0</v>
      </c>
      <c r="S13" s="48">
        <f>Addition!AH14</f>
        <v>0</v>
      </c>
      <c r="T13" s="48">
        <f>Addition!AI14</f>
        <v>0</v>
      </c>
      <c r="U13" s="48">
        <f>Addition!AJ14</f>
        <v>0</v>
      </c>
      <c r="V13" s="48">
        <f>Addition!AK14</f>
        <v>0</v>
      </c>
      <c r="W13" s="48">
        <f>Addition!AL14</f>
        <v>0</v>
      </c>
      <c r="X13" s="48">
        <f>Addition!AM14</f>
        <v>0</v>
      </c>
      <c r="Y13" s="48">
        <f>Addition!AN14</f>
        <v>0</v>
      </c>
      <c r="Z13" s="48">
        <f>Addition!AO14</f>
        <v>0</v>
      </c>
      <c r="AA13" s="48">
        <f>Addition!AP14</f>
        <v>0</v>
      </c>
      <c r="AB13" s="48">
        <f>Addition!AQ14</f>
        <v>0</v>
      </c>
      <c r="AC13" s="48">
        <f>Addition!AR14</f>
        <v>0</v>
      </c>
      <c r="AD13" s="48">
        <f>Addition!AS14</f>
        <v>0</v>
      </c>
      <c r="AE13" s="48">
        <f>Addition!AT14</f>
        <v>0</v>
      </c>
      <c r="AF13" s="48">
        <f>Addition!AU14</f>
        <v>0</v>
      </c>
      <c r="AG13" s="48">
        <f>Addition!AV14</f>
        <v>0</v>
      </c>
      <c r="AH13" s="48">
        <f>Addition!AW14</f>
        <v>0</v>
      </c>
      <c r="AI13" s="48">
        <f>Addition!AX14</f>
        <v>0</v>
      </c>
      <c r="AJ13" s="48">
        <f>Addition!AY14</f>
        <v>0</v>
      </c>
      <c r="AK13" s="48">
        <f>Addition!AZ14</f>
        <v>0</v>
      </c>
      <c r="AL13" s="48">
        <f>Addition!BA14</f>
        <v>0</v>
      </c>
      <c r="AM13" s="48">
        <f>Addition!BB14</f>
        <v>0</v>
      </c>
      <c r="AN13" s="48">
        <f>Addition!BC14</f>
        <v>0</v>
      </c>
      <c r="AO13" s="48">
        <f>Addition!BD14</f>
        <v>0</v>
      </c>
      <c r="AP13" s="48">
        <f>Addition!BE14</f>
        <v>0</v>
      </c>
      <c r="AQ13" s="48">
        <f>Addition!BF14</f>
        <v>0</v>
      </c>
    </row>
    <row r="14" spans="1:43">
      <c r="A14" s="33" t="s">
        <v>81</v>
      </c>
      <c r="B14" s="48">
        <f>Addition!Q15</f>
        <v>1489.9999999999993</v>
      </c>
      <c r="C14" s="48">
        <f>Addition!R15</f>
        <v>4939.9999999999991</v>
      </c>
      <c r="D14" s="48">
        <f>Addition!S15</f>
        <v>15520.000000000002</v>
      </c>
      <c r="E14" s="48">
        <f>Addition!T15</f>
        <v>4109.9999999999991</v>
      </c>
      <c r="F14" s="48">
        <f>Addition!U15</f>
        <v>0</v>
      </c>
      <c r="G14" s="48">
        <f>Addition!V15</f>
        <v>0</v>
      </c>
      <c r="H14" s="48">
        <f>Addition!W15</f>
        <v>0</v>
      </c>
      <c r="I14" s="48">
        <f>Addition!X15</f>
        <v>0</v>
      </c>
      <c r="J14" s="48">
        <f>Addition!Y15</f>
        <v>0</v>
      </c>
      <c r="K14" s="48">
        <f>Addition!Z15</f>
        <v>0</v>
      </c>
      <c r="L14" s="48">
        <f>Addition!AA15</f>
        <v>0</v>
      </c>
      <c r="M14" s="48">
        <f>Addition!AB15</f>
        <v>0</v>
      </c>
      <c r="N14" s="48">
        <f>Addition!AC15</f>
        <v>0</v>
      </c>
      <c r="O14" s="48">
        <f>Addition!AD15</f>
        <v>0</v>
      </c>
      <c r="P14" s="48">
        <f>Addition!AE15</f>
        <v>0</v>
      </c>
      <c r="Q14" s="48">
        <f>Addition!AF15</f>
        <v>0</v>
      </c>
      <c r="R14" s="48">
        <f>Addition!AG15</f>
        <v>0</v>
      </c>
      <c r="S14" s="48">
        <f>Addition!AH15</f>
        <v>0</v>
      </c>
      <c r="T14" s="48">
        <f>Addition!AI15</f>
        <v>0</v>
      </c>
      <c r="U14" s="48">
        <f>Addition!AJ15</f>
        <v>0</v>
      </c>
      <c r="V14" s="48">
        <f>Addition!AK15</f>
        <v>0</v>
      </c>
      <c r="W14" s="48">
        <f>Addition!AL15</f>
        <v>0</v>
      </c>
      <c r="X14" s="48">
        <f>Addition!AM15</f>
        <v>0</v>
      </c>
      <c r="Y14" s="48">
        <f>Addition!AN15</f>
        <v>0</v>
      </c>
      <c r="Z14" s="48">
        <f>Addition!AO15</f>
        <v>0</v>
      </c>
      <c r="AA14" s="48">
        <f>Addition!AP15</f>
        <v>0</v>
      </c>
      <c r="AB14" s="48">
        <f>Addition!AQ15</f>
        <v>0</v>
      </c>
      <c r="AC14" s="48">
        <f>Addition!AR15</f>
        <v>0</v>
      </c>
      <c r="AD14" s="48">
        <f>Addition!AS15</f>
        <v>0</v>
      </c>
      <c r="AE14" s="48">
        <f>Addition!AT15</f>
        <v>0</v>
      </c>
      <c r="AF14" s="48">
        <f>Addition!AU15</f>
        <v>0</v>
      </c>
      <c r="AG14" s="48">
        <f>Addition!AV15</f>
        <v>0</v>
      </c>
      <c r="AH14" s="48">
        <f>Addition!AW15</f>
        <v>0</v>
      </c>
      <c r="AI14" s="48">
        <f>Addition!AX15</f>
        <v>0</v>
      </c>
      <c r="AJ14" s="48">
        <f>Addition!AY15</f>
        <v>0</v>
      </c>
      <c r="AK14" s="48">
        <f>Addition!AZ15</f>
        <v>0</v>
      </c>
      <c r="AL14" s="48">
        <f>Addition!BA15</f>
        <v>0</v>
      </c>
      <c r="AM14" s="48">
        <f>Addition!BB15</f>
        <v>0</v>
      </c>
      <c r="AN14" s="48">
        <f>Addition!BC15</f>
        <v>0</v>
      </c>
      <c r="AO14" s="48">
        <f>Addition!BD15</f>
        <v>0</v>
      </c>
      <c r="AP14" s="48">
        <f>Addition!BE15</f>
        <v>0</v>
      </c>
      <c r="AQ14" s="48">
        <f>Addition!BF15</f>
        <v>0</v>
      </c>
    </row>
    <row r="15" spans="1:43">
      <c r="A15" s="33" t="s">
        <v>82</v>
      </c>
      <c r="B15" s="48">
        <f>Addition!Q16</f>
        <v>0</v>
      </c>
      <c r="C15" s="48">
        <f>Addition!R16</f>
        <v>0</v>
      </c>
      <c r="D15" s="48">
        <f>Addition!S16</f>
        <v>0</v>
      </c>
      <c r="E15" s="48">
        <f>Addition!T16</f>
        <v>0</v>
      </c>
      <c r="F15" s="48">
        <f>Addition!U16</f>
        <v>0</v>
      </c>
      <c r="G15" s="48">
        <f>Addition!V16</f>
        <v>0</v>
      </c>
      <c r="H15" s="48">
        <f>Addition!W16</f>
        <v>0</v>
      </c>
      <c r="I15" s="48">
        <f>Addition!X16</f>
        <v>0</v>
      </c>
      <c r="J15" s="48">
        <f>Addition!Y16</f>
        <v>0</v>
      </c>
      <c r="K15" s="48">
        <f>Addition!Z16</f>
        <v>0</v>
      </c>
      <c r="L15" s="48">
        <f>Addition!AA16</f>
        <v>0</v>
      </c>
      <c r="M15" s="48">
        <f>Addition!AB16</f>
        <v>0</v>
      </c>
      <c r="N15" s="48">
        <f>Addition!AC16</f>
        <v>0</v>
      </c>
      <c r="O15" s="48">
        <f>Addition!AD16</f>
        <v>0</v>
      </c>
      <c r="P15" s="48">
        <f>Addition!AE16</f>
        <v>0</v>
      </c>
      <c r="Q15" s="48">
        <f>Addition!AF16</f>
        <v>0</v>
      </c>
      <c r="R15" s="48">
        <f>Addition!AG16</f>
        <v>0</v>
      </c>
      <c r="S15" s="48">
        <f>Addition!AH16</f>
        <v>0</v>
      </c>
      <c r="T15" s="48">
        <f>Addition!AI16</f>
        <v>0</v>
      </c>
      <c r="U15" s="48">
        <f>Addition!AJ16</f>
        <v>0</v>
      </c>
      <c r="V15" s="48">
        <f>Addition!AK16</f>
        <v>0</v>
      </c>
      <c r="W15" s="48">
        <f>Addition!AL16</f>
        <v>0</v>
      </c>
      <c r="X15" s="48">
        <f>Addition!AM16</f>
        <v>0</v>
      </c>
      <c r="Y15" s="48">
        <f>Addition!AN16</f>
        <v>0</v>
      </c>
      <c r="Z15" s="48">
        <f>Addition!AO16</f>
        <v>0</v>
      </c>
      <c r="AA15" s="48">
        <f>Addition!AP16</f>
        <v>0</v>
      </c>
      <c r="AB15" s="48">
        <f>Addition!AQ16</f>
        <v>0</v>
      </c>
      <c r="AC15" s="48">
        <f>Addition!AR16</f>
        <v>0</v>
      </c>
      <c r="AD15" s="48">
        <f>Addition!AS16</f>
        <v>0</v>
      </c>
      <c r="AE15" s="48">
        <f>Addition!AT16</f>
        <v>0</v>
      </c>
      <c r="AF15" s="48">
        <f>Addition!AU16</f>
        <v>0</v>
      </c>
      <c r="AG15" s="48">
        <f>Addition!AV16</f>
        <v>0</v>
      </c>
      <c r="AH15" s="48">
        <f>Addition!AW16</f>
        <v>0</v>
      </c>
      <c r="AI15" s="48">
        <f>Addition!AX16</f>
        <v>0</v>
      </c>
      <c r="AJ15" s="48">
        <f>Addition!AY16</f>
        <v>0</v>
      </c>
      <c r="AK15" s="48">
        <f>Addition!AZ16</f>
        <v>0</v>
      </c>
      <c r="AL15" s="48">
        <f>Addition!BA16</f>
        <v>0</v>
      </c>
      <c r="AM15" s="48">
        <f>Addition!BB16</f>
        <v>0</v>
      </c>
      <c r="AN15" s="48">
        <f>Addition!BC16</f>
        <v>0</v>
      </c>
      <c r="AO15" s="48">
        <f>Addition!BD16</f>
        <v>0</v>
      </c>
      <c r="AP15" s="48">
        <f>Addition!BE16</f>
        <v>0</v>
      </c>
      <c r="AQ15" s="48">
        <f>Addition!BF16</f>
        <v>0</v>
      </c>
    </row>
    <row r="16" spans="1:43">
      <c r="A16" s="33" t="s">
        <v>83</v>
      </c>
      <c r="B16" s="48">
        <f>Addition!Q17</f>
        <v>0</v>
      </c>
      <c r="C16" s="48">
        <f>Addition!R17</f>
        <v>0</v>
      </c>
      <c r="D16" s="48">
        <f>Addition!S17</f>
        <v>0</v>
      </c>
      <c r="E16" s="48">
        <f>Addition!T17</f>
        <v>0</v>
      </c>
      <c r="F16" s="48">
        <f>Addition!U17</f>
        <v>0</v>
      </c>
      <c r="G16" s="48">
        <f>Addition!V17</f>
        <v>0</v>
      </c>
      <c r="H16" s="48">
        <f>Addition!W17</f>
        <v>0</v>
      </c>
      <c r="I16" s="48">
        <f>Addition!X17</f>
        <v>0</v>
      </c>
      <c r="J16" s="48">
        <f>Addition!Y17</f>
        <v>0</v>
      </c>
      <c r="K16" s="48">
        <f>Addition!Z17</f>
        <v>0</v>
      </c>
      <c r="L16" s="48">
        <f>Addition!AA17</f>
        <v>0</v>
      </c>
      <c r="M16" s="48">
        <f>Addition!AB17</f>
        <v>0</v>
      </c>
      <c r="N16" s="48">
        <f>Addition!AC17</f>
        <v>0</v>
      </c>
      <c r="O16" s="48">
        <f>Addition!AD17</f>
        <v>0</v>
      </c>
      <c r="P16" s="48">
        <f>Addition!AE17</f>
        <v>0</v>
      </c>
      <c r="Q16" s="48">
        <f>Addition!AF17</f>
        <v>0</v>
      </c>
      <c r="R16" s="48">
        <f>Addition!AG17</f>
        <v>0</v>
      </c>
      <c r="S16" s="48">
        <f>Addition!AH17</f>
        <v>0</v>
      </c>
      <c r="T16" s="48">
        <f>Addition!AI17</f>
        <v>0</v>
      </c>
      <c r="U16" s="48">
        <f>Addition!AJ17</f>
        <v>0</v>
      </c>
      <c r="V16" s="48">
        <f>Addition!AK17</f>
        <v>0</v>
      </c>
      <c r="W16" s="48">
        <f>Addition!AL17</f>
        <v>0</v>
      </c>
      <c r="X16" s="48">
        <f>Addition!AM17</f>
        <v>0</v>
      </c>
      <c r="Y16" s="48">
        <f>Addition!AN17</f>
        <v>0</v>
      </c>
      <c r="Z16" s="48">
        <f>Addition!AO17</f>
        <v>0</v>
      </c>
      <c r="AA16" s="48">
        <f>Addition!AP17</f>
        <v>0</v>
      </c>
      <c r="AB16" s="48">
        <f>Addition!AQ17</f>
        <v>0</v>
      </c>
      <c r="AC16" s="48">
        <f>Addition!AR17</f>
        <v>0</v>
      </c>
      <c r="AD16" s="48">
        <f>Addition!AS17</f>
        <v>0</v>
      </c>
      <c r="AE16" s="48">
        <f>Addition!AT17</f>
        <v>0</v>
      </c>
      <c r="AF16" s="48">
        <f>Addition!AU17</f>
        <v>0</v>
      </c>
      <c r="AG16" s="48">
        <f>Addition!AV17</f>
        <v>0</v>
      </c>
      <c r="AH16" s="48">
        <f>Addition!AW17</f>
        <v>0</v>
      </c>
      <c r="AI16" s="48">
        <f>Addition!AX17</f>
        <v>0</v>
      </c>
      <c r="AJ16" s="48">
        <f>Addition!AY17</f>
        <v>0</v>
      </c>
      <c r="AK16" s="48">
        <f>Addition!AZ17</f>
        <v>0</v>
      </c>
      <c r="AL16" s="48">
        <f>Addition!BA17</f>
        <v>0</v>
      </c>
      <c r="AM16" s="48">
        <f>Addition!BB17</f>
        <v>0</v>
      </c>
      <c r="AN16" s="48">
        <f>Addition!BC17</f>
        <v>0</v>
      </c>
      <c r="AO16" s="48">
        <f>Addition!BD17</f>
        <v>0</v>
      </c>
      <c r="AP16" s="48">
        <f>Addition!BE17</f>
        <v>0</v>
      </c>
      <c r="AQ16" s="48">
        <f>Addition!BF17</f>
        <v>0</v>
      </c>
    </row>
    <row r="17" spans="1:43">
      <c r="A17" s="33" t="s">
        <v>84</v>
      </c>
      <c r="B17" s="48">
        <f>Addition!Q18</f>
        <v>2730</v>
      </c>
      <c r="C17" s="48">
        <f>Addition!R18</f>
        <v>3000</v>
      </c>
      <c r="D17" s="48">
        <f>Addition!S18</f>
        <v>6390</v>
      </c>
      <c r="E17" s="48">
        <f>Addition!T18</f>
        <v>5784.5090099210365</v>
      </c>
      <c r="F17" s="48">
        <f>Addition!U18</f>
        <v>0</v>
      </c>
      <c r="G17" s="48">
        <f>Addition!V18</f>
        <v>0</v>
      </c>
      <c r="H17" s="48">
        <f>Addition!W18</f>
        <v>0</v>
      </c>
      <c r="I17" s="48">
        <f>Addition!X18</f>
        <v>0</v>
      </c>
      <c r="J17" s="48">
        <f>Addition!Y18</f>
        <v>0</v>
      </c>
      <c r="K17" s="48">
        <f>Addition!Z18</f>
        <v>0</v>
      </c>
      <c r="L17" s="48">
        <f>Addition!AA18</f>
        <v>0</v>
      </c>
      <c r="M17" s="48">
        <f>Addition!AB18</f>
        <v>0</v>
      </c>
      <c r="N17" s="48">
        <f>Addition!AC18</f>
        <v>0</v>
      </c>
      <c r="O17" s="48">
        <f>Addition!AD18</f>
        <v>0</v>
      </c>
      <c r="P17" s="48">
        <f>Addition!AE18</f>
        <v>0</v>
      </c>
      <c r="Q17" s="48">
        <f>Addition!AF18</f>
        <v>0</v>
      </c>
      <c r="R17" s="48">
        <f>Addition!AG18</f>
        <v>0</v>
      </c>
      <c r="S17" s="48">
        <f>Addition!AH18</f>
        <v>0</v>
      </c>
      <c r="T17" s="48">
        <f>Addition!AI18</f>
        <v>0</v>
      </c>
      <c r="U17" s="48">
        <f>Addition!AJ18</f>
        <v>0</v>
      </c>
      <c r="V17" s="48">
        <f>Addition!AK18</f>
        <v>0</v>
      </c>
      <c r="W17" s="48">
        <f>Addition!AL18</f>
        <v>0</v>
      </c>
      <c r="X17" s="48">
        <f>Addition!AM18</f>
        <v>0</v>
      </c>
      <c r="Y17" s="48">
        <f>Addition!AN18</f>
        <v>0</v>
      </c>
      <c r="Z17" s="48">
        <f>Addition!AO18</f>
        <v>0</v>
      </c>
      <c r="AA17" s="48">
        <f>Addition!AP18</f>
        <v>0</v>
      </c>
      <c r="AB17" s="48">
        <f>Addition!AQ18</f>
        <v>0</v>
      </c>
      <c r="AC17" s="48">
        <f>Addition!AR18</f>
        <v>0</v>
      </c>
      <c r="AD17" s="48">
        <f>Addition!AS18</f>
        <v>0</v>
      </c>
      <c r="AE17" s="48">
        <f>Addition!AT18</f>
        <v>0</v>
      </c>
      <c r="AF17" s="48">
        <f>Addition!AU18</f>
        <v>0</v>
      </c>
      <c r="AG17" s="48">
        <f>Addition!AV18</f>
        <v>0</v>
      </c>
      <c r="AH17" s="48">
        <f>Addition!AW18</f>
        <v>0</v>
      </c>
      <c r="AI17" s="48">
        <f>Addition!AX18</f>
        <v>0</v>
      </c>
      <c r="AJ17" s="48">
        <f>Addition!AY18</f>
        <v>0</v>
      </c>
      <c r="AK17" s="48">
        <f>Addition!AZ18</f>
        <v>0</v>
      </c>
      <c r="AL17" s="48">
        <f>Addition!BA18</f>
        <v>0</v>
      </c>
      <c r="AM17" s="48">
        <f>Addition!BB18</f>
        <v>0</v>
      </c>
      <c r="AN17" s="48">
        <f>Addition!BC18</f>
        <v>0</v>
      </c>
      <c r="AO17" s="48">
        <f>Addition!BD18</f>
        <v>0</v>
      </c>
      <c r="AP17" s="48">
        <f>Addition!BE18</f>
        <v>0</v>
      </c>
      <c r="AQ17" s="48">
        <f>Addition!BF18</f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16-20统计</vt:lpstr>
      <vt:lpstr>煤油气历年新增</vt:lpstr>
      <vt:lpstr>首批20个太阳能热发电示范项目</vt:lpstr>
      <vt:lpstr>offshore</vt:lpstr>
      <vt:lpstr>Future</vt:lpstr>
      <vt:lpstr>Addition</vt:lpstr>
      <vt:lpstr>BPMCCS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Wang Rui</cp:lastModifiedBy>
  <cp:lastPrinted>2022-03-04T04:53:35Z</cp:lastPrinted>
  <dcterms:created xsi:type="dcterms:W3CDTF">2023-02-28T19:29:26Z</dcterms:created>
  <dcterms:modified xsi:type="dcterms:W3CDTF">2023-03-06T09:39:49Z</dcterms:modified>
</cp:coreProperties>
</file>