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2"/>
  </bookViews>
  <sheets>
    <sheet name="2015-20线路长度" sheetId="1" r:id="rId1"/>
    <sheet name="Capacity by Linetype" sheetId="8" r:id="rId2"/>
    <sheet name="Calculation" sheetId="6" r:id="rId3"/>
    <sheet name="BAU Capacity" sheetId="10" r:id="rId4"/>
    <sheet name="BAU Generation" sheetId="9" r:id="rId5"/>
    <sheet name="BTC" sheetId="7" r:id="rId6"/>
  </sheets>
  <definedNames>
    <definedName name="_xlnm._FilterDatabase" localSheetId="1" hidden="1">'Capacity by Linetype'!$O$1:$AB$12</definedName>
    <definedName name="_xlnm._FilterDatabase" localSheetId="2" hidden="1">Calculation!$AD$1:$AH$15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<sst xmlns="http://schemas.openxmlformats.org/spreadsheetml/2006/main" count="538" uniqueCount="241">
  <si>
    <t>地区</t>
  </si>
  <si>
    <t>年份</t>
  </si>
  <si>
    <t>分地区35千伏及以上输电线路杆路长度</t>
  </si>
  <si>
    <t>35千伏及以上输电线路回路长度</t>
  </si>
  <si>
    <r>
      <rPr>
        <sz val="11"/>
        <rFont val="等线"/>
        <charset val="134"/>
        <scheme val="minor"/>
      </rPr>
      <t>电缆</t>
    </r>
  </si>
  <si>
    <r>
      <rPr>
        <sz val="11"/>
        <rFont val="等线"/>
        <charset val="134"/>
        <scheme val="minor"/>
      </rPr>
      <t>总计</t>
    </r>
  </si>
  <si>
    <r>
      <rPr>
        <sz val="11"/>
        <rFont val="等线"/>
        <charset val="134"/>
        <scheme val="minor"/>
      </rPr>
      <t>一、直流 工程</t>
    </r>
  </si>
  <si>
    <r>
      <rPr>
        <sz val="11"/>
        <rFont val="等线"/>
        <charset val="134"/>
        <scheme val="minor"/>
      </rPr>
      <t>±1000千伏</t>
    </r>
  </si>
  <si>
    <r>
      <rPr>
        <sz val="11"/>
        <rFont val="等线"/>
        <charset val="134"/>
        <scheme val="minor"/>
      </rPr>
      <t>±800千伏</t>
    </r>
  </si>
  <si>
    <r>
      <rPr>
        <sz val="11"/>
        <rFont val="等线"/>
        <charset val="134"/>
        <scheme val="minor"/>
      </rPr>
      <t>±660千伏</t>
    </r>
  </si>
  <si>
    <r>
      <rPr>
        <sz val="11"/>
        <rFont val="等线"/>
        <charset val="134"/>
        <scheme val="minor"/>
      </rPr>
      <t>±500千伏</t>
    </r>
  </si>
  <si>
    <r>
      <rPr>
        <sz val="11"/>
        <rFont val="等线"/>
        <charset val="134"/>
        <scheme val="minor"/>
      </rPr>
      <t>±400千伏</t>
    </r>
  </si>
  <si>
    <r>
      <rPr>
        <sz val="11"/>
        <rFont val="等线"/>
        <charset val="134"/>
        <scheme val="minor"/>
      </rPr>
      <t>土 400千伏 以下</t>
    </r>
  </si>
  <si>
    <r>
      <rPr>
        <sz val="11"/>
        <rFont val="等线"/>
        <charset val="134"/>
        <scheme val="minor"/>
      </rPr>
      <t>二、交 流工程</t>
    </r>
  </si>
  <si>
    <r>
      <rPr>
        <sz val="11"/>
        <rFont val="等线"/>
        <charset val="134"/>
        <scheme val="minor"/>
      </rPr>
      <t>1000千伏</t>
    </r>
  </si>
  <si>
    <r>
      <rPr>
        <sz val="11"/>
        <rFont val="等线"/>
        <charset val="134"/>
        <scheme val="minor"/>
      </rPr>
      <t>750千伏</t>
    </r>
  </si>
  <si>
    <r>
      <rPr>
        <sz val="11"/>
        <rFont val="等线"/>
        <charset val="134"/>
        <scheme val="minor"/>
      </rPr>
      <t>500千伏</t>
    </r>
  </si>
  <si>
    <r>
      <rPr>
        <sz val="11"/>
        <rFont val="等线"/>
        <charset val="134"/>
        <scheme val="minor"/>
      </rPr>
      <t>330千伏</t>
    </r>
  </si>
  <si>
    <r>
      <rPr>
        <sz val="11"/>
        <rFont val="等线"/>
        <charset val="134"/>
        <scheme val="minor"/>
      </rPr>
      <t>220千伏</t>
    </r>
  </si>
  <si>
    <r>
      <rPr>
        <sz val="11"/>
        <rFont val="等线"/>
        <charset val="134"/>
        <scheme val="minor"/>
      </rPr>
      <t>110千伏 (含66千伏）</t>
    </r>
  </si>
  <si>
    <r>
      <rPr>
        <sz val="11"/>
        <rFont val="等线"/>
        <charset val="134"/>
        <scheme val="minor"/>
      </rPr>
      <t>35千伏</t>
    </r>
  </si>
  <si>
    <r>
      <rPr>
        <sz val="11"/>
        <rFont val="等线"/>
        <charset val="134"/>
        <scheme val="minor"/>
      </rPr>
      <t>±1100千伏</t>
    </r>
  </si>
  <si>
    <r>
      <rPr>
        <sz val="11"/>
        <rFont val="等线"/>
        <charset val="134"/>
        <scheme val="minor"/>
      </rPr>
      <t>土 500千伏</t>
    </r>
  </si>
  <si>
    <r>
      <rPr>
        <sz val="11"/>
        <rFont val="等线"/>
        <charset val="134"/>
        <scheme val="minor"/>
      </rPr>
      <t>±400千伏 以下</t>
    </r>
  </si>
  <si>
    <r>
      <rPr>
        <sz val="11"/>
        <rFont val="等线"/>
        <charset val="134"/>
        <scheme val="minor"/>
      </rPr>
      <t>二、交流工 程</t>
    </r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</si>
  <si>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</si>
  <si>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</si>
  <si>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</si>
  <si>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</si>
  <si>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</si>
  <si>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</si>
  <si>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</si>
  <si>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</si>
  <si>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</si>
  <si>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</si>
  <si>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</si>
  <si>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</si>
  <si>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</si>
  <si>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</si>
  <si>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</si>
  <si>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</si>
  <si>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</si>
  <si>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</si>
  <si>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</si>
  <si>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</si>
  <si>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</si>
  <si>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</si>
  <si>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</si>
  <si>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</si>
  <si>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</si>
  <si>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</si>
  <si>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</si>
  <si>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</si>
  <si>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</si>
  <si>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</si>
  <si>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</si>
  <si>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</si>
  <si>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跨区</t>
  </si>
  <si>
    <t>，</t>
  </si>
  <si>
    <r>
      <rPr>
        <sz val="9"/>
        <rFont val="Impact"/>
        <charset val="134"/>
      </rPr>
      <t>j</t>
    </r>
  </si>
  <si>
    <t>Index</t>
  </si>
  <si>
    <t>Item</t>
  </si>
  <si>
    <t>Year</t>
  </si>
  <si>
    <r>
      <rPr>
        <sz val="8"/>
        <rFont val="SimSun"/>
        <charset val="134"/>
      </rPr>
      <t>建设规模</t>
    </r>
  </si>
  <si>
    <r>
      <rPr>
        <sz val="8"/>
        <rFont val="SimSun"/>
        <charset val="134"/>
      </rPr>
      <t>本年施工规模</t>
    </r>
  </si>
  <si>
    <r>
      <rPr>
        <sz val="8"/>
        <rFont val="SimSun"/>
        <charset val="134"/>
      </rPr>
      <t>本年新开工规模</t>
    </r>
  </si>
  <si>
    <r>
      <rPr>
        <sz val="8"/>
        <rFont val="SimSun"/>
        <charset val="134"/>
      </rPr>
      <t>累计新增能力</t>
    </r>
  </si>
  <si>
    <r>
      <rPr>
        <sz val="8"/>
        <rFont val="SimSun"/>
        <charset val="134"/>
      </rPr>
      <t>本年新增能力</t>
    </r>
  </si>
  <si>
    <t>电流</t>
  </si>
  <si>
    <t>电压</t>
  </si>
  <si>
    <t>容量长度比</t>
  </si>
  <si>
    <r>
      <rPr>
        <sz val="11"/>
        <rFont val="等线"/>
        <charset val="134"/>
        <scheme val="minor"/>
      </rPr>
      <t>建设规模</t>
    </r>
  </si>
  <si>
    <r>
      <rPr>
        <sz val="11"/>
        <rFont val="等线"/>
        <charset val="134"/>
        <scheme val="minor"/>
      </rPr>
      <t>本年施工规模</t>
    </r>
  </si>
  <si>
    <r>
      <rPr>
        <sz val="11"/>
        <rFont val="等线"/>
        <charset val="134"/>
        <scheme val="minor"/>
      </rPr>
      <t>本年新开工规模</t>
    </r>
  </si>
  <si>
    <r>
      <rPr>
        <sz val="11"/>
        <rFont val="等线"/>
        <charset val="134"/>
        <scheme val="minor"/>
      </rPr>
      <t>累计新增能力</t>
    </r>
  </si>
  <si>
    <r>
      <rPr>
        <sz val="11"/>
        <rFont val="等线"/>
        <charset val="134"/>
        <scheme val="minor"/>
      </rPr>
      <t>本年新增能力</t>
    </r>
  </si>
  <si>
    <r>
      <rPr>
        <sz val="8"/>
        <rFont val="SimSun"/>
        <charset val="134"/>
      </rPr>
      <t>容量</t>
    </r>
  </si>
  <si>
    <r>
      <rPr>
        <sz val="8"/>
        <rFont val="SimSun"/>
        <charset val="134"/>
      </rPr>
      <t>长度</t>
    </r>
  </si>
  <si>
    <r>
      <rPr>
        <sz val="11"/>
        <rFont val="等线"/>
        <charset val="134"/>
        <scheme val="minor"/>
      </rPr>
      <t>容量</t>
    </r>
  </si>
  <si>
    <r>
      <rPr>
        <sz val="11"/>
        <rFont val="等线"/>
        <charset val="134"/>
        <scheme val="minor"/>
      </rPr>
      <t>长度</t>
    </r>
  </si>
  <si>
    <r>
      <rPr>
        <sz val="8"/>
        <rFont val="SimSun"/>
        <charset val="134"/>
      </rPr>
      <t>全国</t>
    </r>
  </si>
  <si>
    <t>±400千伏</t>
  </si>
  <si>
    <t>直流</t>
  </si>
  <si>
    <r>
      <rPr>
        <sz val="8"/>
        <rFont val="SimSun"/>
        <charset val="134"/>
      </rPr>
      <t>1、直流工程</t>
    </r>
  </si>
  <si>
    <t>±500千伏</t>
  </si>
  <si>
    <r>
      <rPr>
        <sz val="8"/>
        <rFont val="SimSun"/>
        <charset val="134"/>
      </rPr>
      <t>±1100千伏</t>
    </r>
  </si>
  <si>
    <t>±800千伏</t>
  </si>
  <si>
    <r>
      <rPr>
        <sz val="8"/>
        <rFont val="SimSun"/>
        <charset val="134"/>
      </rPr>
      <t>±800千伏</t>
    </r>
  </si>
  <si>
    <t>±1100千伏</t>
  </si>
  <si>
    <r>
      <rPr>
        <sz val="8"/>
        <rFont val="SimSun"/>
        <charset val="134"/>
      </rPr>
      <t>±660千伏</t>
    </r>
  </si>
  <si>
    <t>110千伏（含66千伏）</t>
  </si>
  <si>
    <t>交流</t>
  </si>
  <si>
    <r>
      <rPr>
        <sz val="8"/>
        <rFont val="SimSun"/>
        <charset val="134"/>
      </rPr>
      <t>±500千伏</t>
    </r>
  </si>
  <si>
    <t>220千伏</t>
  </si>
  <si>
    <r>
      <rPr>
        <sz val="8"/>
        <rFont val="SimSun"/>
        <charset val="134"/>
      </rPr>
      <t>±400千伏</t>
    </r>
  </si>
  <si>
    <t>330千伏</t>
  </si>
  <si>
    <r>
      <rPr>
        <sz val="8"/>
        <rFont val="SimSun"/>
        <charset val="134"/>
      </rPr>
      <t>2、交流工程</t>
    </r>
    <r>
      <rPr>
        <sz val="8"/>
        <rFont val="SimSun"/>
        <charset val="134"/>
      </rPr>
      <t>（110</t>
    </r>
    <r>
      <rPr>
        <sz val="8"/>
        <rFont val="SimSun"/>
        <charset val="134"/>
      </rPr>
      <t>千伏及以上）</t>
    </r>
  </si>
  <si>
    <t>500千伏</t>
  </si>
  <si>
    <r>
      <rPr>
        <sz val="8"/>
        <rFont val="SimSun"/>
        <charset val="134"/>
      </rPr>
      <t>1000千伏</t>
    </r>
  </si>
  <si>
    <r>
      <rPr>
        <sz val="8"/>
        <rFont val="SimSun"/>
        <charset val="134"/>
      </rPr>
      <t>750千伏</t>
    </r>
  </si>
  <si>
    <t>1000千伏</t>
  </si>
  <si>
    <r>
      <rPr>
        <sz val="8"/>
        <rFont val="SimSun"/>
        <charset val="134"/>
      </rPr>
      <t>500千伏</t>
    </r>
  </si>
  <si>
    <t>35千伏</t>
  </si>
  <si>
    <r>
      <rPr>
        <sz val="8"/>
        <rFont val="SimSun"/>
        <charset val="134"/>
      </rPr>
      <t>330千伏</t>
    </r>
  </si>
  <si>
    <r>
      <rPr>
        <sz val="8"/>
        <rFont val="SimSun"/>
        <charset val="134"/>
      </rPr>
      <t>220千伏</t>
    </r>
  </si>
  <si>
    <r>
      <rPr>
        <sz val="8"/>
        <rFont val="SimSun"/>
        <charset val="134"/>
      </rPr>
      <t>110千伏（含66千伏）</t>
    </r>
  </si>
  <si>
    <t>电缆</t>
  </si>
  <si>
    <t>miles</t>
  </si>
  <si>
    <t>KV</t>
  </si>
  <si>
    <t>MW Floor</t>
  </si>
  <si>
    <t>MW Ceiling</t>
  </si>
  <si>
    <t>MW Average</t>
  </si>
  <si>
    <t>A Floor (factor = 0.8)</t>
  </si>
  <si>
    <t>A Ceiling (factor = 0.9</t>
  </si>
  <si>
    <t>A Average</t>
  </si>
  <si>
    <t>直流项目名称</t>
  </si>
  <si>
    <t>额定电压</t>
  </si>
  <si>
    <t>传输功率</t>
  </si>
  <si>
    <t>额定电流</t>
  </si>
  <si>
    <t>传输距离</t>
  </si>
  <si>
    <t>400-600</t>
  </si>
  <si>
    <t>舟山直流</t>
  </si>
  <si>
    <t>600-1200</t>
  </si>
  <si>
    <t>灵宝直流</t>
  </si>
  <si>
    <t>宝鸡-德阳</t>
  </si>
  <si>
    <t>葛沪直流</t>
  </si>
  <si>
    <t>宁东-山东</t>
  </si>
  <si>
    <t>MW*miles</t>
  </si>
  <si>
    <t>呼盟-辽宁</t>
  </si>
  <si>
    <t>葛洲坝-上海</t>
  </si>
  <si>
    <t>三常直流</t>
  </si>
  <si>
    <t>银东直流</t>
  </si>
  <si>
    <t>锦屏-苏南</t>
  </si>
  <si>
    <t>云南-广东</t>
  </si>
  <si>
    <t>向家坝-上海</t>
  </si>
  <si>
    <t>滇西北-广东</t>
  </si>
  <si>
    <t>Transmission Capacity</t>
  </si>
  <si>
    <t>Power Generation</t>
  </si>
  <si>
    <t>Generation Capacity</t>
  </si>
  <si>
    <t>BAU Power Generation</t>
  </si>
  <si>
    <t>BAU Capacity</t>
  </si>
  <si>
    <t>Forecasted BTC1</t>
  </si>
  <si>
    <t>Forecasted BTC2</t>
  </si>
  <si>
    <t>Time (Time)</t>
  </si>
  <si>
    <t>Electricity Generation Capacity[hard coal es,preexisting retiring] : MostRecentRun</t>
  </si>
  <si>
    <t>Electricity Generation Capacity[hard coal es,preexisting nonretiring] : MostRecentRun</t>
  </si>
  <si>
    <t>Electricity Generation Capacity[hard coal es,newly built] : MostRecentRun</t>
  </si>
  <si>
    <t>Electricity Generation Capacity[natural gas nonpeaker es,preexisting retiring] : MostRecentRun</t>
  </si>
  <si>
    <t>Electricity Generation Capacity[natural gas nonpeaker es,preexisting nonretiring] : MostRecentRun</t>
  </si>
  <si>
    <t>Electricity Generation Capacity[natural gas nonpeaker es,newly built] : MostRecentRun</t>
  </si>
  <si>
    <t>Electricity Generation Capacity[nuclear es,preexisting retiring] : MostRecentRun</t>
  </si>
  <si>
    <t>Electricity Generation Capacity[nuclear es,preexisting nonretiring] : MostRecentRun</t>
  </si>
  <si>
    <t>Electricity Generation Capacity[nuclear es,newly built] : MostRecentRun</t>
  </si>
  <si>
    <t>Electricity Generation Capacity[hydro es,preexisting retiring] : MostRecentRun</t>
  </si>
  <si>
    <t>Electricity Generation Capacity[hydro es,preexisting nonretiring] : MostRecentRun</t>
  </si>
  <si>
    <t>Electricity Generation Capacity[hydro es,newly built] : MostRecentRun</t>
  </si>
  <si>
    <t>Electricity Generation Capacity[onshore wind es,preexisting retiring] : MostRecentRun</t>
  </si>
  <si>
    <t>Electricity Generation Capacity[onshore wind es,preexisting nonretiring] : MostRecentRun</t>
  </si>
  <si>
    <t>Electricity Generation Capacity[onshore wind es,newly built] : MostRecentRun</t>
  </si>
  <si>
    <t>Electricity Generation Capacity[solar PV es,preexisting retiring] : MostRecentRun</t>
  </si>
  <si>
    <t>Electricity Generation Capacity[solar PV es,preexisting nonretiring] : MostRecentRun</t>
  </si>
  <si>
    <t>Electricity Generation Capacity[solar PV es,newly built] : MostRecentRun</t>
  </si>
  <si>
    <t>Electricity Generation Capacity[solar thermal es,preexisting retiring] : MostRecentRun</t>
  </si>
  <si>
    <t>Electricity Generation Capacity[solar thermal es,preexisting nonretiring] : MostRecentRun</t>
  </si>
  <si>
    <t>Electricity Generation Capacity[solar thermal es,newly built] : MostRecentRun</t>
  </si>
  <si>
    <t>Electricity Generation Capacity[biomass es,preexisting retiring] : MostRecentRun</t>
  </si>
  <si>
    <t>Electricity Generation Capacity[biomass es,preexisting nonretiring] : MostRecentRun</t>
  </si>
  <si>
    <t>Electricity Generation Capacity[biomass es,newly built] : MostRecentRun</t>
  </si>
  <si>
    <t>Electricity Generation Capacity[geothermal es,preexisting retiring] : MostRecentRun</t>
  </si>
  <si>
    <t>Electricity Generation Capacity[geothermal es,preexisting nonretiring] : MostRecentRun</t>
  </si>
  <si>
    <t>Electricity Generation Capacity[geothermal es,newly built] : MostRecentRun</t>
  </si>
  <si>
    <t>Electricity Generation Capacity[petroleum es,preexisting retiring] : MostRecentRun</t>
  </si>
  <si>
    <t>Electricity Generation Capacity[petroleum es,preexisting nonretiring] : MostRecentRun</t>
  </si>
  <si>
    <t>Electricity Generation Capacity[petroleum es,newly built] : MostRecentRun</t>
  </si>
  <si>
    <t>Electricity Generation Capacity[natural gas peaker es,preexisting retiring] : MostRecentRun</t>
  </si>
  <si>
    <t>Electricity Generation Capacity[natural gas peaker es,preexisting nonretiring] : MostRecentRun</t>
  </si>
  <si>
    <t>Electricity Generation Capacity[natural gas peaker es,newly built] : MostRecentRun</t>
  </si>
  <si>
    <t>Electricity Generation Capacity[lignite es,preexisting retiring] : MostRecentRun</t>
  </si>
  <si>
    <t>Electricity Generation Capacity[lignite es,preexisting nonretiring] : MostRecentRun</t>
  </si>
  <si>
    <t>Electricity Generation Capacity[lignite es,newly built] : MostRecentRun</t>
  </si>
  <si>
    <t>Electricity Generation Capacity[offshore wind es,preexisting retiring] : MostRecentRun</t>
  </si>
  <si>
    <t>Electricity Generation Capacity[offshore wind es,preexisting nonretiring] : MostRecentRun</t>
  </si>
  <si>
    <t>Electricity Generation Capacity[offshore wind es,newly built] : MostRecentRun</t>
  </si>
  <si>
    <t>Electricity Generation Capacity[crude oil es,preexisting retiring] : MostRecentRun</t>
  </si>
  <si>
    <t>Electricity Generation Capacity[crude oil es,preexisting nonretiring] : MostRecentRun</t>
  </si>
  <si>
    <t>Electricity Generation Capacity[crude oil es,newly built] : MostRecentRun</t>
  </si>
  <si>
    <t>Electricity Generation Capacity[heavy or residual fuel oil es,preexisting retiring] : MostRecentRun</t>
  </si>
  <si>
    <t>Electricity Generation Capacity[heavy or residual fuel oil es,preexisting nonretiring] : MostRecentRun</t>
  </si>
  <si>
    <t>Electricity Generation Capacity[heavy or residual fuel oil es,newly built] : MostRecentRun</t>
  </si>
  <si>
    <t>Electricity Generation Capacity[municipal solid waste es,preexisting retiring] : MostRecentRun</t>
  </si>
  <si>
    <t>Electricity Generation Capacity[municipal solid waste es,preexisting nonretiring] : MostRecentRun</t>
  </si>
  <si>
    <t>Electricity Generation Capacity[municipal solid waste es,newly built] : MostRecentRun</t>
  </si>
  <si>
    <t>Electricity Generation by Type[hard coal es,preexisting retiring] : MostRecentRun</t>
  </si>
  <si>
    <t>Electricity Generation by Type[hard coal es,preexisting nonretiring] : MostRecentRun</t>
  </si>
  <si>
    <t>Electricity Generation by Type[hard coal es,newly built] : MostRecentRun</t>
  </si>
  <si>
    <t>Electricity Generation by Type[natural gas nonpeaker es,preexisting retiring] : MostRecentRun</t>
  </si>
  <si>
    <t>Electricity Generation by Type[natural gas nonpeaker es,preexisting nonretiring] : MostRecentRun</t>
  </si>
  <si>
    <t>Electricity Generation by Type[natural gas nonpeaker es,newly built] : MostRecentRun</t>
  </si>
  <si>
    <t>Electricity Generation by Type[nuclear es,preexisting retiring] : MostRecentRun</t>
  </si>
  <si>
    <t>Electricity Generation by Type[nuclear es,preexisting nonretiring] : MostRecentRun</t>
  </si>
  <si>
    <t>Electricity Generation by Type[nuclear es,newly built] : MostRecentRun</t>
  </si>
  <si>
    <t>Electricity Generation by Type[hydro es,preexisting retiring] : MostRecentRun</t>
  </si>
  <si>
    <t>Electricity Generation by Type[hydro es,preexisting nonretiring] : MostRecentRun</t>
  </si>
  <si>
    <t>Electricity Generation by Type[hydro es,newly built] : MostRecentRun</t>
  </si>
  <si>
    <t>Electricity Generation by Type[onshore wind es,preexisting retiring] : MostRecentRun</t>
  </si>
  <si>
    <t>Electricity Generation by Type[onshore wind es,preexisting nonretiring] : MostRecentRun</t>
  </si>
  <si>
    <t>Electricity Generation by Type[onshore wind es,newly built] : MostRecentRun</t>
  </si>
  <si>
    <t>Electricity Generation by Type[solar PV es,preexisting retiring] : MostRecentRun</t>
  </si>
  <si>
    <t>Electricity Generation by Type[solar PV es,preexisting nonretiring] : MostRecentRun</t>
  </si>
  <si>
    <t>Electricity Generation by Type[solar PV es,newly built] : MostRecentRun</t>
  </si>
  <si>
    <t>Electricity Generation by Type[solar thermal es,preexisting retiring] : MostRecentRun</t>
  </si>
  <si>
    <t>Electricity Generation by Type[solar thermal es,preexisting nonretiring] : MostRecentRun</t>
  </si>
  <si>
    <t>Electricity Generation by Type[solar thermal es,newly built] : MostRecentRun</t>
  </si>
  <si>
    <t>Electricity Generation by Type[biomass es,preexisting retiring] : MostRecentRun</t>
  </si>
  <si>
    <t>Electricity Generation by Type[biomass es,preexisting nonretiring] : MostRecentRun</t>
  </si>
  <si>
    <t>Electricity Generation by Type[biomass es,newly built] : MostRecentRun</t>
  </si>
  <si>
    <t>Electricity Generation by Type[geothermal es,preexisting retiring] : MostRecentRun</t>
  </si>
  <si>
    <t>Electricity Generation by Type[geothermal es,preexisting nonretiring] : MostRecentRun</t>
  </si>
  <si>
    <t>Electricity Generation by Type[geothermal es,newly built] : MostRecentRun</t>
  </si>
  <si>
    <t>Electricity Generation by Type[petroleum es,preexisting retiring] : MostRecentRun</t>
  </si>
  <si>
    <t>Electricity Generation by Type[petroleum es,preexisting nonretiring] : MostRecentRun</t>
  </si>
  <si>
    <t>Electricity Generation by Type[petroleum es,newly built] : MostRecentRun</t>
  </si>
  <si>
    <t>Electricity Generation by Type[natural gas peaker es,preexisting retiring] : MostRecentRun</t>
  </si>
  <si>
    <t>Electricity Generation by Type[natural gas peaker es,preexisting nonretiring] : MostRecentRun</t>
  </si>
  <si>
    <t>Electricity Generation by Type[natural gas peaker es,newly built] : MostRecentRun</t>
  </si>
  <si>
    <t>Electricity Generation by Type[lignite es,preexisting retiring] : MostRecentRun</t>
  </si>
  <si>
    <t>Electricity Generation by Type[lignite es,preexisting nonretiring] : MostRecentRun</t>
  </si>
  <si>
    <t>Electricity Generation by Type[lignite es,newly built] : MostRecentRun</t>
  </si>
  <si>
    <t>Electricity Generation by Type[offshore wind es,preexisting retiring] : MostRecentRun</t>
  </si>
  <si>
    <t>Electricity Generation by Type[offshore wind es,preexisting nonretiring] : MostRecentRun</t>
  </si>
  <si>
    <t>Electricity Generation by Type[offshore wind es,newly built] : MostRecentRun</t>
  </si>
  <si>
    <t>Electricity Generation by Type[crude oil es,preexisting retiring] : MostRecentRun</t>
  </si>
  <si>
    <t>Electricity Generation by Type[crude oil es,preexisting nonretiring] : MostRecentRun</t>
  </si>
  <si>
    <t>Electricity Generation by Type[crude oil es,newly built] : MostRecentRun</t>
  </si>
  <si>
    <t>Electricity Generation by Type[heavy or residual fuel oil es,preexisting retiring] : MostRecentRun</t>
  </si>
  <si>
    <t>Electricity Generation by Type[heavy or residual fuel oil es,preexisting nonretiring] : MostRecentRun</t>
  </si>
  <si>
    <t>Electricity Generation by Type[heavy or residual fuel oil es,newly built] : MostRecentRun</t>
  </si>
  <si>
    <t>Electricity Generation by Type[municipal solid waste es,preexisting retiring] : MostRecentRun</t>
  </si>
  <si>
    <t>Electricity Generation by Type[municipal solid waste es,preexisting nonretiring] : MostRecentRun</t>
  </si>
  <si>
    <t>Electricity Generation by Type[municipal solid waste es,newly built] : MostRecentRun</t>
  </si>
  <si>
    <t>BAU Transmission Capacity (MW*miles)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</si>
</sst>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7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u/>
      <sz val="12"/>
      <color indexed="12"/>
      <name val="宋体"/>
      <charset val="134"/>
    </font>
    <font>
      <sz val="11"/>
      <name val="等线"/>
      <charset val="134"/>
      <scheme val="minor"/>
    </font>
    <font>
      <sz val="8"/>
      <name val="SimSun"/>
      <charset val="134"/>
    </font>
    <font>
      <sz val="9"/>
      <name val="Impac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right" vertical="center"/>
    </xf>
    <xf numFmtId="0" fontId="0" fillId="0" borderId="1" xfId="0" applyBorder="1">
      <alignment vertical="center"/>
    </xf>
    <xf numFmtId="0" fontId="0" fillId="0" borderId="0" xfId="0" applyFont="1" applyFill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top" indent="3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/>
    </xf>
    <xf numFmtId="0" fontId="2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vertical="top" indent="2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indent="3"/>
    </xf>
    <xf numFmtId="0" fontId="0" fillId="0" borderId="1" xfId="0" applyBorder="1" applyAlignment="1">
      <alignment horizontal="left" vertical="center" indent="4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inden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超链接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'Capacity by Linetype'!$Q$3:$Q$5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800</c:v>
                </c:pt>
              </c:numCache>
            </c:numRef>
          </c:xVal>
          <c:yVal>
            <c:numRef>
              <c:f>'Capacity by Linetype'!$R$3:$R$5</c:f>
              <c:numCache>
                <c:formatCode>General</c:formatCode>
                <c:ptCount val="3"/>
                <c:pt idx="0">
                  <c:v>0.580234771973623</c:v>
                </c:pt>
                <c:pt idx="1">
                  <c:v>0.861285436052802</c:v>
                </c:pt>
                <c:pt idx="2">
                  <c:v>1.06940160957717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'Capacity by Linetype'!$Q$7:$Q$12</c:f>
              <c:numCache>
                <c:formatCode>General</c:formatCode>
                <c:ptCount val="6"/>
                <c:pt idx="0">
                  <c:v>110</c:v>
                </c:pt>
                <c:pt idx="1">
                  <c:v>220</c:v>
                </c:pt>
                <c:pt idx="2">
                  <c:v>330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</c:numCache>
            </c:numRef>
          </c:xVal>
          <c:yVal>
            <c:numRef>
              <c:f>'Capacity by Linetype'!$R$7:$R$12</c:f>
              <c:numCache>
                <c:formatCode>General</c:formatCode>
                <c:ptCount val="6"/>
                <c:pt idx="0">
                  <c:v>0.40852675145614</c:v>
                </c:pt>
                <c:pt idx="1">
                  <c:v>0.493484815446965</c:v>
                </c:pt>
                <c:pt idx="2">
                  <c:v>0.436405281595257</c:v>
                </c:pt>
                <c:pt idx="3">
                  <c:v>1.02905525403942</c:v>
                </c:pt>
                <c:pt idx="4">
                  <c:v>1.11605467703029</c:v>
                </c:pt>
                <c:pt idx="5">
                  <c:v>1.14434423015222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909599"/>
        <c:axId val="900196655"/>
      </c:scatterChart>
      <c:valAx>
        <c:axId val="103190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0196655"/>
        <c:crosses val="autoZero"/>
        <c:crossBetween val="midCat"/>
      </c:valAx>
      <c:valAx>
        <c:axId val="90019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190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9677ee-3b71-4d43-ac07-d364ec8218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交流工程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"电压-功率"</c:f>
              <c:strCache>
                <c:ptCount val="1"/>
                <c:pt idx="0">
                  <c:v>电压-功率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Calculation!$U$2:$U$8</c:f>
              <c:numCache>
                <c:formatCode>General</c:formatCode>
                <c:ptCount val="7"/>
                <c:pt idx="0">
                  <c:v>35</c:v>
                </c:pt>
                <c:pt idx="1">
                  <c:v>110</c:v>
                </c:pt>
                <c:pt idx="2">
                  <c:v>220</c:v>
                </c:pt>
                <c:pt idx="3">
                  <c:v>330</c:v>
                </c:pt>
                <c:pt idx="4">
                  <c:v>500</c:v>
                </c:pt>
                <c:pt idx="5">
                  <c:v>765</c:v>
                </c:pt>
                <c:pt idx="6">
                  <c:v>1100</c:v>
                </c:pt>
              </c:numCache>
            </c:numRef>
          </c:xVal>
          <c:yVal>
            <c:numRef>
              <c:f>Calculation!$X$2:$X$8</c:f>
              <c:numCache>
                <c:formatCode>0_ </c:formatCode>
                <c:ptCount val="7"/>
                <c:pt idx="0">
                  <c:v>8.41145833333333</c:v>
                </c:pt>
                <c:pt idx="1">
                  <c:v>28.9236111111111</c:v>
                </c:pt>
                <c:pt idx="2">
                  <c:v>289.236111111111</c:v>
                </c:pt>
                <c:pt idx="3">
                  <c:v>484.027777777778</c:v>
                </c:pt>
                <c:pt idx="4">
                  <c:v>1239.58333333333</c:v>
                </c:pt>
                <c:pt idx="5">
                  <c:v>2243.05555555556</c:v>
                </c:pt>
                <c:pt idx="6">
                  <c:v>4286.7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"电压-电流"</c:f>
              <c:strCache>
                <c:ptCount val="1"/>
                <c:pt idx="0">
                  <c:v>电压-电流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Calculation!$U$2:$U$8</c:f>
              <c:numCache>
                <c:formatCode>General</c:formatCode>
                <c:ptCount val="7"/>
                <c:pt idx="0">
                  <c:v>35</c:v>
                </c:pt>
                <c:pt idx="1">
                  <c:v>110</c:v>
                </c:pt>
                <c:pt idx="2">
                  <c:v>220</c:v>
                </c:pt>
                <c:pt idx="3">
                  <c:v>330</c:v>
                </c:pt>
                <c:pt idx="4">
                  <c:v>500</c:v>
                </c:pt>
                <c:pt idx="5">
                  <c:v>765</c:v>
                </c:pt>
                <c:pt idx="6">
                  <c:v>1100</c:v>
                </c:pt>
              </c:numCache>
            </c:numRef>
          </c:xVal>
          <c:yVal>
            <c:numRef>
              <c:f>Calculation!$AA$2:$AA$8</c:f>
              <c:numCache>
                <c:formatCode>0_ </c:formatCode>
                <c:ptCount val="7"/>
                <c:pt idx="0">
                  <c:v>163.243703948092</c:v>
                </c:pt>
                <c:pt idx="1">
                  <c:v>178.604754239858</c:v>
                </c:pt>
                <c:pt idx="2">
                  <c:v>893.023771199291</c:v>
                </c:pt>
                <c:pt idx="3">
                  <c:v>996.298629093086</c:v>
                </c:pt>
                <c:pt idx="4">
                  <c:v>1683.98768283295</c:v>
                </c:pt>
                <c:pt idx="5">
                  <c:v>1991.64431832095</c:v>
                </c:pt>
                <c:pt idx="6">
                  <c:v>2500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86352"/>
        <c:axId val="365686768"/>
      </c:scatterChart>
      <c:valAx>
        <c:axId val="36568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686768"/>
        <c:crosses val="autoZero"/>
        <c:crossBetween val="midCat"/>
      </c:valAx>
      <c:valAx>
        <c:axId val="3656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68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3cb61bf-3299-4df6-91c0-c5bfe56463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直流工程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1"/>
          <c:order val="1"/>
          <c:tx>
            <c:strRef>
              <c:f>"电压-电流"</c:f>
              <c:strCache>
                <c:ptCount val="1"/>
                <c:pt idx="0">
                  <c:v>电压-电流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Calculation!$AE$2:$AE$15</c:f>
              <c:numCache>
                <c:formatCode>General</c:formatCode>
                <c:ptCount val="14"/>
                <c:pt idx="0">
                  <c:v>100</c:v>
                </c:pt>
                <c:pt idx="1">
                  <c:v>125</c:v>
                </c:pt>
                <c:pt idx="2">
                  <c:v>320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660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</c:numCache>
            </c:numRef>
          </c:xVal>
          <c:yVal>
            <c:numRef>
              <c:f>Calculation!$AG$2:$AG$15</c:f>
              <c:numCache>
                <c:formatCode>0_);[Red]\(0\)</c:formatCode>
                <c:ptCount val="14"/>
                <c:pt idx="0">
                  <c:v>500</c:v>
                </c:pt>
                <c:pt idx="1">
                  <c:v>3000</c:v>
                </c:pt>
                <c:pt idx="2">
                  <c:v>1562.5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1200</c:v>
                </c:pt>
                <c:pt idx="8">
                  <c:v>3000</c:v>
                </c:pt>
                <c:pt idx="9">
                  <c:v>3030.30303030303</c:v>
                </c:pt>
                <c:pt idx="10">
                  <c:v>4000</c:v>
                </c:pt>
                <c:pt idx="11">
                  <c:v>3200</c:v>
                </c:pt>
                <c:pt idx="12">
                  <c:v>4000</c:v>
                </c:pt>
                <c:pt idx="13">
                  <c:v>3125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686464"/>
        <c:axId val="694707232"/>
      </c:scatterChart>
      <c:scatterChart>
        <c:scatterStyle val="marker"/>
        <c:varyColors val="0"/>
        <c:ser>
          <c:idx val="0"/>
          <c:order val="0"/>
          <c:tx>
            <c:strRef>
              <c:f>"电压-功率"</c:f>
              <c:strCache>
                <c:ptCount val="1"/>
                <c:pt idx="0">
                  <c:v>电压-功率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Calculation!$AE$2:$AE$15</c:f>
              <c:numCache>
                <c:formatCode>General</c:formatCode>
                <c:ptCount val="14"/>
                <c:pt idx="0">
                  <c:v>100</c:v>
                </c:pt>
                <c:pt idx="1">
                  <c:v>125</c:v>
                </c:pt>
                <c:pt idx="2">
                  <c:v>320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660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</c:numCache>
            </c:numRef>
          </c:xVal>
          <c:yVal>
            <c:numRef>
              <c:f>Calculation!$AF$2:$AF$15</c:f>
              <c:numCache>
                <c:formatCode>0_);[Red]\(0\)</c:formatCode>
                <c:ptCount val="14"/>
                <c:pt idx="0">
                  <c:v>100</c:v>
                </c:pt>
                <c:pt idx="1">
                  <c:v>750</c:v>
                </c:pt>
                <c:pt idx="2">
                  <c:v>1000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1200</c:v>
                </c:pt>
                <c:pt idx="8">
                  <c:v>3000</c:v>
                </c:pt>
                <c:pt idx="9">
                  <c:v>4000</c:v>
                </c:pt>
                <c:pt idx="10">
                  <c:v>6400</c:v>
                </c:pt>
                <c:pt idx="11">
                  <c:v>5000</c:v>
                </c:pt>
                <c:pt idx="12">
                  <c:v>6400</c:v>
                </c:pt>
                <c:pt idx="13">
                  <c:v>5000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713472"/>
        <c:axId val="694712224"/>
      </c:scatterChart>
      <c:valAx>
        <c:axId val="72068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4707232"/>
        <c:crosses val="autoZero"/>
        <c:crossBetween val="midCat"/>
      </c:valAx>
      <c:valAx>
        <c:axId val="6947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686464"/>
        <c:crosses val="autoZero"/>
        <c:crossBetween val="midCat"/>
      </c:valAx>
      <c:valAx>
        <c:axId val="69471347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4712224"/>
        <c:crosses val="max"/>
        <c:crossBetween val="midCat"/>
      </c:valAx>
      <c:valAx>
        <c:axId val="694712224"/>
        <c:scaling>
          <c:orientation val="minMax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4713472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f8629c-0e82-4e9e-a80a-281e2c7504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Rated</a:t>
            </a:r>
            <a:r>
              <a:rPr lang="en-US" baseline="0"/>
              <a:t> Voltage vs Current for existing HV Projects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"HVAC"</c:f>
              <c:strCache>
                <c:ptCount val="1"/>
                <c:pt idx="0">
                  <c:v>HVAC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Calculation!$AJ$2:$AJ$15</c:f>
              <c:numCache>
                <c:formatCode>General</c:formatCode>
                <c:ptCount val="14"/>
                <c:pt idx="0">
                  <c:v>35</c:v>
                </c:pt>
                <c:pt idx="1">
                  <c:v>110</c:v>
                </c:pt>
                <c:pt idx="2">
                  <c:v>220</c:v>
                </c:pt>
                <c:pt idx="3">
                  <c:v>330</c:v>
                </c:pt>
                <c:pt idx="4">
                  <c:v>500</c:v>
                </c:pt>
                <c:pt idx="5">
                  <c:v>765</c:v>
                </c:pt>
                <c:pt idx="6">
                  <c:v>1100</c:v>
                </c:pt>
              </c:numCache>
            </c:numRef>
          </c:xVal>
          <c:yVal>
            <c:numRef>
              <c:f>Calculation!$AK$2:$AK$15</c:f>
              <c:numCache>
                <c:formatCode>0_ </c:formatCode>
                <c:ptCount val="14"/>
                <c:pt idx="0">
                  <c:v>163.243703948092</c:v>
                </c:pt>
                <c:pt idx="1">
                  <c:v>178.604754239858</c:v>
                </c:pt>
                <c:pt idx="2">
                  <c:v>893.023771199291</c:v>
                </c:pt>
                <c:pt idx="3">
                  <c:v>996.298629093086</c:v>
                </c:pt>
                <c:pt idx="4">
                  <c:v>1683.98768283295</c:v>
                </c:pt>
                <c:pt idx="5">
                  <c:v>1991.64431832095</c:v>
                </c:pt>
                <c:pt idx="6">
                  <c:v>2500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"HVDC"</c:f>
              <c:strCache>
                <c:ptCount val="1"/>
                <c:pt idx="0">
                  <c:v>HVDC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Calculation!$AL$2:$AL$15</c:f>
              <c:numCache>
                <c:formatCode>General</c:formatCode>
                <c:ptCount val="14"/>
                <c:pt idx="0">
                  <c:v>100</c:v>
                </c:pt>
                <c:pt idx="1">
                  <c:v>125</c:v>
                </c:pt>
                <c:pt idx="2">
                  <c:v>320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660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</c:numCache>
            </c:numRef>
          </c:xVal>
          <c:yVal>
            <c:numRef>
              <c:f>Calculation!$AM$2:$AM$15</c:f>
              <c:numCache>
                <c:formatCode>0_);[Red]\(0\)</c:formatCode>
                <c:ptCount val="14"/>
                <c:pt idx="0">
                  <c:v>500</c:v>
                </c:pt>
                <c:pt idx="1">
                  <c:v>3000</c:v>
                </c:pt>
                <c:pt idx="2">
                  <c:v>1562.5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1200</c:v>
                </c:pt>
                <c:pt idx="8">
                  <c:v>3000</c:v>
                </c:pt>
                <c:pt idx="9">
                  <c:v>3030.30303030303</c:v>
                </c:pt>
                <c:pt idx="10">
                  <c:v>4000</c:v>
                </c:pt>
                <c:pt idx="11">
                  <c:v>3200</c:v>
                </c:pt>
                <c:pt idx="12">
                  <c:v>4000</c:v>
                </c:pt>
                <c:pt idx="13">
                  <c:v>3125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695824"/>
        <c:axId val="1136701232"/>
      </c:scatterChart>
      <c:valAx>
        <c:axId val="113669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6701232"/>
        <c:crosses val="autoZero"/>
        <c:crossBetween val="midCat"/>
      </c:valAx>
      <c:valAx>
        <c:axId val="113670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669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864577-3e14-49f8-b782-9e69616855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线路长度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Calculation!$B$1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Calculation!$B$2:$B$6</c:f>
              <c:numCache>
                <c:formatCode>General</c:formatCode>
                <c:ptCount val="5"/>
                <c:pt idx="0">
                  <c:v>1696849</c:v>
                </c:pt>
                <c:pt idx="1">
                  <c:v>1756141</c:v>
                </c:pt>
                <c:pt idx="2">
                  <c:v>1825611</c:v>
                </c:pt>
                <c:pt idx="3">
                  <c:v>1892018</c:v>
                </c:pt>
                <c:pt idx="4">
                  <c:v>1975312</c:v>
                </c:pt>
              </c:numCache>
            </c:numRef>
          </c:val>
        </c:ser>
        <c:ser>
          <c:idx val="1"/>
          <c:order val="1"/>
          <c:tx>
            <c:strRef>
              <c:f>Calculation!$C$1</c:f>
              <c:strCache>
                <c:ptCount val="1"/>
                <c:pt idx="0">
                  <c:v>一、直流 工程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Calculation!$C$2:$C$6</c:f>
              <c:numCache>
                <c:formatCode>General</c:formatCode>
                <c:ptCount val="5"/>
                <c:pt idx="0">
                  <c:v>25428</c:v>
                </c:pt>
                <c:pt idx="1">
                  <c:v>28808</c:v>
                </c:pt>
                <c:pt idx="2">
                  <c:v>37400</c:v>
                </c:pt>
                <c:pt idx="3">
                  <c:v>41995</c:v>
                </c:pt>
                <c:pt idx="4">
                  <c:v>42364</c:v>
                </c:pt>
              </c:numCache>
            </c:numRef>
          </c:val>
        </c:ser>
        <c:ser>
          <c:idx val="2"/>
          <c:order val="2"/>
          <c:tx>
            <c:strRef>
              <c:f>Calculation!$D$1</c:f>
              <c:strCache>
                <c:ptCount val="1"/>
                <c:pt idx="0">
                  <c:v>±1100千伏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608</c:v>
                </c:pt>
                <c:pt idx="4">
                  <c:v>3295</c:v>
                </c:pt>
              </c:numCache>
            </c:numRef>
          </c:val>
        </c:ser>
        <c:ser>
          <c:idx val="3"/>
          <c:order val="3"/>
          <c:tx>
            <c:strRef>
              <c:f>Calculation!$E$1</c:f>
              <c:strCache>
                <c:ptCount val="1"/>
                <c:pt idx="0">
                  <c:v>±800千伏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Calculation!$E$2:$E$6</c:f>
              <c:numCache>
                <c:formatCode>General</c:formatCode>
                <c:ptCount val="5"/>
                <c:pt idx="0">
                  <c:v>10580</c:v>
                </c:pt>
                <c:pt idx="1">
                  <c:v>12295</c:v>
                </c:pt>
                <c:pt idx="2">
                  <c:v>20874</c:v>
                </c:pt>
                <c:pt idx="3">
                  <c:v>21723</c:v>
                </c:pt>
                <c:pt idx="4">
                  <c:v>21907</c:v>
                </c:pt>
              </c:numCache>
            </c:numRef>
          </c:val>
        </c:ser>
        <c:ser>
          <c:idx val="4"/>
          <c:order val="4"/>
          <c:tx>
            <c:strRef>
              <c:f>Calculation!$F$1</c:f>
              <c:strCache>
                <c:ptCount val="1"/>
                <c:pt idx="0">
                  <c:v>±660千伏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Calculation!$F$2:$F$6</c:f>
              <c:numCache>
                <c:formatCode>General</c:formatCode>
                <c:ptCount val="5"/>
                <c:pt idx="0">
                  <c:v>1336</c:v>
                </c:pt>
                <c:pt idx="1">
                  <c:v>1334</c:v>
                </c:pt>
                <c:pt idx="2">
                  <c:v>1334</c:v>
                </c:pt>
                <c:pt idx="3">
                  <c:v>2091</c:v>
                </c:pt>
                <c:pt idx="4">
                  <c:v>1334</c:v>
                </c:pt>
              </c:numCache>
            </c:numRef>
          </c:val>
        </c:ser>
        <c:ser>
          <c:idx val="5"/>
          <c:order val="5"/>
          <c:tx>
            <c:strRef>
              <c:f>Calculation!$G$1</c:f>
              <c:strCache>
                <c:ptCount val="1"/>
                <c:pt idx="0">
                  <c:v>±500千伏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Calculation!$G$2:$G$6</c:f>
              <c:numCache>
                <c:formatCode>General</c:formatCode>
                <c:ptCount val="5"/>
                <c:pt idx="0">
                  <c:v>11872</c:v>
                </c:pt>
                <c:pt idx="1">
                  <c:v>13539</c:v>
                </c:pt>
                <c:pt idx="2">
                  <c:v>13552</c:v>
                </c:pt>
                <c:pt idx="3">
                  <c:v>15428</c:v>
                </c:pt>
                <c:pt idx="4">
                  <c:v>13733</c:v>
                </c:pt>
              </c:numCache>
            </c:numRef>
          </c:val>
        </c:ser>
        <c:ser>
          <c:idx val="6"/>
          <c:order val="6"/>
          <c:tx>
            <c:strRef>
              <c:f>Calculation!$H$1</c:f>
              <c:strCache>
                <c:ptCount val="1"/>
                <c:pt idx="0">
                  <c:v>±400千伏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Calculation!$H$2:$H$6</c:f>
              <c:numCache>
                <c:formatCode>General</c:formatCode>
                <c:ptCount val="5"/>
                <c:pt idx="0">
                  <c:v>1640</c:v>
                </c:pt>
                <c:pt idx="1">
                  <c:v>1640</c:v>
                </c:pt>
                <c:pt idx="2">
                  <c:v>1640</c:v>
                </c:pt>
                <c:pt idx="3">
                  <c:v>1640</c:v>
                </c:pt>
                <c:pt idx="4">
                  <c:v>1639</c:v>
                </c:pt>
              </c:numCache>
            </c:numRef>
          </c:val>
        </c:ser>
        <c:ser>
          <c:idx val="7"/>
          <c:order val="7"/>
          <c:tx>
            <c:strRef>
              <c:f>Calculation!$I$1</c:f>
              <c:strCache>
                <c:ptCount val="1"/>
                <c:pt idx="0">
                  <c:v>±400千伏 以下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Calculation!$I$2:$I$6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506</c:v>
                </c:pt>
                <c:pt idx="4">
                  <c:v>457</c:v>
                </c:pt>
              </c:numCache>
            </c:numRef>
          </c:val>
        </c:ser>
        <c:ser>
          <c:idx val="8"/>
          <c:order val="8"/>
          <c:tx>
            <c:strRef>
              <c:f>Calculation!$J$1</c:f>
              <c:strCache>
                <c:ptCount val="1"/>
                <c:pt idx="0">
                  <c:v>二、交流工 程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Calculation!$J$2:$J$6</c:f>
              <c:numCache>
                <c:formatCode>General</c:formatCode>
                <c:ptCount val="5"/>
                <c:pt idx="0">
                  <c:v>1671419</c:v>
                </c:pt>
                <c:pt idx="1">
                  <c:v>1727335</c:v>
                </c:pt>
                <c:pt idx="2">
                  <c:v>1788211</c:v>
                </c:pt>
                <c:pt idx="3">
                  <c:v>1850022</c:v>
                </c:pt>
                <c:pt idx="4">
                  <c:v>1932947</c:v>
                </c:pt>
              </c:numCache>
            </c:numRef>
          </c:val>
        </c:ser>
        <c:ser>
          <c:idx val="9"/>
          <c:order val="9"/>
          <c:tx>
            <c:strRef>
              <c:f>Calculation!$K$1</c:f>
              <c:strCache>
                <c:ptCount val="1"/>
                <c:pt idx="0">
                  <c:v>1000千伏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Calculation!$K$2:$K$6</c:f>
              <c:numCache>
                <c:formatCode>General</c:formatCode>
                <c:ptCount val="5"/>
                <c:pt idx="0">
                  <c:v>3114</c:v>
                </c:pt>
                <c:pt idx="1">
                  <c:v>7245</c:v>
                </c:pt>
                <c:pt idx="2">
                  <c:v>10073</c:v>
                </c:pt>
                <c:pt idx="3">
                  <c:v>10396</c:v>
                </c:pt>
                <c:pt idx="4">
                  <c:v>10872</c:v>
                </c:pt>
              </c:numCache>
            </c:numRef>
          </c:val>
        </c:ser>
        <c:ser>
          <c:idx val="10"/>
          <c:order val="10"/>
          <c:tx>
            <c:strRef>
              <c:f>Calculation!$L$1</c:f>
              <c:strCache>
                <c:ptCount val="1"/>
                <c:pt idx="0">
                  <c:v>750千伏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Calculation!$L$2:$L$6</c:f>
              <c:numCache>
                <c:formatCode>General</c:formatCode>
                <c:ptCount val="5"/>
                <c:pt idx="0">
                  <c:v>15665</c:v>
                </c:pt>
                <c:pt idx="1">
                  <c:v>17968</c:v>
                </c:pt>
                <c:pt idx="2">
                  <c:v>18830</c:v>
                </c:pt>
                <c:pt idx="3">
                  <c:v>20543</c:v>
                </c:pt>
                <c:pt idx="4">
                  <c:v>23256</c:v>
                </c:pt>
              </c:numCache>
            </c:numRef>
          </c:val>
        </c:ser>
        <c:ser>
          <c:idx val="11"/>
          <c:order val="11"/>
          <c:tx>
            <c:strRef>
              <c:f>Calculation!$M$1</c:f>
              <c:strCache>
                <c:ptCount val="1"/>
                <c:pt idx="0">
                  <c:v>500千伏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Calculation!$M$2:$M$6</c:f>
              <c:numCache>
                <c:formatCode>General</c:formatCode>
                <c:ptCount val="5"/>
                <c:pt idx="0">
                  <c:v>157973</c:v>
                </c:pt>
                <c:pt idx="1">
                  <c:v>165875</c:v>
                </c:pt>
                <c:pt idx="2">
                  <c:v>173771</c:v>
                </c:pt>
                <c:pt idx="3">
                  <c:v>187158</c:v>
                </c:pt>
                <c:pt idx="4">
                  <c:v>195636</c:v>
                </c:pt>
              </c:numCache>
            </c:numRef>
          </c:val>
        </c:ser>
        <c:ser>
          <c:idx val="12"/>
          <c:order val="12"/>
          <c:tx>
            <c:strRef>
              <c:f>Calculation!$N$1</c:f>
              <c:strCache>
                <c:ptCount val="1"/>
                <c:pt idx="0">
                  <c:v>330千伏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Calculation!$N$2:$N$6</c:f>
              <c:numCache>
                <c:formatCode>General</c:formatCode>
                <c:ptCount val="5"/>
                <c:pt idx="0">
                  <c:v>26811</c:v>
                </c:pt>
                <c:pt idx="1">
                  <c:v>28366</c:v>
                </c:pt>
                <c:pt idx="2">
                  <c:v>30183</c:v>
                </c:pt>
                <c:pt idx="3">
                  <c:v>30477</c:v>
                </c:pt>
                <c:pt idx="4">
                  <c:v>32314</c:v>
                </c:pt>
              </c:numCache>
            </c:numRef>
          </c:val>
        </c:ser>
        <c:ser>
          <c:idx val="13"/>
          <c:order val="13"/>
          <c:tx>
            <c:strRef>
              <c:f>Calculation!$O$1</c:f>
              <c:strCache>
                <c:ptCount val="1"/>
                <c:pt idx="0">
                  <c:v>220千伏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Calculation!$O$2:$O$6</c:f>
              <c:numCache>
                <c:formatCode>General</c:formatCode>
                <c:ptCount val="5"/>
                <c:pt idx="0">
                  <c:v>380121</c:v>
                </c:pt>
                <c:pt idx="1">
                  <c:v>397050</c:v>
                </c:pt>
                <c:pt idx="2">
                  <c:v>415311</c:v>
                </c:pt>
                <c:pt idx="3">
                  <c:v>434493</c:v>
                </c:pt>
                <c:pt idx="4">
                  <c:v>454585</c:v>
                </c:pt>
              </c:numCache>
            </c:numRef>
          </c:val>
        </c:ser>
        <c:ser>
          <c:idx val="14"/>
          <c:order val="14"/>
          <c:tx>
            <c:strRef>
              <c:f>Calculation!$P$1</c:f>
              <c:strCache>
                <c:ptCount val="1"/>
                <c:pt idx="0">
                  <c:v>110千伏（含66千伏）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Calculation!$P$2:$P$6</c:f>
              <c:numCache>
                <c:formatCode>General</c:formatCode>
                <c:ptCount val="5"/>
                <c:pt idx="0">
                  <c:v>591637</c:v>
                </c:pt>
                <c:pt idx="1">
                  <c:v>611431</c:v>
                </c:pt>
                <c:pt idx="2">
                  <c:v>631361</c:v>
                </c:pt>
                <c:pt idx="3">
                  <c:v>652891</c:v>
                </c:pt>
                <c:pt idx="4">
                  <c:v>684406</c:v>
                </c:pt>
              </c:numCache>
            </c:numRef>
          </c:val>
        </c:ser>
        <c:ser>
          <c:idx val="15"/>
          <c:order val="15"/>
          <c:tx>
            <c:strRef>
              <c:f>Calculation!$Q$1</c:f>
              <c:strCache>
                <c:ptCount val="1"/>
                <c:pt idx="0">
                  <c:v>35千伏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Calculation!$Q$2:$Q$6</c:f>
              <c:numCache>
                <c:formatCode>General</c:formatCode>
                <c:ptCount val="5"/>
                <c:pt idx="0">
                  <c:v>496098</c:v>
                </c:pt>
                <c:pt idx="1">
                  <c:v>499400</c:v>
                </c:pt>
                <c:pt idx="2">
                  <c:v>508682</c:v>
                </c:pt>
                <c:pt idx="3">
                  <c:v>514066</c:v>
                </c:pt>
                <c:pt idx="4">
                  <c:v>531880</c:v>
                </c:pt>
              </c:numCache>
            </c:numRef>
          </c:val>
        </c:ser>
        <c:ser>
          <c:idx val="16"/>
          <c:order val="16"/>
          <c:tx>
            <c:strRef>
              <c:f>Calculation!$R$1</c:f>
              <c:strCache>
                <c:ptCount val="1"/>
                <c:pt idx="0">
                  <c:v>电缆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Calculation!$A$2:$A$6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Calculation!$R$2:$R$6</c:f>
              <c:numCache>
                <c:formatCode>General</c:formatCode>
                <c:ptCount val="5"/>
                <c:pt idx="0">
                  <c:v>50063</c:v>
                </c:pt>
                <c:pt idx="1">
                  <c:v>57933</c:v>
                </c:pt>
                <c:pt idx="2">
                  <c:v>62760</c:v>
                </c:pt>
                <c:pt idx="3">
                  <c:v>62760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549391"/>
        <c:axId val="2066537327"/>
      </c:areaChart>
      <c:catAx>
        <c:axId val="2066549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6537327"/>
        <c:crosses val="autoZero"/>
        <c:auto val="1"/>
        <c:lblAlgn val="ctr"/>
        <c:lblOffset val="100"/>
        <c:noMultiLvlLbl val="0"/>
      </c:catAx>
      <c:valAx>
        <c:axId val="206653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6549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fb31f49-d8c1-4223-aad6-c21d93695d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线路容量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43556645583237"/>
          <c:y val="0.141177678877097"/>
          <c:w val="0.880671657846048"/>
          <c:h val="0.575041081821294"/>
        </c:manualLayout>
      </c:layout>
      <c:areaChart>
        <c:grouping val="stacked"/>
        <c:varyColors val="0"/>
        <c:ser>
          <c:idx val="0"/>
          <c:order val="0"/>
          <c:tx>
            <c:strRef>
              <c:f>Calculation!$B$1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Calculation!$B$9:$B$13</c:f>
              <c:numCache>
                <c:formatCode>General</c:formatCode>
                <c:ptCount val="5"/>
                <c:pt idx="0">
                  <c:v>816242.064972027</c:v>
                </c:pt>
                <c:pt idx="1">
                  <c:v>853175.588135662</c:v>
                </c:pt>
                <c:pt idx="2">
                  <c:v>895772.070552266</c:v>
                </c:pt>
                <c:pt idx="3">
                  <c:v>935765.71743051</c:v>
                </c:pt>
                <c:pt idx="4">
                  <c:v>977101.947663885</c:v>
                </c:pt>
              </c:numCache>
            </c:numRef>
          </c:val>
        </c:ser>
        <c:ser>
          <c:idx val="1"/>
          <c:order val="1"/>
          <c:tx>
            <c:strRef>
              <c:f>Calculation!$C$1</c:f>
              <c:strCache>
                <c:ptCount val="1"/>
                <c:pt idx="0">
                  <c:v>一、直流 工程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Calculation!$C$9:$C$13</c:f>
              <c:numCache>
                <c:formatCode>General</c:formatCode>
                <c:ptCount val="5"/>
                <c:pt idx="0">
                  <c:v>23780.7336986629</c:v>
                </c:pt>
                <c:pt idx="1">
                  <c:v>27048.5895939421</c:v>
                </c:pt>
                <c:pt idx="2">
                  <c:v>36234.1827131733</c:v>
                </c:pt>
                <c:pt idx="3">
                  <c:v>39958.7125854597</c:v>
                </c:pt>
                <c:pt idx="4">
                  <c:v>39378.7133907023</c:v>
                </c:pt>
              </c:numCache>
            </c:numRef>
          </c:val>
        </c:ser>
        <c:ser>
          <c:idx val="2"/>
          <c:order val="2"/>
          <c:tx>
            <c:strRef>
              <c:f>Calculation!$D$1</c:f>
              <c:strCache>
                <c:ptCount val="1"/>
                <c:pt idx="0">
                  <c:v>±1100千伏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Calculation!$D$9:$D$13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323.271983640082</c:v>
                </c:pt>
                <c:pt idx="4">
                  <c:v>1751.9427402863</c:v>
                </c:pt>
              </c:numCache>
            </c:numRef>
          </c:val>
        </c:ser>
        <c:ser>
          <c:idx val="3"/>
          <c:order val="3"/>
          <c:tx>
            <c:strRef>
              <c:f>Calculation!$E$1</c:f>
              <c:strCache>
                <c:ptCount val="1"/>
                <c:pt idx="0">
                  <c:v>±800千伏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Calculation!$E$9:$E$13</c:f>
              <c:numCache>
                <c:formatCode>General</c:formatCode>
                <c:ptCount val="5"/>
                <c:pt idx="0">
                  <c:v>11314.2690293264</c:v>
                </c:pt>
                <c:pt idx="1">
                  <c:v>13148.2927897513</c:v>
                </c:pt>
                <c:pt idx="2">
                  <c:v>22322.6891983138</c:v>
                </c:pt>
                <c:pt idx="3">
                  <c:v>23230.6111648448</c:v>
                </c:pt>
                <c:pt idx="4">
                  <c:v>23427.381061007</c:v>
                </c:pt>
              </c:numCache>
            </c:numRef>
          </c:val>
        </c:ser>
        <c:ser>
          <c:idx val="4"/>
          <c:order val="4"/>
          <c:tx>
            <c:strRef>
              <c:f>Calculation!$F$1</c:f>
              <c:strCache>
                <c:ptCount val="1"/>
                <c:pt idx="0">
                  <c:v>±660千伏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Calculation!$F$9:$F$13</c:f>
              <c:numCache>
                <c:formatCode>General</c:formatCode>
                <c:ptCount val="5"/>
                <c:pt idx="0">
                  <c:v>1289.69894648082</c:v>
                </c:pt>
                <c:pt idx="1">
                  <c:v>1287.76825943519</c:v>
                </c:pt>
                <c:pt idx="2">
                  <c:v>1287.76825943519</c:v>
                </c:pt>
                <c:pt idx="3">
                  <c:v>2018.53330620613</c:v>
                </c:pt>
                <c:pt idx="4">
                  <c:v>1287.76825943519</c:v>
                </c:pt>
              </c:numCache>
            </c:numRef>
          </c:val>
        </c:ser>
        <c:ser>
          <c:idx val="5"/>
          <c:order val="5"/>
          <c:tx>
            <c:strRef>
              <c:f>Calculation!$G$1</c:f>
              <c:strCache>
                <c:ptCount val="1"/>
                <c:pt idx="0">
                  <c:v>±500千伏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Calculation!$G$9:$G$13</c:f>
              <c:numCache>
                <c:formatCode>General</c:formatCode>
                <c:ptCount val="5"/>
                <c:pt idx="0">
                  <c:v>10225.1806968189</c:v>
                </c:pt>
                <c:pt idx="1">
                  <c:v>11660.9435187189</c:v>
                </c:pt>
                <c:pt idx="2">
                  <c:v>11672.1402293876</c:v>
                </c:pt>
                <c:pt idx="3">
                  <c:v>13287.9117074226</c:v>
                </c:pt>
                <c:pt idx="4">
                  <c:v>11828.0328933131</c:v>
                </c:pt>
              </c:numCache>
            </c:numRef>
          </c:val>
        </c:ser>
        <c:ser>
          <c:idx val="6"/>
          <c:order val="6"/>
          <c:tx>
            <c:strRef>
              <c:f>Calculation!$H$1</c:f>
              <c:strCache>
                <c:ptCount val="1"/>
                <c:pt idx="0">
                  <c:v>±400千伏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Calculation!$H$9:$H$13</c:f>
              <c:numCache>
                <c:formatCode>General</c:formatCode>
                <c:ptCount val="5"/>
                <c:pt idx="0">
                  <c:v>951.585026036741</c:v>
                </c:pt>
                <c:pt idx="1">
                  <c:v>951.585026036741</c:v>
                </c:pt>
                <c:pt idx="2">
                  <c:v>951.585026036741</c:v>
                </c:pt>
                <c:pt idx="3">
                  <c:v>951.585026036741</c:v>
                </c:pt>
                <c:pt idx="4">
                  <c:v>951.004791264768</c:v>
                </c:pt>
              </c:numCache>
            </c:numRef>
          </c:val>
        </c:ser>
        <c:ser>
          <c:idx val="7"/>
          <c:order val="7"/>
          <c:tx>
            <c:strRef>
              <c:f>Calculation!$I$1</c:f>
              <c:strCache>
                <c:ptCount val="1"/>
                <c:pt idx="0">
                  <c:v>±400千伏 以下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Calculation!$I$9:$I$13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146.799397309327</c:v>
                </c:pt>
                <c:pt idx="4">
                  <c:v>132.583645395973</c:v>
                </c:pt>
              </c:numCache>
            </c:numRef>
          </c:val>
        </c:ser>
        <c:ser>
          <c:idx val="8"/>
          <c:order val="8"/>
          <c:tx>
            <c:strRef>
              <c:f>Calculation!$J$1</c:f>
              <c:strCache>
                <c:ptCount val="1"/>
                <c:pt idx="0">
                  <c:v>二、交流工 程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Calculation!$J$9:$J$13</c:f>
              <c:numCache>
                <c:formatCode>General</c:formatCode>
                <c:ptCount val="5"/>
                <c:pt idx="0">
                  <c:v>792461.331273364</c:v>
                </c:pt>
                <c:pt idx="1">
                  <c:v>826126.99854172</c:v>
                </c:pt>
                <c:pt idx="2">
                  <c:v>859537.887839093</c:v>
                </c:pt>
                <c:pt idx="3">
                  <c:v>895807.004845051</c:v>
                </c:pt>
                <c:pt idx="4">
                  <c:v>937723.234273183</c:v>
                </c:pt>
              </c:numCache>
            </c:numRef>
          </c:val>
        </c:ser>
        <c:ser>
          <c:idx val="9"/>
          <c:order val="9"/>
          <c:tx>
            <c:strRef>
              <c:f>Calculation!$K$1</c:f>
              <c:strCache>
                <c:ptCount val="1"/>
                <c:pt idx="0">
                  <c:v>1000千伏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Calculation!$K$9:$K$13</c:f>
              <c:numCache>
                <c:formatCode>General</c:formatCode>
                <c:ptCount val="5"/>
                <c:pt idx="0">
                  <c:v>3563.48793269402</c:v>
                </c:pt>
                <c:pt idx="1">
                  <c:v>8290.77394745285</c:v>
                </c:pt>
                <c:pt idx="2">
                  <c:v>11526.9794303233</c:v>
                </c:pt>
                <c:pt idx="3">
                  <c:v>11896.6026166625</c:v>
                </c:pt>
                <c:pt idx="4">
                  <c:v>12441.310470215</c:v>
                </c:pt>
              </c:numCache>
            </c:numRef>
          </c:val>
        </c:ser>
        <c:ser>
          <c:idx val="10"/>
          <c:order val="10"/>
          <c:tx>
            <c:strRef>
              <c:f>Calculation!$L$1</c:f>
              <c:strCache>
                <c:ptCount val="1"/>
                <c:pt idx="0">
                  <c:v>750千伏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Calculation!$L$9:$L$13</c:f>
              <c:numCache>
                <c:formatCode>General</c:formatCode>
                <c:ptCount val="5"/>
                <c:pt idx="0">
                  <c:v>17482.9965156794</c:v>
                </c:pt>
                <c:pt idx="1">
                  <c:v>20053.2704368802</c:v>
                </c:pt>
                <c:pt idx="2">
                  <c:v>21015.3095684803</c:v>
                </c:pt>
                <c:pt idx="3">
                  <c:v>22927.1112302332</c:v>
                </c:pt>
                <c:pt idx="4">
                  <c:v>25954.9675690163</c:v>
                </c:pt>
              </c:numCache>
            </c:numRef>
          </c:val>
        </c:ser>
        <c:ser>
          <c:idx val="11"/>
          <c:order val="11"/>
          <c:tx>
            <c:strRef>
              <c:f>Calculation!$M$1</c:f>
              <c:strCache>
                <c:ptCount val="1"/>
                <c:pt idx="0">
                  <c:v>500千伏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Calculation!$M$9:$M$13</c:f>
              <c:numCache>
                <c:formatCode>General</c:formatCode>
                <c:ptCount val="5"/>
                <c:pt idx="0">
                  <c:v>162562.945646369</c:v>
                </c:pt>
                <c:pt idx="1">
                  <c:v>170694.540263789</c:v>
                </c:pt>
                <c:pt idx="2">
                  <c:v>178819.960549684</c:v>
                </c:pt>
                <c:pt idx="3">
                  <c:v>192595.92323551</c:v>
                </c:pt>
                <c:pt idx="4">
                  <c:v>201320.253679256</c:v>
                </c:pt>
              </c:numCache>
            </c:numRef>
          </c:val>
        </c:ser>
        <c:ser>
          <c:idx val="12"/>
          <c:order val="12"/>
          <c:tx>
            <c:strRef>
              <c:f>Calculation!$N$1</c:f>
              <c:strCache>
                <c:ptCount val="1"/>
                <c:pt idx="0">
                  <c:v>330千伏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Calculation!$N$9:$N$13</c:f>
              <c:numCache>
                <c:formatCode>General</c:formatCode>
                <c:ptCount val="5"/>
                <c:pt idx="0">
                  <c:v>11700.4620048504</c:v>
                </c:pt>
                <c:pt idx="1">
                  <c:v>12379.0722177311</c:v>
                </c:pt>
                <c:pt idx="2">
                  <c:v>13172.0206143897</c:v>
                </c:pt>
                <c:pt idx="3">
                  <c:v>13300.3237671787</c:v>
                </c:pt>
                <c:pt idx="4">
                  <c:v>14102.0002694691</c:v>
                </c:pt>
              </c:numCache>
            </c:numRef>
          </c:val>
        </c:ser>
        <c:ser>
          <c:idx val="13"/>
          <c:order val="13"/>
          <c:tx>
            <c:strRef>
              <c:f>Calculation!$O$1</c:f>
              <c:strCache>
                <c:ptCount val="1"/>
                <c:pt idx="0">
                  <c:v>220千伏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Calculation!$O$9:$O$13</c:f>
              <c:numCache>
                <c:formatCode>General</c:formatCode>
                <c:ptCount val="5"/>
                <c:pt idx="0">
                  <c:v>187583.941532516</c:v>
                </c:pt>
                <c:pt idx="1">
                  <c:v>195938.145973217</c:v>
                </c:pt>
                <c:pt idx="2">
                  <c:v>204949.672188094</c:v>
                </c:pt>
                <c:pt idx="3">
                  <c:v>214415.697917998</c:v>
                </c:pt>
                <c:pt idx="4">
                  <c:v>224330.794829959</c:v>
                </c:pt>
              </c:numCache>
            </c:numRef>
          </c:val>
        </c:ser>
        <c:ser>
          <c:idx val="14"/>
          <c:order val="14"/>
          <c:tx>
            <c:strRef>
              <c:f>Calculation!$P$1</c:f>
              <c:strCache>
                <c:ptCount val="1"/>
                <c:pt idx="0">
                  <c:v>110千伏（含66千伏）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Calculation!$P$9:$P$13</c:f>
              <c:numCache>
                <c:formatCode>General</c:formatCode>
                <c:ptCount val="5"/>
                <c:pt idx="0">
                  <c:v>241699.541651256</c:v>
                </c:pt>
                <c:pt idx="1">
                  <c:v>249785.920169579</c:v>
                </c:pt>
                <c:pt idx="2">
                  <c:v>257927.8583261</c:v>
                </c:pt>
                <c:pt idx="3">
                  <c:v>266723.43928495</c:v>
                </c:pt>
                <c:pt idx="4">
                  <c:v>279598.159857091</c:v>
                </c:pt>
              </c:numCache>
            </c:numRef>
          </c:val>
        </c:ser>
        <c:ser>
          <c:idx val="15"/>
          <c:order val="15"/>
          <c:tx>
            <c:strRef>
              <c:f>Calculation!$Q$1</c:f>
              <c:strCache>
                <c:ptCount val="1"/>
                <c:pt idx="0">
                  <c:v>35千伏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dLbls>
            <c:delete val="1"/>
          </c:dLbls>
          <c:cat>
            <c:numRef>
              <c:f>Calculation!$A$9:$A$13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Calculation!$Q$9:$Q$13</c:f>
              <c:numCache>
                <c:formatCode>General</c:formatCode>
                <c:ptCount val="5"/>
                <c:pt idx="0">
                  <c:v>167867.955989999</c:v>
                </c:pt>
                <c:pt idx="1">
                  <c:v>168985.275533071</c:v>
                </c:pt>
                <c:pt idx="2">
                  <c:v>172126.087162021</c:v>
                </c:pt>
                <c:pt idx="3">
                  <c:v>173947.906792518</c:v>
                </c:pt>
                <c:pt idx="4">
                  <c:v>179975.747598177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395632"/>
        <c:axId val="846398544"/>
      </c:areaChart>
      <c:catAx>
        <c:axId val="84639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98544"/>
        <c:crosses val="autoZero"/>
        <c:auto val="1"/>
        <c:lblAlgn val="ctr"/>
        <c:lblOffset val="100"/>
        <c:noMultiLvlLbl val="0"/>
      </c:catAx>
      <c:valAx>
        <c:axId val="84639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95632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0.0273224043715847"/>
                <c:y val="0.0505979687321693"/>
              </c:manualLayout>
            </c:layout>
            <c:tx>
              <c:rich>
                <a:bodyPr rot="0" spcFirstLastPara="1" vertOverflow="ellipsis" vert="horz" wrap="square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zh-CN" altLang="en-US"/>
                    <a:t>百万</a:t>
                  </a:r>
                  <a:r>
                    <a:rPr lang="en-US" altLang="zh-CN"/>
                    <a:t>MW*Miles</a:t>
                  </a:r>
                  <a:endParaRPr lang="zh-CN" alt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e7d4c91-e948-4cc4-beea-1d30d59bb5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777332002533025"/>
          <c:y val="0.236867162438029"/>
          <c:w val="0.72954282427128"/>
          <c:h val="0.549830125400992"/>
        </c:manualLayout>
      </c:layout>
      <c:scatterChart>
        <c:scatterStyle val="smoothMarker"/>
        <c:varyColors val="0"/>
        <c:ser>
          <c:idx val="1"/>
          <c:order val="1"/>
          <c:tx>
            <c:strRef>
              <c:f>Calculation!$A$40</c:f>
              <c:strCache>
                <c:ptCount val="1"/>
                <c:pt idx="0">
                  <c:v>Generation Capacity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0900891765383926"/>
                  <c:y val="-0.03902704870224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Calculation!$B$40:$G$40</c:f>
              <c:numCache>
                <c:formatCode>General</c:formatCode>
                <c:ptCount val="6"/>
                <c:pt idx="0">
                  <c:v>152527</c:v>
                </c:pt>
                <c:pt idx="1">
                  <c:v>165051</c:v>
                </c:pt>
                <c:pt idx="2">
                  <c:v>178451</c:v>
                </c:pt>
                <c:pt idx="3">
                  <c:v>190012</c:v>
                </c:pt>
                <c:pt idx="4">
                  <c:v>201006</c:v>
                </c:pt>
                <c:pt idx="5">
                  <c:v>220204</c:v>
                </c:pt>
              </c:numCache>
            </c:numRef>
          </c:xVal>
          <c:yVal>
            <c:numRef>
              <c:f>Calculation!$B$38:$G$38</c:f>
              <c:numCache>
                <c:formatCode>General</c:formatCode>
                <c:ptCount val="6"/>
                <c:pt idx="0">
                  <c:v>5071893.05065931</c:v>
                </c:pt>
                <c:pt idx="1">
                  <c:v>5301387.32387645</c:v>
                </c:pt>
                <c:pt idx="2">
                  <c:v>5566069.59451967</c:v>
                </c:pt>
                <c:pt idx="3">
                  <c:v>5812569.87596729</c:v>
                </c:pt>
                <c:pt idx="4">
                  <c:v>6060543.95408066</c:v>
                </c:pt>
                <c:pt idx="5">
                  <c:v>6576241.07566936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811216"/>
        <c:axId val="1525154256"/>
      </c:scatterChart>
      <c:scatterChart>
        <c:scatterStyle val="smoothMarker"/>
        <c:varyColors val="0"/>
        <c:ser>
          <c:idx val="0"/>
          <c:order val="0"/>
          <c:tx>
            <c:strRef>
              <c:f>Calculation!$A$39</c:f>
              <c:strCache>
                <c:ptCount val="1"/>
                <c:pt idx="0">
                  <c:v>Power Generation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4266221173392"/>
                  <c:y val="0.0969269466316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Calculation!$B$39:$G$39</c:f>
              <c:numCache>
                <c:formatCode>General</c:formatCode>
                <c:ptCount val="6"/>
                <c:pt idx="0">
                  <c:v>57400</c:v>
                </c:pt>
                <c:pt idx="1">
                  <c:v>60228</c:v>
                </c:pt>
                <c:pt idx="2">
                  <c:v>64529</c:v>
                </c:pt>
                <c:pt idx="3">
                  <c:v>69947</c:v>
                </c:pt>
                <c:pt idx="4">
                  <c:v>73269</c:v>
                </c:pt>
                <c:pt idx="5">
                  <c:v>76264</c:v>
                </c:pt>
              </c:numCache>
            </c:numRef>
          </c:xVal>
          <c:yVal>
            <c:numRef>
              <c:f>Calculation!$B$38:$G$38</c:f>
              <c:numCache>
                <c:formatCode>General</c:formatCode>
                <c:ptCount val="6"/>
                <c:pt idx="0">
                  <c:v>5071893.05065931</c:v>
                </c:pt>
                <c:pt idx="1">
                  <c:v>5301387.32387645</c:v>
                </c:pt>
                <c:pt idx="2">
                  <c:v>5566069.59451967</c:v>
                </c:pt>
                <c:pt idx="3">
                  <c:v>5812569.87596729</c:v>
                </c:pt>
                <c:pt idx="4">
                  <c:v>6060543.95408066</c:v>
                </c:pt>
                <c:pt idx="5">
                  <c:v>6576241.07566936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156656"/>
        <c:axId val="1525175856"/>
      </c:scatterChart>
      <c:valAx>
        <c:axId val="149181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5154256"/>
        <c:crosses val="autoZero"/>
        <c:crossBetween val="midCat"/>
      </c:valAx>
      <c:valAx>
        <c:axId val="15251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1811216"/>
        <c:crosses val="autoZero"/>
        <c:crossBetween val="midCat"/>
      </c:valAx>
      <c:valAx>
        <c:axId val="152515665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5175856"/>
        <c:crosses val="max"/>
        <c:crossBetween val="midCat"/>
      </c:valAx>
      <c:valAx>
        <c:axId val="1525175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5156656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0442128710172356"/>
          <c:y val="0.906248906386702"/>
          <c:w val="0.933788484154614"/>
          <c:h val="0.09375109361329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13802b-bcfe-4bd1-bab0-f27f839390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Calculation!$A$47</c:f>
              <c:strCache>
                <c:ptCount val="1"/>
                <c:pt idx="0">
                  <c:v>Transmission Capacity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Calculation!$B$46:$AU$46</c:f>
              <c:numCache>
                <c:formatCode>General</c:formatCode>
                <c:ptCount val="4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  <c:pt idx="41">
                  <c:v>2056</c:v>
                </c:pt>
                <c:pt idx="42">
                  <c:v>2057</c:v>
                </c:pt>
                <c:pt idx="43">
                  <c:v>2058</c:v>
                </c:pt>
                <c:pt idx="44">
                  <c:v>2059</c:v>
                </c:pt>
                <c:pt idx="45">
                  <c:v>2060</c:v>
                </c:pt>
              </c:numCache>
            </c:numRef>
          </c:xVal>
          <c:yVal>
            <c:numRef>
              <c:f>Calculation!$B$47:$AU$47</c:f>
              <c:numCache>
                <c:formatCode>General</c:formatCode>
                <c:ptCount val="46"/>
                <c:pt idx="0">
                  <c:v>5071893.05065931</c:v>
                </c:pt>
                <c:pt idx="1">
                  <c:v>5301387.32387645</c:v>
                </c:pt>
                <c:pt idx="2">
                  <c:v>5566069.59451967</c:v>
                </c:pt>
                <c:pt idx="3">
                  <c:v>5812569.87596729</c:v>
                </c:pt>
                <c:pt idx="4">
                  <c:v>6060543.95408066</c:v>
                </c:pt>
                <c:pt idx="5">
                  <c:v>6576241.07566936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Calculation!$A$48</c:f>
              <c:strCache>
                <c:ptCount val="1"/>
                <c:pt idx="0">
                  <c:v>Forecasted BTC1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Calculation!$B$46:$AU$46</c:f>
              <c:numCache>
                <c:formatCode>General</c:formatCode>
                <c:ptCount val="4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  <c:pt idx="41">
                  <c:v>2056</c:v>
                </c:pt>
                <c:pt idx="42">
                  <c:v>2057</c:v>
                </c:pt>
                <c:pt idx="43">
                  <c:v>2058</c:v>
                </c:pt>
                <c:pt idx="44">
                  <c:v>2059</c:v>
                </c:pt>
                <c:pt idx="45">
                  <c:v>2060</c:v>
                </c:pt>
              </c:numCache>
            </c:numRef>
          </c:xVal>
          <c:yVal>
            <c:numRef>
              <c:f>Calculation!$B$48:$AU$48</c:f>
              <c:numCache>
                <c:formatCode>General</c:formatCode>
                <c:ptCount val="46"/>
                <c:pt idx="5">
                  <c:v>6576241.07566936</c:v>
                </c:pt>
                <c:pt idx="6">
                  <c:v>6940593.95344679</c:v>
                </c:pt>
                <c:pt idx="7">
                  <c:v>7107494.34790914</c:v>
                </c:pt>
                <c:pt idx="8">
                  <c:v>7269527.24468314</c:v>
                </c:pt>
                <c:pt idx="9">
                  <c:v>7423259.49527125</c:v>
                </c:pt>
                <c:pt idx="10">
                  <c:v>7571089.17525947</c:v>
                </c:pt>
                <c:pt idx="11">
                  <c:v>7720928.71060603</c:v>
                </c:pt>
                <c:pt idx="12">
                  <c:v>7888551.49877776</c:v>
                </c:pt>
                <c:pt idx="13">
                  <c:v>8050676.05621929</c:v>
                </c:pt>
                <c:pt idx="14">
                  <c:v>8200004.47072331</c:v>
                </c:pt>
                <c:pt idx="15">
                  <c:v>8377914.52586191</c:v>
                </c:pt>
                <c:pt idx="16">
                  <c:v>8557209.05161872</c:v>
                </c:pt>
                <c:pt idx="17">
                  <c:v>8712779.3165015</c:v>
                </c:pt>
                <c:pt idx="18">
                  <c:v>8879905.67778086</c:v>
                </c:pt>
                <c:pt idx="19">
                  <c:v>9036625.4880238</c:v>
                </c:pt>
                <c:pt idx="20">
                  <c:v>9193315.4391692</c:v>
                </c:pt>
                <c:pt idx="21">
                  <c:v>9341272.53244637</c:v>
                </c:pt>
                <c:pt idx="22">
                  <c:v>9481799.86371347</c:v>
                </c:pt>
                <c:pt idx="23">
                  <c:v>9619226.96509967</c:v>
                </c:pt>
                <c:pt idx="24">
                  <c:v>9749073.4993065</c:v>
                </c:pt>
                <c:pt idx="25">
                  <c:v>9880557.35908369</c:v>
                </c:pt>
                <c:pt idx="26">
                  <c:v>10005069.0548162</c:v>
                </c:pt>
                <c:pt idx="27">
                  <c:v>10127886.2385784</c:v>
                </c:pt>
                <c:pt idx="28">
                  <c:v>10251458.2952034</c:v>
                </c:pt>
                <c:pt idx="29">
                  <c:v>10369405.9100026</c:v>
                </c:pt>
                <c:pt idx="30">
                  <c:v>10478466.7633936</c:v>
                </c:pt>
                <c:pt idx="31">
                  <c:v>10586189.3612163</c:v>
                </c:pt>
                <c:pt idx="32">
                  <c:v>10692458.9505814</c:v>
                </c:pt>
                <c:pt idx="33">
                  <c:v>10795413.0405639</c:v>
                </c:pt>
                <c:pt idx="34">
                  <c:v>10896752.8274435</c:v>
                </c:pt>
                <c:pt idx="35">
                  <c:v>10990994.1986115</c:v>
                </c:pt>
                <c:pt idx="36">
                  <c:v>11080991.6318319</c:v>
                </c:pt>
                <c:pt idx="37">
                  <c:v>11167975.3938123</c:v>
                </c:pt>
                <c:pt idx="38">
                  <c:v>11257863.423157</c:v>
                </c:pt>
                <c:pt idx="39">
                  <c:v>11342630.1809555</c:v>
                </c:pt>
                <c:pt idx="40">
                  <c:v>11423446.8556091</c:v>
                </c:pt>
                <c:pt idx="41">
                  <c:v>11501238.0869224</c:v>
                </c:pt>
                <c:pt idx="42">
                  <c:v>11578586.3744322</c:v>
                </c:pt>
                <c:pt idx="43">
                  <c:v>11656512.861336</c:v>
                </c:pt>
                <c:pt idx="44">
                  <c:v>11736125.5502701</c:v>
                </c:pt>
                <c:pt idx="45">
                  <c:v>11808567.3509432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Calculation!$A$49</c:f>
              <c:strCache>
                <c:ptCount val="1"/>
                <c:pt idx="0">
                  <c:v>Forecasted BTC2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Calculation!$B$46:$AU$46</c:f>
              <c:numCache>
                <c:formatCode>General</c:formatCode>
                <c:ptCount val="4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  <c:pt idx="41">
                  <c:v>2056</c:v>
                </c:pt>
                <c:pt idx="42">
                  <c:v>2057</c:v>
                </c:pt>
                <c:pt idx="43">
                  <c:v>2058</c:v>
                </c:pt>
                <c:pt idx="44">
                  <c:v>2059</c:v>
                </c:pt>
                <c:pt idx="45">
                  <c:v>2060</c:v>
                </c:pt>
              </c:numCache>
            </c:numRef>
          </c:xVal>
          <c:yVal>
            <c:numRef>
              <c:f>Calculation!$B$49:$AU$49</c:f>
              <c:numCache>
                <c:formatCode>General</c:formatCode>
                <c:ptCount val="46"/>
                <c:pt idx="5">
                  <c:v>6576241.07566936</c:v>
                </c:pt>
                <c:pt idx="6">
                  <c:v>6576241.07566936</c:v>
                </c:pt>
                <c:pt idx="7">
                  <c:v>6841594.27442632</c:v>
                </c:pt>
                <c:pt idx="8">
                  <c:v>6949238.89949287</c:v>
                </c:pt>
                <c:pt idx="9">
                  <c:v>7069815.26041641</c:v>
                </c:pt>
                <c:pt idx="10">
                  <c:v>7207756.71709336</c:v>
                </c:pt>
                <c:pt idx="11">
                  <c:v>7361272.28035163</c:v>
                </c:pt>
                <c:pt idx="12">
                  <c:v>7540278.56018833</c:v>
                </c:pt>
                <c:pt idx="13">
                  <c:v>7722447.74454814</c:v>
                </c:pt>
                <c:pt idx="14">
                  <c:v>7892929.18060396</c:v>
                </c:pt>
                <c:pt idx="15">
                  <c:v>8133914.27292263</c:v>
                </c:pt>
                <c:pt idx="16">
                  <c:v>8391000.62257647</c:v>
                </c:pt>
                <c:pt idx="17">
                  <c:v>8617342.39332689</c:v>
                </c:pt>
                <c:pt idx="18">
                  <c:v>8873339.151046</c:v>
                </c:pt>
                <c:pt idx="19">
                  <c:v>9112749.40805819</c:v>
                </c:pt>
                <c:pt idx="20">
                  <c:v>9360966.83226755</c:v>
                </c:pt>
                <c:pt idx="21">
                  <c:v>9601173.32953974</c:v>
                </c:pt>
                <c:pt idx="22">
                  <c:v>9879583.91973008</c:v>
                </c:pt>
                <c:pt idx="23">
                  <c:v>10122364.4125242</c:v>
                </c:pt>
                <c:pt idx="24">
                  <c:v>10368446.7658979</c:v>
                </c:pt>
                <c:pt idx="25">
                  <c:v>10673949.3757934</c:v>
                </c:pt>
                <c:pt idx="26">
                  <c:v>11064898.9321499</c:v>
                </c:pt>
                <c:pt idx="27">
                  <c:v>11614419.4054375</c:v>
                </c:pt>
                <c:pt idx="28">
                  <c:v>12161800.396586</c:v>
                </c:pt>
                <c:pt idx="29">
                  <c:v>12728485.2513233</c:v>
                </c:pt>
                <c:pt idx="30">
                  <c:v>13254738.3049357</c:v>
                </c:pt>
                <c:pt idx="31">
                  <c:v>13792301.9404132</c:v>
                </c:pt>
                <c:pt idx="32">
                  <c:v>14290307.212835</c:v>
                </c:pt>
                <c:pt idx="33">
                  <c:v>14733334.4112382</c:v>
                </c:pt>
                <c:pt idx="34">
                  <c:v>15174691.9313121</c:v>
                </c:pt>
                <c:pt idx="35">
                  <c:v>15682896.1371474</c:v>
                </c:pt>
                <c:pt idx="36">
                  <c:v>16071240.8188582</c:v>
                </c:pt>
                <c:pt idx="37">
                  <c:v>16484754.1920008</c:v>
                </c:pt>
                <c:pt idx="38">
                  <c:v>16864035.8509185</c:v>
                </c:pt>
                <c:pt idx="39">
                  <c:v>17227227.2807594</c:v>
                </c:pt>
                <c:pt idx="40">
                  <c:v>17609696.1063688</c:v>
                </c:pt>
                <c:pt idx="41">
                  <c:v>17931123.5214643</c:v>
                </c:pt>
                <c:pt idx="42">
                  <c:v>18268683.0730186</c:v>
                </c:pt>
                <c:pt idx="43">
                  <c:v>18569681.7421637</c:v>
                </c:pt>
                <c:pt idx="44">
                  <c:v>18852278.6592612</c:v>
                </c:pt>
                <c:pt idx="45">
                  <c:v>19097959.5840273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107616"/>
        <c:axId val="2015861232"/>
      </c:scatterChart>
      <c:valAx>
        <c:axId val="212210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5861232"/>
        <c:crosses val="autoZero"/>
        <c:crossBetween val="midCat"/>
      </c:valAx>
      <c:valAx>
        <c:axId val="201586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210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98aa03-c6df-458c-bf4c-9592a30341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8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642620</xdr:colOff>
      <xdr:row>16</xdr:row>
      <xdr:rowOff>28575</xdr:rowOff>
    </xdr:from>
    <xdr:to>
      <xdr:col>20</xdr:col>
      <xdr:colOff>213995</xdr:colOff>
      <xdr:row>31</xdr:row>
      <xdr:rowOff>52070</xdr:rowOff>
    </xdr:to>
    <xdr:graphicFrame>
      <xdr:nvGraphicFramePr>
        <xdr:cNvPr id="2" name="图表 1"/>
        <xdr:cNvGraphicFramePr/>
      </xdr:nvGraphicFramePr>
      <xdr:xfrm>
        <a:off x="11370310" y="2844800"/>
        <a:ext cx="4552950" cy="266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1</xdr:colOff>
      <xdr:row>16</xdr:row>
      <xdr:rowOff>0</xdr:rowOff>
    </xdr:from>
    <xdr:to>
      <xdr:col>28</xdr:col>
      <xdr:colOff>666751</xdr:colOff>
      <xdr:row>31</xdr:row>
      <xdr:rowOff>28575</xdr:rowOff>
    </xdr:to>
    <xdr:graphicFrame>
      <xdr:nvGraphicFramePr>
        <xdr:cNvPr id="12" name="图表 11"/>
        <xdr:cNvGraphicFramePr/>
      </xdr:nvGraphicFramePr>
      <xdr:xfrm>
        <a:off x="17155795" y="3167380"/>
        <a:ext cx="322897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16</xdr:row>
      <xdr:rowOff>0</xdr:rowOff>
    </xdr:from>
    <xdr:to>
      <xdr:col>33</xdr:col>
      <xdr:colOff>661987</xdr:colOff>
      <xdr:row>31</xdr:row>
      <xdr:rowOff>28575</xdr:rowOff>
    </xdr:to>
    <xdr:graphicFrame>
      <xdr:nvGraphicFramePr>
        <xdr:cNvPr id="14" name="图表 13"/>
        <xdr:cNvGraphicFramePr/>
      </xdr:nvGraphicFramePr>
      <xdr:xfrm>
        <a:off x="20384770" y="3167380"/>
        <a:ext cx="322897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114300</xdr:colOff>
      <xdr:row>16</xdr:row>
      <xdr:rowOff>3810</xdr:rowOff>
    </xdr:from>
    <xdr:to>
      <xdr:col>41</xdr:col>
      <xdr:colOff>419100</xdr:colOff>
      <xdr:row>31</xdr:row>
      <xdr:rowOff>3810</xdr:rowOff>
    </xdr:to>
    <xdr:graphicFrame>
      <xdr:nvGraphicFramePr>
        <xdr:cNvPr id="3" name="Chart 2"/>
        <xdr:cNvGraphicFramePr/>
      </xdr:nvGraphicFramePr>
      <xdr:xfrm>
        <a:off x="23728045" y="3171190"/>
        <a:ext cx="4825365" cy="2638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16</xdr:col>
      <xdr:colOff>0</xdr:colOff>
      <xdr:row>35</xdr:row>
      <xdr:rowOff>66675</xdr:rowOff>
    </xdr:to>
    <xdr:graphicFrame>
      <xdr:nvGraphicFramePr>
        <xdr:cNvPr id="4" name="图表 3"/>
        <xdr:cNvGraphicFramePr/>
      </xdr:nvGraphicFramePr>
      <xdr:xfrm>
        <a:off x="0" y="3167380"/>
        <a:ext cx="11564620" cy="340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23</xdr:col>
      <xdr:colOff>457200</xdr:colOff>
      <xdr:row>35</xdr:row>
      <xdr:rowOff>66675</xdr:rowOff>
    </xdr:to>
    <xdr:graphicFrame>
      <xdr:nvGraphicFramePr>
        <xdr:cNvPr id="5" name="图表 4"/>
        <xdr:cNvGraphicFramePr/>
      </xdr:nvGraphicFramePr>
      <xdr:xfrm>
        <a:off x="11564620" y="3167380"/>
        <a:ext cx="5402580" cy="340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7</xdr:col>
      <xdr:colOff>676275</xdr:colOff>
      <xdr:row>65</xdr:row>
      <xdr:rowOff>28575</xdr:rowOff>
    </xdr:to>
    <xdr:graphicFrame>
      <xdr:nvGraphicFramePr>
        <xdr:cNvPr id="15" name="图表 14"/>
        <xdr:cNvGraphicFramePr/>
      </xdr:nvGraphicFramePr>
      <xdr:xfrm>
        <a:off x="0" y="9147810"/>
        <a:ext cx="605409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685799</xdr:colOff>
      <xdr:row>50</xdr:row>
      <xdr:rowOff>0</xdr:rowOff>
    </xdr:from>
    <xdr:to>
      <xdr:col>16</xdr:col>
      <xdr:colOff>676274</xdr:colOff>
      <xdr:row>65</xdr:row>
      <xdr:rowOff>28575</xdr:rowOff>
    </xdr:to>
    <xdr:graphicFrame>
      <xdr:nvGraphicFramePr>
        <xdr:cNvPr id="18" name="图表 17"/>
        <xdr:cNvGraphicFramePr/>
      </xdr:nvGraphicFramePr>
      <xdr:xfrm>
        <a:off x="6699885" y="9147810"/>
        <a:ext cx="554037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00"/>
  <sheetViews>
    <sheetView zoomScale="80" zoomScaleNormal="80" workbookViewId="0">
      <pane xSplit="2" ySplit="2" topLeftCell="C159" activePane="bottomRight" state="frozen"/>
      <selection/>
      <selection pane="topRight"/>
      <selection pane="bottomLeft"/>
      <selection pane="bottomRight" activeCell="A1" sqref="A1:A2"/>
    </sheetView>
  </sheetViews>
  <sheetFormatPr defaultColWidth="9" defaultRowHeight="13.85"/>
  <cols>
    <col min="1" max="35" width="8.6283185840708" customWidth="1"/>
  </cols>
  <sheetData>
    <row r="1" spans="1:35">
      <c r="A1" s="20" t="s">
        <v>0</v>
      </c>
      <c r="B1" s="20" t="s">
        <v>1</v>
      </c>
      <c r="C1" s="19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 t="s">
        <v>3</v>
      </c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20" t="s">
        <v>4</v>
      </c>
    </row>
    <row r="2" ht="41.65" spans="1:35">
      <c r="A2" s="20"/>
      <c r="B2" s="20"/>
      <c r="C2" s="3" t="s">
        <v>5</v>
      </c>
      <c r="D2" s="4" t="s">
        <v>6</v>
      </c>
      <c r="E2" s="4" t="s">
        <v>7</v>
      </c>
      <c r="F2" s="5" t="s">
        <v>8</v>
      </c>
      <c r="G2" s="5" t="s">
        <v>9</v>
      </c>
      <c r="H2" s="5" t="s">
        <v>10</v>
      </c>
      <c r="I2" s="4" t="s">
        <v>11</v>
      </c>
      <c r="J2" s="3" t="s">
        <v>12</v>
      </c>
      <c r="K2" s="4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3" t="s">
        <v>19</v>
      </c>
      <c r="R2" s="4" t="s">
        <v>20</v>
      </c>
      <c r="S2" s="3" t="s">
        <v>5</v>
      </c>
      <c r="T2" s="4" t="s">
        <v>6</v>
      </c>
      <c r="U2" s="4" t="s">
        <v>21</v>
      </c>
      <c r="V2" s="5" t="s">
        <v>8</v>
      </c>
      <c r="W2" s="5" t="s">
        <v>9</v>
      </c>
      <c r="X2" s="5" t="s">
        <v>22</v>
      </c>
      <c r="Y2" s="5" t="s">
        <v>11</v>
      </c>
      <c r="Z2" s="3" t="s">
        <v>23</v>
      </c>
      <c r="AA2" s="3" t="s">
        <v>24</v>
      </c>
      <c r="AB2" s="5" t="s">
        <v>14</v>
      </c>
      <c r="AC2" s="5" t="s">
        <v>15</v>
      </c>
      <c r="AD2" s="5" t="s">
        <v>16</v>
      </c>
      <c r="AE2" s="5" t="s">
        <v>17</v>
      </c>
      <c r="AF2" s="4" t="s">
        <v>18</v>
      </c>
      <c r="AG2" s="3" t="s">
        <v>19</v>
      </c>
      <c r="AH2" s="5" t="s">
        <v>20</v>
      </c>
      <c r="AI2" s="20"/>
    </row>
    <row r="3" spans="1:35">
      <c r="A3" s="6" t="s">
        <v>25</v>
      </c>
      <c r="B3" s="6">
        <v>2015</v>
      </c>
      <c r="C3" s="10">
        <v>1521011</v>
      </c>
      <c r="D3" s="15">
        <f>SUM(E3:J3)</f>
        <v>12947</v>
      </c>
      <c r="E3" s="15"/>
      <c r="F3" s="10">
        <v>10580</v>
      </c>
      <c r="G3" s="10">
        <v>1336</v>
      </c>
      <c r="H3" s="15"/>
      <c r="I3" s="10">
        <v>1031</v>
      </c>
      <c r="J3" s="15"/>
      <c r="K3" s="15">
        <f>SUM(L3:R3)</f>
        <v>1508064</v>
      </c>
      <c r="L3" s="10">
        <v>2297</v>
      </c>
      <c r="M3" s="10">
        <v>12704</v>
      </c>
      <c r="N3" s="10">
        <v>140394</v>
      </c>
      <c r="O3" s="10">
        <v>25314</v>
      </c>
      <c r="P3" s="10">
        <v>318597</v>
      </c>
      <c r="Q3" s="10">
        <v>526325</v>
      </c>
      <c r="R3" s="10">
        <v>482433</v>
      </c>
      <c r="S3" s="10">
        <v>1696849</v>
      </c>
      <c r="T3" s="15">
        <f>SUM(U3:Z3)</f>
        <v>25428</v>
      </c>
      <c r="U3" s="15"/>
      <c r="V3" s="10">
        <v>10580</v>
      </c>
      <c r="W3" s="10">
        <v>1336</v>
      </c>
      <c r="X3" s="15">
        <v>11872</v>
      </c>
      <c r="Y3" s="10">
        <v>1640</v>
      </c>
      <c r="Z3" s="15"/>
      <c r="AA3" s="15">
        <f>SUM(AB3:AH3)</f>
        <v>1671419</v>
      </c>
      <c r="AB3" s="10">
        <v>3114</v>
      </c>
      <c r="AC3" s="10">
        <v>15665</v>
      </c>
      <c r="AD3" s="15">
        <v>157973</v>
      </c>
      <c r="AE3" s="10">
        <v>26811</v>
      </c>
      <c r="AF3" s="10">
        <v>380121</v>
      </c>
      <c r="AG3" s="10">
        <v>591637</v>
      </c>
      <c r="AH3" s="10">
        <v>496098</v>
      </c>
      <c r="AI3" s="10">
        <v>50063</v>
      </c>
    </row>
    <row r="4" spans="1:35">
      <c r="A4" s="6" t="s">
        <v>26</v>
      </c>
      <c r="B4" s="6">
        <v>2015</v>
      </c>
      <c r="C4" s="10">
        <v>8789</v>
      </c>
      <c r="D4" s="15">
        <f t="shared" ref="D4:D36" si="0">SUM(E4:J4)</f>
        <v>0</v>
      </c>
      <c r="E4" s="15"/>
      <c r="F4" s="28"/>
      <c r="G4" s="28"/>
      <c r="H4" s="15"/>
      <c r="I4" s="28"/>
      <c r="J4" s="15"/>
      <c r="K4" s="15">
        <f t="shared" ref="K4:K36" si="1">SUM(L4:R4)</f>
        <v>8789</v>
      </c>
      <c r="L4" s="28"/>
      <c r="M4" s="28"/>
      <c r="N4" s="10">
        <v>1460</v>
      </c>
      <c r="O4" s="28"/>
      <c r="P4" s="10">
        <v>2546</v>
      </c>
      <c r="Q4" s="10">
        <v>3005</v>
      </c>
      <c r="R4" s="10">
        <v>1778</v>
      </c>
      <c r="S4" s="10">
        <v>9953</v>
      </c>
      <c r="T4" s="15">
        <f t="shared" ref="T4:T36" si="2">SUM(U4:Z4)</f>
        <v>0</v>
      </c>
      <c r="U4" s="15"/>
      <c r="V4" s="28"/>
      <c r="W4" s="28"/>
      <c r="X4" s="15">
        <v>0</v>
      </c>
      <c r="Y4" s="28"/>
      <c r="Z4" s="15"/>
      <c r="AA4" s="15">
        <f t="shared" ref="AA4:AA36" si="3">SUM(AB4:AH4)</f>
        <v>9953</v>
      </c>
      <c r="AB4" s="28"/>
      <c r="AC4" s="28"/>
      <c r="AD4" s="15">
        <v>1506</v>
      </c>
      <c r="AE4" s="28"/>
      <c r="AF4" s="10">
        <v>2810</v>
      </c>
      <c r="AG4" s="10">
        <v>3717</v>
      </c>
      <c r="AH4" s="10">
        <v>1920</v>
      </c>
      <c r="AI4" s="10">
        <v>1923</v>
      </c>
    </row>
    <row r="5" spans="1:35">
      <c r="A5" s="6" t="s">
        <v>27</v>
      </c>
      <c r="B5" s="6">
        <v>2015</v>
      </c>
      <c r="C5" s="10">
        <v>9945</v>
      </c>
      <c r="D5" s="15">
        <f t="shared" si="0"/>
        <v>0</v>
      </c>
      <c r="E5" s="15"/>
      <c r="F5" s="28"/>
      <c r="G5" s="28"/>
      <c r="H5" s="15"/>
      <c r="I5" s="28"/>
      <c r="J5" s="15"/>
      <c r="K5" s="15">
        <f t="shared" si="1"/>
        <v>9945</v>
      </c>
      <c r="L5" s="28"/>
      <c r="M5" s="28"/>
      <c r="N5" s="10">
        <v>804</v>
      </c>
      <c r="O5" s="28"/>
      <c r="P5" s="10">
        <v>2850</v>
      </c>
      <c r="Q5" s="10">
        <v>3143</v>
      </c>
      <c r="R5" s="10">
        <v>3148</v>
      </c>
      <c r="S5" s="10">
        <v>11806</v>
      </c>
      <c r="T5" s="15">
        <f t="shared" si="2"/>
        <v>0</v>
      </c>
      <c r="U5" s="15"/>
      <c r="V5" s="28"/>
      <c r="W5" s="28"/>
      <c r="X5" s="15">
        <v>0</v>
      </c>
      <c r="Y5" s="28"/>
      <c r="Z5" s="15"/>
      <c r="AA5" s="15">
        <f t="shared" si="3"/>
        <v>11806</v>
      </c>
      <c r="AB5" s="28"/>
      <c r="AC5" s="28"/>
      <c r="AD5" s="15">
        <v>804</v>
      </c>
      <c r="AE5" s="28"/>
      <c r="AF5" s="10">
        <v>2850</v>
      </c>
      <c r="AG5" s="10">
        <v>3747</v>
      </c>
      <c r="AH5" s="10">
        <v>4405</v>
      </c>
      <c r="AI5" s="10">
        <v>5796</v>
      </c>
    </row>
    <row r="6" spans="1:35">
      <c r="A6" s="6" t="s">
        <v>28</v>
      </c>
      <c r="B6" s="6">
        <v>2015</v>
      </c>
      <c r="C6" s="10">
        <v>82795</v>
      </c>
      <c r="D6" s="15">
        <f t="shared" si="0"/>
        <v>202</v>
      </c>
      <c r="E6" s="15"/>
      <c r="F6" s="28"/>
      <c r="G6" s="10">
        <v>202</v>
      </c>
      <c r="H6" s="15"/>
      <c r="I6" s="28"/>
      <c r="J6" s="15"/>
      <c r="K6" s="15">
        <f t="shared" si="1"/>
        <v>82592</v>
      </c>
      <c r="L6" s="28"/>
      <c r="M6" s="28"/>
      <c r="N6" s="10">
        <v>10108</v>
      </c>
      <c r="O6" s="28"/>
      <c r="P6" s="10">
        <v>16443</v>
      </c>
      <c r="Q6" s="10">
        <v>27228</v>
      </c>
      <c r="R6" s="10">
        <v>28813</v>
      </c>
      <c r="S6" s="10">
        <v>92100</v>
      </c>
      <c r="T6" s="15">
        <f t="shared" si="2"/>
        <v>202</v>
      </c>
      <c r="U6" s="15"/>
      <c r="V6" s="28"/>
      <c r="W6" s="10">
        <v>202</v>
      </c>
      <c r="X6" s="15">
        <v>0</v>
      </c>
      <c r="Y6" s="28"/>
      <c r="Z6" s="15"/>
      <c r="AA6" s="15">
        <f t="shared" si="3"/>
        <v>91899</v>
      </c>
      <c r="AB6" s="28"/>
      <c r="AC6" s="28"/>
      <c r="AD6" s="15">
        <v>10561</v>
      </c>
      <c r="AE6" s="28"/>
      <c r="AF6" s="10">
        <v>20342</v>
      </c>
      <c r="AG6" s="10">
        <v>30729</v>
      </c>
      <c r="AH6" s="10">
        <v>30267</v>
      </c>
      <c r="AI6" s="10">
        <v>1508</v>
      </c>
    </row>
    <row r="7" spans="1:35">
      <c r="A7" s="6" t="s">
        <v>29</v>
      </c>
      <c r="B7" s="6">
        <v>2015</v>
      </c>
      <c r="C7" s="10">
        <v>62667</v>
      </c>
      <c r="D7" s="15">
        <f t="shared" si="0"/>
        <v>554</v>
      </c>
      <c r="E7" s="15"/>
      <c r="F7" s="10">
        <v>249</v>
      </c>
      <c r="G7" s="10">
        <v>305</v>
      </c>
      <c r="H7" s="15"/>
      <c r="I7" s="28"/>
      <c r="J7" s="15"/>
      <c r="K7" s="15">
        <f t="shared" si="1"/>
        <v>62113</v>
      </c>
      <c r="L7" s="10">
        <v>116</v>
      </c>
      <c r="M7" s="28"/>
      <c r="N7" s="10">
        <v>7329</v>
      </c>
      <c r="O7" s="28"/>
      <c r="P7" s="10">
        <v>13884</v>
      </c>
      <c r="Q7" s="10">
        <v>18061</v>
      </c>
      <c r="R7" s="10">
        <v>22723</v>
      </c>
      <c r="S7" s="10">
        <v>65881</v>
      </c>
      <c r="T7" s="15">
        <f t="shared" si="2"/>
        <v>554</v>
      </c>
      <c r="U7" s="15"/>
      <c r="V7" s="10">
        <v>249</v>
      </c>
      <c r="W7" s="10">
        <v>305</v>
      </c>
      <c r="X7" s="15">
        <v>0</v>
      </c>
      <c r="Y7" s="28"/>
      <c r="Z7" s="15"/>
      <c r="AA7" s="15">
        <f t="shared" si="3"/>
        <v>65326</v>
      </c>
      <c r="AB7" s="10">
        <v>116</v>
      </c>
      <c r="AC7" s="28"/>
      <c r="AD7" s="15">
        <v>7978</v>
      </c>
      <c r="AE7" s="28"/>
      <c r="AF7" s="10">
        <v>15322</v>
      </c>
      <c r="AG7" s="10">
        <v>19113</v>
      </c>
      <c r="AH7" s="10">
        <v>22797</v>
      </c>
      <c r="AI7" s="10">
        <v>675</v>
      </c>
    </row>
    <row r="8" spans="1:35">
      <c r="A8" s="6" t="s">
        <v>30</v>
      </c>
      <c r="B8" s="6">
        <v>2015</v>
      </c>
      <c r="C8" s="10">
        <v>87396</v>
      </c>
      <c r="D8" s="15">
        <f t="shared" si="0"/>
        <v>0</v>
      </c>
      <c r="E8" s="15"/>
      <c r="F8" s="28"/>
      <c r="G8" s="28"/>
      <c r="H8" s="15"/>
      <c r="I8" s="28"/>
      <c r="J8" s="15"/>
      <c r="K8" s="15">
        <f t="shared" si="1"/>
        <v>87396</v>
      </c>
      <c r="L8" s="28"/>
      <c r="M8" s="28"/>
      <c r="N8" s="10">
        <v>7329</v>
      </c>
      <c r="O8" s="28"/>
      <c r="P8" s="10">
        <v>25276</v>
      </c>
      <c r="Q8" s="10">
        <v>36459</v>
      </c>
      <c r="R8" s="10">
        <v>18332</v>
      </c>
      <c r="S8" s="10">
        <v>89517</v>
      </c>
      <c r="T8" s="15">
        <f t="shared" si="2"/>
        <v>715</v>
      </c>
      <c r="U8" s="15"/>
      <c r="V8" s="28"/>
      <c r="W8" s="28"/>
      <c r="X8" s="15">
        <v>715</v>
      </c>
      <c r="Y8" s="28"/>
      <c r="Z8" s="15"/>
      <c r="AA8" s="15">
        <f t="shared" si="3"/>
        <v>88802</v>
      </c>
      <c r="AB8" s="28"/>
      <c r="AC8" s="28"/>
      <c r="AD8" s="15">
        <v>7215</v>
      </c>
      <c r="AE8" s="28"/>
      <c r="AF8" s="10">
        <v>25995</v>
      </c>
      <c r="AG8" s="10">
        <v>37252</v>
      </c>
      <c r="AH8" s="10">
        <v>18340</v>
      </c>
      <c r="AI8" s="10">
        <v>82</v>
      </c>
    </row>
    <row r="9" spans="1:35">
      <c r="A9" s="6" t="s">
        <v>31</v>
      </c>
      <c r="B9" s="6">
        <v>2015</v>
      </c>
      <c r="C9" s="10">
        <v>43296</v>
      </c>
      <c r="D9" s="15">
        <f t="shared" si="0"/>
        <v>0</v>
      </c>
      <c r="E9" s="15"/>
      <c r="F9" s="28"/>
      <c r="G9" s="28"/>
      <c r="H9" s="15"/>
      <c r="I9" s="28"/>
      <c r="J9" s="15"/>
      <c r="K9" s="15">
        <f t="shared" si="1"/>
        <v>43296</v>
      </c>
      <c r="L9" s="28"/>
      <c r="M9" s="28"/>
      <c r="N9" s="10">
        <v>6360</v>
      </c>
      <c r="O9" s="28"/>
      <c r="P9" s="10">
        <v>13106</v>
      </c>
      <c r="Q9" s="10">
        <v>23795</v>
      </c>
      <c r="R9" s="10">
        <v>35</v>
      </c>
      <c r="S9" s="10">
        <v>56829</v>
      </c>
      <c r="T9" s="15">
        <f t="shared" si="2"/>
        <v>193</v>
      </c>
      <c r="U9" s="15"/>
      <c r="V9" s="28"/>
      <c r="W9" s="28"/>
      <c r="X9" s="15">
        <v>193</v>
      </c>
      <c r="Y9" s="28"/>
      <c r="Z9" s="15"/>
      <c r="AA9" s="15">
        <f t="shared" si="3"/>
        <v>56636</v>
      </c>
      <c r="AB9" s="28"/>
      <c r="AC9" s="28"/>
      <c r="AD9" s="15">
        <v>7569</v>
      </c>
      <c r="AE9" s="28"/>
      <c r="AF9" s="10">
        <v>17094</v>
      </c>
      <c r="AG9" s="10">
        <v>31935</v>
      </c>
      <c r="AH9" s="10">
        <v>38</v>
      </c>
      <c r="AI9" s="10">
        <v>1180</v>
      </c>
    </row>
    <row r="10" spans="1:35">
      <c r="A10" s="6" t="s">
        <v>32</v>
      </c>
      <c r="B10" s="6">
        <v>2015</v>
      </c>
      <c r="C10" s="10">
        <v>26842</v>
      </c>
      <c r="D10" s="15">
        <f t="shared" si="0"/>
        <v>0</v>
      </c>
      <c r="E10" s="15"/>
      <c r="F10" s="28"/>
      <c r="G10" s="28"/>
      <c r="H10" s="15"/>
      <c r="I10" s="28"/>
      <c r="J10" s="15"/>
      <c r="K10" s="15">
        <f t="shared" si="1"/>
        <v>26842</v>
      </c>
      <c r="L10" s="28"/>
      <c r="M10" s="28"/>
      <c r="N10" s="10">
        <v>2342</v>
      </c>
      <c r="O10" s="28"/>
      <c r="P10" s="10">
        <v>8727</v>
      </c>
      <c r="Q10" s="10">
        <v>15729</v>
      </c>
      <c r="R10" s="10">
        <v>44</v>
      </c>
      <c r="S10" s="10">
        <v>32983</v>
      </c>
      <c r="T10" s="15">
        <f t="shared" si="2"/>
        <v>0</v>
      </c>
      <c r="U10" s="15"/>
      <c r="V10" s="28"/>
      <c r="W10" s="28"/>
      <c r="X10" s="15">
        <v>0</v>
      </c>
      <c r="Y10" s="28"/>
      <c r="Z10" s="15"/>
      <c r="AA10" s="15">
        <f t="shared" si="3"/>
        <v>32982</v>
      </c>
      <c r="AB10" s="28"/>
      <c r="AC10" s="28"/>
      <c r="AD10" s="15">
        <v>2865</v>
      </c>
      <c r="AE10" s="28"/>
      <c r="AF10" s="10">
        <v>10614</v>
      </c>
      <c r="AG10" s="10">
        <v>19459</v>
      </c>
      <c r="AH10" s="10">
        <v>44</v>
      </c>
      <c r="AI10" s="10">
        <v>213</v>
      </c>
    </row>
    <row r="11" spans="1:35">
      <c r="A11" s="6" t="s">
        <v>33</v>
      </c>
      <c r="B11" s="6">
        <v>2015</v>
      </c>
      <c r="C11" s="10">
        <v>51614</v>
      </c>
      <c r="D11" s="15">
        <f t="shared" si="0"/>
        <v>0</v>
      </c>
      <c r="E11" s="15"/>
      <c r="F11" s="28"/>
      <c r="G11" s="28"/>
      <c r="H11" s="15"/>
      <c r="I11" s="28"/>
      <c r="J11" s="15"/>
      <c r="K11" s="15">
        <f t="shared" si="1"/>
        <v>51614</v>
      </c>
      <c r="L11" s="28"/>
      <c r="M11" s="28"/>
      <c r="N11" s="10">
        <v>4094</v>
      </c>
      <c r="O11" s="28"/>
      <c r="P11" s="10">
        <v>12207</v>
      </c>
      <c r="Q11" s="10">
        <v>22427</v>
      </c>
      <c r="R11" s="10">
        <v>12886</v>
      </c>
      <c r="S11" s="10">
        <v>55149</v>
      </c>
      <c r="T11" s="15">
        <f t="shared" si="2"/>
        <v>0</v>
      </c>
      <c r="U11" s="15"/>
      <c r="V11" s="28"/>
      <c r="W11" s="28"/>
      <c r="X11" s="15">
        <v>0</v>
      </c>
      <c r="Y11" s="28"/>
      <c r="Z11" s="15"/>
      <c r="AA11" s="15">
        <f t="shared" si="3"/>
        <v>55149</v>
      </c>
      <c r="AB11" s="28"/>
      <c r="AC11" s="28"/>
      <c r="AD11" s="15">
        <v>4470</v>
      </c>
      <c r="AE11" s="28"/>
      <c r="AF11" s="10">
        <v>13825</v>
      </c>
      <c r="AG11" s="10">
        <v>23866</v>
      </c>
      <c r="AH11" s="10">
        <v>12988</v>
      </c>
      <c r="AI11" s="10">
        <v>501</v>
      </c>
    </row>
    <row r="12" spans="1:35">
      <c r="A12" s="6" t="s">
        <v>34</v>
      </c>
      <c r="B12" s="6">
        <v>2015</v>
      </c>
      <c r="C12" s="10">
        <v>7065</v>
      </c>
      <c r="D12" s="15">
        <f t="shared" si="0"/>
        <v>106</v>
      </c>
      <c r="E12" s="15"/>
      <c r="F12" s="10">
        <v>106</v>
      </c>
      <c r="G12" s="28"/>
      <c r="H12" s="15"/>
      <c r="I12" s="28"/>
      <c r="J12" s="15"/>
      <c r="K12" s="15">
        <f t="shared" si="1"/>
        <v>6958</v>
      </c>
      <c r="L12" s="10">
        <v>17</v>
      </c>
      <c r="M12" s="28"/>
      <c r="N12" s="10">
        <v>770</v>
      </c>
      <c r="O12" s="28"/>
      <c r="P12" s="10">
        <v>1964</v>
      </c>
      <c r="Q12" s="10">
        <v>841</v>
      </c>
      <c r="R12" s="10">
        <v>3366</v>
      </c>
      <c r="S12" s="10">
        <v>9929</v>
      </c>
      <c r="T12" s="15">
        <f t="shared" si="2"/>
        <v>187</v>
      </c>
      <c r="U12" s="15"/>
      <c r="V12" s="10">
        <v>106</v>
      </c>
      <c r="W12" s="28"/>
      <c r="X12" s="15">
        <v>81</v>
      </c>
      <c r="Y12" s="28"/>
      <c r="Z12" s="15"/>
      <c r="AA12" s="15">
        <f t="shared" si="3"/>
        <v>9741</v>
      </c>
      <c r="AB12" s="10">
        <v>34</v>
      </c>
      <c r="AC12" s="28"/>
      <c r="AD12" s="15">
        <v>1149</v>
      </c>
      <c r="AE12" s="28"/>
      <c r="AF12" s="10">
        <v>3467</v>
      </c>
      <c r="AG12" s="10">
        <v>918</v>
      </c>
      <c r="AH12" s="10">
        <v>4173</v>
      </c>
      <c r="AI12" s="10">
        <v>10720</v>
      </c>
    </row>
    <row r="13" spans="1:35">
      <c r="A13" s="6" t="s">
        <v>35</v>
      </c>
      <c r="B13" s="6">
        <v>2015</v>
      </c>
      <c r="C13" s="10">
        <v>67345</v>
      </c>
      <c r="D13" s="15">
        <f t="shared" si="0"/>
        <v>65</v>
      </c>
      <c r="E13" s="15"/>
      <c r="F13" s="10">
        <v>65</v>
      </c>
      <c r="G13" s="28"/>
      <c r="H13" s="15"/>
      <c r="I13" s="28"/>
      <c r="J13" s="15"/>
      <c r="K13" s="15">
        <f t="shared" si="1"/>
        <v>67280</v>
      </c>
      <c r="L13" s="10">
        <v>13</v>
      </c>
      <c r="M13" s="28"/>
      <c r="N13" s="10">
        <v>8818</v>
      </c>
      <c r="O13" s="28"/>
      <c r="P13" s="10">
        <v>18158</v>
      </c>
      <c r="Q13" s="10">
        <v>22598</v>
      </c>
      <c r="R13" s="10">
        <v>17693</v>
      </c>
      <c r="S13" s="10">
        <v>87519</v>
      </c>
      <c r="T13" s="15">
        <f t="shared" si="2"/>
        <v>212</v>
      </c>
      <c r="U13" s="15"/>
      <c r="V13" s="10">
        <v>65</v>
      </c>
      <c r="W13" s="28"/>
      <c r="X13" s="15">
        <v>147</v>
      </c>
      <c r="Y13" s="28"/>
      <c r="Z13" s="15"/>
      <c r="AA13" s="15">
        <f t="shared" si="3"/>
        <v>87307</v>
      </c>
      <c r="AB13" s="10">
        <v>13</v>
      </c>
      <c r="AC13" s="28"/>
      <c r="AD13" s="15">
        <v>11625</v>
      </c>
      <c r="AE13" s="28"/>
      <c r="AF13" s="10">
        <v>26022</v>
      </c>
      <c r="AG13" s="10">
        <v>29686</v>
      </c>
      <c r="AH13" s="10">
        <v>19961</v>
      </c>
      <c r="AI13" s="10">
        <v>5295</v>
      </c>
    </row>
    <row r="14" spans="1:35">
      <c r="A14" s="6" t="s">
        <v>36</v>
      </c>
      <c r="B14" s="6">
        <v>2015</v>
      </c>
      <c r="C14" s="10">
        <v>45211</v>
      </c>
      <c r="D14" s="15">
        <f t="shared" si="0"/>
        <v>412</v>
      </c>
      <c r="E14" s="15"/>
      <c r="F14" s="10">
        <v>412</v>
      </c>
      <c r="G14" s="28"/>
      <c r="H14" s="15"/>
      <c r="I14" s="28"/>
      <c r="J14" s="15"/>
      <c r="K14" s="15">
        <f t="shared" si="1"/>
        <v>44800</v>
      </c>
      <c r="L14" s="10">
        <v>833</v>
      </c>
      <c r="M14" s="28"/>
      <c r="N14" s="10">
        <v>5719</v>
      </c>
      <c r="O14" s="28"/>
      <c r="P14" s="10">
        <v>10782</v>
      </c>
      <c r="Q14" s="10">
        <v>14351</v>
      </c>
      <c r="R14" s="10">
        <v>13115</v>
      </c>
      <c r="S14" s="10">
        <v>61354</v>
      </c>
      <c r="T14" s="15">
        <f t="shared" si="2"/>
        <v>884</v>
      </c>
      <c r="U14" s="15"/>
      <c r="V14" s="10">
        <v>412</v>
      </c>
      <c r="W14" s="28"/>
      <c r="X14" s="15">
        <v>472</v>
      </c>
      <c r="Y14" s="28"/>
      <c r="Z14" s="15"/>
      <c r="AA14" s="15">
        <f t="shared" si="3"/>
        <v>60470</v>
      </c>
      <c r="AB14" s="10">
        <v>1185</v>
      </c>
      <c r="AC14" s="28"/>
      <c r="AD14" s="15">
        <v>7892</v>
      </c>
      <c r="AE14" s="28"/>
      <c r="AF14" s="10">
        <v>15876</v>
      </c>
      <c r="AG14" s="10">
        <v>20643</v>
      </c>
      <c r="AH14" s="10">
        <v>14874</v>
      </c>
      <c r="AI14" s="10">
        <v>4709</v>
      </c>
    </row>
    <row r="15" spans="1:35">
      <c r="A15" s="6" t="s">
        <v>37</v>
      </c>
      <c r="B15" s="6">
        <v>2015</v>
      </c>
      <c r="C15" s="10">
        <v>55179</v>
      </c>
      <c r="D15" s="15">
        <f t="shared" si="0"/>
        <v>771</v>
      </c>
      <c r="E15" s="15"/>
      <c r="F15" s="10">
        <v>771</v>
      </c>
      <c r="G15" s="28"/>
      <c r="H15" s="15"/>
      <c r="I15" s="28"/>
      <c r="J15" s="15"/>
      <c r="K15" s="15">
        <f t="shared" si="1"/>
        <v>54409</v>
      </c>
      <c r="L15" s="10">
        <v>453</v>
      </c>
      <c r="M15" s="28"/>
      <c r="N15" s="10">
        <v>4658</v>
      </c>
      <c r="O15" s="28"/>
      <c r="P15" s="10">
        <v>11052</v>
      </c>
      <c r="Q15" s="10">
        <v>14832</v>
      </c>
      <c r="R15" s="10">
        <v>23414</v>
      </c>
      <c r="S15" s="10">
        <v>63194</v>
      </c>
      <c r="T15" s="15">
        <f t="shared" si="2"/>
        <v>2354</v>
      </c>
      <c r="U15" s="15"/>
      <c r="V15" s="10">
        <v>771</v>
      </c>
      <c r="W15" s="28"/>
      <c r="X15" s="15">
        <v>1583</v>
      </c>
      <c r="Y15" s="28"/>
      <c r="Z15" s="15"/>
      <c r="AA15" s="15">
        <f t="shared" si="3"/>
        <v>60840</v>
      </c>
      <c r="AB15" s="10">
        <v>901</v>
      </c>
      <c r="AC15" s="28"/>
      <c r="AD15" s="15">
        <v>4587</v>
      </c>
      <c r="AE15" s="28"/>
      <c r="AF15" s="10">
        <v>14385</v>
      </c>
      <c r="AG15" s="10">
        <v>17083</v>
      </c>
      <c r="AH15" s="10">
        <v>23884</v>
      </c>
      <c r="AI15" s="10">
        <v>1330</v>
      </c>
    </row>
    <row r="16" spans="1:35">
      <c r="A16" s="6" t="s">
        <v>38</v>
      </c>
      <c r="B16" s="6">
        <v>2015</v>
      </c>
      <c r="C16" s="10">
        <v>40836</v>
      </c>
      <c r="D16" s="15">
        <f t="shared" si="0"/>
        <v>0</v>
      </c>
      <c r="E16" s="15"/>
      <c r="F16" s="28"/>
      <c r="G16" s="28"/>
      <c r="H16" s="15"/>
      <c r="I16" s="28"/>
      <c r="J16" s="15"/>
      <c r="K16" s="15">
        <f t="shared" si="1"/>
        <v>40837</v>
      </c>
      <c r="L16" s="10">
        <v>342</v>
      </c>
      <c r="M16" s="28"/>
      <c r="N16" s="10">
        <v>3725</v>
      </c>
      <c r="O16" s="28"/>
      <c r="P16" s="10">
        <v>9053</v>
      </c>
      <c r="Q16" s="10">
        <v>14003</v>
      </c>
      <c r="R16" s="10">
        <v>13714</v>
      </c>
      <c r="S16" s="10">
        <v>47065</v>
      </c>
      <c r="T16" s="15">
        <f t="shared" si="2"/>
        <v>0</v>
      </c>
      <c r="U16" s="15"/>
      <c r="V16" s="28"/>
      <c r="W16" s="28"/>
      <c r="X16" s="15">
        <v>0</v>
      </c>
      <c r="Y16" s="28"/>
      <c r="Z16" s="15"/>
      <c r="AA16" s="15">
        <f t="shared" si="3"/>
        <v>47065</v>
      </c>
      <c r="AB16" s="10">
        <v>342</v>
      </c>
      <c r="AC16" s="28"/>
      <c r="AD16" s="15">
        <v>4812</v>
      </c>
      <c r="AE16" s="28"/>
      <c r="AF16" s="10">
        <v>11959</v>
      </c>
      <c r="AG16" s="10">
        <v>16076</v>
      </c>
      <c r="AH16" s="10">
        <v>13876</v>
      </c>
      <c r="AI16" s="10">
        <v>948</v>
      </c>
    </row>
    <row r="17" spans="1:35">
      <c r="A17" s="6" t="s">
        <v>39</v>
      </c>
      <c r="B17" s="6">
        <v>2015</v>
      </c>
      <c r="C17" s="10">
        <v>44557</v>
      </c>
      <c r="D17" s="15">
        <f t="shared" si="0"/>
        <v>450</v>
      </c>
      <c r="E17" s="15"/>
      <c r="F17" s="10">
        <v>450</v>
      </c>
      <c r="G17" s="28"/>
      <c r="H17" s="15"/>
      <c r="I17" s="28"/>
      <c r="J17" s="15"/>
      <c r="K17" s="15">
        <f t="shared" si="1"/>
        <v>44107</v>
      </c>
      <c r="L17" s="28"/>
      <c r="M17" s="28"/>
      <c r="N17" s="10">
        <v>2974</v>
      </c>
      <c r="O17" s="28"/>
      <c r="P17" s="10">
        <v>10649</v>
      </c>
      <c r="Q17" s="10">
        <v>13953</v>
      </c>
      <c r="R17" s="10">
        <v>16531</v>
      </c>
      <c r="S17" s="10">
        <v>47726</v>
      </c>
      <c r="T17" s="15">
        <f t="shared" si="2"/>
        <v>450</v>
      </c>
      <c r="U17" s="15"/>
      <c r="V17" s="10">
        <v>450</v>
      </c>
      <c r="W17" s="28"/>
      <c r="X17" s="15">
        <v>0</v>
      </c>
      <c r="Y17" s="28"/>
      <c r="Z17" s="15"/>
      <c r="AA17" s="15">
        <f t="shared" si="3"/>
        <v>47275</v>
      </c>
      <c r="AB17" s="28"/>
      <c r="AC17" s="28"/>
      <c r="AD17" s="15">
        <v>4017</v>
      </c>
      <c r="AE17" s="28"/>
      <c r="AF17" s="10">
        <v>11867</v>
      </c>
      <c r="AG17" s="10">
        <v>14784</v>
      </c>
      <c r="AH17" s="10">
        <v>16607</v>
      </c>
      <c r="AI17" s="10">
        <v>470</v>
      </c>
    </row>
    <row r="18" spans="1:35">
      <c r="A18" s="6" t="s">
        <v>40</v>
      </c>
      <c r="B18" s="6">
        <v>2015</v>
      </c>
      <c r="C18" s="10">
        <v>77769</v>
      </c>
      <c r="D18" s="15">
        <f t="shared" si="0"/>
        <v>415</v>
      </c>
      <c r="E18" s="15"/>
      <c r="F18" s="28"/>
      <c r="G18" s="10">
        <v>415</v>
      </c>
      <c r="H18" s="15"/>
      <c r="I18" s="28"/>
      <c r="J18" s="15"/>
      <c r="K18" s="15">
        <f t="shared" si="1"/>
        <v>77353</v>
      </c>
      <c r="L18" s="28"/>
      <c r="M18" s="28"/>
      <c r="N18" s="10">
        <v>5371</v>
      </c>
      <c r="O18" s="28"/>
      <c r="P18" s="10">
        <v>16714</v>
      </c>
      <c r="Q18" s="10">
        <v>24557</v>
      </c>
      <c r="R18" s="10">
        <v>30711</v>
      </c>
      <c r="S18" s="10">
        <v>92605</v>
      </c>
      <c r="T18" s="15">
        <f t="shared" si="2"/>
        <v>415</v>
      </c>
      <c r="U18" s="15"/>
      <c r="V18" s="28"/>
      <c r="W18" s="10">
        <v>415</v>
      </c>
      <c r="X18" s="15">
        <v>0</v>
      </c>
      <c r="Y18" s="28"/>
      <c r="Z18" s="15"/>
      <c r="AA18" s="15">
        <f t="shared" si="3"/>
        <v>92190</v>
      </c>
      <c r="AB18" s="28"/>
      <c r="AC18" s="28"/>
      <c r="AD18" s="15">
        <v>6931</v>
      </c>
      <c r="AE18" s="28"/>
      <c r="AF18" s="10">
        <v>22473</v>
      </c>
      <c r="AG18" s="10">
        <v>29343</v>
      </c>
      <c r="AH18" s="10">
        <v>33443</v>
      </c>
      <c r="AI18" s="10">
        <v>4465</v>
      </c>
    </row>
    <row r="19" spans="1:35">
      <c r="A19" s="6" t="s">
        <v>41</v>
      </c>
      <c r="B19" s="6">
        <v>2015</v>
      </c>
      <c r="C19" s="10">
        <v>67901</v>
      </c>
      <c r="D19" s="15">
        <f t="shared" si="0"/>
        <v>148</v>
      </c>
      <c r="E19" s="15"/>
      <c r="F19" s="10">
        <v>148</v>
      </c>
      <c r="G19" s="28"/>
      <c r="H19" s="15"/>
      <c r="I19" s="28"/>
      <c r="J19" s="15"/>
      <c r="K19" s="15">
        <f t="shared" si="1"/>
        <v>67753</v>
      </c>
      <c r="L19" s="10">
        <v>343</v>
      </c>
      <c r="M19" s="28"/>
      <c r="N19" s="10">
        <v>5673</v>
      </c>
      <c r="O19" s="10">
        <v>95</v>
      </c>
      <c r="P19" s="10">
        <v>15984</v>
      </c>
      <c r="Q19" s="10">
        <v>21913</v>
      </c>
      <c r="R19" s="10">
        <v>23745</v>
      </c>
      <c r="S19" s="10">
        <v>72381</v>
      </c>
      <c r="T19" s="15">
        <f t="shared" si="2"/>
        <v>148</v>
      </c>
      <c r="U19" s="15"/>
      <c r="V19" s="10">
        <v>148</v>
      </c>
      <c r="W19" s="28"/>
      <c r="X19" s="15">
        <v>0</v>
      </c>
      <c r="Y19" s="28"/>
      <c r="Z19" s="15"/>
      <c r="AA19" s="15">
        <f t="shared" si="3"/>
        <v>72234</v>
      </c>
      <c r="AB19" s="10">
        <v>343</v>
      </c>
      <c r="AC19" s="28"/>
      <c r="AD19" s="15">
        <v>7560</v>
      </c>
      <c r="AE19" s="10">
        <v>140</v>
      </c>
      <c r="AF19" s="10">
        <v>17212</v>
      </c>
      <c r="AG19" s="10">
        <v>23005</v>
      </c>
      <c r="AH19" s="10">
        <v>23974</v>
      </c>
      <c r="AI19" s="10">
        <v>601</v>
      </c>
    </row>
    <row r="20" spans="1:35">
      <c r="A20" s="6" t="s">
        <v>42</v>
      </c>
      <c r="B20" s="6">
        <v>2015</v>
      </c>
      <c r="C20" s="10">
        <v>64535</v>
      </c>
      <c r="D20" s="15">
        <f t="shared" si="0"/>
        <v>981</v>
      </c>
      <c r="E20" s="15"/>
      <c r="F20" s="10">
        <v>981</v>
      </c>
      <c r="G20" s="28"/>
      <c r="H20" s="15"/>
      <c r="I20" s="28"/>
      <c r="J20" s="15"/>
      <c r="K20" s="15">
        <f t="shared" si="1"/>
        <v>63553</v>
      </c>
      <c r="L20" s="10">
        <v>180</v>
      </c>
      <c r="M20" s="28"/>
      <c r="N20" s="10">
        <v>9555</v>
      </c>
      <c r="O20" s="28"/>
      <c r="P20" s="10">
        <v>12591</v>
      </c>
      <c r="Q20" s="10">
        <v>20081</v>
      </c>
      <c r="R20" s="10">
        <v>21146</v>
      </c>
      <c r="S20" s="10">
        <v>68551</v>
      </c>
      <c r="T20" s="15">
        <f t="shared" si="2"/>
        <v>2779</v>
      </c>
      <c r="U20" s="15"/>
      <c r="V20" s="10">
        <v>981</v>
      </c>
      <c r="W20" s="28"/>
      <c r="X20" s="15">
        <v>1798</v>
      </c>
      <c r="Y20" s="28"/>
      <c r="Z20" s="15"/>
      <c r="AA20" s="15">
        <f t="shared" si="3"/>
        <v>65771</v>
      </c>
      <c r="AB20" s="10">
        <v>180</v>
      </c>
      <c r="AC20" s="28"/>
      <c r="AD20" s="15">
        <v>9599</v>
      </c>
      <c r="AE20" s="28"/>
      <c r="AF20" s="10">
        <v>13722</v>
      </c>
      <c r="AG20" s="10">
        <v>20860</v>
      </c>
      <c r="AH20" s="10">
        <v>21410</v>
      </c>
      <c r="AI20" s="10">
        <v>1089</v>
      </c>
    </row>
    <row r="21" spans="1:35">
      <c r="A21" s="6" t="s">
        <v>43</v>
      </c>
      <c r="B21" s="6">
        <v>2015</v>
      </c>
      <c r="C21" s="10">
        <v>63157</v>
      </c>
      <c r="D21" s="15">
        <f t="shared" si="0"/>
        <v>1387</v>
      </c>
      <c r="E21" s="15"/>
      <c r="F21" s="10">
        <v>1387</v>
      </c>
      <c r="G21" s="28"/>
      <c r="H21" s="15"/>
      <c r="I21" s="28"/>
      <c r="J21" s="15"/>
      <c r="K21" s="15">
        <f t="shared" si="1"/>
        <v>61770</v>
      </c>
      <c r="L21" s="28"/>
      <c r="M21" s="28"/>
      <c r="N21" s="10">
        <v>4769</v>
      </c>
      <c r="O21" s="28"/>
      <c r="P21" s="10">
        <v>13039</v>
      </c>
      <c r="Q21" s="10">
        <v>21265</v>
      </c>
      <c r="R21" s="10">
        <v>22697</v>
      </c>
      <c r="S21" s="10">
        <v>65414</v>
      </c>
      <c r="T21" s="15">
        <f t="shared" si="2"/>
        <v>2244</v>
      </c>
      <c r="U21" s="15"/>
      <c r="V21" s="10">
        <v>1387</v>
      </c>
      <c r="W21" s="28"/>
      <c r="X21" s="15">
        <v>857</v>
      </c>
      <c r="Y21" s="28"/>
      <c r="Z21" s="15"/>
      <c r="AA21" s="15">
        <f t="shared" si="3"/>
        <v>63169</v>
      </c>
      <c r="AB21" s="28"/>
      <c r="AC21" s="28"/>
      <c r="AD21" s="15">
        <v>4121</v>
      </c>
      <c r="AE21" s="28"/>
      <c r="AF21" s="10">
        <v>13779</v>
      </c>
      <c r="AG21" s="10">
        <v>22347</v>
      </c>
      <c r="AH21" s="10">
        <v>22922</v>
      </c>
      <c r="AI21" s="10">
        <v>489</v>
      </c>
    </row>
    <row r="22" spans="1:35">
      <c r="A22" s="6" t="s">
        <v>44</v>
      </c>
      <c r="B22" s="6">
        <v>2015</v>
      </c>
      <c r="C22" s="10">
        <v>53700</v>
      </c>
      <c r="D22" s="15">
        <f t="shared" si="0"/>
        <v>0</v>
      </c>
      <c r="E22" s="15"/>
      <c r="F22" s="28"/>
      <c r="G22" s="28"/>
      <c r="H22" s="15"/>
      <c r="I22" s="28"/>
      <c r="J22" s="15"/>
      <c r="K22" s="15">
        <f t="shared" si="1"/>
        <v>53700</v>
      </c>
      <c r="L22" s="28"/>
      <c r="M22" s="28"/>
      <c r="N22" s="10">
        <v>6443</v>
      </c>
      <c r="O22" s="28"/>
      <c r="P22" s="10">
        <v>14230</v>
      </c>
      <c r="Q22" s="10">
        <v>25593</v>
      </c>
      <c r="R22" s="10">
        <v>7434</v>
      </c>
      <c r="S22" s="10">
        <v>73140</v>
      </c>
      <c r="T22" s="15">
        <f t="shared" si="2"/>
        <v>0</v>
      </c>
      <c r="U22" s="15"/>
      <c r="V22" s="28"/>
      <c r="W22" s="28"/>
      <c r="X22" s="15">
        <v>0</v>
      </c>
      <c r="Y22" s="28"/>
      <c r="Z22" s="15"/>
      <c r="AA22" s="15">
        <f t="shared" si="3"/>
        <v>73140</v>
      </c>
      <c r="AB22" s="28"/>
      <c r="AC22" s="28"/>
      <c r="AD22" s="15">
        <v>9623</v>
      </c>
      <c r="AE22" s="28"/>
      <c r="AF22" s="10">
        <v>21838</v>
      </c>
      <c r="AG22" s="10">
        <v>34118</v>
      </c>
      <c r="AH22" s="10">
        <v>7561</v>
      </c>
      <c r="AI22" s="10">
        <v>3529</v>
      </c>
    </row>
    <row r="23" spans="1:35">
      <c r="A23" s="6" t="s">
        <v>45</v>
      </c>
      <c r="B23" s="6">
        <v>2015</v>
      </c>
      <c r="C23" s="10">
        <v>63359</v>
      </c>
      <c r="D23" s="15">
        <f t="shared" si="0"/>
        <v>0</v>
      </c>
      <c r="E23" s="15"/>
      <c r="F23" s="28"/>
      <c r="G23" s="28"/>
      <c r="H23" s="15"/>
      <c r="I23" s="28"/>
      <c r="J23" s="15"/>
      <c r="K23" s="15">
        <f t="shared" si="1"/>
        <v>63359</v>
      </c>
      <c r="L23" s="28"/>
      <c r="M23" s="28"/>
      <c r="N23" s="10">
        <v>1619</v>
      </c>
      <c r="O23" s="28"/>
      <c r="P23" s="10">
        <v>13489</v>
      </c>
      <c r="Q23" s="10">
        <v>18069</v>
      </c>
      <c r="R23" s="10">
        <v>30182</v>
      </c>
      <c r="S23" s="10">
        <v>67160</v>
      </c>
      <c r="T23" s="15">
        <f t="shared" si="2"/>
        <v>0</v>
      </c>
      <c r="U23" s="15"/>
      <c r="V23" s="28"/>
      <c r="W23" s="28"/>
      <c r="X23" s="15">
        <v>0</v>
      </c>
      <c r="Y23" s="28"/>
      <c r="Z23" s="15"/>
      <c r="AA23" s="15">
        <f t="shared" si="3"/>
        <v>67160</v>
      </c>
      <c r="AB23" s="28"/>
      <c r="AC23" s="28"/>
      <c r="AD23" s="15">
        <v>1721</v>
      </c>
      <c r="AE23" s="28"/>
      <c r="AF23" s="10">
        <v>15548</v>
      </c>
      <c r="AG23" s="10">
        <v>19433</v>
      </c>
      <c r="AH23" s="10">
        <v>30458</v>
      </c>
      <c r="AI23" s="10">
        <v>395</v>
      </c>
    </row>
    <row r="24" spans="1:35">
      <c r="A24" s="6" t="s">
        <v>46</v>
      </c>
      <c r="B24" s="6">
        <v>2015</v>
      </c>
      <c r="C24" s="10">
        <v>10127</v>
      </c>
      <c r="D24" s="15">
        <f t="shared" si="0"/>
        <v>0</v>
      </c>
      <c r="E24" s="15"/>
      <c r="F24" s="28"/>
      <c r="G24" s="28"/>
      <c r="H24" s="15"/>
      <c r="I24" s="28"/>
      <c r="J24" s="15"/>
      <c r="K24" s="15">
        <f t="shared" si="1"/>
        <v>10126</v>
      </c>
      <c r="L24" s="28"/>
      <c r="M24" s="28"/>
      <c r="N24" s="28"/>
      <c r="O24" s="28"/>
      <c r="P24" s="10">
        <v>3655</v>
      </c>
      <c r="Q24" s="10">
        <v>3951</v>
      </c>
      <c r="R24" s="10">
        <v>2520</v>
      </c>
      <c r="S24" s="10">
        <v>10445</v>
      </c>
      <c r="T24" s="15">
        <f t="shared" si="2"/>
        <v>0</v>
      </c>
      <c r="U24" s="15"/>
      <c r="V24" s="28"/>
      <c r="W24" s="28"/>
      <c r="X24" s="15">
        <v>0</v>
      </c>
      <c r="Y24" s="28"/>
      <c r="Z24" s="15"/>
      <c r="AA24" s="15">
        <f t="shared" si="3"/>
        <v>10445</v>
      </c>
      <c r="AB24" s="28"/>
      <c r="AC24" s="28"/>
      <c r="AD24" s="15">
        <v>0</v>
      </c>
      <c r="AE24" s="28"/>
      <c r="AF24" s="10">
        <v>3939</v>
      </c>
      <c r="AG24" s="10">
        <v>3964</v>
      </c>
      <c r="AH24" s="10">
        <v>2542</v>
      </c>
      <c r="AI24" s="10">
        <v>126</v>
      </c>
    </row>
    <row r="25" spans="1:35">
      <c r="A25" s="6" t="s">
        <v>47</v>
      </c>
      <c r="B25" s="6">
        <v>2015</v>
      </c>
      <c r="C25" s="10">
        <v>29076</v>
      </c>
      <c r="D25" s="15">
        <f t="shared" si="0"/>
        <v>575</v>
      </c>
      <c r="E25" s="15"/>
      <c r="F25" s="10">
        <v>575</v>
      </c>
      <c r="G25" s="28"/>
      <c r="H25" s="15"/>
      <c r="I25" s="28"/>
      <c r="J25" s="15"/>
      <c r="K25" s="15">
        <f t="shared" si="1"/>
        <v>28501</v>
      </c>
      <c r="L25" s="28"/>
      <c r="M25" s="28"/>
      <c r="N25" s="10">
        <v>2543</v>
      </c>
      <c r="O25" s="28"/>
      <c r="P25" s="10">
        <v>6367</v>
      </c>
      <c r="Q25" s="10">
        <v>8395</v>
      </c>
      <c r="R25" s="10">
        <v>11196</v>
      </c>
      <c r="S25" s="10">
        <v>33312</v>
      </c>
      <c r="T25" s="15">
        <f t="shared" si="2"/>
        <v>575</v>
      </c>
      <c r="U25" s="15"/>
      <c r="V25" s="10">
        <v>575</v>
      </c>
      <c r="W25" s="28"/>
      <c r="X25" s="15">
        <v>0</v>
      </c>
      <c r="Y25" s="28"/>
      <c r="Z25" s="15"/>
      <c r="AA25" s="15">
        <f t="shared" si="3"/>
        <v>32737</v>
      </c>
      <c r="AB25" s="28"/>
      <c r="AC25" s="28"/>
      <c r="AD25" s="15">
        <v>3114</v>
      </c>
      <c r="AE25" s="28"/>
      <c r="AF25" s="10">
        <v>7968</v>
      </c>
      <c r="AG25" s="10">
        <v>10123</v>
      </c>
      <c r="AH25" s="10">
        <v>11532</v>
      </c>
      <c r="AI25" s="10">
        <v>624</v>
      </c>
    </row>
    <row r="26" spans="1:35">
      <c r="A26" s="6" t="s">
        <v>48</v>
      </c>
      <c r="B26" s="6">
        <v>2015</v>
      </c>
      <c r="C26" s="10">
        <v>81375</v>
      </c>
      <c r="D26" s="15">
        <f t="shared" si="0"/>
        <v>854</v>
      </c>
      <c r="E26" s="15"/>
      <c r="F26" s="10">
        <v>854</v>
      </c>
      <c r="G26" s="28"/>
      <c r="H26" s="15"/>
      <c r="I26" s="28"/>
      <c r="J26" s="15"/>
      <c r="K26" s="15">
        <f t="shared" si="1"/>
        <v>80521</v>
      </c>
      <c r="L26" s="28"/>
      <c r="M26" s="28"/>
      <c r="N26" s="10">
        <v>9835</v>
      </c>
      <c r="O26" s="28"/>
      <c r="P26" s="10">
        <v>16189</v>
      </c>
      <c r="Q26" s="10">
        <v>26345</v>
      </c>
      <c r="R26" s="10">
        <v>28152</v>
      </c>
      <c r="S26" s="10">
        <v>91661</v>
      </c>
      <c r="T26" s="15">
        <f t="shared" si="2"/>
        <v>1094</v>
      </c>
      <c r="U26" s="15"/>
      <c r="V26" s="10">
        <v>854</v>
      </c>
      <c r="W26" s="28"/>
      <c r="X26" s="15">
        <v>240</v>
      </c>
      <c r="Y26" s="28"/>
      <c r="Z26" s="15"/>
      <c r="AA26" s="15">
        <f t="shared" si="3"/>
        <v>90566</v>
      </c>
      <c r="AB26" s="28"/>
      <c r="AC26" s="28"/>
      <c r="AD26" s="15">
        <v>13539</v>
      </c>
      <c r="AE26" s="28"/>
      <c r="AF26" s="10">
        <v>20264</v>
      </c>
      <c r="AG26" s="10">
        <v>28325</v>
      </c>
      <c r="AH26" s="10">
        <v>28438</v>
      </c>
      <c r="AI26" s="10">
        <v>1333</v>
      </c>
    </row>
    <row r="27" spans="1:35">
      <c r="A27" s="6" t="s">
        <v>49</v>
      </c>
      <c r="B27" s="6">
        <v>2015</v>
      </c>
      <c r="C27" s="10">
        <v>47495</v>
      </c>
      <c r="D27" s="15">
        <f t="shared" si="0"/>
        <v>0</v>
      </c>
      <c r="E27" s="15"/>
      <c r="F27" s="28"/>
      <c r="G27" s="28"/>
      <c r="H27" s="15"/>
      <c r="I27" s="28"/>
      <c r="J27" s="15"/>
      <c r="K27" s="15">
        <f t="shared" si="1"/>
        <v>47494</v>
      </c>
      <c r="L27" s="28"/>
      <c r="M27" s="28"/>
      <c r="N27" s="10">
        <v>3419</v>
      </c>
      <c r="O27" s="28"/>
      <c r="P27" s="10">
        <v>10891</v>
      </c>
      <c r="Q27" s="10">
        <v>15181</v>
      </c>
      <c r="R27" s="10">
        <v>18003</v>
      </c>
      <c r="S27" s="10">
        <v>47575</v>
      </c>
      <c r="T27" s="15">
        <f t="shared" si="2"/>
        <v>0</v>
      </c>
      <c r="U27" s="15"/>
      <c r="V27" s="28"/>
      <c r="W27" s="28"/>
      <c r="X27" s="15">
        <v>0</v>
      </c>
      <c r="Y27" s="28"/>
      <c r="Z27" s="15"/>
      <c r="AA27" s="15">
        <f t="shared" si="3"/>
        <v>47575</v>
      </c>
      <c r="AB27" s="28"/>
      <c r="AC27" s="28"/>
      <c r="AD27" s="15">
        <v>3419</v>
      </c>
      <c r="AE27" s="28"/>
      <c r="AF27" s="10">
        <v>10891</v>
      </c>
      <c r="AG27" s="10">
        <v>15239</v>
      </c>
      <c r="AH27" s="10">
        <v>18026</v>
      </c>
      <c r="AI27" s="10">
        <v>194</v>
      </c>
    </row>
    <row r="28" spans="1:35">
      <c r="A28" s="6" t="s">
        <v>50</v>
      </c>
      <c r="B28" s="6">
        <v>2015</v>
      </c>
      <c r="C28" s="10">
        <v>79937</v>
      </c>
      <c r="D28" s="15">
        <f t="shared" si="0"/>
        <v>0</v>
      </c>
      <c r="E28" s="15"/>
      <c r="F28" s="28"/>
      <c r="G28" s="28"/>
      <c r="H28" s="15"/>
      <c r="I28" s="28"/>
      <c r="J28" s="15"/>
      <c r="K28" s="15">
        <f t="shared" si="1"/>
        <v>79937</v>
      </c>
      <c r="L28" s="28"/>
      <c r="M28" s="28"/>
      <c r="N28" s="10">
        <v>10376</v>
      </c>
      <c r="O28" s="28"/>
      <c r="P28" s="10">
        <v>14109</v>
      </c>
      <c r="Q28" s="10">
        <v>23569</v>
      </c>
      <c r="R28" s="10">
        <v>31883</v>
      </c>
      <c r="S28" s="10">
        <v>80750</v>
      </c>
      <c r="T28" s="15">
        <f t="shared" si="2"/>
        <v>0</v>
      </c>
      <c r="U28" s="15"/>
      <c r="V28" s="28"/>
      <c r="W28" s="28"/>
      <c r="X28" s="15">
        <v>0</v>
      </c>
      <c r="Y28" s="28"/>
      <c r="Z28" s="15"/>
      <c r="AA28" s="15">
        <f t="shared" si="3"/>
        <v>80750</v>
      </c>
      <c r="AB28" s="28"/>
      <c r="AC28" s="28"/>
      <c r="AD28" s="15">
        <v>10642</v>
      </c>
      <c r="AE28" s="28"/>
      <c r="AF28" s="10">
        <v>14318</v>
      </c>
      <c r="AG28" s="10">
        <v>23893</v>
      </c>
      <c r="AH28" s="10">
        <v>31897</v>
      </c>
      <c r="AI28" s="10">
        <v>362</v>
      </c>
    </row>
    <row r="29" spans="1:35">
      <c r="A29" s="6" t="s">
        <v>51</v>
      </c>
      <c r="B29" s="6">
        <v>2015</v>
      </c>
      <c r="C29" s="10">
        <v>13114</v>
      </c>
      <c r="D29" s="15">
        <f t="shared" si="0"/>
        <v>423</v>
      </c>
      <c r="E29" s="15"/>
      <c r="F29" s="28"/>
      <c r="G29" s="28"/>
      <c r="H29" s="15"/>
      <c r="I29" s="10">
        <v>423</v>
      </c>
      <c r="J29" s="15"/>
      <c r="K29" s="15">
        <f t="shared" si="1"/>
        <v>12691</v>
      </c>
      <c r="L29" s="28"/>
      <c r="M29" s="28"/>
      <c r="N29" s="28"/>
      <c r="O29" s="28"/>
      <c r="P29" s="10">
        <v>2158</v>
      </c>
      <c r="Q29" s="10">
        <v>4957</v>
      </c>
      <c r="R29" s="10">
        <v>5576</v>
      </c>
      <c r="S29" s="10">
        <v>13423</v>
      </c>
      <c r="T29" s="15">
        <f t="shared" si="2"/>
        <v>423</v>
      </c>
      <c r="U29" s="15"/>
      <c r="V29" s="28"/>
      <c r="W29" s="28"/>
      <c r="X29" s="15">
        <v>0</v>
      </c>
      <c r="Y29" s="10">
        <v>423</v>
      </c>
      <c r="Z29" s="15"/>
      <c r="AA29" s="15">
        <f t="shared" si="3"/>
        <v>13000</v>
      </c>
      <c r="AB29" s="28"/>
      <c r="AC29" s="28"/>
      <c r="AD29" s="15">
        <v>0</v>
      </c>
      <c r="AE29" s="28"/>
      <c r="AF29" s="10">
        <v>2261</v>
      </c>
      <c r="AG29" s="10">
        <v>5125</v>
      </c>
      <c r="AH29" s="10">
        <v>5614</v>
      </c>
      <c r="AI29" s="10">
        <v>7</v>
      </c>
    </row>
    <row r="30" spans="1:35">
      <c r="A30" s="6" t="s">
        <v>52</v>
      </c>
      <c r="B30" s="6">
        <v>2015</v>
      </c>
      <c r="C30" s="10">
        <v>51292</v>
      </c>
      <c r="D30" s="15">
        <f t="shared" si="0"/>
        <v>476</v>
      </c>
      <c r="E30" s="15"/>
      <c r="F30" s="10">
        <v>168</v>
      </c>
      <c r="G30" s="10">
        <v>308</v>
      </c>
      <c r="H30" s="15"/>
      <c r="I30" s="28"/>
      <c r="J30" s="15"/>
      <c r="K30" s="15">
        <f t="shared" si="1"/>
        <v>50818</v>
      </c>
      <c r="L30" s="28"/>
      <c r="M30" s="10">
        <v>1415</v>
      </c>
      <c r="N30" s="10">
        <v>565</v>
      </c>
      <c r="O30" s="10">
        <v>7754</v>
      </c>
      <c r="P30" s="10">
        <v>327</v>
      </c>
      <c r="Q30" s="10">
        <v>22375</v>
      </c>
      <c r="R30" s="10">
        <v>18382</v>
      </c>
      <c r="S30" s="10">
        <v>55024</v>
      </c>
      <c r="T30" s="15">
        <f t="shared" si="2"/>
        <v>770</v>
      </c>
      <c r="U30" s="15"/>
      <c r="V30" s="10">
        <v>168</v>
      </c>
      <c r="W30" s="10">
        <v>308</v>
      </c>
      <c r="X30" s="15">
        <v>294</v>
      </c>
      <c r="Y30" s="28"/>
      <c r="Z30" s="15"/>
      <c r="AA30" s="15">
        <f t="shared" si="3"/>
        <v>54255</v>
      </c>
      <c r="AB30" s="28"/>
      <c r="AC30" s="10">
        <v>2323</v>
      </c>
      <c r="AD30" s="15">
        <v>271</v>
      </c>
      <c r="AE30" s="10">
        <v>8880</v>
      </c>
      <c r="AF30" s="10">
        <v>327</v>
      </c>
      <c r="AG30" s="10">
        <v>24011</v>
      </c>
      <c r="AH30" s="10">
        <v>18443</v>
      </c>
      <c r="AI30" s="10">
        <v>982</v>
      </c>
    </row>
    <row r="31" spans="1:35">
      <c r="A31" s="6" t="s">
        <v>53</v>
      </c>
      <c r="B31" s="6">
        <v>2015</v>
      </c>
      <c r="C31" s="10">
        <v>58609</v>
      </c>
      <c r="D31" s="15">
        <f t="shared" si="0"/>
        <v>1351</v>
      </c>
      <c r="E31" s="15"/>
      <c r="F31" s="10">
        <v>1351</v>
      </c>
      <c r="G31" s="28"/>
      <c r="H31" s="15"/>
      <c r="I31" s="28"/>
      <c r="J31" s="15"/>
      <c r="K31" s="15">
        <f t="shared" si="1"/>
        <v>57258</v>
      </c>
      <c r="L31" s="28"/>
      <c r="M31" s="10">
        <v>3379</v>
      </c>
      <c r="N31" s="28"/>
      <c r="O31" s="10">
        <v>9198</v>
      </c>
      <c r="P31" s="10">
        <v>828</v>
      </c>
      <c r="Q31" s="10">
        <v>21690</v>
      </c>
      <c r="R31" s="10">
        <v>22163</v>
      </c>
      <c r="S31" s="10">
        <v>60684</v>
      </c>
      <c r="T31" s="15">
        <f t="shared" si="2"/>
        <v>1351</v>
      </c>
      <c r="U31" s="15"/>
      <c r="V31" s="10">
        <v>1351</v>
      </c>
      <c r="W31" s="28"/>
      <c r="X31" s="15">
        <v>0</v>
      </c>
      <c r="Y31" s="28"/>
      <c r="Z31" s="15"/>
      <c r="AA31" s="15">
        <f t="shared" si="3"/>
        <v>59333</v>
      </c>
      <c r="AB31" s="28"/>
      <c r="AC31" s="10">
        <v>5086</v>
      </c>
      <c r="AD31" s="15">
        <v>0</v>
      </c>
      <c r="AE31" s="10">
        <v>9323</v>
      </c>
      <c r="AF31" s="10">
        <v>847</v>
      </c>
      <c r="AG31" s="10">
        <v>21881</v>
      </c>
      <c r="AH31" s="10">
        <v>22196</v>
      </c>
      <c r="AI31" s="10">
        <v>137</v>
      </c>
    </row>
    <row r="32" spans="1:35">
      <c r="A32" s="6" t="s">
        <v>54</v>
      </c>
      <c r="B32" s="6">
        <v>2015</v>
      </c>
      <c r="C32" s="10">
        <v>26978</v>
      </c>
      <c r="D32" s="15">
        <f t="shared" si="0"/>
        <v>609</v>
      </c>
      <c r="E32" s="15"/>
      <c r="F32" s="28"/>
      <c r="G32" s="28"/>
      <c r="H32" s="15"/>
      <c r="I32" s="10">
        <v>609</v>
      </c>
      <c r="J32" s="15"/>
      <c r="K32" s="15">
        <f t="shared" si="1"/>
        <v>26370</v>
      </c>
      <c r="L32" s="28"/>
      <c r="M32" s="10">
        <v>2565</v>
      </c>
      <c r="N32" s="28"/>
      <c r="O32" s="10">
        <v>5965</v>
      </c>
      <c r="P32" s="28"/>
      <c r="Q32" s="10">
        <v>10687</v>
      </c>
      <c r="R32" s="10">
        <v>7153</v>
      </c>
      <c r="S32" s="10">
        <v>28904</v>
      </c>
      <c r="T32" s="15">
        <f t="shared" si="2"/>
        <v>1217</v>
      </c>
      <c r="U32" s="15"/>
      <c r="V32" s="28"/>
      <c r="W32" s="28"/>
      <c r="X32" s="15">
        <v>0</v>
      </c>
      <c r="Y32" s="10">
        <v>1217</v>
      </c>
      <c r="Z32" s="15"/>
      <c r="AA32" s="15">
        <f t="shared" si="3"/>
        <v>27686</v>
      </c>
      <c r="AB32" s="28"/>
      <c r="AC32" s="10">
        <v>2716</v>
      </c>
      <c r="AD32" s="15">
        <v>0</v>
      </c>
      <c r="AE32" s="10">
        <v>6123</v>
      </c>
      <c r="AF32" s="28"/>
      <c r="AG32" s="10">
        <v>11643</v>
      </c>
      <c r="AH32" s="10">
        <v>7204</v>
      </c>
      <c r="AI32" s="10">
        <v>92</v>
      </c>
    </row>
    <row r="33" spans="1:35">
      <c r="A33" s="6" t="s">
        <v>55</v>
      </c>
      <c r="B33" s="6">
        <v>2015</v>
      </c>
      <c r="C33" s="10">
        <v>13667</v>
      </c>
      <c r="D33" s="15">
        <f t="shared" si="0"/>
        <v>218</v>
      </c>
      <c r="E33" s="15"/>
      <c r="F33" s="10">
        <v>112</v>
      </c>
      <c r="G33" s="10">
        <v>106</v>
      </c>
      <c r="H33" s="15"/>
      <c r="I33" s="28"/>
      <c r="J33" s="15"/>
      <c r="K33" s="15">
        <f t="shared" si="1"/>
        <v>13449</v>
      </c>
      <c r="L33" s="28"/>
      <c r="M33" s="10">
        <v>1128</v>
      </c>
      <c r="N33" s="28"/>
      <c r="O33" s="10">
        <v>2302</v>
      </c>
      <c r="P33" s="10">
        <v>1947</v>
      </c>
      <c r="Q33" s="10">
        <v>4741</v>
      </c>
      <c r="R33" s="10">
        <v>3331</v>
      </c>
      <c r="S33" s="10">
        <v>15600</v>
      </c>
      <c r="T33" s="15">
        <f t="shared" si="2"/>
        <v>218</v>
      </c>
      <c r="U33" s="15"/>
      <c r="V33" s="10">
        <v>112</v>
      </c>
      <c r="W33" s="10">
        <v>106</v>
      </c>
      <c r="X33" s="15">
        <v>0</v>
      </c>
      <c r="Y33" s="28"/>
      <c r="Z33" s="15"/>
      <c r="AA33" s="15">
        <f t="shared" si="3"/>
        <v>15382</v>
      </c>
      <c r="AB33" s="28"/>
      <c r="AC33" s="10">
        <v>1128</v>
      </c>
      <c r="AD33" s="15">
        <v>0</v>
      </c>
      <c r="AE33" s="10">
        <v>2345</v>
      </c>
      <c r="AF33" s="10">
        <v>2282</v>
      </c>
      <c r="AG33" s="10">
        <v>6063</v>
      </c>
      <c r="AH33" s="10">
        <v>3564</v>
      </c>
      <c r="AI33" s="10">
        <v>93</v>
      </c>
    </row>
    <row r="34" spans="1:35">
      <c r="A34" s="6" t="s">
        <v>56</v>
      </c>
      <c r="B34" s="6">
        <v>2015</v>
      </c>
      <c r="C34" s="10">
        <v>68856</v>
      </c>
      <c r="D34" s="15">
        <f t="shared" si="0"/>
        <v>166</v>
      </c>
      <c r="E34" s="15"/>
      <c r="F34" s="10">
        <v>166</v>
      </c>
      <c r="G34" s="28"/>
      <c r="H34" s="15"/>
      <c r="I34" s="28"/>
      <c r="J34" s="15"/>
      <c r="K34" s="15">
        <f t="shared" si="1"/>
        <v>68691</v>
      </c>
      <c r="L34" s="28"/>
      <c r="M34" s="10">
        <v>4216</v>
      </c>
      <c r="N34" s="10">
        <v>186</v>
      </c>
      <c r="O34" s="28"/>
      <c r="P34" s="10">
        <v>19190</v>
      </c>
      <c r="Q34" s="10">
        <v>22531</v>
      </c>
      <c r="R34" s="10">
        <v>22568</v>
      </c>
      <c r="S34" s="10">
        <v>70537</v>
      </c>
      <c r="T34" s="15">
        <f t="shared" si="2"/>
        <v>166</v>
      </c>
      <c r="U34" s="15"/>
      <c r="V34" s="10">
        <v>166</v>
      </c>
      <c r="W34" s="28"/>
      <c r="X34" s="15">
        <v>0</v>
      </c>
      <c r="Y34" s="28"/>
      <c r="Z34" s="15"/>
      <c r="AA34" s="15">
        <f t="shared" si="3"/>
        <v>70372</v>
      </c>
      <c r="AB34" s="28"/>
      <c r="AC34" s="10">
        <v>4412</v>
      </c>
      <c r="AD34" s="15">
        <v>186</v>
      </c>
      <c r="AE34" s="28"/>
      <c r="AF34" s="10">
        <v>19821</v>
      </c>
      <c r="AG34" s="10">
        <v>23254</v>
      </c>
      <c r="AH34" s="10">
        <v>22699</v>
      </c>
      <c r="AI34" s="10">
        <v>166</v>
      </c>
    </row>
    <row r="35" spans="1:35">
      <c r="A35" s="6" t="s">
        <v>57</v>
      </c>
      <c r="B35" s="6">
        <v>2015</v>
      </c>
      <c r="C35" s="10">
        <v>16529</v>
      </c>
      <c r="D35" s="15">
        <f t="shared" si="0"/>
        <v>2787</v>
      </c>
      <c r="E35" s="15"/>
      <c r="F35" s="10">
        <v>2787</v>
      </c>
      <c r="G35" s="28"/>
      <c r="H35" s="15"/>
      <c r="I35" s="28"/>
      <c r="J35" s="15"/>
      <c r="K35" s="15">
        <f t="shared" si="1"/>
        <v>13742</v>
      </c>
      <c r="L35" s="28"/>
      <c r="M35" s="28"/>
      <c r="N35" s="10">
        <v>13551</v>
      </c>
      <c r="O35" s="28"/>
      <c r="P35" s="10">
        <v>191</v>
      </c>
      <c r="Q35" s="28"/>
      <c r="R35" s="28"/>
      <c r="S35" s="10">
        <v>18677</v>
      </c>
      <c r="T35" s="15">
        <f t="shared" si="2"/>
        <v>8280</v>
      </c>
      <c r="U35" s="15"/>
      <c r="V35" s="10">
        <v>2787</v>
      </c>
      <c r="W35" s="28"/>
      <c r="X35" s="15">
        <v>5493</v>
      </c>
      <c r="Y35" s="28"/>
      <c r="Z35" s="15"/>
      <c r="AA35" s="15">
        <f t="shared" si="3"/>
        <v>10398</v>
      </c>
      <c r="AB35" s="28"/>
      <c r="AC35" s="28"/>
      <c r="AD35" s="15">
        <v>10198</v>
      </c>
      <c r="AE35" s="28"/>
      <c r="AF35" s="10">
        <v>200</v>
      </c>
      <c r="AG35" s="28"/>
      <c r="AH35" s="28"/>
      <c r="AI35" s="10">
        <v>31</v>
      </c>
    </row>
    <row r="36" spans="1:35">
      <c r="A36" s="6" t="s">
        <v>25</v>
      </c>
      <c r="B36" s="6">
        <v>2016</v>
      </c>
      <c r="C36" s="10">
        <v>1581310</v>
      </c>
      <c r="D36" s="22">
        <f t="shared" si="0"/>
        <v>14660</v>
      </c>
      <c r="E36" s="22"/>
      <c r="F36" s="10">
        <v>12295</v>
      </c>
      <c r="G36" s="10">
        <v>1334</v>
      </c>
      <c r="H36" s="22"/>
      <c r="I36" s="10">
        <v>1031</v>
      </c>
      <c r="J36" s="22"/>
      <c r="K36" s="22">
        <f t="shared" si="1"/>
        <v>1566650</v>
      </c>
      <c r="L36" s="10">
        <v>5823</v>
      </c>
      <c r="M36" s="10">
        <v>14957</v>
      </c>
      <c r="N36" s="10">
        <v>149044</v>
      </c>
      <c r="O36" s="10">
        <v>26501</v>
      </c>
      <c r="P36" s="10">
        <v>335210</v>
      </c>
      <c r="Q36" s="10">
        <v>547826</v>
      </c>
      <c r="R36" s="10">
        <v>487289</v>
      </c>
      <c r="S36" s="10">
        <v>1756141</v>
      </c>
      <c r="T36" s="22">
        <f t="shared" si="2"/>
        <v>28808</v>
      </c>
      <c r="U36" s="22"/>
      <c r="V36" s="10">
        <v>12295</v>
      </c>
      <c r="W36" s="10">
        <v>1334</v>
      </c>
      <c r="X36" s="22">
        <v>13539</v>
      </c>
      <c r="Y36" s="10">
        <v>1640</v>
      </c>
      <c r="Z36" s="22"/>
      <c r="AA36" s="22">
        <f t="shared" si="3"/>
        <v>1727335</v>
      </c>
      <c r="AB36" s="10">
        <v>7245</v>
      </c>
      <c r="AC36" s="10">
        <v>17968</v>
      </c>
      <c r="AD36" s="22">
        <v>165875</v>
      </c>
      <c r="AE36" s="10">
        <v>28366</v>
      </c>
      <c r="AF36" s="10">
        <v>397050</v>
      </c>
      <c r="AG36" s="10">
        <v>611431</v>
      </c>
      <c r="AH36" s="10">
        <v>499400</v>
      </c>
      <c r="AI36" s="10">
        <v>57933</v>
      </c>
    </row>
    <row r="37" spans="1:35">
      <c r="A37" s="6" t="s">
        <v>26</v>
      </c>
      <c r="B37" s="6">
        <v>2016</v>
      </c>
      <c r="C37" s="10">
        <v>8916</v>
      </c>
      <c r="D37" s="22">
        <f t="shared" ref="D37:D69" si="4">SUM(E37:J37)</f>
        <v>0</v>
      </c>
      <c r="E37" s="22"/>
      <c r="F37" s="10"/>
      <c r="G37" s="10"/>
      <c r="H37" s="22"/>
      <c r="I37" s="10"/>
      <c r="J37" s="22"/>
      <c r="K37" s="22">
        <f t="shared" ref="K37:K69" si="5">SUM(L37:R37)</f>
        <v>8917</v>
      </c>
      <c r="L37" s="10"/>
      <c r="M37" s="10"/>
      <c r="N37" s="10">
        <v>1401</v>
      </c>
      <c r="O37" s="10"/>
      <c r="P37" s="10">
        <v>2664</v>
      </c>
      <c r="Q37" s="10">
        <v>3094</v>
      </c>
      <c r="R37" s="10">
        <v>1758</v>
      </c>
      <c r="S37" s="10">
        <v>10024</v>
      </c>
      <c r="T37" s="22">
        <f t="shared" ref="T37:T69" si="6">SUM(U37:Z37)</f>
        <v>0</v>
      </c>
      <c r="U37" s="22"/>
      <c r="V37" s="10"/>
      <c r="W37" s="10"/>
      <c r="X37" s="22"/>
      <c r="Y37" s="10"/>
      <c r="Z37" s="22"/>
      <c r="AA37" s="22">
        <f t="shared" ref="AA37:AA69" si="7">SUM(AB37:AH37)</f>
        <v>10024</v>
      </c>
      <c r="AB37" s="10"/>
      <c r="AC37" s="10"/>
      <c r="AD37" s="22">
        <v>1446</v>
      </c>
      <c r="AE37" s="10"/>
      <c r="AF37" s="10">
        <v>2908</v>
      </c>
      <c r="AG37" s="10">
        <v>3775</v>
      </c>
      <c r="AH37" s="10">
        <v>1895</v>
      </c>
      <c r="AI37" s="10">
        <v>2062</v>
      </c>
    </row>
    <row r="38" spans="1:35">
      <c r="A38" s="6" t="s">
        <v>27</v>
      </c>
      <c r="B38" s="6">
        <v>2016</v>
      </c>
      <c r="C38" s="10">
        <v>11149</v>
      </c>
      <c r="D38" s="22">
        <f t="shared" si="4"/>
        <v>0</v>
      </c>
      <c r="E38" s="22"/>
      <c r="F38" s="10"/>
      <c r="G38" s="10"/>
      <c r="H38" s="22"/>
      <c r="I38" s="10"/>
      <c r="J38" s="22"/>
      <c r="K38" s="22">
        <f t="shared" si="5"/>
        <v>11150</v>
      </c>
      <c r="L38" s="10">
        <v>579</v>
      </c>
      <c r="M38" s="10"/>
      <c r="N38" s="10">
        <v>982</v>
      </c>
      <c r="O38" s="10"/>
      <c r="P38" s="10">
        <v>2856</v>
      </c>
      <c r="Q38" s="10">
        <v>3322</v>
      </c>
      <c r="R38" s="10">
        <v>3411</v>
      </c>
      <c r="S38" s="10">
        <v>11149</v>
      </c>
      <c r="T38" s="22">
        <f t="shared" si="6"/>
        <v>0</v>
      </c>
      <c r="U38" s="22"/>
      <c r="V38" s="10"/>
      <c r="W38" s="10"/>
      <c r="X38" s="22"/>
      <c r="Y38" s="10"/>
      <c r="Z38" s="22"/>
      <c r="AA38" s="22">
        <f t="shared" si="7"/>
        <v>11150</v>
      </c>
      <c r="AB38" s="10">
        <v>579</v>
      </c>
      <c r="AC38" s="10"/>
      <c r="AD38" s="22">
        <v>982</v>
      </c>
      <c r="AE38" s="10"/>
      <c r="AF38" s="10">
        <v>2856</v>
      </c>
      <c r="AG38" s="10">
        <v>3322</v>
      </c>
      <c r="AH38" s="10">
        <v>3411</v>
      </c>
      <c r="AI38" s="10">
        <v>6074</v>
      </c>
    </row>
    <row r="39" spans="1:35">
      <c r="A39" s="6" t="s">
        <v>28</v>
      </c>
      <c r="B39" s="6">
        <v>2016</v>
      </c>
      <c r="C39" s="10">
        <v>87740</v>
      </c>
      <c r="D39" s="22">
        <f t="shared" si="4"/>
        <v>200</v>
      </c>
      <c r="E39" s="22"/>
      <c r="F39" s="10"/>
      <c r="G39" s="10">
        <v>200</v>
      </c>
      <c r="H39" s="22"/>
      <c r="I39" s="10"/>
      <c r="J39" s="22"/>
      <c r="K39" s="22">
        <f t="shared" si="5"/>
        <v>87540</v>
      </c>
      <c r="L39" s="10">
        <v>1167</v>
      </c>
      <c r="M39" s="10"/>
      <c r="N39" s="10">
        <v>11655</v>
      </c>
      <c r="O39" s="10"/>
      <c r="P39" s="10">
        <v>17687</v>
      </c>
      <c r="Q39" s="10">
        <v>27493</v>
      </c>
      <c r="R39" s="10">
        <v>29538</v>
      </c>
      <c r="S39" s="10">
        <v>96632</v>
      </c>
      <c r="T39" s="22">
        <f t="shared" si="6"/>
        <v>200</v>
      </c>
      <c r="U39" s="22"/>
      <c r="V39" s="10"/>
      <c r="W39" s="10">
        <v>200</v>
      </c>
      <c r="X39" s="22"/>
      <c r="Y39" s="10"/>
      <c r="Z39" s="22"/>
      <c r="AA39" s="22">
        <f t="shared" si="7"/>
        <v>96432</v>
      </c>
      <c r="AB39" s="10">
        <v>1419</v>
      </c>
      <c r="AC39" s="10"/>
      <c r="AD39" s="22">
        <v>11698</v>
      </c>
      <c r="AE39" s="10"/>
      <c r="AF39" s="10">
        <v>21554</v>
      </c>
      <c r="AG39" s="10">
        <v>31024</v>
      </c>
      <c r="AH39" s="10">
        <v>30737</v>
      </c>
      <c r="AI39" s="10">
        <v>1747</v>
      </c>
    </row>
    <row r="40" spans="1:35">
      <c r="A40" s="6" t="s">
        <v>29</v>
      </c>
      <c r="B40" s="6">
        <v>2016</v>
      </c>
      <c r="C40" s="10">
        <v>64359</v>
      </c>
      <c r="D40" s="22">
        <f t="shared" si="4"/>
        <v>727</v>
      </c>
      <c r="E40" s="22"/>
      <c r="F40" s="10">
        <v>422</v>
      </c>
      <c r="G40" s="10">
        <v>305</v>
      </c>
      <c r="H40" s="22"/>
      <c r="I40" s="10"/>
      <c r="J40" s="22"/>
      <c r="K40" s="22">
        <f t="shared" si="5"/>
        <v>63632</v>
      </c>
      <c r="L40" s="10">
        <v>599</v>
      </c>
      <c r="M40" s="10"/>
      <c r="N40" s="10">
        <v>7526</v>
      </c>
      <c r="O40" s="10"/>
      <c r="P40" s="10">
        <v>14498</v>
      </c>
      <c r="Q40" s="10">
        <v>18603</v>
      </c>
      <c r="R40" s="10">
        <v>22406</v>
      </c>
      <c r="S40" s="10">
        <v>68293</v>
      </c>
      <c r="T40" s="22">
        <f t="shared" si="6"/>
        <v>727</v>
      </c>
      <c r="U40" s="22"/>
      <c r="V40" s="10">
        <v>422</v>
      </c>
      <c r="W40" s="10">
        <v>305</v>
      </c>
      <c r="X40" s="22"/>
      <c r="Y40" s="10"/>
      <c r="Z40" s="22"/>
      <c r="AA40" s="22">
        <f t="shared" si="7"/>
        <v>67565</v>
      </c>
      <c r="AB40" s="10">
        <v>657</v>
      </c>
      <c r="AC40" s="10"/>
      <c r="AD40" s="22">
        <v>8498</v>
      </c>
      <c r="AE40" s="10"/>
      <c r="AF40" s="10">
        <v>16180</v>
      </c>
      <c r="AG40" s="10">
        <v>19730</v>
      </c>
      <c r="AH40" s="10">
        <v>22500</v>
      </c>
      <c r="AI40" s="10">
        <v>727</v>
      </c>
    </row>
    <row r="41" spans="1:35">
      <c r="A41" s="6" t="s">
        <v>30</v>
      </c>
      <c r="B41" s="6">
        <v>2016</v>
      </c>
      <c r="C41" s="10">
        <v>94980</v>
      </c>
      <c r="D41" s="22">
        <f t="shared" si="4"/>
        <v>0</v>
      </c>
      <c r="E41" s="22"/>
      <c r="F41" s="10"/>
      <c r="G41" s="10"/>
      <c r="H41" s="22"/>
      <c r="I41" s="10"/>
      <c r="J41" s="22"/>
      <c r="K41" s="22">
        <f t="shared" si="5"/>
        <v>94980</v>
      </c>
      <c r="L41" s="10"/>
      <c r="M41" s="10"/>
      <c r="N41" s="10">
        <v>8401</v>
      </c>
      <c r="O41" s="10"/>
      <c r="P41" s="10">
        <v>28087</v>
      </c>
      <c r="Q41" s="10">
        <v>38325</v>
      </c>
      <c r="R41" s="10">
        <v>20167</v>
      </c>
      <c r="S41" s="10">
        <v>97695</v>
      </c>
      <c r="T41" s="22">
        <f t="shared" si="6"/>
        <v>715</v>
      </c>
      <c r="U41" s="22"/>
      <c r="V41" s="10"/>
      <c r="W41" s="10"/>
      <c r="X41" s="22">
        <v>715</v>
      </c>
      <c r="Y41" s="10"/>
      <c r="Z41" s="22"/>
      <c r="AA41" s="22">
        <f t="shared" si="7"/>
        <v>96980</v>
      </c>
      <c r="AB41" s="10"/>
      <c r="AC41" s="10"/>
      <c r="AD41" s="22">
        <v>8263</v>
      </c>
      <c r="AE41" s="10"/>
      <c r="AF41" s="10">
        <v>29356</v>
      </c>
      <c r="AG41" s="10">
        <v>39180</v>
      </c>
      <c r="AH41" s="10">
        <v>20181</v>
      </c>
      <c r="AI41" s="10">
        <v>106</v>
      </c>
    </row>
    <row r="42" spans="1:35">
      <c r="A42" s="6" t="s">
        <v>31</v>
      </c>
      <c r="B42" s="6">
        <v>2016</v>
      </c>
      <c r="C42" s="10">
        <v>44297</v>
      </c>
      <c r="D42" s="22">
        <f t="shared" si="4"/>
        <v>0</v>
      </c>
      <c r="E42" s="22"/>
      <c r="F42" s="10"/>
      <c r="G42" s="10"/>
      <c r="H42" s="22"/>
      <c r="I42" s="10"/>
      <c r="J42" s="22"/>
      <c r="K42" s="22">
        <f t="shared" si="5"/>
        <v>44297</v>
      </c>
      <c r="L42" s="10"/>
      <c r="M42" s="10"/>
      <c r="N42" s="10">
        <v>6271</v>
      </c>
      <c r="O42" s="10"/>
      <c r="P42" s="10">
        <v>13834</v>
      </c>
      <c r="Q42" s="10">
        <v>24157</v>
      </c>
      <c r="R42" s="10">
        <v>35</v>
      </c>
      <c r="S42" s="10">
        <v>58718</v>
      </c>
      <c r="T42" s="22">
        <f t="shared" si="6"/>
        <v>193</v>
      </c>
      <c r="U42" s="22"/>
      <c r="V42" s="10"/>
      <c r="W42" s="10"/>
      <c r="X42" s="22">
        <v>193</v>
      </c>
      <c r="Y42" s="10"/>
      <c r="Z42" s="22"/>
      <c r="AA42" s="22">
        <f t="shared" si="7"/>
        <v>58525</v>
      </c>
      <c r="AB42" s="10"/>
      <c r="AC42" s="10"/>
      <c r="AD42" s="22">
        <v>7632</v>
      </c>
      <c r="AE42" s="10"/>
      <c r="AF42" s="10">
        <v>18096</v>
      </c>
      <c r="AG42" s="10">
        <v>32759</v>
      </c>
      <c r="AH42" s="10">
        <v>38</v>
      </c>
      <c r="AI42" s="10">
        <v>2071</v>
      </c>
    </row>
    <row r="43" spans="1:35">
      <c r="A43" s="6" t="s">
        <v>32</v>
      </c>
      <c r="B43" s="6">
        <v>2016</v>
      </c>
      <c r="C43" s="10">
        <v>27593</v>
      </c>
      <c r="D43" s="22">
        <f t="shared" si="4"/>
        <v>0</v>
      </c>
      <c r="E43" s="22"/>
      <c r="F43" s="10"/>
      <c r="G43" s="10"/>
      <c r="H43" s="22"/>
      <c r="I43" s="10"/>
      <c r="J43" s="22"/>
      <c r="K43" s="22">
        <f t="shared" si="5"/>
        <v>27592</v>
      </c>
      <c r="L43" s="10"/>
      <c r="M43" s="10"/>
      <c r="N43" s="10">
        <v>2460</v>
      </c>
      <c r="O43" s="10"/>
      <c r="P43" s="10">
        <v>9024</v>
      </c>
      <c r="Q43" s="10">
        <v>16064</v>
      </c>
      <c r="R43" s="10">
        <v>44</v>
      </c>
      <c r="S43" s="10">
        <v>34473</v>
      </c>
      <c r="T43" s="22">
        <f t="shared" si="6"/>
        <v>0</v>
      </c>
      <c r="U43" s="22"/>
      <c r="V43" s="10"/>
      <c r="W43" s="10"/>
      <c r="X43" s="22"/>
      <c r="Y43" s="10"/>
      <c r="Z43" s="22"/>
      <c r="AA43" s="22">
        <f t="shared" si="7"/>
        <v>34473</v>
      </c>
      <c r="AB43" s="10"/>
      <c r="AC43" s="10"/>
      <c r="AD43" s="22">
        <v>3102</v>
      </c>
      <c r="AE43" s="10"/>
      <c r="AF43" s="10">
        <v>11276</v>
      </c>
      <c r="AG43" s="10">
        <v>20051</v>
      </c>
      <c r="AH43" s="10">
        <v>44</v>
      </c>
      <c r="AI43" s="10">
        <v>217</v>
      </c>
    </row>
    <row r="44" spans="1:35">
      <c r="A44" s="6" t="s">
        <v>33</v>
      </c>
      <c r="B44" s="6">
        <v>2016</v>
      </c>
      <c r="C44" s="10">
        <v>52300</v>
      </c>
      <c r="D44" s="22">
        <f t="shared" si="4"/>
        <v>0</v>
      </c>
      <c r="E44" s="22"/>
      <c r="F44" s="10"/>
      <c r="G44" s="10"/>
      <c r="H44" s="22"/>
      <c r="I44" s="10"/>
      <c r="J44" s="22"/>
      <c r="K44" s="22">
        <f t="shared" si="5"/>
        <v>52300</v>
      </c>
      <c r="L44" s="10"/>
      <c r="M44" s="10"/>
      <c r="N44" s="10">
        <v>4325</v>
      </c>
      <c r="O44" s="10"/>
      <c r="P44" s="10">
        <v>12152</v>
      </c>
      <c r="Q44" s="10">
        <v>22782</v>
      </c>
      <c r="R44" s="10">
        <v>13041</v>
      </c>
      <c r="S44" s="10">
        <v>56436</v>
      </c>
      <c r="T44" s="22">
        <f t="shared" si="6"/>
        <v>0</v>
      </c>
      <c r="U44" s="22"/>
      <c r="V44" s="10"/>
      <c r="W44" s="10"/>
      <c r="X44" s="22"/>
      <c r="Y44" s="10"/>
      <c r="Z44" s="22"/>
      <c r="AA44" s="22">
        <f t="shared" si="7"/>
        <v>56436</v>
      </c>
      <c r="AB44" s="10"/>
      <c r="AC44" s="10"/>
      <c r="AD44" s="22">
        <v>4700</v>
      </c>
      <c r="AE44" s="10"/>
      <c r="AF44" s="10">
        <v>14048</v>
      </c>
      <c r="AG44" s="10">
        <v>24534</v>
      </c>
      <c r="AH44" s="10">
        <v>13154</v>
      </c>
      <c r="AI44" s="10">
        <v>532</v>
      </c>
    </row>
    <row r="45" spans="1:35">
      <c r="A45" s="6" t="s">
        <v>34</v>
      </c>
      <c r="B45" s="6">
        <v>2016</v>
      </c>
      <c r="C45" s="10">
        <v>7109</v>
      </c>
      <c r="D45" s="22">
        <f t="shared" si="4"/>
        <v>106</v>
      </c>
      <c r="E45" s="22"/>
      <c r="F45" s="10">
        <v>106</v>
      </c>
      <c r="G45" s="10"/>
      <c r="H45" s="22"/>
      <c r="I45" s="10"/>
      <c r="J45" s="22"/>
      <c r="K45" s="22">
        <f t="shared" si="5"/>
        <v>7004</v>
      </c>
      <c r="L45" s="10">
        <v>74</v>
      </c>
      <c r="M45" s="10"/>
      <c r="N45" s="10">
        <v>757</v>
      </c>
      <c r="O45" s="10"/>
      <c r="P45" s="10">
        <v>1957</v>
      </c>
      <c r="Q45" s="10">
        <v>895</v>
      </c>
      <c r="R45" s="10">
        <v>3321</v>
      </c>
      <c r="S45" s="10">
        <v>9642</v>
      </c>
      <c r="T45" s="22">
        <f t="shared" si="6"/>
        <v>187</v>
      </c>
      <c r="U45" s="22"/>
      <c r="V45" s="10">
        <v>106</v>
      </c>
      <c r="W45" s="10"/>
      <c r="X45" s="22">
        <v>81</v>
      </c>
      <c r="Y45" s="10"/>
      <c r="Z45" s="22"/>
      <c r="AA45" s="22">
        <f t="shared" si="7"/>
        <v>9454</v>
      </c>
      <c r="AB45" s="10">
        <v>147</v>
      </c>
      <c r="AC45" s="10"/>
      <c r="AD45" s="22">
        <v>1149</v>
      </c>
      <c r="AE45" s="10"/>
      <c r="AF45" s="10">
        <v>3454</v>
      </c>
      <c r="AG45" s="10">
        <v>920</v>
      </c>
      <c r="AH45" s="10">
        <v>3784</v>
      </c>
      <c r="AI45" s="10">
        <v>12645</v>
      </c>
    </row>
    <row r="46" spans="1:35">
      <c r="A46" s="6" t="s">
        <v>35</v>
      </c>
      <c r="B46" s="6">
        <v>2016</v>
      </c>
      <c r="C46" s="10">
        <v>69880</v>
      </c>
      <c r="D46" s="22">
        <f t="shared" si="4"/>
        <v>65</v>
      </c>
      <c r="E46" s="22"/>
      <c r="F46" s="10">
        <v>65</v>
      </c>
      <c r="G46" s="10"/>
      <c r="H46" s="22"/>
      <c r="I46" s="10"/>
      <c r="J46" s="22"/>
      <c r="K46" s="22">
        <f t="shared" si="5"/>
        <v>69815</v>
      </c>
      <c r="L46" s="10">
        <v>1015</v>
      </c>
      <c r="M46" s="10"/>
      <c r="N46" s="10">
        <v>8869</v>
      </c>
      <c r="O46" s="10"/>
      <c r="P46" s="10">
        <v>18909</v>
      </c>
      <c r="Q46" s="10">
        <v>23842</v>
      </c>
      <c r="R46" s="10">
        <v>17180</v>
      </c>
      <c r="S46" s="10">
        <v>89802</v>
      </c>
      <c r="T46" s="22">
        <f t="shared" si="6"/>
        <v>212</v>
      </c>
      <c r="U46" s="22"/>
      <c r="V46" s="10">
        <v>65</v>
      </c>
      <c r="W46" s="10"/>
      <c r="X46" s="22">
        <v>147</v>
      </c>
      <c r="Y46" s="10"/>
      <c r="Z46" s="22"/>
      <c r="AA46" s="22">
        <f t="shared" si="7"/>
        <v>89589</v>
      </c>
      <c r="AB46" s="10">
        <v>1015</v>
      </c>
      <c r="AC46" s="10"/>
      <c r="AD46" s="22">
        <v>11738</v>
      </c>
      <c r="AE46" s="10"/>
      <c r="AF46" s="10">
        <v>26866</v>
      </c>
      <c r="AG46" s="10">
        <v>30736</v>
      </c>
      <c r="AH46" s="10">
        <v>19234</v>
      </c>
      <c r="AI46" s="10">
        <v>5952</v>
      </c>
    </row>
    <row r="47" spans="1:35">
      <c r="A47" s="6" t="s">
        <v>36</v>
      </c>
      <c r="B47" s="6">
        <v>2016</v>
      </c>
      <c r="C47" s="10">
        <v>45840</v>
      </c>
      <c r="D47" s="22">
        <f t="shared" si="4"/>
        <v>526</v>
      </c>
      <c r="E47" s="22"/>
      <c r="F47" s="10">
        <v>526</v>
      </c>
      <c r="G47" s="10"/>
      <c r="H47" s="22"/>
      <c r="I47" s="10"/>
      <c r="J47" s="22"/>
      <c r="K47" s="22">
        <f t="shared" si="5"/>
        <v>45314</v>
      </c>
      <c r="L47" s="10">
        <v>833</v>
      </c>
      <c r="M47" s="10"/>
      <c r="N47" s="10">
        <v>5813</v>
      </c>
      <c r="O47" s="10"/>
      <c r="P47" s="10">
        <v>11150</v>
      </c>
      <c r="Q47" s="10">
        <v>14928</v>
      </c>
      <c r="R47" s="10">
        <v>12590</v>
      </c>
      <c r="S47" s="10">
        <v>62527</v>
      </c>
      <c r="T47" s="22">
        <f t="shared" si="6"/>
        <v>998</v>
      </c>
      <c r="U47" s="22"/>
      <c r="V47" s="10">
        <v>526</v>
      </c>
      <c r="W47" s="10"/>
      <c r="X47" s="22">
        <v>472</v>
      </c>
      <c r="Y47" s="10"/>
      <c r="Z47" s="22"/>
      <c r="AA47" s="22">
        <f t="shared" si="7"/>
        <v>61529</v>
      </c>
      <c r="AB47" s="10">
        <v>1185</v>
      </c>
      <c r="AC47" s="10"/>
      <c r="AD47" s="22">
        <v>8224</v>
      </c>
      <c r="AE47" s="10"/>
      <c r="AF47" s="10">
        <v>16290</v>
      </c>
      <c r="AG47" s="10">
        <v>21498</v>
      </c>
      <c r="AH47" s="10">
        <v>14332</v>
      </c>
      <c r="AI47" s="10">
        <v>5252</v>
      </c>
    </row>
    <row r="48" spans="1:35">
      <c r="A48" s="6" t="s">
        <v>37</v>
      </c>
      <c r="B48" s="6">
        <v>2016</v>
      </c>
      <c r="C48" s="10">
        <v>58638</v>
      </c>
      <c r="D48" s="22">
        <f t="shared" si="4"/>
        <v>1206</v>
      </c>
      <c r="E48" s="22"/>
      <c r="F48" s="10">
        <v>1206</v>
      </c>
      <c r="G48" s="10"/>
      <c r="H48" s="22"/>
      <c r="I48" s="10"/>
      <c r="J48" s="22"/>
      <c r="K48" s="22">
        <f t="shared" si="5"/>
        <v>57431</v>
      </c>
      <c r="L48" s="10">
        <v>614</v>
      </c>
      <c r="M48" s="10"/>
      <c r="N48" s="10">
        <v>4932</v>
      </c>
      <c r="O48" s="10"/>
      <c r="P48" s="10">
        <v>11270</v>
      </c>
      <c r="Q48" s="10">
        <v>16504</v>
      </c>
      <c r="R48" s="10">
        <v>24111</v>
      </c>
      <c r="S48" s="10">
        <v>67246</v>
      </c>
      <c r="T48" s="22">
        <f t="shared" si="6"/>
        <v>2789</v>
      </c>
      <c r="U48" s="22"/>
      <c r="V48" s="10">
        <v>1206</v>
      </c>
      <c r="W48" s="10"/>
      <c r="X48" s="22">
        <v>1583</v>
      </c>
      <c r="Y48" s="10"/>
      <c r="Z48" s="22"/>
      <c r="AA48" s="22">
        <f t="shared" si="7"/>
        <v>64457</v>
      </c>
      <c r="AB48" s="10">
        <v>1223</v>
      </c>
      <c r="AC48" s="10"/>
      <c r="AD48" s="22">
        <v>5335</v>
      </c>
      <c r="AE48" s="10"/>
      <c r="AF48" s="10">
        <v>14524</v>
      </c>
      <c r="AG48" s="10">
        <v>18631</v>
      </c>
      <c r="AH48" s="10">
        <v>24744</v>
      </c>
      <c r="AI48" s="10">
        <v>1469</v>
      </c>
    </row>
    <row r="49" spans="1:35">
      <c r="A49" s="6" t="s">
        <v>38</v>
      </c>
      <c r="B49" s="6">
        <v>2016</v>
      </c>
      <c r="C49" s="10">
        <v>41168</v>
      </c>
      <c r="D49" s="22">
        <f t="shared" si="4"/>
        <v>0</v>
      </c>
      <c r="E49" s="22"/>
      <c r="F49" s="10"/>
      <c r="G49" s="10"/>
      <c r="H49" s="22"/>
      <c r="I49" s="10"/>
      <c r="J49" s="22"/>
      <c r="K49" s="22">
        <f t="shared" si="5"/>
        <v>41167</v>
      </c>
      <c r="L49" s="10">
        <v>342</v>
      </c>
      <c r="M49" s="10"/>
      <c r="N49" s="10">
        <v>3791</v>
      </c>
      <c r="O49" s="10"/>
      <c r="P49" s="10">
        <v>9155</v>
      </c>
      <c r="Q49" s="10">
        <v>14311</v>
      </c>
      <c r="R49" s="10">
        <v>13568</v>
      </c>
      <c r="S49" s="10">
        <v>47417</v>
      </c>
      <c r="T49" s="22">
        <f t="shared" si="6"/>
        <v>0</v>
      </c>
      <c r="U49" s="22"/>
      <c r="V49" s="15"/>
      <c r="W49" s="10"/>
      <c r="X49" s="22"/>
      <c r="Y49" s="10"/>
      <c r="Z49" s="22"/>
      <c r="AA49" s="22">
        <f t="shared" si="7"/>
        <v>47418</v>
      </c>
      <c r="AB49" s="10">
        <v>342</v>
      </c>
      <c r="AC49" s="10"/>
      <c r="AD49" s="22">
        <v>4922</v>
      </c>
      <c r="AE49" s="10"/>
      <c r="AF49" s="10">
        <v>12301</v>
      </c>
      <c r="AG49" s="10">
        <v>16143</v>
      </c>
      <c r="AH49" s="10">
        <v>13710</v>
      </c>
      <c r="AI49" s="10">
        <v>1109</v>
      </c>
    </row>
    <row r="50" spans="1:35">
      <c r="A50" s="6" t="s">
        <v>39</v>
      </c>
      <c r="B50" s="6">
        <v>2016</v>
      </c>
      <c r="C50" s="10">
        <v>45755</v>
      </c>
      <c r="D50" s="22">
        <f t="shared" si="4"/>
        <v>450</v>
      </c>
      <c r="E50" s="22"/>
      <c r="F50" s="10">
        <v>450</v>
      </c>
      <c r="G50" s="10"/>
      <c r="H50" s="22"/>
      <c r="I50" s="10"/>
      <c r="J50" s="22"/>
      <c r="K50" s="22">
        <f t="shared" si="5"/>
        <v>45307</v>
      </c>
      <c r="L50" s="10"/>
      <c r="M50" s="10"/>
      <c r="N50" s="10">
        <v>3507</v>
      </c>
      <c r="O50" s="10"/>
      <c r="P50" s="10">
        <v>10931</v>
      </c>
      <c r="Q50" s="10">
        <v>14364</v>
      </c>
      <c r="R50" s="10">
        <v>16505</v>
      </c>
      <c r="S50" s="10">
        <v>48727</v>
      </c>
      <c r="T50" s="22">
        <f t="shared" si="6"/>
        <v>450</v>
      </c>
      <c r="U50" s="22"/>
      <c r="V50" s="10">
        <v>450</v>
      </c>
      <c r="W50" s="10"/>
      <c r="X50" s="22"/>
      <c r="Y50" s="10"/>
      <c r="Z50" s="22"/>
      <c r="AA50" s="22">
        <f t="shared" si="7"/>
        <v>48278</v>
      </c>
      <c r="AB50" s="15"/>
      <c r="AC50" s="10"/>
      <c r="AD50" s="22">
        <v>4185</v>
      </c>
      <c r="AE50" s="10"/>
      <c r="AF50" s="10">
        <v>12102</v>
      </c>
      <c r="AG50" s="10">
        <v>15434</v>
      </c>
      <c r="AH50" s="10">
        <v>16557</v>
      </c>
      <c r="AI50" s="10">
        <v>668</v>
      </c>
    </row>
    <row r="51" spans="1:35">
      <c r="A51" s="6" t="s">
        <v>40</v>
      </c>
      <c r="B51" s="6">
        <v>2016</v>
      </c>
      <c r="C51" s="10">
        <v>81130</v>
      </c>
      <c r="D51" s="22">
        <f t="shared" si="4"/>
        <v>415</v>
      </c>
      <c r="E51" s="22"/>
      <c r="F51" s="10"/>
      <c r="G51" s="10">
        <v>415</v>
      </c>
      <c r="H51" s="22"/>
      <c r="I51" s="10"/>
      <c r="J51" s="22"/>
      <c r="K51" s="22">
        <f t="shared" si="5"/>
        <v>80714</v>
      </c>
      <c r="L51" s="10">
        <v>78</v>
      </c>
      <c r="M51" s="10"/>
      <c r="N51" s="10">
        <v>6016</v>
      </c>
      <c r="O51" s="10"/>
      <c r="P51" s="10">
        <v>18446</v>
      </c>
      <c r="Q51" s="10">
        <v>25237</v>
      </c>
      <c r="R51" s="10">
        <v>30937</v>
      </c>
      <c r="S51" s="10">
        <v>95866</v>
      </c>
      <c r="T51" s="22">
        <f t="shared" si="6"/>
        <v>415</v>
      </c>
      <c r="U51" s="22"/>
      <c r="V51" s="10"/>
      <c r="W51" s="10">
        <v>415</v>
      </c>
      <c r="X51" s="22"/>
      <c r="Y51" s="10"/>
      <c r="Z51" s="22"/>
      <c r="AA51" s="22">
        <f t="shared" si="7"/>
        <v>95448</v>
      </c>
      <c r="AB51" s="10">
        <v>155</v>
      </c>
      <c r="AC51" s="10"/>
      <c r="AD51" s="22">
        <v>7712</v>
      </c>
      <c r="AE51" s="10"/>
      <c r="AF51" s="10">
        <v>23555</v>
      </c>
      <c r="AG51" s="10">
        <v>30264</v>
      </c>
      <c r="AH51" s="10">
        <v>33762</v>
      </c>
      <c r="AI51" s="10">
        <v>5053</v>
      </c>
    </row>
    <row r="52" spans="1:35">
      <c r="A52" s="6" t="s">
        <v>41</v>
      </c>
      <c r="B52" s="6">
        <v>2016</v>
      </c>
      <c r="C52" s="10">
        <v>70147</v>
      </c>
      <c r="D52" s="22">
        <f t="shared" si="4"/>
        <v>710</v>
      </c>
      <c r="E52" s="22"/>
      <c r="F52" s="10">
        <v>710</v>
      </c>
      <c r="G52" s="10"/>
      <c r="H52" s="22"/>
      <c r="I52" s="10"/>
      <c r="J52" s="22"/>
      <c r="K52" s="22">
        <f t="shared" si="5"/>
        <v>69437</v>
      </c>
      <c r="L52" s="10">
        <v>343</v>
      </c>
      <c r="M52" s="10"/>
      <c r="N52" s="10">
        <v>5810</v>
      </c>
      <c r="O52" s="10">
        <v>95</v>
      </c>
      <c r="P52" s="10">
        <v>17222</v>
      </c>
      <c r="Q52" s="10">
        <v>22127</v>
      </c>
      <c r="R52" s="10">
        <v>23840</v>
      </c>
      <c r="S52" s="10">
        <v>74455</v>
      </c>
      <c r="T52" s="22">
        <f t="shared" si="6"/>
        <v>710</v>
      </c>
      <c r="U52" s="22"/>
      <c r="V52" s="10">
        <v>710</v>
      </c>
      <c r="W52" s="10"/>
      <c r="X52" s="22"/>
      <c r="Y52" s="10"/>
      <c r="Z52" s="22"/>
      <c r="AA52" s="22">
        <f t="shared" si="7"/>
        <v>73745</v>
      </c>
      <c r="AB52" s="10">
        <v>343</v>
      </c>
      <c r="AC52" s="10"/>
      <c r="AD52" s="22">
        <v>7779</v>
      </c>
      <c r="AE52" s="10">
        <v>140</v>
      </c>
      <c r="AF52" s="10">
        <v>18325</v>
      </c>
      <c r="AG52" s="10">
        <v>23180</v>
      </c>
      <c r="AH52" s="10">
        <v>23978</v>
      </c>
      <c r="AI52" s="10">
        <v>825</v>
      </c>
    </row>
    <row r="53" spans="1:35">
      <c r="A53" s="6" t="s">
        <v>42</v>
      </c>
      <c r="B53" s="6">
        <v>2016</v>
      </c>
      <c r="C53" s="10">
        <v>65413</v>
      </c>
      <c r="D53" s="22">
        <f t="shared" si="4"/>
        <v>981</v>
      </c>
      <c r="E53" s="22"/>
      <c r="F53" s="10">
        <v>981</v>
      </c>
      <c r="G53" s="10"/>
      <c r="H53" s="22"/>
      <c r="I53" s="10"/>
      <c r="J53" s="22"/>
      <c r="K53" s="22">
        <f t="shared" si="5"/>
        <v>64431</v>
      </c>
      <c r="L53" s="10">
        <v>180</v>
      </c>
      <c r="M53" s="10"/>
      <c r="N53" s="10">
        <v>9618</v>
      </c>
      <c r="O53" s="10"/>
      <c r="P53" s="10">
        <v>13225</v>
      </c>
      <c r="Q53" s="10">
        <v>20382</v>
      </c>
      <c r="R53" s="10">
        <v>21026</v>
      </c>
      <c r="S53" s="22">
        <v>70074</v>
      </c>
      <c r="T53" s="22">
        <f t="shared" si="6"/>
        <v>2779</v>
      </c>
      <c r="U53" s="22"/>
      <c r="V53" s="10">
        <v>981</v>
      </c>
      <c r="W53" s="10"/>
      <c r="X53" s="22">
        <v>1798</v>
      </c>
      <c r="Y53" s="10"/>
      <c r="Z53" s="22"/>
      <c r="AA53" s="22">
        <f t="shared" si="7"/>
        <v>67295</v>
      </c>
      <c r="AB53" s="10">
        <v>180</v>
      </c>
      <c r="AC53" s="10"/>
      <c r="AD53" s="22">
        <v>9689</v>
      </c>
      <c r="AE53" s="10"/>
      <c r="AF53" s="10">
        <v>14519</v>
      </c>
      <c r="AG53" s="10">
        <v>21621</v>
      </c>
      <c r="AH53" s="10">
        <v>21286</v>
      </c>
      <c r="AI53" s="10">
        <v>1197</v>
      </c>
    </row>
    <row r="54" spans="1:35">
      <c r="A54" s="6" t="s">
        <v>43</v>
      </c>
      <c r="B54" s="6">
        <v>2016</v>
      </c>
      <c r="C54" s="10">
        <v>64509</v>
      </c>
      <c r="D54" s="22">
        <f t="shared" si="4"/>
        <v>1387</v>
      </c>
      <c r="E54" s="22"/>
      <c r="F54" s="10">
        <v>1387</v>
      </c>
      <c r="G54" s="10"/>
      <c r="H54" s="22"/>
      <c r="I54" s="10"/>
      <c r="J54" s="22"/>
      <c r="K54" s="22">
        <f t="shared" si="5"/>
        <v>63121</v>
      </c>
      <c r="L54" s="10"/>
      <c r="M54" s="10"/>
      <c r="N54" s="10">
        <v>5103</v>
      </c>
      <c r="O54" s="10"/>
      <c r="P54" s="10">
        <v>13236</v>
      </c>
      <c r="Q54" s="10">
        <v>21589</v>
      </c>
      <c r="R54" s="10">
        <v>23193</v>
      </c>
      <c r="S54" s="10">
        <v>66837</v>
      </c>
      <c r="T54" s="22">
        <f t="shared" si="6"/>
        <v>2244</v>
      </c>
      <c r="U54" s="22"/>
      <c r="V54" s="10">
        <v>1387</v>
      </c>
      <c r="W54" s="10"/>
      <c r="X54" s="22">
        <v>857</v>
      </c>
      <c r="Y54" s="10"/>
      <c r="Z54" s="22"/>
      <c r="AA54" s="22">
        <f t="shared" si="7"/>
        <v>64593</v>
      </c>
      <c r="AB54" s="15"/>
      <c r="AC54" s="10"/>
      <c r="AD54" s="22">
        <v>4409</v>
      </c>
      <c r="AE54" s="10"/>
      <c r="AF54" s="10">
        <v>14003</v>
      </c>
      <c r="AG54" s="10">
        <v>22729</v>
      </c>
      <c r="AH54" s="10">
        <v>23452</v>
      </c>
      <c r="AI54" s="10">
        <v>581</v>
      </c>
    </row>
    <row r="55" spans="1:35">
      <c r="A55" s="6" t="s">
        <v>44</v>
      </c>
      <c r="B55" s="6">
        <v>2016</v>
      </c>
      <c r="C55" s="10">
        <v>59618</v>
      </c>
      <c r="D55" s="22">
        <f t="shared" si="4"/>
        <v>0</v>
      </c>
      <c r="E55" s="22"/>
      <c r="F55" s="10"/>
      <c r="G55" s="10"/>
      <c r="H55" s="22"/>
      <c r="I55" s="10"/>
      <c r="J55" s="22"/>
      <c r="K55" s="22">
        <f t="shared" si="5"/>
        <v>59618</v>
      </c>
      <c r="L55" s="10"/>
      <c r="M55" s="10"/>
      <c r="N55" s="10">
        <v>6761</v>
      </c>
      <c r="O55" s="10"/>
      <c r="P55" s="10">
        <v>15956</v>
      </c>
      <c r="Q55" s="10">
        <v>29497</v>
      </c>
      <c r="R55" s="10">
        <v>7404</v>
      </c>
      <c r="S55" s="10">
        <v>74931</v>
      </c>
      <c r="T55" s="22">
        <f t="shared" si="6"/>
        <v>0</v>
      </c>
      <c r="U55" s="22"/>
      <c r="V55" s="15"/>
      <c r="W55" s="10"/>
      <c r="X55" s="22"/>
      <c r="Y55" s="10"/>
      <c r="Z55" s="22"/>
      <c r="AA55" s="22">
        <f t="shared" si="7"/>
        <v>74931</v>
      </c>
      <c r="AB55" s="10"/>
      <c r="AC55" s="10"/>
      <c r="AD55" s="22">
        <v>9881</v>
      </c>
      <c r="AE55" s="10"/>
      <c r="AF55" s="10">
        <v>22549</v>
      </c>
      <c r="AG55" s="10">
        <v>34935</v>
      </c>
      <c r="AH55" s="10">
        <v>7566</v>
      </c>
      <c r="AI55" s="10">
        <v>3857</v>
      </c>
    </row>
    <row r="56" spans="1:35">
      <c r="A56" s="6" t="s">
        <v>45</v>
      </c>
      <c r="B56" s="6">
        <v>2016</v>
      </c>
      <c r="C56" s="10">
        <v>66257</v>
      </c>
      <c r="D56" s="22">
        <f t="shared" si="4"/>
        <v>0</v>
      </c>
      <c r="E56" s="22"/>
      <c r="F56" s="10"/>
      <c r="G56" s="10"/>
      <c r="H56" s="22"/>
      <c r="I56" s="10"/>
      <c r="J56" s="22"/>
      <c r="K56" s="22">
        <f t="shared" si="5"/>
        <v>66258</v>
      </c>
      <c r="L56" s="10"/>
      <c r="M56" s="10"/>
      <c r="N56" s="10">
        <v>1816</v>
      </c>
      <c r="O56" s="10"/>
      <c r="P56" s="10">
        <v>14583</v>
      </c>
      <c r="Q56" s="10">
        <v>19197</v>
      </c>
      <c r="R56" s="10">
        <v>30662</v>
      </c>
      <c r="S56" s="10">
        <v>70237</v>
      </c>
      <c r="T56" s="22">
        <f t="shared" si="6"/>
        <v>0</v>
      </c>
      <c r="U56" s="22"/>
      <c r="V56" s="10"/>
      <c r="W56" s="10"/>
      <c r="X56" s="22"/>
      <c r="Y56" s="10"/>
      <c r="Z56" s="22"/>
      <c r="AA56" s="22">
        <f t="shared" si="7"/>
        <v>70236</v>
      </c>
      <c r="AB56" s="10"/>
      <c r="AC56" s="10"/>
      <c r="AD56" s="22">
        <v>1941</v>
      </c>
      <c r="AE56" s="10"/>
      <c r="AF56" s="10">
        <v>16606</v>
      </c>
      <c r="AG56" s="10">
        <v>20618</v>
      </c>
      <c r="AH56" s="10">
        <v>31071</v>
      </c>
      <c r="AI56" s="10">
        <v>535</v>
      </c>
    </row>
    <row r="57" spans="1:35">
      <c r="A57" s="6" t="s">
        <v>46</v>
      </c>
      <c r="B57" s="6">
        <v>2016</v>
      </c>
      <c r="C57" s="10">
        <v>10645</v>
      </c>
      <c r="D57" s="22">
        <f t="shared" si="4"/>
        <v>0</v>
      </c>
      <c r="E57" s="22"/>
      <c r="F57" s="10"/>
      <c r="G57" s="10"/>
      <c r="H57" s="22"/>
      <c r="I57" s="10"/>
      <c r="J57" s="22"/>
      <c r="K57" s="22">
        <f t="shared" si="5"/>
        <v>10644</v>
      </c>
      <c r="L57" s="10"/>
      <c r="M57" s="10"/>
      <c r="N57" s="10"/>
      <c r="O57" s="10"/>
      <c r="P57" s="10">
        <v>4034</v>
      </c>
      <c r="Q57" s="10">
        <v>3932</v>
      </c>
      <c r="R57" s="10">
        <v>2678</v>
      </c>
      <c r="S57" s="10">
        <v>10714</v>
      </c>
      <c r="T57" s="22">
        <f t="shared" si="6"/>
        <v>0</v>
      </c>
      <c r="U57" s="22"/>
      <c r="V57" s="10"/>
      <c r="W57" s="10"/>
      <c r="X57" s="22"/>
      <c r="Y57" s="10"/>
      <c r="Z57" s="22"/>
      <c r="AA57" s="22">
        <f t="shared" si="7"/>
        <v>10714</v>
      </c>
      <c r="AB57" s="10"/>
      <c r="AC57" s="10"/>
      <c r="AD57" s="22">
        <v>0</v>
      </c>
      <c r="AE57" s="10"/>
      <c r="AF57" s="10">
        <v>4047</v>
      </c>
      <c r="AG57" s="10">
        <v>3970</v>
      </c>
      <c r="AH57" s="10">
        <v>2697</v>
      </c>
      <c r="AI57" s="10">
        <v>157</v>
      </c>
    </row>
    <row r="58" spans="1:35">
      <c r="A58" s="6" t="s">
        <v>47</v>
      </c>
      <c r="B58" s="6">
        <v>2016</v>
      </c>
      <c r="C58" s="10">
        <v>31341</v>
      </c>
      <c r="D58" s="22">
        <f t="shared" si="4"/>
        <v>575</v>
      </c>
      <c r="E58" s="22"/>
      <c r="F58" s="10">
        <v>575</v>
      </c>
      <c r="G58" s="10"/>
      <c r="H58" s="22"/>
      <c r="I58" s="10"/>
      <c r="J58" s="22"/>
      <c r="K58" s="22">
        <f t="shared" si="5"/>
        <v>30767</v>
      </c>
      <c r="L58" s="10"/>
      <c r="M58" s="10"/>
      <c r="N58" s="10">
        <v>2673</v>
      </c>
      <c r="O58" s="10"/>
      <c r="P58" s="10">
        <v>6971</v>
      </c>
      <c r="Q58" s="10">
        <v>9494</v>
      </c>
      <c r="R58" s="10">
        <v>11629</v>
      </c>
      <c r="S58" s="10">
        <v>35475</v>
      </c>
      <c r="T58" s="22">
        <f t="shared" si="6"/>
        <v>575</v>
      </c>
      <c r="U58" s="22"/>
      <c r="V58" s="10">
        <v>575</v>
      </c>
      <c r="W58" s="10"/>
      <c r="X58" s="22"/>
      <c r="Y58" s="10"/>
      <c r="Z58" s="22"/>
      <c r="AA58" s="22">
        <f t="shared" si="7"/>
        <v>34900</v>
      </c>
      <c r="AB58" s="10"/>
      <c r="AC58" s="10"/>
      <c r="AD58" s="22">
        <v>3372</v>
      </c>
      <c r="AE58" s="10"/>
      <c r="AF58" s="10">
        <v>8608</v>
      </c>
      <c r="AG58" s="10">
        <v>10759</v>
      </c>
      <c r="AH58" s="10">
        <v>12161</v>
      </c>
      <c r="AI58" s="10">
        <v>757</v>
      </c>
    </row>
    <row r="59" spans="1:35">
      <c r="A59" s="6" t="s">
        <v>48</v>
      </c>
      <c r="B59" s="6">
        <v>2016</v>
      </c>
      <c r="C59" s="10">
        <v>82020</v>
      </c>
      <c r="D59" s="22">
        <f t="shared" si="4"/>
        <v>854</v>
      </c>
      <c r="E59" s="22"/>
      <c r="F59" s="10">
        <v>854</v>
      </c>
      <c r="G59" s="10"/>
      <c r="H59" s="22"/>
      <c r="I59" s="10"/>
      <c r="J59" s="22"/>
      <c r="K59" s="22">
        <f t="shared" si="5"/>
        <v>81165</v>
      </c>
      <c r="L59" s="10"/>
      <c r="M59" s="10"/>
      <c r="N59" s="10">
        <v>9848</v>
      </c>
      <c r="O59" s="10"/>
      <c r="P59" s="10">
        <v>16339</v>
      </c>
      <c r="Q59" s="10">
        <v>26536</v>
      </c>
      <c r="R59" s="10">
        <v>28442</v>
      </c>
      <c r="S59" s="10">
        <v>92326</v>
      </c>
      <c r="T59" s="22">
        <f t="shared" si="6"/>
        <v>1094</v>
      </c>
      <c r="U59" s="22"/>
      <c r="V59" s="10">
        <v>854</v>
      </c>
      <c r="W59" s="10"/>
      <c r="X59" s="22">
        <v>240</v>
      </c>
      <c r="Y59" s="10"/>
      <c r="Z59" s="22"/>
      <c r="AA59" s="22">
        <f t="shared" si="7"/>
        <v>91231</v>
      </c>
      <c r="AB59" s="10"/>
      <c r="AC59" s="10"/>
      <c r="AD59" s="22">
        <v>13555</v>
      </c>
      <c r="AE59" s="10"/>
      <c r="AF59" s="10">
        <v>20376</v>
      </c>
      <c r="AG59" s="10">
        <v>28615</v>
      </c>
      <c r="AH59" s="10">
        <v>28685</v>
      </c>
      <c r="AI59" s="10">
        <v>1562</v>
      </c>
    </row>
    <row r="60" spans="1:35">
      <c r="A60" s="6" t="s">
        <v>49</v>
      </c>
      <c r="B60" s="6">
        <v>2016</v>
      </c>
      <c r="C60" s="10">
        <v>48864</v>
      </c>
      <c r="D60" s="22">
        <f t="shared" si="4"/>
        <v>0</v>
      </c>
      <c r="E60" s="22"/>
      <c r="F60" s="10"/>
      <c r="G60" s="10"/>
      <c r="H60" s="22"/>
      <c r="I60" s="10"/>
      <c r="J60" s="22"/>
      <c r="K60" s="22">
        <f t="shared" si="5"/>
        <v>48864</v>
      </c>
      <c r="L60" s="10"/>
      <c r="M60" s="10"/>
      <c r="N60" s="10">
        <v>3502</v>
      </c>
      <c r="O60" s="10"/>
      <c r="P60" s="10">
        <v>11161</v>
      </c>
      <c r="Q60" s="10">
        <v>15764</v>
      </c>
      <c r="R60" s="10">
        <v>18437</v>
      </c>
      <c r="S60" s="10">
        <v>48925</v>
      </c>
      <c r="T60" s="22">
        <f t="shared" si="6"/>
        <v>0</v>
      </c>
      <c r="U60" s="22"/>
      <c r="V60" s="10"/>
      <c r="W60" s="10"/>
      <c r="X60" s="22"/>
      <c r="Y60" s="10"/>
      <c r="Z60" s="22"/>
      <c r="AA60" s="22">
        <f t="shared" si="7"/>
        <v>48925</v>
      </c>
      <c r="AB60" s="10"/>
      <c r="AC60" s="10"/>
      <c r="AD60" s="22">
        <v>3502</v>
      </c>
      <c r="AE60" s="10"/>
      <c r="AF60" s="10">
        <v>11161</v>
      </c>
      <c r="AG60" s="10">
        <v>15813</v>
      </c>
      <c r="AH60" s="10">
        <v>18449</v>
      </c>
      <c r="AI60" s="10">
        <v>580</v>
      </c>
    </row>
    <row r="61" spans="1:35">
      <c r="A61" s="6" t="s">
        <v>50</v>
      </c>
      <c r="B61" s="6">
        <v>2016</v>
      </c>
      <c r="C61" s="10">
        <v>84550</v>
      </c>
      <c r="D61" s="22">
        <f t="shared" si="4"/>
        <v>0</v>
      </c>
      <c r="E61" s="22"/>
      <c r="F61" s="10"/>
      <c r="G61" s="10"/>
      <c r="H61" s="22"/>
      <c r="I61" s="10"/>
      <c r="J61" s="22"/>
      <c r="K61" s="22">
        <f t="shared" si="5"/>
        <v>84550</v>
      </c>
      <c r="L61" s="10"/>
      <c r="M61" s="10"/>
      <c r="N61" s="10">
        <v>11674</v>
      </c>
      <c r="O61" s="10"/>
      <c r="P61" s="10">
        <v>14595</v>
      </c>
      <c r="Q61" s="10">
        <v>24738</v>
      </c>
      <c r="R61" s="10">
        <v>33543</v>
      </c>
      <c r="S61" s="10">
        <v>85368</v>
      </c>
      <c r="T61" s="22">
        <f t="shared" si="6"/>
        <v>562</v>
      </c>
      <c r="U61" s="22"/>
      <c r="V61" s="10"/>
      <c r="W61" s="10"/>
      <c r="X61" s="22">
        <v>562</v>
      </c>
      <c r="Y61" s="10"/>
      <c r="Z61" s="22"/>
      <c r="AA61" s="22">
        <f t="shared" si="7"/>
        <v>84805</v>
      </c>
      <c r="AB61" s="10"/>
      <c r="AC61" s="10"/>
      <c r="AD61" s="22">
        <v>11378</v>
      </c>
      <c r="AE61" s="10" t="s">
        <v>58</v>
      </c>
      <c r="AF61" s="10">
        <v>14767</v>
      </c>
      <c r="AG61" s="10">
        <v>25115</v>
      </c>
      <c r="AH61" s="10">
        <v>33545</v>
      </c>
      <c r="AI61" s="10">
        <v>403</v>
      </c>
    </row>
    <row r="62" spans="1:35">
      <c r="A62" s="6" t="s">
        <v>51</v>
      </c>
      <c r="B62" s="6">
        <v>2016</v>
      </c>
      <c r="C62" s="10">
        <v>15081</v>
      </c>
      <c r="D62" s="22">
        <f t="shared" si="4"/>
        <v>423</v>
      </c>
      <c r="E62" s="22"/>
      <c r="F62" s="10"/>
      <c r="G62" s="10"/>
      <c r="H62" s="22"/>
      <c r="I62" s="10">
        <v>423</v>
      </c>
      <c r="J62" s="22"/>
      <c r="K62" s="22">
        <f t="shared" si="5"/>
        <v>14658</v>
      </c>
      <c r="L62" s="10"/>
      <c r="M62" s="10"/>
      <c r="N62" s="10"/>
      <c r="O62" s="10"/>
      <c r="P62" s="10">
        <v>3093</v>
      </c>
      <c r="Q62" s="10">
        <v>6551</v>
      </c>
      <c r="R62" s="10">
        <v>5014</v>
      </c>
      <c r="S62" s="10">
        <v>15359</v>
      </c>
      <c r="T62" s="22">
        <f t="shared" si="6"/>
        <v>423</v>
      </c>
      <c r="U62" s="22"/>
      <c r="V62" s="10"/>
      <c r="W62" s="10"/>
      <c r="X62" s="22"/>
      <c r="Y62" s="10">
        <v>423</v>
      </c>
      <c r="Z62" s="22"/>
      <c r="AA62" s="22">
        <f t="shared" si="7"/>
        <v>14936</v>
      </c>
      <c r="AB62" s="10"/>
      <c r="AC62" s="10"/>
      <c r="AD62" s="22">
        <v>0</v>
      </c>
      <c r="AE62" s="10"/>
      <c r="AF62" s="10">
        <v>3371</v>
      </c>
      <c r="AG62" s="10">
        <v>6551</v>
      </c>
      <c r="AH62" s="10">
        <v>5014</v>
      </c>
      <c r="AI62" s="10">
        <v>5</v>
      </c>
    </row>
    <row r="63" spans="1:35">
      <c r="A63" s="6" t="s">
        <v>52</v>
      </c>
      <c r="B63" s="6">
        <v>2016</v>
      </c>
      <c r="C63" s="10">
        <v>49933</v>
      </c>
      <c r="D63" s="22">
        <f t="shared" si="4"/>
        <v>822</v>
      </c>
      <c r="E63" s="22"/>
      <c r="F63" s="10">
        <v>514</v>
      </c>
      <c r="G63" s="10">
        <v>308</v>
      </c>
      <c r="H63" s="22"/>
      <c r="I63" s="10"/>
      <c r="J63" s="22"/>
      <c r="K63" s="22">
        <f t="shared" si="5"/>
        <v>49112</v>
      </c>
      <c r="L63" s="10"/>
      <c r="M63" s="10">
        <v>1415</v>
      </c>
      <c r="N63" s="10">
        <v>565</v>
      </c>
      <c r="O63" s="10">
        <v>8048</v>
      </c>
      <c r="P63" s="10">
        <v>327</v>
      </c>
      <c r="Q63" s="10">
        <v>21648</v>
      </c>
      <c r="R63" s="10">
        <v>17109</v>
      </c>
      <c r="S63" s="10">
        <v>54565</v>
      </c>
      <c r="T63" s="22">
        <f t="shared" si="6"/>
        <v>1116</v>
      </c>
      <c r="U63" s="22"/>
      <c r="V63" s="10">
        <v>514</v>
      </c>
      <c r="W63" s="10">
        <v>308</v>
      </c>
      <c r="X63" s="22">
        <v>294</v>
      </c>
      <c r="Y63" s="10"/>
      <c r="Z63" s="22"/>
      <c r="AA63" s="22">
        <f t="shared" si="7"/>
        <v>53449</v>
      </c>
      <c r="AB63" s="10"/>
      <c r="AC63" s="10">
        <v>2323</v>
      </c>
      <c r="AD63" s="22">
        <v>271</v>
      </c>
      <c r="AE63" s="10">
        <v>9540</v>
      </c>
      <c r="AF63" s="10">
        <v>327</v>
      </c>
      <c r="AG63" s="10">
        <v>23788</v>
      </c>
      <c r="AH63" s="10">
        <v>17200</v>
      </c>
      <c r="AI63" s="10">
        <v>1189</v>
      </c>
    </row>
    <row r="64" spans="1:35">
      <c r="A64" s="6" t="s">
        <v>53</v>
      </c>
      <c r="B64" s="6">
        <v>2016</v>
      </c>
      <c r="C64" s="10">
        <v>58955</v>
      </c>
      <c r="D64" s="22">
        <f t="shared" si="4"/>
        <v>1351</v>
      </c>
      <c r="E64" s="22"/>
      <c r="F64" s="10">
        <v>1351</v>
      </c>
      <c r="G64" s="10"/>
      <c r="H64" s="22"/>
      <c r="I64" s="10"/>
      <c r="J64" s="22"/>
      <c r="K64" s="22">
        <f t="shared" si="5"/>
        <v>57604</v>
      </c>
      <c r="L64" s="10"/>
      <c r="M64" s="10">
        <v>3447</v>
      </c>
      <c r="N64" s="10"/>
      <c r="O64" s="10">
        <v>9562</v>
      </c>
      <c r="P64" s="10">
        <v>828</v>
      </c>
      <c r="Q64" s="10">
        <v>22033</v>
      </c>
      <c r="R64" s="10">
        <v>21734</v>
      </c>
      <c r="S64" s="10">
        <v>61378</v>
      </c>
      <c r="T64" s="22">
        <f t="shared" si="6"/>
        <v>1351</v>
      </c>
      <c r="U64" s="22"/>
      <c r="V64" s="10">
        <v>1351</v>
      </c>
      <c r="W64" s="10"/>
      <c r="X64" s="22"/>
      <c r="Y64" s="10"/>
      <c r="Z64" s="22"/>
      <c r="AA64" s="22">
        <f t="shared" si="7"/>
        <v>60027</v>
      </c>
      <c r="AB64" s="10"/>
      <c r="AC64" s="10">
        <v>5204</v>
      </c>
      <c r="AD64" s="22">
        <v>0</v>
      </c>
      <c r="AE64" s="10">
        <v>9758</v>
      </c>
      <c r="AF64" s="10">
        <v>847</v>
      </c>
      <c r="AG64" s="10">
        <v>22448</v>
      </c>
      <c r="AH64" s="10">
        <v>21770</v>
      </c>
      <c r="AI64" s="10">
        <v>106</v>
      </c>
    </row>
    <row r="65" spans="1:35">
      <c r="A65" s="6" t="s">
        <v>54</v>
      </c>
      <c r="B65" s="6">
        <v>2016</v>
      </c>
      <c r="C65" s="10">
        <v>27083</v>
      </c>
      <c r="D65" s="22">
        <f t="shared" si="4"/>
        <v>609</v>
      </c>
      <c r="E65" s="22"/>
      <c r="F65" s="10"/>
      <c r="G65" s="10"/>
      <c r="H65" s="22"/>
      <c r="I65" s="10">
        <v>609</v>
      </c>
      <c r="J65" s="22"/>
      <c r="K65" s="22">
        <f t="shared" si="5"/>
        <v>26475</v>
      </c>
      <c r="L65" s="10"/>
      <c r="M65" s="10">
        <v>2681</v>
      </c>
      <c r="N65" s="10"/>
      <c r="O65" s="10">
        <v>6137</v>
      </c>
      <c r="P65" s="10"/>
      <c r="Q65" s="10">
        <v>11043</v>
      </c>
      <c r="R65" s="10">
        <v>6614</v>
      </c>
      <c r="S65" s="10">
        <v>28616</v>
      </c>
      <c r="T65" s="22">
        <f t="shared" si="6"/>
        <v>1217</v>
      </c>
      <c r="U65" s="22"/>
      <c r="V65" s="10"/>
      <c r="W65" s="10"/>
      <c r="X65" s="22"/>
      <c r="Y65" s="10">
        <v>1217</v>
      </c>
      <c r="Z65" s="22"/>
      <c r="AA65" s="22">
        <f t="shared" si="7"/>
        <v>27398</v>
      </c>
      <c r="AB65" s="10"/>
      <c r="AC65" s="10">
        <v>2832</v>
      </c>
      <c r="AD65" s="22">
        <v>0</v>
      </c>
      <c r="AE65" s="10">
        <v>6268</v>
      </c>
      <c r="AF65" s="10"/>
      <c r="AG65" s="10">
        <v>11639</v>
      </c>
      <c r="AH65" s="10">
        <v>6659</v>
      </c>
      <c r="AI65" s="10">
        <v>104</v>
      </c>
    </row>
    <row r="66" spans="1:35">
      <c r="A66" s="6" t="s">
        <v>55</v>
      </c>
      <c r="B66" s="6">
        <v>2016</v>
      </c>
      <c r="C66" s="10">
        <v>16159</v>
      </c>
      <c r="D66" s="22">
        <f t="shared" si="4"/>
        <v>300</v>
      </c>
      <c r="E66" s="22"/>
      <c r="F66" s="10">
        <v>194</v>
      </c>
      <c r="G66" s="10">
        <v>106</v>
      </c>
      <c r="H66" s="22"/>
      <c r="I66" s="10"/>
      <c r="J66" s="22"/>
      <c r="K66" s="22">
        <f t="shared" si="5"/>
        <v>15860</v>
      </c>
      <c r="L66" s="10"/>
      <c r="M66" s="10">
        <v>1828</v>
      </c>
      <c r="N66" s="10"/>
      <c r="O66" s="10">
        <v>2659</v>
      </c>
      <c r="P66" s="10">
        <v>2153</v>
      </c>
      <c r="Q66" s="10">
        <v>5577</v>
      </c>
      <c r="R66" s="10">
        <v>3643</v>
      </c>
      <c r="S66" s="10">
        <v>17535</v>
      </c>
      <c r="T66" s="22">
        <f t="shared" si="6"/>
        <v>300</v>
      </c>
      <c r="U66" s="22"/>
      <c r="V66" s="10">
        <v>194</v>
      </c>
      <c r="W66" s="10">
        <v>106</v>
      </c>
      <c r="X66" s="22"/>
      <c r="Y66" s="10"/>
      <c r="Z66" s="22"/>
      <c r="AA66" s="22">
        <f t="shared" si="7"/>
        <v>17235</v>
      </c>
      <c r="AB66" s="10"/>
      <c r="AC66" s="10">
        <v>1828</v>
      </c>
      <c r="AD66" s="22">
        <v>0</v>
      </c>
      <c r="AE66" s="10">
        <v>2659</v>
      </c>
      <c r="AF66" s="10">
        <v>2258</v>
      </c>
      <c r="AG66" s="10">
        <v>6680</v>
      </c>
      <c r="AH66" s="10">
        <v>3810</v>
      </c>
      <c r="AI66" s="10">
        <v>118</v>
      </c>
    </row>
    <row r="67" spans="1:35">
      <c r="A67" s="6" t="s">
        <v>56</v>
      </c>
      <c r="B67" s="6">
        <v>2016</v>
      </c>
      <c r="C67" s="10">
        <v>72130</v>
      </c>
      <c r="D67" s="22">
        <f t="shared" si="4"/>
        <v>166</v>
      </c>
      <c r="E67" s="22"/>
      <c r="F67" s="10">
        <v>166</v>
      </c>
      <c r="G67" s="10"/>
      <c r="H67" s="22"/>
      <c r="I67" s="10"/>
      <c r="J67" s="22"/>
      <c r="K67" s="22">
        <f t="shared" si="5"/>
        <v>71964</v>
      </c>
      <c r="L67" s="10"/>
      <c r="M67" s="10">
        <v>5586</v>
      </c>
      <c r="N67" s="10">
        <v>196</v>
      </c>
      <c r="O67" s="10"/>
      <c r="P67" s="10">
        <v>18676</v>
      </c>
      <c r="Q67" s="10">
        <v>23798</v>
      </c>
      <c r="R67" s="10">
        <v>23708</v>
      </c>
      <c r="S67" s="22">
        <v>74801</v>
      </c>
      <c r="T67" s="22">
        <f t="shared" si="6"/>
        <v>166</v>
      </c>
      <c r="U67" s="22"/>
      <c r="V67" s="10">
        <v>166</v>
      </c>
      <c r="W67" s="10"/>
      <c r="X67" s="22"/>
      <c r="Y67" s="10"/>
      <c r="Z67" s="22"/>
      <c r="AA67" s="22">
        <f t="shared" si="7"/>
        <v>74635</v>
      </c>
      <c r="AB67" s="10"/>
      <c r="AC67" s="10">
        <v>5781</v>
      </c>
      <c r="AD67" s="22">
        <v>196</v>
      </c>
      <c r="AE67" s="10"/>
      <c r="AF67" s="10">
        <v>19720</v>
      </c>
      <c r="AG67" s="10">
        <v>24966</v>
      </c>
      <c r="AH67" s="10">
        <v>23972</v>
      </c>
      <c r="AI67" s="10">
        <v>243</v>
      </c>
    </row>
    <row r="68" spans="1:35">
      <c r="A68" s="6" t="s">
        <v>57</v>
      </c>
      <c r="B68" s="6">
        <v>2016</v>
      </c>
      <c r="C68" s="10">
        <v>17752</v>
      </c>
      <c r="D68" s="22">
        <f t="shared" si="4"/>
        <v>2787</v>
      </c>
      <c r="E68" s="22"/>
      <c r="F68" s="10">
        <v>2787</v>
      </c>
      <c r="G68" s="10"/>
      <c r="H68" s="22"/>
      <c r="I68" s="10"/>
      <c r="J68" s="22"/>
      <c r="K68" s="22">
        <f t="shared" si="5"/>
        <v>14965</v>
      </c>
      <c r="L68" s="10"/>
      <c r="M68" s="10"/>
      <c r="N68" s="10">
        <v>14774</v>
      </c>
      <c r="O68" s="10"/>
      <c r="P68" s="10">
        <v>191</v>
      </c>
      <c r="Q68" s="10"/>
      <c r="R68" s="10"/>
      <c r="S68" s="22">
        <v>19899</v>
      </c>
      <c r="T68" s="22">
        <f t="shared" si="6"/>
        <v>9385</v>
      </c>
      <c r="U68" s="22"/>
      <c r="V68" s="10">
        <v>2787</v>
      </c>
      <c r="W68" s="10"/>
      <c r="X68" s="22">
        <v>6598</v>
      </c>
      <c r="Y68" s="10"/>
      <c r="Z68" s="22"/>
      <c r="AA68" s="22">
        <f t="shared" si="7"/>
        <v>10515</v>
      </c>
      <c r="AB68" s="10"/>
      <c r="AC68" s="10"/>
      <c r="AD68" s="22">
        <v>10315</v>
      </c>
      <c r="AE68" s="10"/>
      <c r="AF68" s="10">
        <v>200</v>
      </c>
      <c r="AG68" s="10"/>
      <c r="AH68" s="10"/>
      <c r="AI68" s="10">
        <v>31</v>
      </c>
    </row>
    <row r="69" spans="1:35">
      <c r="A69" s="6" t="s">
        <v>25</v>
      </c>
      <c r="B69" s="6">
        <v>2017</v>
      </c>
      <c r="C69" s="10">
        <v>1622835</v>
      </c>
      <c r="D69" s="15">
        <f t="shared" si="4"/>
        <v>23239</v>
      </c>
      <c r="E69" s="15"/>
      <c r="F69" s="10">
        <v>20874</v>
      </c>
      <c r="G69" s="10">
        <v>1334</v>
      </c>
      <c r="H69" s="15"/>
      <c r="I69" s="10">
        <v>1031</v>
      </c>
      <c r="J69" s="15"/>
      <c r="K69" s="15">
        <f t="shared" si="5"/>
        <v>1599596</v>
      </c>
      <c r="L69" s="10">
        <v>7936</v>
      </c>
      <c r="M69" s="10">
        <v>14582</v>
      </c>
      <c r="N69" s="10">
        <v>156838</v>
      </c>
      <c r="O69" s="10">
        <v>26870</v>
      </c>
      <c r="P69" s="10">
        <v>350309</v>
      </c>
      <c r="Q69" s="10">
        <v>556697</v>
      </c>
      <c r="R69" s="10">
        <v>486364</v>
      </c>
      <c r="S69" s="10">
        <v>1825611</v>
      </c>
      <c r="T69" s="15">
        <f t="shared" si="6"/>
        <v>37400</v>
      </c>
      <c r="U69" s="15"/>
      <c r="V69" s="10">
        <v>20874</v>
      </c>
      <c r="W69" s="10">
        <v>1334</v>
      </c>
      <c r="X69" s="10">
        <v>13552</v>
      </c>
      <c r="Y69" s="10">
        <v>1640</v>
      </c>
      <c r="Z69" s="15"/>
      <c r="AA69" s="15">
        <f t="shared" si="7"/>
        <v>1788211</v>
      </c>
      <c r="AB69" s="10">
        <v>10073</v>
      </c>
      <c r="AC69" s="10">
        <v>18830</v>
      </c>
      <c r="AD69" s="15">
        <v>173771</v>
      </c>
      <c r="AE69" s="10">
        <v>30183</v>
      </c>
      <c r="AF69" s="10">
        <v>415311</v>
      </c>
      <c r="AG69" s="10">
        <v>631361</v>
      </c>
      <c r="AH69" s="10">
        <v>508682</v>
      </c>
      <c r="AI69" s="10">
        <v>62760</v>
      </c>
    </row>
    <row r="70" spans="1:35">
      <c r="A70" s="6" t="s">
        <v>26</v>
      </c>
      <c r="B70" s="6">
        <v>2017</v>
      </c>
      <c r="C70" s="29">
        <v>9309</v>
      </c>
      <c r="D70" s="15">
        <f t="shared" ref="D70:D101" si="8">SUM(E70:J70)</f>
        <v>0</v>
      </c>
      <c r="E70" s="15"/>
      <c r="F70" s="30"/>
      <c r="G70" s="31"/>
      <c r="H70" s="15"/>
      <c r="I70" s="31"/>
      <c r="J70" s="15"/>
      <c r="K70" s="15">
        <f t="shared" ref="K70:K101" si="9">SUM(L70:R70)</f>
        <v>9308</v>
      </c>
      <c r="L70" s="31"/>
      <c r="M70" s="31"/>
      <c r="N70" s="10">
        <v>1752</v>
      </c>
      <c r="O70" s="31"/>
      <c r="P70" s="10">
        <v>2658</v>
      </c>
      <c r="Q70" s="10">
        <v>3183</v>
      </c>
      <c r="R70" s="10">
        <v>1715</v>
      </c>
      <c r="S70" s="10">
        <v>10402</v>
      </c>
      <c r="T70" s="15">
        <f t="shared" ref="T70:T101" si="10">SUM(U70:Z70)</f>
        <v>0</v>
      </c>
      <c r="U70" s="15"/>
      <c r="V70" s="30"/>
      <c r="W70" s="30"/>
      <c r="X70" s="30"/>
      <c r="Y70" s="30"/>
      <c r="Z70" s="15"/>
      <c r="AA70" s="15">
        <f t="shared" ref="AA70:AA101" si="11">SUM(AB70:AH70)</f>
        <v>10403</v>
      </c>
      <c r="AB70" s="30"/>
      <c r="AC70" s="30"/>
      <c r="AD70" s="15">
        <v>1801</v>
      </c>
      <c r="AE70" s="30"/>
      <c r="AF70" s="10">
        <v>2903</v>
      </c>
      <c r="AG70" s="10">
        <v>3836</v>
      </c>
      <c r="AH70" s="10">
        <v>1863</v>
      </c>
      <c r="AI70" s="10">
        <v>2246</v>
      </c>
    </row>
    <row r="71" spans="1:35">
      <c r="A71" s="6" t="s">
        <v>27</v>
      </c>
      <c r="B71" s="6">
        <v>2017</v>
      </c>
      <c r="C71" s="10">
        <v>11725</v>
      </c>
      <c r="D71" s="15">
        <f t="shared" si="8"/>
        <v>392</v>
      </c>
      <c r="E71" s="15"/>
      <c r="F71" s="10">
        <v>392</v>
      </c>
      <c r="G71" s="31"/>
      <c r="H71" s="15"/>
      <c r="I71" s="31"/>
      <c r="J71" s="15"/>
      <c r="K71" s="15">
        <f t="shared" si="9"/>
        <v>11334</v>
      </c>
      <c r="L71" s="10">
        <v>579</v>
      </c>
      <c r="M71" s="31"/>
      <c r="N71" s="10">
        <v>1076</v>
      </c>
      <c r="O71" s="31"/>
      <c r="P71" s="10">
        <v>2921</v>
      </c>
      <c r="Q71" s="10">
        <v>3360</v>
      </c>
      <c r="R71" s="10">
        <v>3398</v>
      </c>
      <c r="S71" s="10">
        <v>11725</v>
      </c>
      <c r="T71" s="15">
        <f t="shared" si="10"/>
        <v>392</v>
      </c>
      <c r="U71" s="15"/>
      <c r="V71" s="10">
        <v>392</v>
      </c>
      <c r="W71" s="30"/>
      <c r="X71" s="30"/>
      <c r="Y71" s="30"/>
      <c r="Z71" s="15"/>
      <c r="AA71" s="15">
        <f t="shared" si="11"/>
        <v>11334</v>
      </c>
      <c r="AB71" s="10">
        <v>579</v>
      </c>
      <c r="AC71" s="30"/>
      <c r="AD71" s="15">
        <v>1076</v>
      </c>
      <c r="AE71" s="30"/>
      <c r="AF71" s="10">
        <v>2921</v>
      </c>
      <c r="AG71" s="10">
        <v>3360</v>
      </c>
      <c r="AH71" s="10">
        <v>3398</v>
      </c>
      <c r="AI71" s="10">
        <v>6312</v>
      </c>
    </row>
    <row r="72" spans="1:35">
      <c r="A72" s="6" t="s">
        <v>28</v>
      </c>
      <c r="B72" s="6">
        <v>2017</v>
      </c>
      <c r="C72" s="10">
        <v>91426</v>
      </c>
      <c r="D72" s="15">
        <f t="shared" si="8"/>
        <v>1244</v>
      </c>
      <c r="E72" s="15"/>
      <c r="F72" s="10">
        <v>1044</v>
      </c>
      <c r="G72" s="10">
        <v>200</v>
      </c>
      <c r="H72" s="15"/>
      <c r="I72" s="31"/>
      <c r="J72" s="15"/>
      <c r="K72" s="15">
        <f t="shared" si="9"/>
        <v>90182</v>
      </c>
      <c r="L72" s="10">
        <v>1588</v>
      </c>
      <c r="M72" s="31"/>
      <c r="N72" s="10">
        <v>11724</v>
      </c>
      <c r="O72" s="31"/>
      <c r="P72" s="10">
        <v>18387</v>
      </c>
      <c r="Q72" s="10">
        <v>28733</v>
      </c>
      <c r="R72" s="10">
        <v>29750</v>
      </c>
      <c r="S72" s="10">
        <v>100769</v>
      </c>
      <c r="T72" s="15">
        <f t="shared" si="10"/>
        <v>1244</v>
      </c>
      <c r="U72" s="15"/>
      <c r="V72" s="10">
        <v>1044</v>
      </c>
      <c r="W72" s="10">
        <v>200</v>
      </c>
      <c r="X72" s="30"/>
      <c r="Y72" s="30"/>
      <c r="Z72" s="15"/>
      <c r="AA72" s="15">
        <f t="shared" si="11"/>
        <v>99524</v>
      </c>
      <c r="AB72" s="10">
        <v>1839</v>
      </c>
      <c r="AC72" s="30"/>
      <c r="AD72" s="15">
        <v>11724</v>
      </c>
      <c r="AE72" s="30"/>
      <c r="AF72" s="10">
        <v>22321</v>
      </c>
      <c r="AG72" s="10">
        <v>32502</v>
      </c>
      <c r="AH72" s="10">
        <v>31138</v>
      </c>
      <c r="AI72" s="10">
        <v>1899</v>
      </c>
    </row>
    <row r="73" spans="1:35">
      <c r="A73" s="6" t="s">
        <v>29</v>
      </c>
      <c r="B73" s="6">
        <v>2017</v>
      </c>
      <c r="C73" s="10">
        <v>67475</v>
      </c>
      <c r="D73" s="15">
        <f t="shared" si="8"/>
        <v>1035</v>
      </c>
      <c r="E73" s="15"/>
      <c r="F73" s="10">
        <v>730</v>
      </c>
      <c r="G73" s="10">
        <v>305</v>
      </c>
      <c r="H73" s="15"/>
      <c r="I73" s="31"/>
      <c r="J73" s="15"/>
      <c r="K73" s="15">
        <f t="shared" si="9"/>
        <v>66441</v>
      </c>
      <c r="L73" s="10">
        <v>1018</v>
      </c>
      <c r="M73" s="31"/>
      <c r="N73" s="10">
        <v>7657</v>
      </c>
      <c r="O73" s="31"/>
      <c r="P73" s="10">
        <v>14829</v>
      </c>
      <c r="Q73" s="10">
        <v>19661</v>
      </c>
      <c r="R73" s="10">
        <v>23276</v>
      </c>
      <c r="S73" s="10">
        <v>71853</v>
      </c>
      <c r="T73" s="15">
        <f t="shared" si="10"/>
        <v>1035</v>
      </c>
      <c r="U73" s="15"/>
      <c r="V73" s="10">
        <v>730</v>
      </c>
      <c r="W73" s="10">
        <v>305</v>
      </c>
      <c r="X73" s="30"/>
      <c r="Y73" s="30"/>
      <c r="Z73" s="15"/>
      <c r="AA73" s="15">
        <f t="shared" si="11"/>
        <v>70817</v>
      </c>
      <c r="AB73" s="10">
        <v>1284</v>
      </c>
      <c r="AC73" s="30"/>
      <c r="AD73" s="15">
        <v>8802</v>
      </c>
      <c r="AE73" s="30"/>
      <c r="AF73" s="10">
        <v>16482</v>
      </c>
      <c r="AG73" s="10">
        <v>20883</v>
      </c>
      <c r="AH73" s="10">
        <v>23366</v>
      </c>
      <c r="AI73" s="10">
        <v>762</v>
      </c>
    </row>
    <row r="74" spans="1:35">
      <c r="A74" s="6" t="s">
        <v>30</v>
      </c>
      <c r="B74" s="6">
        <v>2017</v>
      </c>
      <c r="C74" s="10">
        <v>103078</v>
      </c>
      <c r="D74" s="15">
        <f t="shared" si="8"/>
        <v>767</v>
      </c>
      <c r="E74" s="15"/>
      <c r="F74" s="10">
        <v>767</v>
      </c>
      <c r="G74" s="31"/>
      <c r="H74" s="15"/>
      <c r="I74" s="31"/>
      <c r="J74" s="15"/>
      <c r="K74" s="15">
        <f t="shared" si="9"/>
        <v>102310</v>
      </c>
      <c r="L74" s="10">
        <v>468</v>
      </c>
      <c r="M74" s="31"/>
      <c r="N74" s="10">
        <v>10111</v>
      </c>
      <c r="O74" s="31"/>
      <c r="P74" s="10">
        <v>31501</v>
      </c>
      <c r="Q74" s="10">
        <v>38991</v>
      </c>
      <c r="R74" s="10">
        <v>21239</v>
      </c>
      <c r="S74" s="10">
        <v>106019</v>
      </c>
      <c r="T74" s="15">
        <f t="shared" si="10"/>
        <v>1495</v>
      </c>
      <c r="U74" s="15"/>
      <c r="V74" s="10">
        <v>767</v>
      </c>
      <c r="W74" s="30"/>
      <c r="X74" s="10">
        <v>728</v>
      </c>
      <c r="Y74" s="30"/>
      <c r="Z74" s="15"/>
      <c r="AA74" s="15">
        <f t="shared" si="11"/>
        <v>104523</v>
      </c>
      <c r="AB74" s="10">
        <v>468</v>
      </c>
      <c r="AC74" s="30"/>
      <c r="AD74" s="15">
        <v>9940</v>
      </c>
      <c r="AE74" s="30"/>
      <c r="AF74" s="10">
        <v>32998</v>
      </c>
      <c r="AG74" s="10">
        <v>39875</v>
      </c>
      <c r="AH74" s="10">
        <v>21242</v>
      </c>
      <c r="AI74" s="10">
        <v>286</v>
      </c>
    </row>
    <row r="75" spans="1:35">
      <c r="A75" s="6" t="s">
        <v>31</v>
      </c>
      <c r="B75" s="6">
        <v>2017</v>
      </c>
      <c r="C75" s="29">
        <v>45955</v>
      </c>
      <c r="D75" s="15">
        <f t="shared" si="8"/>
        <v>0</v>
      </c>
      <c r="E75" s="15"/>
      <c r="F75" s="30"/>
      <c r="G75" s="31"/>
      <c r="H75" s="15"/>
      <c r="I75" s="31"/>
      <c r="J75" s="15"/>
      <c r="K75" s="15">
        <f t="shared" si="9"/>
        <v>45955</v>
      </c>
      <c r="L75" s="31"/>
      <c r="M75" s="31"/>
      <c r="N75" s="10">
        <v>6452</v>
      </c>
      <c r="O75" s="31"/>
      <c r="P75" s="10">
        <v>14136</v>
      </c>
      <c r="Q75" s="10">
        <v>25332</v>
      </c>
      <c r="R75" s="10">
        <v>35</v>
      </c>
      <c r="S75" s="32">
        <v>60811</v>
      </c>
      <c r="T75" s="15">
        <f t="shared" si="10"/>
        <v>193</v>
      </c>
      <c r="U75" s="15"/>
      <c r="V75" s="30"/>
      <c r="W75" s="30"/>
      <c r="X75" s="10">
        <v>193</v>
      </c>
      <c r="Y75" s="30"/>
      <c r="Z75" s="15"/>
      <c r="AA75" s="15">
        <f t="shared" si="11"/>
        <v>60616</v>
      </c>
      <c r="AB75" s="30"/>
      <c r="AC75" s="30"/>
      <c r="AD75" s="15">
        <v>8009</v>
      </c>
      <c r="AE75" s="30"/>
      <c r="AF75" s="10">
        <v>18369</v>
      </c>
      <c r="AG75" s="10">
        <v>34200</v>
      </c>
      <c r="AH75" s="10">
        <v>38</v>
      </c>
      <c r="AI75" s="10">
        <v>1425</v>
      </c>
    </row>
    <row r="76" spans="1:35">
      <c r="A76" s="6" t="s">
        <v>32</v>
      </c>
      <c r="B76" s="6">
        <v>2017</v>
      </c>
      <c r="C76" s="29">
        <v>28475</v>
      </c>
      <c r="D76" s="15">
        <f t="shared" si="8"/>
        <v>0</v>
      </c>
      <c r="E76" s="15"/>
      <c r="F76" s="30"/>
      <c r="G76" s="31"/>
      <c r="H76" s="15"/>
      <c r="I76" s="31"/>
      <c r="J76" s="15"/>
      <c r="K76" s="15">
        <f t="shared" si="9"/>
        <v>28475</v>
      </c>
      <c r="L76" s="31"/>
      <c r="M76" s="31"/>
      <c r="N76" s="10">
        <v>2693</v>
      </c>
      <c r="O76" s="31"/>
      <c r="P76" s="10">
        <v>9356</v>
      </c>
      <c r="Q76" s="10">
        <v>16382</v>
      </c>
      <c r="R76" s="10">
        <v>44</v>
      </c>
      <c r="S76" s="32">
        <v>35427</v>
      </c>
      <c r="T76" s="15">
        <f t="shared" si="10"/>
        <v>0</v>
      </c>
      <c r="U76" s="15"/>
      <c r="V76" s="30"/>
      <c r="W76" s="30"/>
      <c r="X76" s="30"/>
      <c r="Y76" s="30"/>
      <c r="Z76" s="15"/>
      <c r="AA76" s="15">
        <f t="shared" si="11"/>
        <v>35428</v>
      </c>
      <c r="AB76" s="30"/>
      <c r="AC76" s="30"/>
      <c r="AD76" s="15">
        <v>3377</v>
      </c>
      <c r="AE76" s="30"/>
      <c r="AF76" s="10">
        <v>11645</v>
      </c>
      <c r="AG76" s="10">
        <v>20362</v>
      </c>
      <c r="AH76" s="10">
        <v>44</v>
      </c>
      <c r="AI76" s="10">
        <v>266</v>
      </c>
    </row>
    <row r="77" spans="1:35">
      <c r="A77" s="6" t="s">
        <v>33</v>
      </c>
      <c r="B77" s="6">
        <v>2017</v>
      </c>
      <c r="C77" s="10">
        <v>53215</v>
      </c>
      <c r="D77" s="15">
        <f t="shared" si="8"/>
        <v>0</v>
      </c>
      <c r="E77" s="15"/>
      <c r="F77" s="30"/>
      <c r="G77" s="31"/>
      <c r="H77" s="15"/>
      <c r="I77" s="31"/>
      <c r="J77" s="15"/>
      <c r="K77" s="15">
        <f t="shared" si="9"/>
        <v>53215</v>
      </c>
      <c r="L77" s="31"/>
      <c r="M77" s="31"/>
      <c r="N77" s="10">
        <v>4491</v>
      </c>
      <c r="O77" s="31"/>
      <c r="P77" s="10">
        <v>12386</v>
      </c>
      <c r="Q77" s="10">
        <v>23263</v>
      </c>
      <c r="R77" s="10">
        <v>13075</v>
      </c>
      <c r="S77" s="10">
        <v>57870</v>
      </c>
      <c r="T77" s="15">
        <f t="shared" si="10"/>
        <v>0</v>
      </c>
      <c r="U77" s="15"/>
      <c r="V77" s="30"/>
      <c r="W77" s="30"/>
      <c r="X77" s="30"/>
      <c r="Y77" s="30"/>
      <c r="Z77" s="15"/>
      <c r="AA77" s="15">
        <f t="shared" si="11"/>
        <v>57870</v>
      </c>
      <c r="AB77" s="30"/>
      <c r="AC77" s="30"/>
      <c r="AD77" s="15">
        <v>5012</v>
      </c>
      <c r="AE77" s="30"/>
      <c r="AF77" s="10">
        <v>14603</v>
      </c>
      <c r="AG77" s="10">
        <v>25059</v>
      </c>
      <c r="AH77" s="10">
        <v>13196</v>
      </c>
      <c r="AI77" s="10">
        <v>561</v>
      </c>
    </row>
    <row r="78" spans="1:35">
      <c r="A78" s="6" t="s">
        <v>34</v>
      </c>
      <c r="B78" s="6">
        <v>2017</v>
      </c>
      <c r="C78" s="10">
        <v>7290</v>
      </c>
      <c r="D78" s="15">
        <f t="shared" si="8"/>
        <v>106</v>
      </c>
      <c r="E78" s="15"/>
      <c r="F78" s="10">
        <v>106</v>
      </c>
      <c r="G78" s="31"/>
      <c r="H78" s="15"/>
      <c r="I78" s="31"/>
      <c r="J78" s="15"/>
      <c r="K78" s="15">
        <f t="shared" si="9"/>
        <v>7184</v>
      </c>
      <c r="L78" s="10">
        <v>74</v>
      </c>
      <c r="M78" s="31"/>
      <c r="N78" s="10">
        <v>757</v>
      </c>
      <c r="O78" s="31"/>
      <c r="P78" s="10">
        <v>2053</v>
      </c>
      <c r="Q78" s="10">
        <v>961</v>
      </c>
      <c r="R78" s="10">
        <v>3339</v>
      </c>
      <c r="S78" s="10">
        <v>9880</v>
      </c>
      <c r="T78" s="15">
        <f t="shared" si="10"/>
        <v>187</v>
      </c>
      <c r="U78" s="15"/>
      <c r="V78" s="10">
        <v>106</v>
      </c>
      <c r="W78" s="30"/>
      <c r="X78" s="10">
        <v>81</v>
      </c>
      <c r="Y78" s="30"/>
      <c r="Z78" s="15"/>
      <c r="AA78" s="15">
        <f t="shared" si="11"/>
        <v>9692</v>
      </c>
      <c r="AB78" s="10">
        <v>147</v>
      </c>
      <c r="AC78" s="30"/>
      <c r="AD78" s="15">
        <v>1149</v>
      </c>
      <c r="AE78" s="30"/>
      <c r="AF78" s="10">
        <v>3601</v>
      </c>
      <c r="AG78" s="10">
        <v>993</v>
      </c>
      <c r="AH78" s="10">
        <v>3802</v>
      </c>
      <c r="AI78" s="10">
        <v>13627</v>
      </c>
    </row>
    <row r="79" spans="1:35">
      <c r="A79" s="6" t="s">
        <v>35</v>
      </c>
      <c r="B79" s="6">
        <v>2017</v>
      </c>
      <c r="C79" s="10">
        <v>73358</v>
      </c>
      <c r="D79" s="15">
        <f t="shared" si="8"/>
        <v>418</v>
      </c>
      <c r="E79" s="15"/>
      <c r="F79" s="10">
        <v>418</v>
      </c>
      <c r="G79" s="31"/>
      <c r="H79" s="15"/>
      <c r="I79" s="31"/>
      <c r="J79" s="15"/>
      <c r="K79" s="15">
        <f t="shared" si="9"/>
        <v>72940</v>
      </c>
      <c r="L79" s="10">
        <v>1015</v>
      </c>
      <c r="M79" s="31"/>
      <c r="N79" s="10">
        <v>9365</v>
      </c>
      <c r="O79" s="31"/>
      <c r="P79" s="10">
        <v>20536</v>
      </c>
      <c r="Q79" s="10">
        <v>25336</v>
      </c>
      <c r="R79" s="10">
        <v>16688</v>
      </c>
      <c r="S79" s="10">
        <v>93433</v>
      </c>
      <c r="T79" s="15">
        <f t="shared" si="10"/>
        <v>565</v>
      </c>
      <c r="U79" s="15"/>
      <c r="V79" s="10">
        <v>418</v>
      </c>
      <c r="W79" s="30"/>
      <c r="X79" s="10">
        <v>147</v>
      </c>
      <c r="Y79" s="30"/>
      <c r="Z79" s="15"/>
      <c r="AA79" s="15">
        <f t="shared" si="11"/>
        <v>92868</v>
      </c>
      <c r="AB79" s="10">
        <v>1015</v>
      </c>
      <c r="AC79" s="30"/>
      <c r="AD79" s="15">
        <v>12315</v>
      </c>
      <c r="AE79" s="30"/>
      <c r="AF79" s="10">
        <v>28576</v>
      </c>
      <c r="AG79" s="10">
        <v>32234</v>
      </c>
      <c r="AH79" s="10">
        <v>18728</v>
      </c>
      <c r="AI79" s="10">
        <v>6305</v>
      </c>
    </row>
    <row r="80" spans="1:35">
      <c r="A80" s="6" t="s">
        <v>36</v>
      </c>
      <c r="B80" s="6">
        <v>2017</v>
      </c>
      <c r="C80" s="10">
        <v>46307</v>
      </c>
      <c r="D80" s="15">
        <f t="shared" si="8"/>
        <v>526</v>
      </c>
      <c r="E80" s="15"/>
      <c r="F80" s="10">
        <v>526</v>
      </c>
      <c r="G80" s="31"/>
      <c r="H80" s="15"/>
      <c r="I80" s="31"/>
      <c r="J80" s="15"/>
      <c r="K80" s="15">
        <f t="shared" si="9"/>
        <v>45780</v>
      </c>
      <c r="L80" s="10">
        <v>834</v>
      </c>
      <c r="M80" s="31"/>
      <c r="N80" s="10">
        <v>5846</v>
      </c>
      <c r="O80" s="31"/>
      <c r="P80" s="10">
        <v>11544</v>
      </c>
      <c r="Q80" s="10">
        <v>15203</v>
      </c>
      <c r="R80" s="10">
        <v>12353</v>
      </c>
      <c r="S80" s="10">
        <v>63924</v>
      </c>
      <c r="T80" s="15">
        <f t="shared" si="10"/>
        <v>998</v>
      </c>
      <c r="U80" s="15"/>
      <c r="V80" s="10">
        <v>526</v>
      </c>
      <c r="W80" s="30"/>
      <c r="X80" s="10">
        <v>472</v>
      </c>
      <c r="Y80" s="30"/>
      <c r="Z80" s="15"/>
      <c r="AA80" s="15">
        <f t="shared" si="11"/>
        <v>62926</v>
      </c>
      <c r="AB80" s="10">
        <v>1187</v>
      </c>
      <c r="AC80" s="30"/>
      <c r="AD80" s="15">
        <v>8349</v>
      </c>
      <c r="AE80" s="30"/>
      <c r="AF80" s="10">
        <v>17123</v>
      </c>
      <c r="AG80" s="10">
        <v>22127</v>
      </c>
      <c r="AH80" s="10">
        <v>14140</v>
      </c>
      <c r="AI80" s="10">
        <v>5683</v>
      </c>
    </row>
    <row r="81" spans="1:35">
      <c r="A81" s="6" t="s">
        <v>37</v>
      </c>
      <c r="B81" s="6">
        <v>2017</v>
      </c>
      <c r="C81" s="10">
        <v>61174</v>
      </c>
      <c r="D81" s="15">
        <f t="shared" si="8"/>
        <v>1461</v>
      </c>
      <c r="E81" s="15"/>
      <c r="F81" s="10">
        <v>1461</v>
      </c>
      <c r="G81" s="31"/>
      <c r="H81" s="15"/>
      <c r="I81" s="31"/>
      <c r="J81" s="15"/>
      <c r="K81" s="15">
        <f t="shared" si="9"/>
        <v>59713</v>
      </c>
      <c r="L81" s="10">
        <v>614</v>
      </c>
      <c r="M81" s="31"/>
      <c r="N81" s="10">
        <v>5164</v>
      </c>
      <c r="O81" s="31"/>
      <c r="P81" s="10">
        <v>12252</v>
      </c>
      <c r="Q81" s="10">
        <v>17131</v>
      </c>
      <c r="R81" s="10">
        <v>24552</v>
      </c>
      <c r="S81" s="10">
        <v>70021</v>
      </c>
      <c r="T81" s="15">
        <f t="shared" si="10"/>
        <v>3044</v>
      </c>
      <c r="U81" s="15"/>
      <c r="V81" s="10">
        <v>1461</v>
      </c>
      <c r="W81" s="30"/>
      <c r="X81" s="10">
        <v>1583</v>
      </c>
      <c r="Y81" s="30"/>
      <c r="Z81" s="15"/>
      <c r="AA81" s="15">
        <f t="shared" si="11"/>
        <v>66977</v>
      </c>
      <c r="AB81" s="10">
        <v>1223</v>
      </c>
      <c r="AC81" s="30"/>
      <c r="AD81" s="15">
        <v>5368</v>
      </c>
      <c r="AE81" s="30"/>
      <c r="AF81" s="10">
        <v>15726</v>
      </c>
      <c r="AG81" s="10">
        <v>19392</v>
      </c>
      <c r="AH81" s="10">
        <v>25268</v>
      </c>
      <c r="AI81" s="10">
        <v>1056</v>
      </c>
    </row>
    <row r="82" spans="1:35">
      <c r="A82" s="6" t="s">
        <v>38</v>
      </c>
      <c r="B82" s="6">
        <v>2017</v>
      </c>
      <c r="C82" s="29">
        <v>42427</v>
      </c>
      <c r="D82" s="15">
        <f t="shared" si="8"/>
        <v>0</v>
      </c>
      <c r="E82" s="15"/>
      <c r="F82" s="30"/>
      <c r="G82" s="31"/>
      <c r="H82" s="15"/>
      <c r="I82" s="31"/>
      <c r="J82" s="15"/>
      <c r="K82" s="15">
        <f t="shared" si="9"/>
        <v>42427</v>
      </c>
      <c r="L82" s="29">
        <v>342</v>
      </c>
      <c r="M82" s="31"/>
      <c r="N82" s="10">
        <v>4127</v>
      </c>
      <c r="O82" s="31"/>
      <c r="P82" s="10">
        <v>9217</v>
      </c>
      <c r="Q82" s="10">
        <v>14904</v>
      </c>
      <c r="R82" s="10">
        <v>13837</v>
      </c>
      <c r="S82" s="10">
        <v>48652</v>
      </c>
      <c r="T82" s="15">
        <f t="shared" si="10"/>
        <v>0</v>
      </c>
      <c r="U82" s="15"/>
      <c r="V82" s="30"/>
      <c r="W82" s="30"/>
      <c r="X82" s="30"/>
      <c r="Y82" s="30"/>
      <c r="Z82" s="15"/>
      <c r="AA82" s="15">
        <f t="shared" si="11"/>
        <v>48652</v>
      </c>
      <c r="AB82" s="10">
        <v>342</v>
      </c>
      <c r="AC82" s="30"/>
      <c r="AD82" s="15">
        <v>5215</v>
      </c>
      <c r="AE82" s="30"/>
      <c r="AF82" s="10">
        <v>12309</v>
      </c>
      <c r="AG82" s="10">
        <v>16798</v>
      </c>
      <c r="AH82" s="10">
        <v>13988</v>
      </c>
      <c r="AI82" s="10">
        <v>1268</v>
      </c>
    </row>
    <row r="83" spans="1:35">
      <c r="A83" s="6" t="s">
        <v>39</v>
      </c>
      <c r="B83" s="6">
        <v>2017</v>
      </c>
      <c r="C83" s="10">
        <v>47699</v>
      </c>
      <c r="D83" s="15">
        <f t="shared" si="8"/>
        <v>450</v>
      </c>
      <c r="E83" s="15"/>
      <c r="F83" s="10">
        <v>450</v>
      </c>
      <c r="G83" s="31"/>
      <c r="H83" s="15"/>
      <c r="I83" s="31"/>
      <c r="J83" s="15"/>
      <c r="K83" s="15">
        <f t="shared" si="9"/>
        <v>47249</v>
      </c>
      <c r="L83" s="31"/>
      <c r="M83" s="31"/>
      <c r="N83" s="10">
        <v>3845</v>
      </c>
      <c r="O83" s="31"/>
      <c r="P83" s="10">
        <v>11485</v>
      </c>
      <c r="Q83" s="10">
        <v>14804</v>
      </c>
      <c r="R83" s="10">
        <v>17115</v>
      </c>
      <c r="S83" s="10">
        <v>50986</v>
      </c>
      <c r="T83" s="15">
        <f t="shared" si="10"/>
        <v>450</v>
      </c>
      <c r="U83" s="15"/>
      <c r="V83" s="10">
        <v>450</v>
      </c>
      <c r="W83" s="30"/>
      <c r="X83" s="30"/>
      <c r="Y83" s="30"/>
      <c r="Z83" s="15"/>
      <c r="AA83" s="15">
        <f t="shared" si="11"/>
        <v>50537</v>
      </c>
      <c r="AB83" s="30"/>
      <c r="AC83" s="30"/>
      <c r="AD83" s="15">
        <v>4537</v>
      </c>
      <c r="AE83" s="30"/>
      <c r="AF83" s="10">
        <v>12968</v>
      </c>
      <c r="AG83" s="10">
        <v>15862</v>
      </c>
      <c r="AH83" s="10">
        <v>17170</v>
      </c>
      <c r="AI83" s="10">
        <v>743</v>
      </c>
    </row>
    <row r="84" spans="1:35">
      <c r="A84" s="6" t="s">
        <v>40</v>
      </c>
      <c r="B84" s="6">
        <v>2017</v>
      </c>
      <c r="C84" s="10">
        <v>86394</v>
      </c>
      <c r="D84" s="15">
        <f t="shared" si="8"/>
        <v>1544</v>
      </c>
      <c r="E84" s="15"/>
      <c r="F84" s="10">
        <v>1129</v>
      </c>
      <c r="G84" s="10">
        <v>415</v>
      </c>
      <c r="H84" s="15"/>
      <c r="I84" s="31"/>
      <c r="J84" s="15"/>
      <c r="K84" s="15">
        <f t="shared" si="9"/>
        <v>84850</v>
      </c>
      <c r="L84" s="10">
        <v>583</v>
      </c>
      <c r="M84" s="31"/>
      <c r="N84" s="10">
        <v>6808</v>
      </c>
      <c r="O84" s="31"/>
      <c r="P84" s="10">
        <v>19813</v>
      </c>
      <c r="Q84" s="10">
        <v>26500</v>
      </c>
      <c r="R84" s="10">
        <v>31146</v>
      </c>
      <c r="S84" s="10">
        <v>101893</v>
      </c>
      <c r="T84" s="15">
        <f t="shared" si="10"/>
        <v>1544</v>
      </c>
      <c r="U84" s="15"/>
      <c r="V84" s="10">
        <v>1129</v>
      </c>
      <c r="W84" s="10">
        <v>415</v>
      </c>
      <c r="X84" s="30"/>
      <c r="Y84" s="30"/>
      <c r="Z84" s="15"/>
      <c r="AA84" s="15">
        <f t="shared" si="11"/>
        <v>100350</v>
      </c>
      <c r="AB84" s="10">
        <v>1166</v>
      </c>
      <c r="AC84" s="30"/>
      <c r="AD84" s="15">
        <v>8623</v>
      </c>
      <c r="AE84" s="30"/>
      <c r="AF84" s="10">
        <v>25018</v>
      </c>
      <c r="AG84" s="10">
        <v>31431</v>
      </c>
      <c r="AH84" s="10">
        <v>34112</v>
      </c>
      <c r="AI84" s="10">
        <v>5341</v>
      </c>
    </row>
    <row r="85" spans="1:35">
      <c r="A85" s="6" t="s">
        <v>41</v>
      </c>
      <c r="B85" s="6">
        <v>2017</v>
      </c>
      <c r="C85" s="10">
        <v>71153</v>
      </c>
      <c r="D85" s="15">
        <f t="shared" si="8"/>
        <v>722</v>
      </c>
      <c r="E85" s="15"/>
      <c r="F85" s="10">
        <v>722</v>
      </c>
      <c r="G85" s="31"/>
      <c r="H85" s="15"/>
      <c r="I85" s="31"/>
      <c r="J85" s="15"/>
      <c r="K85" s="15">
        <f t="shared" si="9"/>
        <v>70430</v>
      </c>
      <c r="L85" s="10">
        <v>343</v>
      </c>
      <c r="M85" s="31"/>
      <c r="N85" s="10">
        <v>5814</v>
      </c>
      <c r="O85" s="10">
        <v>95</v>
      </c>
      <c r="P85" s="10">
        <v>17514</v>
      </c>
      <c r="Q85" s="10">
        <v>22787</v>
      </c>
      <c r="R85" s="10">
        <v>23877</v>
      </c>
      <c r="S85" s="10">
        <v>75487</v>
      </c>
      <c r="T85" s="15">
        <f t="shared" si="10"/>
        <v>722</v>
      </c>
      <c r="U85" s="15"/>
      <c r="V85" s="10">
        <v>722</v>
      </c>
      <c r="W85" s="30"/>
      <c r="X85" s="30"/>
      <c r="Y85" s="30"/>
      <c r="Z85" s="15"/>
      <c r="AA85" s="15">
        <f t="shared" si="11"/>
        <v>74765</v>
      </c>
      <c r="AB85" s="10">
        <v>343</v>
      </c>
      <c r="AC85" s="30"/>
      <c r="AD85" s="15">
        <v>7783</v>
      </c>
      <c r="AE85" s="10">
        <v>140</v>
      </c>
      <c r="AF85" s="10">
        <v>18629</v>
      </c>
      <c r="AG85" s="10">
        <v>23879</v>
      </c>
      <c r="AH85" s="10">
        <v>23991</v>
      </c>
      <c r="AI85" s="10">
        <v>973</v>
      </c>
    </row>
    <row r="86" spans="1:35">
      <c r="A86" s="6" t="s">
        <v>42</v>
      </c>
      <c r="B86" s="6">
        <v>2017</v>
      </c>
      <c r="C86" s="10">
        <v>66742</v>
      </c>
      <c r="D86" s="15">
        <f t="shared" si="8"/>
        <v>1185</v>
      </c>
      <c r="E86" s="15"/>
      <c r="F86" s="10">
        <v>1185</v>
      </c>
      <c r="G86" s="31"/>
      <c r="H86" s="15"/>
      <c r="I86" s="31"/>
      <c r="J86" s="15"/>
      <c r="K86" s="15">
        <f t="shared" si="9"/>
        <v>65557</v>
      </c>
      <c r="L86" s="10">
        <v>180</v>
      </c>
      <c r="M86" s="31"/>
      <c r="N86" s="10">
        <v>9996</v>
      </c>
      <c r="O86" s="31"/>
      <c r="P86" s="10">
        <v>13095</v>
      </c>
      <c r="Q86" s="10">
        <v>20872</v>
      </c>
      <c r="R86" s="10">
        <v>21414</v>
      </c>
      <c r="S86" s="10">
        <v>71120</v>
      </c>
      <c r="T86" s="15">
        <f t="shared" si="10"/>
        <v>2983</v>
      </c>
      <c r="U86" s="15"/>
      <c r="V86" s="10">
        <v>1185</v>
      </c>
      <c r="W86" s="30"/>
      <c r="X86" s="10">
        <v>1798</v>
      </c>
      <c r="Y86" s="30"/>
      <c r="Z86" s="15"/>
      <c r="AA86" s="15">
        <f t="shared" si="11"/>
        <v>68136</v>
      </c>
      <c r="AB86" s="10">
        <v>180</v>
      </c>
      <c r="AC86" s="30"/>
      <c r="AD86" s="15">
        <v>9806</v>
      </c>
      <c r="AE86" s="30"/>
      <c r="AF86" s="10">
        <v>14351</v>
      </c>
      <c r="AG86" s="10">
        <v>22186</v>
      </c>
      <c r="AH86" s="10">
        <v>21613</v>
      </c>
      <c r="AI86" s="10">
        <v>1274</v>
      </c>
    </row>
    <row r="87" spans="1:35">
      <c r="A87" s="6" t="s">
        <v>43</v>
      </c>
      <c r="B87" s="6">
        <v>2017</v>
      </c>
      <c r="C87" s="10">
        <v>65823</v>
      </c>
      <c r="D87" s="15">
        <f t="shared" si="8"/>
        <v>1741</v>
      </c>
      <c r="E87" s="15"/>
      <c r="F87" s="10">
        <v>1741</v>
      </c>
      <c r="G87" s="31"/>
      <c r="H87" s="15"/>
      <c r="I87" s="31"/>
      <c r="J87" s="15"/>
      <c r="K87" s="15">
        <f t="shared" si="9"/>
        <v>64081</v>
      </c>
      <c r="L87" s="31"/>
      <c r="M87" s="31"/>
      <c r="N87" s="10">
        <v>5290</v>
      </c>
      <c r="O87" s="31"/>
      <c r="P87" s="10">
        <v>13491</v>
      </c>
      <c r="Q87" s="10">
        <v>21882</v>
      </c>
      <c r="R87" s="10">
        <v>23418</v>
      </c>
      <c r="S87" s="10">
        <v>68344</v>
      </c>
      <c r="T87" s="15">
        <f t="shared" si="10"/>
        <v>2598</v>
      </c>
      <c r="U87" s="15"/>
      <c r="V87" s="10">
        <v>1741</v>
      </c>
      <c r="W87" s="30"/>
      <c r="X87" s="10">
        <v>857</v>
      </c>
      <c r="Y87" s="30"/>
      <c r="Z87" s="15"/>
      <c r="AA87" s="15">
        <f t="shared" si="11"/>
        <v>65746</v>
      </c>
      <c r="AB87" s="30"/>
      <c r="AC87" s="30"/>
      <c r="AD87" s="15">
        <v>4595</v>
      </c>
      <c r="AE87" s="30"/>
      <c r="AF87" s="10">
        <v>14413</v>
      </c>
      <c r="AG87" s="10">
        <v>23056</v>
      </c>
      <c r="AH87" s="10">
        <v>23682</v>
      </c>
      <c r="AI87" s="10">
        <v>645</v>
      </c>
    </row>
    <row r="88" spans="1:35">
      <c r="A88" s="6" t="s">
        <v>44</v>
      </c>
      <c r="B88" s="6">
        <v>2017</v>
      </c>
      <c r="C88" s="29">
        <v>54935</v>
      </c>
      <c r="D88" s="15">
        <f t="shared" si="8"/>
        <v>0</v>
      </c>
      <c r="E88" s="15"/>
      <c r="F88" s="30"/>
      <c r="G88" s="31"/>
      <c r="H88" s="15"/>
      <c r="I88" s="31"/>
      <c r="J88" s="15"/>
      <c r="K88" s="15">
        <f t="shared" si="9"/>
        <v>54935</v>
      </c>
      <c r="L88" s="31"/>
      <c r="M88" s="31"/>
      <c r="N88" s="10">
        <v>7207</v>
      </c>
      <c r="O88" s="31"/>
      <c r="P88" s="10">
        <v>17192</v>
      </c>
      <c r="Q88" s="10">
        <v>25360</v>
      </c>
      <c r="R88" s="10">
        <v>5176</v>
      </c>
      <c r="S88" s="10">
        <v>75515</v>
      </c>
      <c r="T88" s="15">
        <f t="shared" si="10"/>
        <v>0</v>
      </c>
      <c r="U88" s="15"/>
      <c r="V88" s="30"/>
      <c r="W88" s="30"/>
      <c r="X88" s="30"/>
      <c r="Y88" s="30"/>
      <c r="Z88" s="15"/>
      <c r="AA88" s="15">
        <f t="shared" si="11"/>
        <v>75515</v>
      </c>
      <c r="AB88" s="30"/>
      <c r="AC88" s="30"/>
      <c r="AD88" s="15">
        <v>9961</v>
      </c>
      <c r="AE88" s="30"/>
      <c r="AF88" s="10">
        <v>23658</v>
      </c>
      <c r="AG88" s="10">
        <v>34643</v>
      </c>
      <c r="AH88" s="10">
        <v>7253</v>
      </c>
      <c r="AI88" s="10">
        <v>4398</v>
      </c>
    </row>
    <row r="89" spans="1:35">
      <c r="A89" s="6" t="s">
        <v>45</v>
      </c>
      <c r="B89" s="6">
        <v>2017</v>
      </c>
      <c r="C89" s="29">
        <v>69641</v>
      </c>
      <c r="D89" s="15">
        <f t="shared" si="8"/>
        <v>0</v>
      </c>
      <c r="E89" s="15"/>
      <c r="F89" s="30"/>
      <c r="G89" s="31"/>
      <c r="H89" s="15"/>
      <c r="I89" s="31"/>
      <c r="J89" s="15"/>
      <c r="K89" s="15">
        <f t="shared" si="9"/>
        <v>69641</v>
      </c>
      <c r="L89" s="31"/>
      <c r="M89" s="31"/>
      <c r="N89" s="10">
        <v>2223</v>
      </c>
      <c r="O89" s="31"/>
      <c r="P89" s="10">
        <v>14672</v>
      </c>
      <c r="Q89" s="10">
        <v>20051</v>
      </c>
      <c r="R89" s="10">
        <v>32695</v>
      </c>
      <c r="S89" s="32">
        <v>73827</v>
      </c>
      <c r="T89" s="15">
        <f t="shared" si="10"/>
        <v>0</v>
      </c>
      <c r="U89" s="15"/>
      <c r="V89" s="30"/>
      <c r="W89" s="30"/>
      <c r="X89" s="30"/>
      <c r="Y89" s="30"/>
      <c r="Z89" s="15"/>
      <c r="AA89" s="15">
        <f t="shared" si="11"/>
        <v>73828</v>
      </c>
      <c r="AB89" s="30"/>
      <c r="AC89" s="30"/>
      <c r="AD89" s="15">
        <v>2350</v>
      </c>
      <c r="AE89" s="30"/>
      <c r="AF89" s="10">
        <v>16957</v>
      </c>
      <c r="AG89" s="10">
        <v>21386</v>
      </c>
      <c r="AH89" s="10">
        <v>33135</v>
      </c>
      <c r="AI89" s="10">
        <v>2354</v>
      </c>
    </row>
    <row r="90" spans="1:35">
      <c r="A90" s="6" t="s">
        <v>46</v>
      </c>
      <c r="B90" s="6">
        <v>2017</v>
      </c>
      <c r="C90" s="29">
        <v>10426</v>
      </c>
      <c r="D90" s="15">
        <f t="shared" si="8"/>
        <v>0</v>
      </c>
      <c r="E90" s="15"/>
      <c r="F90" s="30"/>
      <c r="G90" s="31"/>
      <c r="H90" s="15"/>
      <c r="I90" s="31"/>
      <c r="J90" s="15"/>
      <c r="K90" s="15">
        <f t="shared" si="9"/>
        <v>10427</v>
      </c>
      <c r="L90" s="31"/>
      <c r="M90" s="31"/>
      <c r="N90" s="31"/>
      <c r="O90" s="31"/>
      <c r="P90" s="10">
        <v>4030</v>
      </c>
      <c r="Q90" s="10">
        <v>3713</v>
      </c>
      <c r="R90" s="10">
        <v>2684</v>
      </c>
      <c r="S90" s="29">
        <v>10426</v>
      </c>
      <c r="T90" s="15">
        <f t="shared" si="10"/>
        <v>0</v>
      </c>
      <c r="U90" s="15"/>
      <c r="V90" s="30"/>
      <c r="W90" s="30"/>
      <c r="X90" s="30"/>
      <c r="Y90" s="30"/>
      <c r="Z90" s="15"/>
      <c r="AA90" s="15">
        <f t="shared" si="11"/>
        <v>10427</v>
      </c>
      <c r="AB90" s="30"/>
      <c r="AC90" s="30"/>
      <c r="AD90" s="15">
        <v>0</v>
      </c>
      <c r="AE90" s="30"/>
      <c r="AF90" s="10">
        <v>4030</v>
      </c>
      <c r="AG90" s="10">
        <v>3713</v>
      </c>
      <c r="AH90" s="10">
        <v>2684</v>
      </c>
      <c r="AI90" s="10">
        <v>101</v>
      </c>
    </row>
    <row r="91" spans="1:35">
      <c r="A91" s="6" t="s">
        <v>47</v>
      </c>
      <c r="B91" s="6">
        <v>2017</v>
      </c>
      <c r="C91" s="10">
        <v>31399</v>
      </c>
      <c r="D91" s="15">
        <f t="shared" si="8"/>
        <v>676</v>
      </c>
      <c r="E91" s="15"/>
      <c r="F91" s="10">
        <v>676</v>
      </c>
      <c r="G91" s="31"/>
      <c r="H91" s="15"/>
      <c r="I91" s="31"/>
      <c r="J91" s="15"/>
      <c r="K91" s="15">
        <f t="shared" si="9"/>
        <v>30723</v>
      </c>
      <c r="L91" s="31"/>
      <c r="M91" s="31"/>
      <c r="N91" s="10">
        <v>2727</v>
      </c>
      <c r="O91" s="31"/>
      <c r="P91" s="10">
        <v>7182</v>
      </c>
      <c r="Q91" s="10">
        <v>9561</v>
      </c>
      <c r="R91" s="10">
        <v>11253</v>
      </c>
      <c r="S91" s="29">
        <v>35739</v>
      </c>
      <c r="T91" s="15">
        <f t="shared" si="10"/>
        <v>676</v>
      </c>
      <c r="U91" s="15"/>
      <c r="V91" s="29">
        <v>676</v>
      </c>
      <c r="W91" s="30"/>
      <c r="X91" s="30"/>
      <c r="Y91" s="30"/>
      <c r="Z91" s="15"/>
      <c r="AA91" s="15">
        <f t="shared" si="11"/>
        <v>35063</v>
      </c>
      <c r="AB91" s="30"/>
      <c r="AC91" s="30"/>
      <c r="AD91" s="15">
        <v>3484</v>
      </c>
      <c r="AE91" s="30"/>
      <c r="AF91" s="32">
        <v>8952</v>
      </c>
      <c r="AG91" s="32">
        <v>10856</v>
      </c>
      <c r="AH91" s="32">
        <v>11771</v>
      </c>
      <c r="AI91" s="32">
        <v>925</v>
      </c>
    </row>
    <row r="92" spans="1:35">
      <c r="A92" s="6" t="s">
        <v>48</v>
      </c>
      <c r="B92" s="6">
        <v>2017</v>
      </c>
      <c r="C92" s="32">
        <v>84637</v>
      </c>
      <c r="D92" s="15">
        <f t="shared" si="8"/>
        <v>854</v>
      </c>
      <c r="E92" s="15"/>
      <c r="F92" s="32">
        <v>854</v>
      </c>
      <c r="G92" s="31"/>
      <c r="H92" s="15"/>
      <c r="I92" s="31"/>
      <c r="J92" s="15"/>
      <c r="K92" s="15">
        <f t="shared" si="9"/>
        <v>83783</v>
      </c>
      <c r="L92" s="31"/>
      <c r="M92" s="31"/>
      <c r="N92" s="10">
        <v>10184</v>
      </c>
      <c r="O92" s="31"/>
      <c r="P92" s="10">
        <v>17125</v>
      </c>
      <c r="Q92" s="10">
        <v>26992</v>
      </c>
      <c r="R92" s="10">
        <v>29482</v>
      </c>
      <c r="S92" s="29">
        <v>95188</v>
      </c>
      <c r="T92" s="15">
        <f t="shared" si="10"/>
        <v>1094</v>
      </c>
      <c r="U92" s="15"/>
      <c r="V92" s="29">
        <v>854</v>
      </c>
      <c r="W92" s="30"/>
      <c r="X92" s="10">
        <v>240</v>
      </c>
      <c r="Y92" s="30"/>
      <c r="Z92" s="15"/>
      <c r="AA92" s="15">
        <f t="shared" si="11"/>
        <v>94094</v>
      </c>
      <c r="AB92" s="30"/>
      <c r="AC92" s="30"/>
      <c r="AD92" s="15">
        <v>14180</v>
      </c>
      <c r="AE92" s="30"/>
      <c r="AF92" s="10">
        <v>21168</v>
      </c>
      <c r="AG92" s="10">
        <v>29030</v>
      </c>
      <c r="AH92" s="10">
        <v>29716</v>
      </c>
      <c r="AI92" s="10">
        <v>1740</v>
      </c>
    </row>
    <row r="93" spans="1:35">
      <c r="A93" s="6" t="s">
        <v>49</v>
      </c>
      <c r="B93" s="6">
        <v>2017</v>
      </c>
      <c r="C93" s="29">
        <v>50161</v>
      </c>
      <c r="D93" s="15">
        <f t="shared" si="8"/>
        <v>0</v>
      </c>
      <c r="E93" s="15"/>
      <c r="F93" s="30"/>
      <c r="G93" s="31"/>
      <c r="H93" s="15"/>
      <c r="I93" s="31"/>
      <c r="J93" s="15"/>
      <c r="K93" s="15">
        <f t="shared" si="9"/>
        <v>50162</v>
      </c>
      <c r="L93" s="31"/>
      <c r="M93" s="31"/>
      <c r="N93" s="10">
        <v>3498</v>
      </c>
      <c r="O93" s="31"/>
      <c r="P93" s="10">
        <v>11974</v>
      </c>
      <c r="Q93" s="10">
        <v>16937</v>
      </c>
      <c r="R93" s="10">
        <v>17753</v>
      </c>
      <c r="S93" s="29">
        <v>50316</v>
      </c>
      <c r="T93" s="15">
        <f t="shared" si="10"/>
        <v>0</v>
      </c>
      <c r="U93" s="15"/>
      <c r="V93" s="30"/>
      <c r="W93" s="30"/>
      <c r="X93" s="30"/>
      <c r="Y93" s="30"/>
      <c r="Z93" s="15"/>
      <c r="AA93" s="15">
        <f t="shared" si="11"/>
        <v>50316</v>
      </c>
      <c r="AB93" s="30"/>
      <c r="AC93" s="30"/>
      <c r="AD93" s="15">
        <v>3498</v>
      </c>
      <c r="AE93" s="30"/>
      <c r="AF93" s="10">
        <v>11973</v>
      </c>
      <c r="AG93" s="10">
        <v>17013</v>
      </c>
      <c r="AH93" s="10">
        <v>17832</v>
      </c>
      <c r="AI93" s="10">
        <v>84</v>
      </c>
    </row>
    <row r="94" spans="1:35">
      <c r="A94" s="6" t="s">
        <v>50</v>
      </c>
      <c r="B94" s="6">
        <v>2017</v>
      </c>
      <c r="C94" s="10">
        <v>85227</v>
      </c>
      <c r="D94" s="15">
        <f t="shared" si="8"/>
        <v>0</v>
      </c>
      <c r="E94" s="15"/>
      <c r="F94" s="30"/>
      <c r="G94" s="31"/>
      <c r="H94" s="15"/>
      <c r="I94" s="31"/>
      <c r="J94" s="15"/>
      <c r="K94" s="15">
        <f t="shared" si="9"/>
        <v>85227</v>
      </c>
      <c r="L94" s="31"/>
      <c r="M94" s="31"/>
      <c r="N94" s="10">
        <v>12484</v>
      </c>
      <c r="O94" s="31"/>
      <c r="P94" s="10">
        <v>15258</v>
      </c>
      <c r="Q94" s="10">
        <v>24031</v>
      </c>
      <c r="R94" s="10">
        <v>33454</v>
      </c>
      <c r="S94" s="32">
        <v>85915</v>
      </c>
      <c r="T94" s="15">
        <f t="shared" si="10"/>
        <v>562</v>
      </c>
      <c r="U94" s="15"/>
      <c r="V94" s="30"/>
      <c r="W94" s="30"/>
      <c r="X94" s="10">
        <v>562</v>
      </c>
      <c r="Y94" s="30"/>
      <c r="Z94" s="15"/>
      <c r="AA94" s="15">
        <f t="shared" si="11"/>
        <v>85353</v>
      </c>
      <c r="AB94" s="30"/>
      <c r="AC94" s="30"/>
      <c r="AD94" s="15">
        <v>12024</v>
      </c>
      <c r="AE94" s="30"/>
      <c r="AF94" s="10">
        <v>15366</v>
      </c>
      <c r="AG94" s="10">
        <v>24469</v>
      </c>
      <c r="AH94" s="10">
        <v>33494</v>
      </c>
      <c r="AI94" s="10">
        <v>414</v>
      </c>
    </row>
    <row r="95" spans="1:35">
      <c r="A95" s="6" t="s">
        <v>51</v>
      </c>
      <c r="B95" s="6">
        <v>2017</v>
      </c>
      <c r="C95" s="32">
        <v>19429</v>
      </c>
      <c r="D95" s="15">
        <f t="shared" si="8"/>
        <v>423</v>
      </c>
      <c r="E95" s="15"/>
      <c r="F95" s="30"/>
      <c r="G95" s="31"/>
      <c r="H95" s="15"/>
      <c r="I95" s="10">
        <v>423</v>
      </c>
      <c r="J95" s="15"/>
      <c r="K95" s="15">
        <f t="shared" si="9"/>
        <v>19007</v>
      </c>
      <c r="L95" s="31"/>
      <c r="M95" s="31"/>
      <c r="N95" s="31"/>
      <c r="O95" s="31"/>
      <c r="P95" s="10">
        <v>3112</v>
      </c>
      <c r="Q95" s="10">
        <v>9126</v>
      </c>
      <c r="R95" s="10">
        <v>6769</v>
      </c>
      <c r="S95" s="29">
        <v>19708</v>
      </c>
      <c r="T95" s="15">
        <f t="shared" si="10"/>
        <v>423</v>
      </c>
      <c r="U95" s="15"/>
      <c r="V95" s="30"/>
      <c r="W95" s="30"/>
      <c r="X95" s="30"/>
      <c r="Y95" s="32">
        <v>423</v>
      </c>
      <c r="Z95" s="15"/>
      <c r="AA95" s="15">
        <f t="shared" si="11"/>
        <v>19286</v>
      </c>
      <c r="AB95" s="30"/>
      <c r="AC95" s="30"/>
      <c r="AD95" s="15">
        <v>0</v>
      </c>
      <c r="AE95" s="30"/>
      <c r="AF95" s="32">
        <v>3391</v>
      </c>
      <c r="AG95" s="32">
        <v>9126</v>
      </c>
      <c r="AH95" s="32">
        <v>6769</v>
      </c>
      <c r="AI95" s="32">
        <v>7</v>
      </c>
    </row>
    <row r="96" spans="1:35">
      <c r="A96" s="6" t="s">
        <v>52</v>
      </c>
      <c r="B96" s="6">
        <v>2017</v>
      </c>
      <c r="C96" s="32">
        <v>38998</v>
      </c>
      <c r="D96" s="15">
        <f t="shared" si="8"/>
        <v>1276</v>
      </c>
      <c r="E96" s="15"/>
      <c r="F96" s="32">
        <v>968</v>
      </c>
      <c r="G96" s="32">
        <v>308</v>
      </c>
      <c r="H96" s="15"/>
      <c r="I96" s="31"/>
      <c r="J96" s="15"/>
      <c r="K96" s="15">
        <f t="shared" si="9"/>
        <v>37722</v>
      </c>
      <c r="L96" s="32">
        <v>299</v>
      </c>
      <c r="M96" s="32">
        <v>1566</v>
      </c>
      <c r="N96" s="32">
        <v>565</v>
      </c>
      <c r="O96" s="32">
        <v>8940</v>
      </c>
      <c r="P96" s="31"/>
      <c r="Q96" s="32">
        <v>16514</v>
      </c>
      <c r="R96" s="32">
        <v>9838</v>
      </c>
      <c r="S96" s="32">
        <v>57486</v>
      </c>
      <c r="T96" s="15">
        <f t="shared" si="10"/>
        <v>1570</v>
      </c>
      <c r="U96" s="15"/>
      <c r="V96" s="32">
        <v>968</v>
      </c>
      <c r="W96" s="32">
        <v>308</v>
      </c>
      <c r="X96" s="29">
        <v>294</v>
      </c>
      <c r="Y96" s="30"/>
      <c r="Z96" s="15"/>
      <c r="AA96" s="15">
        <f t="shared" si="11"/>
        <v>55916</v>
      </c>
      <c r="AB96" s="32">
        <v>299</v>
      </c>
      <c r="AC96" s="32">
        <v>2475</v>
      </c>
      <c r="AD96" s="15">
        <v>271</v>
      </c>
      <c r="AE96" s="29">
        <v>10395</v>
      </c>
      <c r="AF96" s="29">
        <v>327</v>
      </c>
      <c r="AG96" s="29">
        <v>24506</v>
      </c>
      <c r="AH96" s="29">
        <v>17643</v>
      </c>
      <c r="AI96" s="29">
        <v>1353</v>
      </c>
    </row>
    <row r="97" spans="1:35">
      <c r="A97" s="6" t="s">
        <v>53</v>
      </c>
      <c r="B97" s="6">
        <v>2017</v>
      </c>
      <c r="C97" s="32">
        <v>61321</v>
      </c>
      <c r="D97" s="15">
        <f t="shared" si="8"/>
        <v>2599</v>
      </c>
      <c r="E97" s="15"/>
      <c r="F97" s="32">
        <v>2599</v>
      </c>
      <c r="G97" s="31"/>
      <c r="H97" s="15"/>
      <c r="I97" s="31"/>
      <c r="J97" s="15"/>
      <c r="K97" s="15">
        <f t="shared" si="9"/>
        <v>58722</v>
      </c>
      <c r="L97" s="31"/>
      <c r="M97" s="32">
        <v>3501</v>
      </c>
      <c r="N97" s="31"/>
      <c r="O97" s="29">
        <v>10531</v>
      </c>
      <c r="P97" s="29">
        <v>824</v>
      </c>
      <c r="Q97" s="29">
        <v>22637</v>
      </c>
      <c r="R97" s="29">
        <v>21229</v>
      </c>
      <c r="S97" s="29">
        <v>64363</v>
      </c>
      <c r="T97" s="15">
        <f t="shared" si="10"/>
        <v>2599</v>
      </c>
      <c r="U97" s="15"/>
      <c r="V97" s="29">
        <v>2599</v>
      </c>
      <c r="W97" s="30"/>
      <c r="X97" s="30"/>
      <c r="Y97" s="30"/>
      <c r="Z97" s="15"/>
      <c r="AA97" s="15">
        <f t="shared" si="11"/>
        <v>61764</v>
      </c>
      <c r="AB97" s="30"/>
      <c r="AC97" s="29">
        <v>5557</v>
      </c>
      <c r="AD97" s="15">
        <v>0</v>
      </c>
      <c r="AE97" s="10">
        <v>11040</v>
      </c>
      <c r="AF97" s="10">
        <v>835</v>
      </c>
      <c r="AG97" s="10">
        <v>23066</v>
      </c>
      <c r="AH97" s="10">
        <v>21266</v>
      </c>
      <c r="AI97" s="10">
        <v>169</v>
      </c>
    </row>
    <row r="98" spans="1:35">
      <c r="A98" s="6" t="s">
        <v>54</v>
      </c>
      <c r="B98" s="6">
        <v>2017</v>
      </c>
      <c r="C98" s="29">
        <v>29159</v>
      </c>
      <c r="D98" s="15">
        <f t="shared" si="8"/>
        <v>609</v>
      </c>
      <c r="E98" s="15"/>
      <c r="F98" s="30"/>
      <c r="G98" s="31"/>
      <c r="H98" s="15"/>
      <c r="I98" s="29">
        <v>609</v>
      </c>
      <c r="J98" s="15"/>
      <c r="K98" s="15">
        <f t="shared" si="9"/>
        <v>28549</v>
      </c>
      <c r="L98" s="31"/>
      <c r="M98" s="29">
        <v>2832</v>
      </c>
      <c r="N98" s="31"/>
      <c r="O98" s="29">
        <v>6296</v>
      </c>
      <c r="P98" s="31"/>
      <c r="Q98" s="29">
        <v>11773</v>
      </c>
      <c r="R98" s="29">
        <v>7648</v>
      </c>
      <c r="S98" s="29">
        <v>30760</v>
      </c>
      <c r="T98" s="15">
        <f t="shared" si="10"/>
        <v>1217</v>
      </c>
      <c r="U98" s="15"/>
      <c r="V98" s="30"/>
      <c r="W98" s="30"/>
      <c r="X98" s="30"/>
      <c r="Y98" s="10">
        <v>1217</v>
      </c>
      <c r="Z98" s="15"/>
      <c r="AA98" s="15">
        <f t="shared" si="11"/>
        <v>29543</v>
      </c>
      <c r="AB98" s="30"/>
      <c r="AC98" s="29">
        <v>3009</v>
      </c>
      <c r="AD98" s="15">
        <v>0</v>
      </c>
      <c r="AE98" s="10">
        <v>6411</v>
      </c>
      <c r="AF98" s="30"/>
      <c r="AG98" s="10">
        <v>12387</v>
      </c>
      <c r="AH98" s="10">
        <v>7736</v>
      </c>
      <c r="AI98" s="10">
        <v>118</v>
      </c>
    </row>
    <row r="99" spans="1:35">
      <c r="A99" s="6" t="s">
        <v>55</v>
      </c>
      <c r="B99" s="6">
        <v>2017</v>
      </c>
      <c r="C99" s="10">
        <v>13216</v>
      </c>
      <c r="D99" s="15">
        <f t="shared" si="8"/>
        <v>300</v>
      </c>
      <c r="E99" s="15"/>
      <c r="F99" s="10">
        <v>194</v>
      </c>
      <c r="G99" s="32">
        <v>106</v>
      </c>
      <c r="H99" s="15"/>
      <c r="I99" s="31"/>
      <c r="J99" s="15"/>
      <c r="K99" s="15">
        <f t="shared" si="9"/>
        <v>12916</v>
      </c>
      <c r="L99" s="31"/>
      <c r="M99" s="32">
        <v>1006</v>
      </c>
      <c r="N99" s="31"/>
      <c r="O99" s="10">
        <v>1008</v>
      </c>
      <c r="P99" s="10">
        <v>1424</v>
      </c>
      <c r="Q99" s="10">
        <v>5697</v>
      </c>
      <c r="R99" s="10">
        <v>3781</v>
      </c>
      <c r="S99" s="10">
        <v>17618</v>
      </c>
      <c r="T99" s="15">
        <f t="shared" si="10"/>
        <v>300</v>
      </c>
      <c r="U99" s="15"/>
      <c r="V99" s="10">
        <v>194</v>
      </c>
      <c r="W99" s="10">
        <v>106</v>
      </c>
      <c r="X99" s="30"/>
      <c r="Y99" s="30"/>
      <c r="Z99" s="15"/>
      <c r="AA99" s="15">
        <f t="shared" si="11"/>
        <v>17317</v>
      </c>
      <c r="AB99" s="30"/>
      <c r="AC99" s="10">
        <v>1916</v>
      </c>
      <c r="AD99" s="15">
        <v>0</v>
      </c>
      <c r="AE99" s="10">
        <v>2196</v>
      </c>
      <c r="AF99" s="10">
        <v>2311</v>
      </c>
      <c r="AG99" s="10">
        <v>6936</v>
      </c>
      <c r="AH99" s="10">
        <v>3958</v>
      </c>
      <c r="AI99" s="10">
        <v>127</v>
      </c>
    </row>
    <row r="100" spans="1:35">
      <c r="A100" s="6" t="s">
        <v>56</v>
      </c>
      <c r="B100" s="6">
        <v>2017</v>
      </c>
      <c r="C100" s="10">
        <v>75539</v>
      </c>
      <c r="D100" s="15">
        <f t="shared" si="8"/>
        <v>166</v>
      </c>
      <c r="E100" s="15"/>
      <c r="F100" s="10">
        <v>166</v>
      </c>
      <c r="G100" s="31"/>
      <c r="H100" s="15"/>
      <c r="I100" s="31"/>
      <c r="J100" s="15"/>
      <c r="K100" s="15">
        <f t="shared" si="9"/>
        <v>75373</v>
      </c>
      <c r="L100" s="31"/>
      <c r="M100" s="10">
        <v>5677</v>
      </c>
      <c r="N100" s="29">
        <v>196</v>
      </c>
      <c r="O100" s="31"/>
      <c r="P100" s="29">
        <v>20150</v>
      </c>
      <c r="Q100" s="29">
        <v>25020</v>
      </c>
      <c r="R100" s="29">
        <v>24330</v>
      </c>
      <c r="S100" s="10">
        <v>78265</v>
      </c>
      <c r="T100" s="15">
        <f t="shared" si="10"/>
        <v>166</v>
      </c>
      <c r="U100" s="15"/>
      <c r="V100" s="10">
        <v>166</v>
      </c>
      <c r="W100" s="30"/>
      <c r="X100" s="30"/>
      <c r="Y100" s="30"/>
      <c r="Z100" s="15"/>
      <c r="AA100" s="15">
        <f t="shared" si="11"/>
        <v>78099</v>
      </c>
      <c r="AB100" s="30"/>
      <c r="AC100" s="10">
        <v>5872</v>
      </c>
      <c r="AD100" s="15">
        <v>196</v>
      </c>
      <c r="AE100" s="30"/>
      <c r="AF100" s="10">
        <v>21188</v>
      </c>
      <c r="AG100" s="10">
        <v>26197</v>
      </c>
      <c r="AH100" s="10">
        <v>24646</v>
      </c>
      <c r="AI100" s="10">
        <v>265</v>
      </c>
    </row>
    <row r="101" spans="1:35">
      <c r="A101" s="6" t="s">
        <v>57</v>
      </c>
      <c r="B101" s="6">
        <v>2017</v>
      </c>
      <c r="C101" s="10">
        <v>19722</v>
      </c>
      <c r="D101" s="15">
        <f t="shared" si="8"/>
        <v>4744</v>
      </c>
      <c r="E101" s="15"/>
      <c r="F101" s="10">
        <v>4744</v>
      </c>
      <c r="G101" s="31"/>
      <c r="H101" s="15"/>
      <c r="I101" s="31"/>
      <c r="J101" s="15"/>
      <c r="K101" s="15">
        <f t="shared" si="9"/>
        <v>14978</v>
      </c>
      <c r="L101" s="31"/>
      <c r="M101" s="31"/>
      <c r="N101" s="10">
        <v>14787</v>
      </c>
      <c r="O101" s="31"/>
      <c r="P101" s="10">
        <v>191</v>
      </c>
      <c r="Q101" s="30"/>
      <c r="R101" s="31"/>
      <c r="S101" s="10">
        <v>21870</v>
      </c>
      <c r="T101" s="15">
        <f t="shared" si="10"/>
        <v>11342</v>
      </c>
      <c r="U101" s="15"/>
      <c r="V101" s="10">
        <v>4744</v>
      </c>
      <c r="W101" s="30"/>
      <c r="X101" s="10">
        <v>6598</v>
      </c>
      <c r="Y101" s="30"/>
      <c r="Z101" s="15"/>
      <c r="AA101" s="15">
        <f t="shared" si="11"/>
        <v>10528</v>
      </c>
      <c r="AB101" s="30"/>
      <c r="AC101" s="30"/>
      <c r="AD101" s="15">
        <v>10328</v>
      </c>
      <c r="AE101" s="30"/>
      <c r="AF101" s="10">
        <v>200</v>
      </c>
      <c r="AG101" s="30"/>
      <c r="AH101" s="31"/>
      <c r="AI101" s="10">
        <v>31</v>
      </c>
    </row>
    <row r="102" spans="1:35">
      <c r="A102" s="6" t="s">
        <v>25</v>
      </c>
      <c r="B102" s="6">
        <v>2018</v>
      </c>
      <c r="C102" s="10">
        <v>1677427</v>
      </c>
      <c r="D102" s="10">
        <v>38179</v>
      </c>
      <c r="E102" s="10">
        <v>608</v>
      </c>
      <c r="F102" s="10">
        <v>21723</v>
      </c>
      <c r="G102" s="10">
        <v>1759</v>
      </c>
      <c r="H102" s="10">
        <v>12549</v>
      </c>
      <c r="I102" s="10">
        <v>1031</v>
      </c>
      <c r="J102" s="10">
        <v>509</v>
      </c>
      <c r="K102" s="10">
        <v>1639247</v>
      </c>
      <c r="L102" s="10">
        <v>8741</v>
      </c>
      <c r="M102" s="10">
        <v>16093</v>
      </c>
      <c r="N102" s="10">
        <v>156610</v>
      </c>
      <c r="O102" s="10">
        <v>27168</v>
      </c>
      <c r="P102" s="10">
        <v>357619</v>
      </c>
      <c r="Q102" s="10">
        <v>575426</v>
      </c>
      <c r="R102" s="10">
        <v>497592</v>
      </c>
      <c r="S102" s="10">
        <v>1892018</v>
      </c>
      <c r="T102" s="10">
        <v>41995</v>
      </c>
      <c r="U102" s="10">
        <v>608</v>
      </c>
      <c r="V102" s="10">
        <v>21723</v>
      </c>
      <c r="W102" s="10">
        <v>2091</v>
      </c>
      <c r="X102" s="10">
        <v>15428</v>
      </c>
      <c r="Y102" s="10">
        <v>1640</v>
      </c>
      <c r="Z102" s="10">
        <v>506</v>
      </c>
      <c r="AA102" s="10">
        <v>1850022</v>
      </c>
      <c r="AB102" s="10">
        <v>10396</v>
      </c>
      <c r="AC102" s="10">
        <v>20543</v>
      </c>
      <c r="AD102" s="10">
        <v>187158</v>
      </c>
      <c r="AE102" s="10">
        <v>30477</v>
      </c>
      <c r="AF102" s="10">
        <v>434493</v>
      </c>
      <c r="AG102" s="10">
        <v>652891</v>
      </c>
      <c r="AH102" s="10">
        <v>514066</v>
      </c>
      <c r="AI102" s="10">
        <v>62760</v>
      </c>
    </row>
    <row r="103" spans="1:35">
      <c r="A103" s="6" t="s">
        <v>26</v>
      </c>
      <c r="B103" s="6">
        <v>2018</v>
      </c>
      <c r="C103" s="10">
        <v>9311</v>
      </c>
      <c r="D103" s="30"/>
      <c r="E103" s="33"/>
      <c r="F103" s="33"/>
      <c r="G103" s="33"/>
      <c r="H103" s="33"/>
      <c r="I103" s="33"/>
      <c r="J103" s="33"/>
      <c r="K103" s="10">
        <v>9311</v>
      </c>
      <c r="L103" s="33"/>
      <c r="M103" s="33"/>
      <c r="N103" s="10">
        <v>1861</v>
      </c>
      <c r="O103" s="33"/>
      <c r="P103" s="10">
        <v>2979</v>
      </c>
      <c r="Q103" s="10">
        <v>2940</v>
      </c>
      <c r="R103" s="10">
        <v>1531</v>
      </c>
      <c r="S103" s="29">
        <v>10898</v>
      </c>
      <c r="T103" s="30"/>
      <c r="U103" s="33"/>
      <c r="V103" s="33"/>
      <c r="W103" s="33"/>
      <c r="X103" s="33"/>
      <c r="Y103" s="33"/>
      <c r="Z103" s="33"/>
      <c r="AA103" s="10">
        <v>10898</v>
      </c>
      <c r="AB103" s="33"/>
      <c r="AC103" s="33"/>
      <c r="AD103" s="10">
        <v>1910</v>
      </c>
      <c r="AE103" s="33"/>
      <c r="AF103" s="10">
        <v>3223</v>
      </c>
      <c r="AG103" s="10">
        <v>3948</v>
      </c>
      <c r="AH103" s="10">
        <v>1817</v>
      </c>
      <c r="AI103" s="10">
        <v>2246</v>
      </c>
    </row>
    <row r="104" spans="1:35">
      <c r="A104" s="6" t="s">
        <v>27</v>
      </c>
      <c r="B104" s="6">
        <v>2018</v>
      </c>
      <c r="C104" s="10">
        <v>11998</v>
      </c>
      <c r="D104" s="10">
        <v>392</v>
      </c>
      <c r="E104" s="33"/>
      <c r="F104" s="10">
        <v>392</v>
      </c>
      <c r="G104" s="33"/>
      <c r="H104" s="33"/>
      <c r="I104" s="33"/>
      <c r="J104" s="33"/>
      <c r="K104" s="32">
        <v>11606</v>
      </c>
      <c r="L104" s="10">
        <v>579</v>
      </c>
      <c r="M104" s="33"/>
      <c r="N104" s="32">
        <v>1110</v>
      </c>
      <c r="O104" s="33"/>
      <c r="P104" s="10">
        <v>3067</v>
      </c>
      <c r="Q104" s="10">
        <v>3433</v>
      </c>
      <c r="R104" s="10">
        <v>3418</v>
      </c>
      <c r="S104" s="29">
        <v>11998</v>
      </c>
      <c r="T104" s="29">
        <v>392</v>
      </c>
      <c r="U104" s="33"/>
      <c r="V104" s="29">
        <v>392</v>
      </c>
      <c r="W104" s="33"/>
      <c r="X104" s="33"/>
      <c r="Y104" s="33"/>
      <c r="Z104" s="33"/>
      <c r="AA104" s="10">
        <v>11606</v>
      </c>
      <c r="AB104" s="10">
        <v>579</v>
      </c>
      <c r="AC104" s="33"/>
      <c r="AD104" s="10">
        <v>1110</v>
      </c>
      <c r="AE104" s="33"/>
      <c r="AF104" s="10">
        <v>3067</v>
      </c>
      <c r="AG104" s="10">
        <v>3433</v>
      </c>
      <c r="AH104" s="10">
        <v>3418</v>
      </c>
      <c r="AI104" s="10">
        <v>6312</v>
      </c>
    </row>
    <row r="105" spans="1:35">
      <c r="A105" s="6" t="s">
        <v>28</v>
      </c>
      <c r="B105" s="6">
        <v>2018</v>
      </c>
      <c r="C105" s="10">
        <v>93983</v>
      </c>
      <c r="D105" s="10">
        <v>1244</v>
      </c>
      <c r="E105" s="33"/>
      <c r="F105" s="10">
        <v>1044</v>
      </c>
      <c r="G105" s="10">
        <v>200</v>
      </c>
      <c r="H105" s="33"/>
      <c r="I105" s="33"/>
      <c r="J105" s="33"/>
      <c r="K105" s="10">
        <v>92739</v>
      </c>
      <c r="L105" s="10">
        <v>1588</v>
      </c>
      <c r="M105" s="33"/>
      <c r="N105" s="10">
        <v>12099</v>
      </c>
      <c r="O105" s="33"/>
      <c r="P105" s="10">
        <v>19032</v>
      </c>
      <c r="Q105" s="10">
        <v>29658</v>
      </c>
      <c r="R105" s="10">
        <v>30363</v>
      </c>
      <c r="S105" s="10">
        <v>103845</v>
      </c>
      <c r="T105" s="10">
        <v>1244</v>
      </c>
      <c r="U105" s="33"/>
      <c r="V105" s="10">
        <v>1044</v>
      </c>
      <c r="W105" s="10">
        <v>200</v>
      </c>
      <c r="X105" s="33"/>
      <c r="Y105" s="33"/>
      <c r="Z105" s="33"/>
      <c r="AA105" s="10">
        <v>102601</v>
      </c>
      <c r="AB105" s="10">
        <v>1839</v>
      </c>
      <c r="AC105" s="33"/>
      <c r="AD105" s="10">
        <v>12100</v>
      </c>
      <c r="AE105" s="33"/>
      <c r="AF105" s="10">
        <v>23258</v>
      </c>
      <c r="AG105" s="10">
        <v>33748</v>
      </c>
      <c r="AH105" s="10">
        <v>31656</v>
      </c>
      <c r="AI105" s="10">
        <v>1899</v>
      </c>
    </row>
    <row r="106" spans="1:35">
      <c r="A106" s="6" t="s">
        <v>29</v>
      </c>
      <c r="B106" s="6">
        <v>2018</v>
      </c>
      <c r="C106" s="10">
        <v>63582</v>
      </c>
      <c r="D106" s="10">
        <v>1035</v>
      </c>
      <c r="E106" s="33"/>
      <c r="F106" s="33"/>
      <c r="G106" s="10">
        <v>730</v>
      </c>
      <c r="H106" s="10">
        <v>305</v>
      </c>
      <c r="I106" s="33"/>
      <c r="J106" s="33"/>
      <c r="K106" s="10">
        <v>62547</v>
      </c>
      <c r="L106" s="10">
        <v>1018</v>
      </c>
      <c r="M106" s="33"/>
      <c r="N106" s="10">
        <v>7877</v>
      </c>
      <c r="O106" s="33"/>
      <c r="P106" s="10">
        <v>11772</v>
      </c>
      <c r="Q106" s="10">
        <v>20886</v>
      </c>
      <c r="R106" s="10">
        <v>20994</v>
      </c>
      <c r="S106" s="10">
        <v>76998</v>
      </c>
      <c r="T106" s="10">
        <v>1367</v>
      </c>
      <c r="U106" s="33"/>
      <c r="V106" s="33"/>
      <c r="W106" s="10">
        <v>1062</v>
      </c>
      <c r="X106" s="10">
        <v>305</v>
      </c>
      <c r="Y106" s="33"/>
      <c r="Z106" s="33"/>
      <c r="AA106" s="10">
        <v>75631</v>
      </c>
      <c r="AB106" s="10">
        <v>1284</v>
      </c>
      <c r="AC106" s="33"/>
      <c r="AD106" s="10">
        <v>9086</v>
      </c>
      <c r="AE106" s="33"/>
      <c r="AF106" s="10">
        <v>17055</v>
      </c>
      <c r="AG106" s="10">
        <v>22859</v>
      </c>
      <c r="AH106" s="10">
        <v>25346</v>
      </c>
      <c r="AI106" s="10">
        <v>762</v>
      </c>
    </row>
    <row r="107" spans="1:35">
      <c r="A107" s="6" t="s">
        <v>30</v>
      </c>
      <c r="B107" s="6">
        <v>2018</v>
      </c>
      <c r="C107" s="10">
        <v>111806</v>
      </c>
      <c r="D107" s="10">
        <v>1647</v>
      </c>
      <c r="E107" s="33"/>
      <c r="F107" s="10">
        <v>887</v>
      </c>
      <c r="G107" s="33"/>
      <c r="H107" s="10">
        <v>715</v>
      </c>
      <c r="I107" s="33"/>
      <c r="J107" s="10">
        <v>44</v>
      </c>
      <c r="K107" s="34">
        <v>110159</v>
      </c>
      <c r="L107" s="10">
        <v>468</v>
      </c>
      <c r="M107" s="33"/>
      <c r="N107" s="10">
        <v>11867</v>
      </c>
      <c r="O107" s="33"/>
      <c r="P107" s="10">
        <v>34244</v>
      </c>
      <c r="Q107" s="10">
        <v>41355</v>
      </c>
      <c r="R107" s="10">
        <v>22225</v>
      </c>
      <c r="S107" s="29">
        <v>114898</v>
      </c>
      <c r="T107" s="29">
        <v>1647</v>
      </c>
      <c r="U107" s="33"/>
      <c r="V107" s="29">
        <v>887</v>
      </c>
      <c r="W107" s="33"/>
      <c r="X107" s="29">
        <v>715</v>
      </c>
      <c r="Y107" s="33"/>
      <c r="Z107" s="10">
        <v>44.497</v>
      </c>
      <c r="AA107" s="10">
        <v>113251</v>
      </c>
      <c r="AB107" s="10">
        <v>468</v>
      </c>
      <c r="AC107" s="33"/>
      <c r="AD107" s="10">
        <v>12552</v>
      </c>
      <c r="AE107" s="33"/>
      <c r="AF107" s="10">
        <v>35709</v>
      </c>
      <c r="AG107" s="10">
        <v>42293</v>
      </c>
      <c r="AH107" s="10">
        <v>22228</v>
      </c>
      <c r="AI107" s="10">
        <v>286</v>
      </c>
    </row>
    <row r="108" spans="1:35">
      <c r="A108" s="6" t="s">
        <v>31</v>
      </c>
      <c r="B108" s="6">
        <v>2018</v>
      </c>
      <c r="C108" s="10">
        <v>46050</v>
      </c>
      <c r="D108" s="10">
        <v>193</v>
      </c>
      <c r="E108" s="33"/>
      <c r="F108" s="33"/>
      <c r="G108" s="33"/>
      <c r="H108" s="10">
        <v>193</v>
      </c>
      <c r="I108" s="33"/>
      <c r="J108" s="33"/>
      <c r="K108" s="10">
        <v>45857</v>
      </c>
      <c r="L108" s="33"/>
      <c r="M108" s="33"/>
      <c r="N108" s="10">
        <v>6711</v>
      </c>
      <c r="O108" s="33"/>
      <c r="P108" s="10">
        <v>14419</v>
      </c>
      <c r="Q108" s="10">
        <v>24696</v>
      </c>
      <c r="R108" s="10">
        <v>31</v>
      </c>
      <c r="S108" s="29">
        <v>63001</v>
      </c>
      <c r="T108" s="29">
        <v>193</v>
      </c>
      <c r="U108" s="33"/>
      <c r="V108" s="33"/>
      <c r="W108" s="33"/>
      <c r="X108" s="29">
        <v>193</v>
      </c>
      <c r="Y108" s="33"/>
      <c r="Z108" s="33"/>
      <c r="AA108" s="10">
        <v>62808</v>
      </c>
      <c r="AB108" s="33"/>
      <c r="AC108" s="33"/>
      <c r="AD108" s="10">
        <v>8855</v>
      </c>
      <c r="AE108" s="33"/>
      <c r="AF108" s="10">
        <v>19060</v>
      </c>
      <c r="AG108" s="10">
        <v>34859</v>
      </c>
      <c r="AH108" s="10">
        <v>34</v>
      </c>
      <c r="AI108" s="10">
        <v>1425</v>
      </c>
    </row>
    <row r="109" spans="1:35">
      <c r="A109" s="6" t="s">
        <v>32</v>
      </c>
      <c r="B109" s="6">
        <v>2018</v>
      </c>
      <c r="C109" s="32">
        <v>31249</v>
      </c>
      <c r="D109" s="30"/>
      <c r="E109" s="33"/>
      <c r="F109" s="33"/>
      <c r="G109" s="33"/>
      <c r="H109" s="33"/>
      <c r="I109" s="33"/>
      <c r="J109" s="28">
        <v>1</v>
      </c>
      <c r="K109" s="10">
        <v>31249</v>
      </c>
      <c r="L109" s="33"/>
      <c r="M109" s="33"/>
      <c r="N109" s="10">
        <v>2704</v>
      </c>
      <c r="O109" s="33"/>
      <c r="P109" s="10">
        <v>10353</v>
      </c>
      <c r="Q109" s="10">
        <v>18147</v>
      </c>
      <c r="R109" s="10">
        <v>44</v>
      </c>
      <c r="S109" s="32">
        <v>38615</v>
      </c>
      <c r="T109" s="30"/>
      <c r="U109" s="33"/>
      <c r="V109" s="33"/>
      <c r="W109" s="33"/>
      <c r="X109" s="33"/>
      <c r="Y109" s="33"/>
      <c r="Z109" s="33"/>
      <c r="AA109" s="10">
        <v>38615</v>
      </c>
      <c r="AB109" s="33"/>
      <c r="AC109" s="33"/>
      <c r="AD109" s="10">
        <v>3387</v>
      </c>
      <c r="AE109" s="33"/>
      <c r="AF109" s="10">
        <v>12668</v>
      </c>
      <c r="AG109" s="10">
        <v>22517</v>
      </c>
      <c r="AH109" s="10">
        <v>44</v>
      </c>
      <c r="AI109" s="10">
        <v>266</v>
      </c>
    </row>
    <row r="110" spans="1:35">
      <c r="A110" s="6" t="s">
        <v>33</v>
      </c>
      <c r="B110" s="6">
        <v>2018</v>
      </c>
      <c r="C110" s="32">
        <v>56006</v>
      </c>
      <c r="D110" s="30"/>
      <c r="E110" s="33"/>
      <c r="F110" s="33"/>
      <c r="G110" s="33"/>
      <c r="H110" s="33"/>
      <c r="I110" s="33"/>
      <c r="J110" s="33"/>
      <c r="K110" s="10">
        <v>56006</v>
      </c>
      <c r="L110" s="33"/>
      <c r="M110" s="33"/>
      <c r="N110" s="10">
        <v>5966</v>
      </c>
      <c r="O110" s="33"/>
      <c r="P110" s="10">
        <v>13111</v>
      </c>
      <c r="Q110" s="10">
        <v>23539</v>
      </c>
      <c r="R110" s="10">
        <v>13390</v>
      </c>
      <c r="S110" s="32">
        <v>60185</v>
      </c>
      <c r="T110" s="30"/>
      <c r="U110" s="33"/>
      <c r="V110" s="33"/>
      <c r="W110" s="33"/>
      <c r="X110" s="33"/>
      <c r="Y110" s="33"/>
      <c r="Z110" s="33"/>
      <c r="AA110" s="10">
        <v>60185</v>
      </c>
      <c r="AB110" s="33"/>
      <c r="AC110" s="33"/>
      <c r="AD110" s="10">
        <v>5966</v>
      </c>
      <c r="AE110" s="33"/>
      <c r="AF110" s="10">
        <v>15361</v>
      </c>
      <c r="AG110" s="10">
        <v>25349</v>
      </c>
      <c r="AH110" s="10">
        <v>13510</v>
      </c>
      <c r="AI110" s="10">
        <v>561</v>
      </c>
    </row>
    <row r="111" spans="1:35">
      <c r="A111" s="6" t="s">
        <v>34</v>
      </c>
      <c r="B111" s="6">
        <v>2018</v>
      </c>
      <c r="C111" s="10">
        <v>7219</v>
      </c>
      <c r="D111" s="10">
        <v>427</v>
      </c>
      <c r="E111" s="33"/>
      <c r="F111" s="10">
        <v>106</v>
      </c>
      <c r="G111" s="33"/>
      <c r="H111" s="10">
        <v>81</v>
      </c>
      <c r="I111" s="33"/>
      <c r="J111" s="10">
        <v>241</v>
      </c>
      <c r="K111" s="10">
        <v>6792</v>
      </c>
      <c r="L111" s="10">
        <v>74</v>
      </c>
      <c r="M111" s="33"/>
      <c r="N111" s="10">
        <v>675</v>
      </c>
      <c r="O111" s="33"/>
      <c r="P111" s="10">
        <v>2063</v>
      </c>
      <c r="Q111" s="10">
        <v>943</v>
      </c>
      <c r="R111" s="10">
        <v>3038</v>
      </c>
      <c r="S111" s="10">
        <v>10097</v>
      </c>
      <c r="T111" s="10">
        <v>461</v>
      </c>
      <c r="U111" s="33"/>
      <c r="V111" s="10">
        <v>106</v>
      </c>
      <c r="W111" s="33"/>
      <c r="X111" s="10">
        <v>81</v>
      </c>
      <c r="Y111" s="33"/>
      <c r="Z111" s="10">
        <v>274</v>
      </c>
      <c r="AA111" s="10">
        <v>9636</v>
      </c>
      <c r="AB111" s="10">
        <v>147</v>
      </c>
      <c r="AC111" s="33"/>
      <c r="AD111" s="10">
        <v>1151</v>
      </c>
      <c r="AE111" s="33"/>
      <c r="AF111" s="10">
        <v>3717</v>
      </c>
      <c r="AG111" s="10">
        <v>1028</v>
      </c>
      <c r="AH111" s="10">
        <v>3592</v>
      </c>
      <c r="AI111" s="10">
        <v>13627</v>
      </c>
    </row>
    <row r="112" spans="1:35">
      <c r="A112" s="6" t="s">
        <v>35</v>
      </c>
      <c r="B112" s="6">
        <v>2018</v>
      </c>
      <c r="C112" s="10">
        <v>75887</v>
      </c>
      <c r="D112" s="10">
        <v>727</v>
      </c>
      <c r="E112" s="33"/>
      <c r="F112" s="10">
        <v>418</v>
      </c>
      <c r="G112" s="33"/>
      <c r="H112" s="10">
        <v>148</v>
      </c>
      <c r="I112" s="33"/>
      <c r="J112" s="10">
        <v>160</v>
      </c>
      <c r="K112" s="10">
        <v>75160</v>
      </c>
      <c r="L112" s="10">
        <v>1015</v>
      </c>
      <c r="M112" s="33"/>
      <c r="N112" s="10">
        <v>9184</v>
      </c>
      <c r="O112" s="33"/>
      <c r="P112" s="10">
        <v>21889</v>
      </c>
      <c r="Q112" s="10">
        <v>26975</v>
      </c>
      <c r="R112" s="10">
        <v>16096</v>
      </c>
      <c r="S112" s="29">
        <v>95621</v>
      </c>
      <c r="T112" s="29">
        <v>727</v>
      </c>
      <c r="U112" s="33"/>
      <c r="V112" s="29">
        <v>418</v>
      </c>
      <c r="W112" s="33"/>
      <c r="X112" s="29">
        <v>148</v>
      </c>
      <c r="Y112" s="33"/>
      <c r="Z112" s="10">
        <v>160</v>
      </c>
      <c r="AA112" s="10">
        <v>94895</v>
      </c>
      <c r="AB112" s="10">
        <v>1015</v>
      </c>
      <c r="AC112" s="33"/>
      <c r="AD112" s="10">
        <v>12894</v>
      </c>
      <c r="AE112" s="33"/>
      <c r="AF112" s="10">
        <v>29508</v>
      </c>
      <c r="AG112" s="10">
        <v>33438</v>
      </c>
      <c r="AH112" s="10">
        <v>18039</v>
      </c>
      <c r="AI112" s="10">
        <v>6305</v>
      </c>
    </row>
    <row r="113" spans="1:35">
      <c r="A113" s="6" t="s">
        <v>36</v>
      </c>
      <c r="B113" s="6">
        <v>2018</v>
      </c>
      <c r="C113" s="10">
        <v>46823</v>
      </c>
      <c r="D113" s="10">
        <v>847</v>
      </c>
      <c r="E113" s="33"/>
      <c r="F113" s="10">
        <v>526</v>
      </c>
      <c r="G113" s="33"/>
      <c r="H113" s="10">
        <v>294</v>
      </c>
      <c r="I113" s="33"/>
      <c r="J113" s="10">
        <v>27</v>
      </c>
      <c r="K113" s="10">
        <v>45976</v>
      </c>
      <c r="L113" s="10">
        <v>834</v>
      </c>
      <c r="M113" s="33"/>
      <c r="N113" s="10">
        <v>5592</v>
      </c>
      <c r="O113" s="33"/>
      <c r="P113" s="10">
        <v>11999</v>
      </c>
      <c r="Q113" s="10">
        <v>15367</v>
      </c>
      <c r="R113" s="10">
        <v>12184</v>
      </c>
      <c r="S113" s="29">
        <v>65985</v>
      </c>
      <c r="T113" s="29">
        <v>1025</v>
      </c>
      <c r="U113" s="33"/>
      <c r="V113" s="29">
        <v>526</v>
      </c>
      <c r="W113" s="33"/>
      <c r="X113" s="29">
        <v>472</v>
      </c>
      <c r="Y113" s="33"/>
      <c r="Z113" s="10">
        <v>27</v>
      </c>
      <c r="AA113" s="10">
        <v>64960</v>
      </c>
      <c r="AB113" s="10">
        <v>1187</v>
      </c>
      <c r="AC113" s="33"/>
      <c r="AD113" s="10">
        <v>8412</v>
      </c>
      <c r="AE113" s="33"/>
      <c r="AF113" s="10">
        <v>18143</v>
      </c>
      <c r="AG113" s="10">
        <v>23342</v>
      </c>
      <c r="AH113" s="10">
        <v>13877</v>
      </c>
      <c r="AI113" s="10">
        <v>5683</v>
      </c>
    </row>
    <row r="114" spans="1:35">
      <c r="A114" s="6" t="s">
        <v>37</v>
      </c>
      <c r="B114" s="6">
        <v>2018</v>
      </c>
      <c r="C114" s="10">
        <v>67889</v>
      </c>
      <c r="D114" s="10">
        <v>5890</v>
      </c>
      <c r="E114" s="10">
        <v>608</v>
      </c>
      <c r="F114" s="10">
        <v>2921</v>
      </c>
      <c r="G114" s="33"/>
      <c r="H114" s="10">
        <v>2361</v>
      </c>
      <c r="I114" s="33"/>
      <c r="J114" s="33"/>
      <c r="K114" s="10">
        <v>61999</v>
      </c>
      <c r="L114" s="10">
        <v>1230</v>
      </c>
      <c r="M114" s="33"/>
      <c r="N114" s="10">
        <v>4995</v>
      </c>
      <c r="O114" s="33"/>
      <c r="P114" s="10">
        <v>12698</v>
      </c>
      <c r="Q114" s="10">
        <v>17973</v>
      </c>
      <c r="R114" s="10">
        <v>25102</v>
      </c>
      <c r="S114" s="10">
        <v>76366</v>
      </c>
      <c r="T114" s="10">
        <v>6695</v>
      </c>
      <c r="U114" s="10">
        <v>608</v>
      </c>
      <c r="V114" s="10">
        <v>2921</v>
      </c>
      <c r="W114" s="33"/>
      <c r="X114" s="10">
        <v>3166</v>
      </c>
      <c r="Y114" s="33"/>
      <c r="Z114" s="33"/>
      <c r="AA114" s="10">
        <v>69670</v>
      </c>
      <c r="AB114" s="10">
        <v>1230</v>
      </c>
      <c r="AC114" s="33"/>
      <c r="AD114" s="10">
        <v>5896</v>
      </c>
      <c r="AE114" s="33"/>
      <c r="AF114" s="10">
        <v>16315</v>
      </c>
      <c r="AG114" s="10">
        <v>20303</v>
      </c>
      <c r="AH114" s="10">
        <v>25927</v>
      </c>
      <c r="AI114" s="10">
        <v>1056</v>
      </c>
    </row>
    <row r="115" spans="1:35">
      <c r="A115" s="6" t="s">
        <v>38</v>
      </c>
      <c r="B115" s="6">
        <v>2018</v>
      </c>
      <c r="C115" s="10">
        <v>42967</v>
      </c>
      <c r="D115" s="30"/>
      <c r="E115" s="33"/>
      <c r="F115" s="33"/>
      <c r="G115" s="33"/>
      <c r="H115" s="33"/>
      <c r="I115" s="33"/>
      <c r="J115" s="33"/>
      <c r="K115" s="10">
        <v>42967</v>
      </c>
      <c r="L115" s="10">
        <v>342</v>
      </c>
      <c r="M115" s="33"/>
      <c r="N115" s="10">
        <v>4258</v>
      </c>
      <c r="O115" s="33"/>
      <c r="P115" s="10">
        <v>9400</v>
      </c>
      <c r="Q115" s="10">
        <v>15166</v>
      </c>
      <c r="R115" s="10">
        <v>13802</v>
      </c>
      <c r="S115" s="29">
        <v>49500</v>
      </c>
      <c r="T115" s="30"/>
      <c r="U115" s="33"/>
      <c r="V115" s="33"/>
      <c r="W115" s="33"/>
      <c r="X115" s="33"/>
      <c r="Y115" s="33"/>
      <c r="Z115" s="33"/>
      <c r="AA115" s="10">
        <v>49500</v>
      </c>
      <c r="AB115" s="10">
        <v>342</v>
      </c>
      <c r="AC115" s="33"/>
      <c r="AD115" s="10">
        <v>5348</v>
      </c>
      <c r="AE115" s="33"/>
      <c r="AF115" s="10">
        <v>12740</v>
      </c>
      <c r="AG115" s="10">
        <v>17111</v>
      </c>
      <c r="AH115" s="10">
        <v>13959</v>
      </c>
      <c r="AI115" s="10">
        <v>1268</v>
      </c>
    </row>
    <row r="116" spans="1:35">
      <c r="A116" s="6" t="s">
        <v>39</v>
      </c>
      <c r="B116" s="6">
        <v>2018</v>
      </c>
      <c r="C116" s="10">
        <v>48706</v>
      </c>
      <c r="D116" s="10">
        <v>450</v>
      </c>
      <c r="E116" s="33"/>
      <c r="F116" s="10">
        <v>450</v>
      </c>
      <c r="G116" s="33"/>
      <c r="H116" s="33"/>
      <c r="I116" s="33"/>
      <c r="J116" s="33"/>
      <c r="K116" s="10">
        <v>48256</v>
      </c>
      <c r="L116" s="33"/>
      <c r="M116" s="33"/>
      <c r="N116" s="10">
        <v>4027</v>
      </c>
      <c r="O116" s="33"/>
      <c r="P116" s="10">
        <v>11460</v>
      </c>
      <c r="Q116" s="10">
        <v>15235</v>
      </c>
      <c r="R116" s="10">
        <v>17534</v>
      </c>
      <c r="S116" s="29">
        <v>51994</v>
      </c>
      <c r="T116" s="29">
        <v>450</v>
      </c>
      <c r="U116" s="33"/>
      <c r="V116" s="29">
        <v>450</v>
      </c>
      <c r="W116" s="33"/>
      <c r="X116" s="33"/>
      <c r="Y116" s="33"/>
      <c r="Z116" s="33"/>
      <c r="AA116" s="10">
        <v>51544</v>
      </c>
      <c r="AB116" s="33"/>
      <c r="AC116" s="33"/>
      <c r="AD116" s="10">
        <v>4708</v>
      </c>
      <c r="AE116" s="33"/>
      <c r="AF116" s="10">
        <v>12976</v>
      </c>
      <c r="AG116" s="10">
        <v>16289</v>
      </c>
      <c r="AH116" s="10">
        <v>17570</v>
      </c>
      <c r="AI116" s="10">
        <v>743</v>
      </c>
    </row>
    <row r="117" spans="1:35">
      <c r="A117" s="6" t="s">
        <v>40</v>
      </c>
      <c r="B117" s="6">
        <v>2018</v>
      </c>
      <c r="C117" s="32">
        <v>88148</v>
      </c>
      <c r="D117" s="32">
        <v>1544</v>
      </c>
      <c r="E117" s="33"/>
      <c r="F117" s="32">
        <v>1129</v>
      </c>
      <c r="G117" s="32">
        <v>415</v>
      </c>
      <c r="H117" s="33"/>
      <c r="I117" s="33"/>
      <c r="J117" s="33"/>
      <c r="K117" s="10">
        <v>86604</v>
      </c>
      <c r="L117" s="10">
        <v>711</v>
      </c>
      <c r="M117" s="33"/>
      <c r="N117" s="10">
        <v>6945</v>
      </c>
      <c r="O117" s="33"/>
      <c r="P117" s="10">
        <v>20302</v>
      </c>
      <c r="Q117" s="10">
        <v>27202</v>
      </c>
      <c r="R117" s="10">
        <v>31444</v>
      </c>
      <c r="S117" s="29">
        <v>105715</v>
      </c>
      <c r="T117" s="29">
        <v>1544</v>
      </c>
      <c r="U117" s="33"/>
      <c r="V117" s="29">
        <v>1129</v>
      </c>
      <c r="W117" s="29">
        <v>415</v>
      </c>
      <c r="X117" s="33"/>
      <c r="Y117" s="33"/>
      <c r="Z117" s="33"/>
      <c r="AA117" s="10">
        <v>104171</v>
      </c>
      <c r="AB117" s="10">
        <v>1423</v>
      </c>
      <c r="AC117" s="33"/>
      <c r="AD117" s="10">
        <v>9135</v>
      </c>
      <c r="AE117" s="33"/>
      <c r="AF117" s="10">
        <v>26455</v>
      </c>
      <c r="AG117" s="10">
        <v>32596</v>
      </c>
      <c r="AH117" s="10">
        <v>34563</v>
      </c>
      <c r="AI117" s="10">
        <v>5341</v>
      </c>
    </row>
    <row r="118" spans="1:35">
      <c r="A118" s="6" t="s">
        <v>41</v>
      </c>
      <c r="B118" s="6">
        <v>2018</v>
      </c>
      <c r="C118" s="29">
        <v>74265</v>
      </c>
      <c r="D118" s="29">
        <v>722</v>
      </c>
      <c r="E118" s="33"/>
      <c r="F118" s="29">
        <v>722</v>
      </c>
      <c r="G118" s="33"/>
      <c r="H118" s="33"/>
      <c r="I118" s="33"/>
      <c r="J118" s="33"/>
      <c r="K118" s="10">
        <v>73543</v>
      </c>
      <c r="L118" s="10">
        <v>343</v>
      </c>
      <c r="M118" s="33"/>
      <c r="N118" s="10">
        <v>6038</v>
      </c>
      <c r="O118" s="10">
        <v>95</v>
      </c>
      <c r="P118" s="10">
        <v>18203</v>
      </c>
      <c r="Q118" s="10">
        <v>24347</v>
      </c>
      <c r="R118" s="10">
        <v>24517</v>
      </c>
      <c r="S118" s="29">
        <v>78430</v>
      </c>
      <c r="T118" s="29">
        <v>722</v>
      </c>
      <c r="U118" s="33"/>
      <c r="V118" s="29">
        <v>722</v>
      </c>
      <c r="W118" s="33"/>
      <c r="X118" s="33"/>
      <c r="Y118" s="33"/>
      <c r="Z118" s="33"/>
      <c r="AA118" s="10">
        <v>77707</v>
      </c>
      <c r="AB118" s="10">
        <v>343</v>
      </c>
      <c r="AC118" s="33"/>
      <c r="AD118" s="10">
        <v>7932</v>
      </c>
      <c r="AE118" s="10">
        <v>140</v>
      </c>
      <c r="AF118" s="10">
        <v>19283</v>
      </c>
      <c r="AG118" s="10">
        <v>25372</v>
      </c>
      <c r="AH118" s="10">
        <v>24637</v>
      </c>
      <c r="AI118" s="10">
        <v>973</v>
      </c>
    </row>
    <row r="119" spans="1:35">
      <c r="A119" s="6" t="s">
        <v>42</v>
      </c>
      <c r="B119" s="6">
        <v>2018</v>
      </c>
      <c r="C119" s="29">
        <v>68236</v>
      </c>
      <c r="D119" s="29">
        <v>2309</v>
      </c>
      <c r="E119" s="33"/>
      <c r="F119" s="29">
        <v>1185</v>
      </c>
      <c r="G119" s="33"/>
      <c r="H119" s="29">
        <v>1125</v>
      </c>
      <c r="I119" s="33"/>
      <c r="J119" s="33"/>
      <c r="K119" s="10">
        <v>65927</v>
      </c>
      <c r="L119" s="10">
        <v>180</v>
      </c>
      <c r="M119" s="33"/>
      <c r="N119" s="10">
        <v>8974</v>
      </c>
      <c r="O119" s="33"/>
      <c r="P119" s="10">
        <v>13664</v>
      </c>
      <c r="Q119" s="10">
        <v>21354</v>
      </c>
      <c r="R119" s="10">
        <v>21753</v>
      </c>
      <c r="S119" s="29">
        <v>72551</v>
      </c>
      <c r="T119" s="29">
        <v>2983</v>
      </c>
      <c r="U119" s="33"/>
      <c r="V119" s="29">
        <v>1185</v>
      </c>
      <c r="W119" s="33"/>
      <c r="X119" s="29">
        <v>1798</v>
      </c>
      <c r="Y119" s="33"/>
      <c r="Z119" s="33"/>
      <c r="AA119" s="10">
        <v>69568</v>
      </c>
      <c r="AB119" s="32">
        <v>180</v>
      </c>
      <c r="AC119" s="33"/>
      <c r="AD119" s="10">
        <v>9909</v>
      </c>
      <c r="AE119" s="33"/>
      <c r="AF119" s="10">
        <v>14923</v>
      </c>
      <c r="AG119" s="32">
        <v>22608</v>
      </c>
      <c r="AH119" s="10">
        <v>21948</v>
      </c>
      <c r="AI119" s="10">
        <v>1274</v>
      </c>
    </row>
    <row r="120" spans="1:35">
      <c r="A120" s="6" t="s">
        <v>43</v>
      </c>
      <c r="B120" s="6">
        <v>2018</v>
      </c>
      <c r="C120" s="29">
        <v>66748</v>
      </c>
      <c r="D120" s="29">
        <v>2597</v>
      </c>
      <c r="E120" s="33"/>
      <c r="F120" s="29">
        <v>1740</v>
      </c>
      <c r="G120" s="33"/>
      <c r="H120" s="29">
        <v>857</v>
      </c>
      <c r="I120" s="33"/>
      <c r="J120" s="33"/>
      <c r="K120" s="10">
        <v>64151</v>
      </c>
      <c r="L120" s="33"/>
      <c r="M120" s="33"/>
      <c r="N120" s="10">
        <v>4473</v>
      </c>
      <c r="O120" s="33"/>
      <c r="P120" s="10">
        <v>13715</v>
      </c>
      <c r="Q120" s="10">
        <v>22396</v>
      </c>
      <c r="R120" s="10">
        <v>23568</v>
      </c>
      <c r="S120" s="10">
        <v>69207</v>
      </c>
      <c r="T120" s="10">
        <v>2597</v>
      </c>
      <c r="U120" s="33"/>
      <c r="V120" s="10">
        <v>1740</v>
      </c>
      <c r="W120" s="33"/>
      <c r="X120" s="10">
        <v>857</v>
      </c>
      <c r="Y120" s="33"/>
      <c r="Z120" s="33"/>
      <c r="AA120" s="10">
        <v>66610</v>
      </c>
      <c r="AB120" s="33"/>
      <c r="AC120" s="33"/>
      <c r="AD120" s="10">
        <v>4668</v>
      </c>
      <c r="AE120" s="33"/>
      <c r="AF120" s="10">
        <v>14612</v>
      </c>
      <c r="AG120" s="10">
        <v>23523</v>
      </c>
      <c r="AH120" s="10">
        <v>23807</v>
      </c>
      <c r="AI120" s="10">
        <v>645</v>
      </c>
    </row>
    <row r="121" spans="1:35">
      <c r="A121" s="6" t="s">
        <v>44</v>
      </c>
      <c r="B121" s="6">
        <v>2018</v>
      </c>
      <c r="C121" s="29">
        <v>38217</v>
      </c>
      <c r="D121" s="29">
        <v>37</v>
      </c>
      <c r="E121" s="33"/>
      <c r="F121" s="33"/>
      <c r="G121" s="33"/>
      <c r="H121" s="33"/>
      <c r="I121" s="33"/>
      <c r="J121" s="10">
        <v>37</v>
      </c>
      <c r="K121" s="10">
        <v>38180</v>
      </c>
      <c r="L121" s="33"/>
      <c r="M121" s="33"/>
      <c r="N121" s="10">
        <v>6489</v>
      </c>
      <c r="O121" s="33"/>
      <c r="P121" s="10">
        <v>14336</v>
      </c>
      <c r="Q121" s="10">
        <v>16933</v>
      </c>
      <c r="R121" s="10">
        <v>421</v>
      </c>
      <c r="S121" s="29">
        <v>82207</v>
      </c>
      <c r="T121" s="30"/>
      <c r="U121" s="33"/>
      <c r="V121" s="33"/>
      <c r="W121" s="33"/>
      <c r="X121" s="33"/>
      <c r="Y121" s="33"/>
      <c r="Z121" s="33"/>
      <c r="AA121" s="10">
        <v>82207</v>
      </c>
      <c r="AB121" s="33"/>
      <c r="AC121" s="33"/>
      <c r="AD121" s="10">
        <v>10877</v>
      </c>
      <c r="AE121" s="33"/>
      <c r="AF121" s="10">
        <v>26616</v>
      </c>
      <c r="AG121" s="10">
        <v>36944</v>
      </c>
      <c r="AH121" s="10">
        <v>7770</v>
      </c>
      <c r="AI121" s="10">
        <v>4398</v>
      </c>
    </row>
    <row r="122" spans="1:35">
      <c r="A122" s="6" t="s">
        <v>45</v>
      </c>
      <c r="B122" s="6">
        <v>2018</v>
      </c>
      <c r="C122" s="32">
        <v>70397</v>
      </c>
      <c r="D122" s="30"/>
      <c r="E122" s="33"/>
      <c r="F122" s="33"/>
      <c r="G122" s="33"/>
      <c r="H122" s="33"/>
      <c r="I122" s="33"/>
      <c r="J122" s="33"/>
      <c r="K122" s="10">
        <v>70397</v>
      </c>
      <c r="L122" s="33"/>
      <c r="M122" s="33"/>
      <c r="N122" s="10">
        <v>2296</v>
      </c>
      <c r="O122" s="33"/>
      <c r="P122" s="10">
        <v>14738</v>
      </c>
      <c r="Q122" s="10">
        <v>20868</v>
      </c>
      <c r="R122" s="10">
        <v>32496</v>
      </c>
      <c r="S122" s="29">
        <v>75733</v>
      </c>
      <c r="T122" s="30"/>
      <c r="U122" s="33"/>
      <c r="V122" s="33"/>
      <c r="W122" s="33"/>
      <c r="X122" s="33"/>
      <c r="Y122" s="33"/>
      <c r="Z122" s="33"/>
      <c r="AA122" s="10">
        <v>75733</v>
      </c>
      <c r="AB122" s="33"/>
      <c r="AC122" s="33"/>
      <c r="AD122" s="10">
        <v>2423</v>
      </c>
      <c r="AE122" s="33"/>
      <c r="AF122" s="10">
        <v>17716</v>
      </c>
      <c r="AG122" s="10">
        <v>22598</v>
      </c>
      <c r="AH122" s="10">
        <v>32996</v>
      </c>
      <c r="AI122" s="10">
        <v>2354</v>
      </c>
    </row>
    <row r="123" spans="1:35">
      <c r="A123" s="6" t="s">
        <v>46</v>
      </c>
      <c r="B123" s="6">
        <v>2018</v>
      </c>
      <c r="C123" s="29">
        <v>10595</v>
      </c>
      <c r="D123" s="30"/>
      <c r="E123" s="33"/>
      <c r="F123" s="33"/>
      <c r="G123" s="33"/>
      <c r="H123" s="33"/>
      <c r="I123" s="33"/>
      <c r="J123" s="33"/>
      <c r="K123" s="10">
        <v>10595</v>
      </c>
      <c r="L123" s="33"/>
      <c r="M123" s="33"/>
      <c r="N123" s="33"/>
      <c r="O123" s="33"/>
      <c r="P123" s="10">
        <v>3969</v>
      </c>
      <c r="Q123" s="10">
        <v>3984</v>
      </c>
      <c r="R123" s="10">
        <v>2643</v>
      </c>
      <c r="S123" s="29">
        <v>10595</v>
      </c>
      <c r="T123" s="30"/>
      <c r="U123" s="33"/>
      <c r="V123" s="33"/>
      <c r="W123" s="33"/>
      <c r="X123" s="33"/>
      <c r="Y123" s="33"/>
      <c r="Z123" s="33"/>
      <c r="AA123" s="10">
        <v>10595</v>
      </c>
      <c r="AB123" s="33"/>
      <c r="AC123" s="33"/>
      <c r="AD123" s="30"/>
      <c r="AE123" s="33"/>
      <c r="AF123" s="10">
        <v>3969</v>
      </c>
      <c r="AG123" s="10">
        <v>3984</v>
      </c>
      <c r="AH123" s="10">
        <v>2643</v>
      </c>
      <c r="AI123" s="10">
        <v>101</v>
      </c>
    </row>
    <row r="124" spans="1:35">
      <c r="A124" s="6" t="s">
        <v>47</v>
      </c>
      <c r="B124" s="6">
        <v>2018</v>
      </c>
      <c r="C124" s="29">
        <v>32761</v>
      </c>
      <c r="D124" s="29">
        <v>676</v>
      </c>
      <c r="E124" s="33"/>
      <c r="F124" s="29">
        <v>676</v>
      </c>
      <c r="G124" s="33"/>
      <c r="H124" s="33"/>
      <c r="I124" s="33"/>
      <c r="J124" s="33"/>
      <c r="K124" s="10">
        <v>32085</v>
      </c>
      <c r="L124" s="33"/>
      <c r="M124" s="33"/>
      <c r="N124" s="10">
        <v>2833</v>
      </c>
      <c r="O124" s="33"/>
      <c r="P124" s="10">
        <v>7636</v>
      </c>
      <c r="Q124" s="10">
        <v>10007</v>
      </c>
      <c r="R124" s="10">
        <v>11609</v>
      </c>
      <c r="S124" s="10">
        <v>37380</v>
      </c>
      <c r="T124" s="10">
        <v>676</v>
      </c>
      <c r="U124" s="33"/>
      <c r="V124" s="10">
        <v>676</v>
      </c>
      <c r="W124" s="33"/>
      <c r="X124" s="33"/>
      <c r="Y124" s="33"/>
      <c r="Z124" s="33"/>
      <c r="AA124" s="10">
        <v>36704</v>
      </c>
      <c r="AB124" s="33"/>
      <c r="AC124" s="33"/>
      <c r="AD124" s="10">
        <v>3596</v>
      </c>
      <c r="AE124" s="33"/>
      <c r="AF124" s="10">
        <v>9551</v>
      </c>
      <c r="AG124" s="10">
        <v>11442</v>
      </c>
      <c r="AH124" s="10">
        <v>12115</v>
      </c>
      <c r="AI124" s="32">
        <v>925</v>
      </c>
    </row>
    <row r="125" spans="1:35">
      <c r="A125" s="6" t="s">
        <v>48</v>
      </c>
      <c r="B125" s="6">
        <v>2018</v>
      </c>
      <c r="C125" s="10">
        <v>86223</v>
      </c>
      <c r="D125" s="10">
        <v>1094</v>
      </c>
      <c r="E125" s="33"/>
      <c r="F125" s="10">
        <v>854</v>
      </c>
      <c r="G125" s="33"/>
      <c r="H125" s="10">
        <v>240</v>
      </c>
      <c r="I125" s="33"/>
      <c r="J125" s="33"/>
      <c r="K125" s="10">
        <v>85129</v>
      </c>
      <c r="L125" s="33"/>
      <c r="M125" s="33"/>
      <c r="N125" s="10">
        <v>10470</v>
      </c>
      <c r="O125" s="33"/>
      <c r="P125" s="10">
        <v>17341</v>
      </c>
      <c r="Q125" s="10">
        <v>27444</v>
      </c>
      <c r="R125" s="10">
        <v>29873</v>
      </c>
      <c r="S125" s="10">
        <v>97087</v>
      </c>
      <c r="T125" s="10">
        <v>1094</v>
      </c>
      <c r="U125" s="33"/>
      <c r="V125" s="10">
        <v>854</v>
      </c>
      <c r="W125" s="33"/>
      <c r="X125" s="10">
        <v>240</v>
      </c>
      <c r="Y125" s="33"/>
      <c r="Z125" s="33"/>
      <c r="AA125" s="10">
        <v>95993</v>
      </c>
      <c r="AB125" s="33"/>
      <c r="AC125" s="33"/>
      <c r="AD125" s="10">
        <v>15053</v>
      </c>
      <c r="AE125" s="33"/>
      <c r="AF125" s="10">
        <v>21344</v>
      </c>
      <c r="AG125" s="10">
        <v>29480</v>
      </c>
      <c r="AH125" s="10">
        <v>30116</v>
      </c>
      <c r="AI125" s="10">
        <v>1740</v>
      </c>
    </row>
    <row r="126" spans="1:35">
      <c r="A126" s="6" t="s">
        <v>49</v>
      </c>
      <c r="B126" s="6">
        <v>2018</v>
      </c>
      <c r="C126" s="32">
        <v>55466</v>
      </c>
      <c r="D126" s="30"/>
      <c r="E126" s="33"/>
      <c r="F126" s="33"/>
      <c r="G126" s="33"/>
      <c r="H126" s="33"/>
      <c r="I126" s="33"/>
      <c r="J126" s="33"/>
      <c r="K126" s="10">
        <v>55466</v>
      </c>
      <c r="L126" s="33"/>
      <c r="M126" s="33"/>
      <c r="N126" s="10">
        <v>4077</v>
      </c>
      <c r="O126" s="33"/>
      <c r="P126" s="10">
        <v>13239</v>
      </c>
      <c r="Q126" s="10">
        <v>18229</v>
      </c>
      <c r="R126" s="10">
        <v>19921</v>
      </c>
      <c r="S126" s="32">
        <v>55580</v>
      </c>
      <c r="T126" s="30"/>
      <c r="U126" s="33"/>
      <c r="V126" s="33"/>
      <c r="W126" s="33"/>
      <c r="X126" s="33"/>
      <c r="Y126" s="33"/>
      <c r="Z126" s="33"/>
      <c r="AA126" s="10">
        <v>55580</v>
      </c>
      <c r="AB126" s="33"/>
      <c r="AC126" s="33"/>
      <c r="AD126" s="10">
        <v>4077</v>
      </c>
      <c r="AE126" s="33"/>
      <c r="AF126" s="10">
        <v>13239</v>
      </c>
      <c r="AG126" s="10">
        <v>18305</v>
      </c>
      <c r="AH126" s="10">
        <v>19959</v>
      </c>
      <c r="AI126" s="10">
        <v>84</v>
      </c>
    </row>
    <row r="127" spans="1:35">
      <c r="A127" s="6" t="s">
        <v>50</v>
      </c>
      <c r="B127" s="6">
        <v>2018</v>
      </c>
      <c r="C127" s="29">
        <v>90719</v>
      </c>
      <c r="D127" s="29">
        <v>562</v>
      </c>
      <c r="E127" s="33"/>
      <c r="F127" s="33"/>
      <c r="G127" s="33"/>
      <c r="H127" s="29">
        <v>562</v>
      </c>
      <c r="I127" s="33"/>
      <c r="J127" s="33"/>
      <c r="K127" s="10">
        <v>90157</v>
      </c>
      <c r="L127" s="33"/>
      <c r="M127" s="33"/>
      <c r="N127" s="10">
        <v>12382</v>
      </c>
      <c r="O127" s="33"/>
      <c r="P127" s="10">
        <v>15546</v>
      </c>
      <c r="Q127" s="10">
        <v>26922</v>
      </c>
      <c r="R127" s="10">
        <v>35307</v>
      </c>
      <c r="S127" s="10">
        <v>91397</v>
      </c>
      <c r="T127" s="10">
        <v>562</v>
      </c>
      <c r="U127" s="33"/>
      <c r="V127" s="33"/>
      <c r="W127" s="33"/>
      <c r="X127" s="10">
        <v>562</v>
      </c>
      <c r="Y127" s="33"/>
      <c r="Z127" s="33"/>
      <c r="AA127" s="10">
        <v>90835</v>
      </c>
      <c r="AB127" s="33"/>
      <c r="AC127" s="33"/>
      <c r="AD127" s="10">
        <v>12483</v>
      </c>
      <c r="AE127" s="33"/>
      <c r="AF127" s="10">
        <v>15624</v>
      </c>
      <c r="AG127" s="10">
        <v>27301</v>
      </c>
      <c r="AH127" s="10">
        <v>35427</v>
      </c>
      <c r="AI127" s="10">
        <v>414</v>
      </c>
    </row>
    <row r="128" spans="1:35">
      <c r="A128" s="6" t="s">
        <v>51</v>
      </c>
      <c r="B128" s="6">
        <v>2018</v>
      </c>
      <c r="C128" s="10">
        <v>23131</v>
      </c>
      <c r="D128" s="10">
        <v>423</v>
      </c>
      <c r="E128" s="33"/>
      <c r="F128" s="33"/>
      <c r="G128" s="33"/>
      <c r="H128" s="33"/>
      <c r="I128" s="10">
        <v>423</v>
      </c>
      <c r="J128" s="33"/>
      <c r="K128" s="10">
        <v>22708</v>
      </c>
      <c r="L128" s="33"/>
      <c r="M128" s="33"/>
      <c r="N128" s="10">
        <v>2832</v>
      </c>
      <c r="O128" s="33"/>
      <c r="P128" s="10">
        <v>2804</v>
      </c>
      <c r="Q128" s="10">
        <v>9173</v>
      </c>
      <c r="R128" s="10">
        <v>7899</v>
      </c>
      <c r="S128" s="10">
        <v>23415</v>
      </c>
      <c r="T128" s="10">
        <v>423</v>
      </c>
      <c r="U128" s="33"/>
      <c r="V128" s="33"/>
      <c r="W128" s="33"/>
      <c r="X128" s="33"/>
      <c r="Y128" s="10">
        <v>423</v>
      </c>
      <c r="Z128" s="33"/>
      <c r="AA128" s="10">
        <v>22992</v>
      </c>
      <c r="AB128" s="33"/>
      <c r="AC128" s="33"/>
      <c r="AD128" s="10">
        <v>2838</v>
      </c>
      <c r="AE128" s="33"/>
      <c r="AF128" s="10">
        <v>3076</v>
      </c>
      <c r="AG128" s="10">
        <v>9173</v>
      </c>
      <c r="AH128" s="10">
        <v>7905</v>
      </c>
      <c r="AI128" s="32">
        <v>7</v>
      </c>
    </row>
    <row r="129" spans="1:35">
      <c r="A129" s="6" t="s">
        <v>52</v>
      </c>
      <c r="B129" s="6">
        <v>2018</v>
      </c>
      <c r="C129" s="10">
        <v>54929</v>
      </c>
      <c r="D129" s="10">
        <v>1570</v>
      </c>
      <c r="E129" s="33"/>
      <c r="F129" s="10">
        <v>968</v>
      </c>
      <c r="G129" s="10">
        <v>308</v>
      </c>
      <c r="H129" s="10">
        <v>294</v>
      </c>
      <c r="I129" s="33"/>
      <c r="J129" s="33"/>
      <c r="K129" s="10">
        <v>53359</v>
      </c>
      <c r="L129" s="10">
        <v>359</v>
      </c>
      <c r="M129" s="10">
        <v>1935</v>
      </c>
      <c r="N129" s="10">
        <v>271</v>
      </c>
      <c r="O129" s="10">
        <v>9509</v>
      </c>
      <c r="P129" s="10">
        <v>327</v>
      </c>
      <c r="Q129" s="10">
        <v>23146</v>
      </c>
      <c r="R129" s="10">
        <v>17813</v>
      </c>
      <c r="S129" s="10">
        <v>44327</v>
      </c>
      <c r="T129" s="10">
        <v>1570</v>
      </c>
      <c r="U129" s="33"/>
      <c r="V129" s="10">
        <v>968</v>
      </c>
      <c r="W129" s="10">
        <v>308</v>
      </c>
      <c r="X129" s="10">
        <v>294</v>
      </c>
      <c r="Y129" s="33"/>
      <c r="Z129" s="33"/>
      <c r="AA129" s="10">
        <v>42758</v>
      </c>
      <c r="AB129" s="10">
        <v>359</v>
      </c>
      <c r="AC129" s="10">
        <v>2844</v>
      </c>
      <c r="AD129" s="10">
        <v>271</v>
      </c>
      <c r="AE129" s="10">
        <v>10726</v>
      </c>
      <c r="AF129" s="30"/>
      <c r="AG129" s="10">
        <v>18516</v>
      </c>
      <c r="AH129" s="10">
        <v>10043</v>
      </c>
      <c r="AI129" s="29">
        <v>1353</v>
      </c>
    </row>
    <row r="130" spans="1:35">
      <c r="A130" s="6" t="s">
        <v>53</v>
      </c>
      <c r="B130" s="6">
        <v>2018</v>
      </c>
      <c r="C130" s="32">
        <v>61930</v>
      </c>
      <c r="D130" s="32">
        <v>2599</v>
      </c>
      <c r="E130" s="33"/>
      <c r="F130" s="32">
        <v>2599</v>
      </c>
      <c r="G130" s="33"/>
      <c r="H130" s="33"/>
      <c r="I130" s="33"/>
      <c r="J130" s="33"/>
      <c r="K130" s="10">
        <v>59331</v>
      </c>
      <c r="L130" s="33"/>
      <c r="M130" s="10">
        <v>3501</v>
      </c>
      <c r="N130" s="33"/>
      <c r="O130" s="10">
        <v>10223</v>
      </c>
      <c r="P130" s="10">
        <v>781</v>
      </c>
      <c r="Q130" s="10">
        <v>23079</v>
      </c>
      <c r="R130" s="10">
        <v>21747</v>
      </c>
      <c r="S130" s="10">
        <v>65225</v>
      </c>
      <c r="T130" s="10">
        <v>2599</v>
      </c>
      <c r="U130" s="33"/>
      <c r="V130" s="10">
        <v>2599</v>
      </c>
      <c r="W130" s="33"/>
      <c r="X130" s="33"/>
      <c r="Y130" s="33"/>
      <c r="Z130" s="33"/>
      <c r="AA130" s="10">
        <v>62625</v>
      </c>
      <c r="AB130" s="33"/>
      <c r="AC130" s="10">
        <v>5557</v>
      </c>
      <c r="AD130" s="30"/>
      <c r="AE130" s="10">
        <v>10951</v>
      </c>
      <c r="AF130" s="10">
        <v>826</v>
      </c>
      <c r="AG130" s="10">
        <v>23508</v>
      </c>
      <c r="AH130" s="10">
        <v>21783</v>
      </c>
      <c r="AI130" s="10">
        <v>169</v>
      </c>
    </row>
    <row r="131" spans="1:35">
      <c r="A131" s="6" t="s">
        <v>54</v>
      </c>
      <c r="B131" s="6">
        <v>2018</v>
      </c>
      <c r="C131" s="10">
        <v>30068</v>
      </c>
      <c r="D131" s="10">
        <v>609</v>
      </c>
      <c r="E131" s="33"/>
      <c r="F131" s="33"/>
      <c r="G131" s="33"/>
      <c r="H131" s="33"/>
      <c r="I131" s="10">
        <v>609</v>
      </c>
      <c r="J131" s="33"/>
      <c r="K131" s="10">
        <v>29459</v>
      </c>
      <c r="L131" s="33"/>
      <c r="M131" s="10">
        <v>3002</v>
      </c>
      <c r="N131" s="33"/>
      <c r="O131" s="32">
        <v>6288</v>
      </c>
      <c r="P131" s="33"/>
      <c r="Q131" s="32">
        <v>12218</v>
      </c>
      <c r="R131" s="10">
        <v>7950</v>
      </c>
      <c r="S131" s="10">
        <v>31708</v>
      </c>
      <c r="T131" s="10">
        <v>1217</v>
      </c>
      <c r="U131" s="33"/>
      <c r="V131" s="33"/>
      <c r="W131" s="33"/>
      <c r="X131" s="33"/>
      <c r="Y131" s="10">
        <v>1217</v>
      </c>
      <c r="Z131" s="33"/>
      <c r="AA131" s="10">
        <v>30491</v>
      </c>
      <c r="AB131" s="33"/>
      <c r="AC131" s="10">
        <v>3180</v>
      </c>
      <c r="AD131" s="30"/>
      <c r="AE131" s="10">
        <v>6410</v>
      </c>
      <c r="AF131" s="30"/>
      <c r="AG131" s="10">
        <v>12864</v>
      </c>
      <c r="AH131" s="10">
        <v>8038</v>
      </c>
      <c r="AI131" s="10">
        <v>118</v>
      </c>
    </row>
    <row r="132" spans="1:35">
      <c r="A132" s="6" t="s">
        <v>55</v>
      </c>
      <c r="B132" s="6">
        <v>2018</v>
      </c>
      <c r="C132" s="10">
        <v>14017</v>
      </c>
      <c r="D132" s="10">
        <v>301</v>
      </c>
      <c r="E132" s="33"/>
      <c r="F132" s="10">
        <v>195</v>
      </c>
      <c r="G132" s="10">
        <v>106</v>
      </c>
      <c r="H132" s="33"/>
      <c r="I132" s="33"/>
      <c r="J132" s="33"/>
      <c r="K132" s="10">
        <v>13717</v>
      </c>
      <c r="L132" s="33"/>
      <c r="M132" s="10">
        <v>1136</v>
      </c>
      <c r="N132" s="33"/>
      <c r="O132" s="10">
        <v>1053</v>
      </c>
      <c r="P132" s="10">
        <v>1570</v>
      </c>
      <c r="Q132" s="10">
        <v>6128</v>
      </c>
      <c r="R132" s="10">
        <v>3830</v>
      </c>
      <c r="S132" s="10">
        <v>18547</v>
      </c>
      <c r="T132" s="10">
        <v>301</v>
      </c>
      <c r="U132" s="33"/>
      <c r="V132" s="10">
        <v>195</v>
      </c>
      <c r="W132" s="10">
        <v>106</v>
      </c>
      <c r="X132" s="33"/>
      <c r="Y132" s="33"/>
      <c r="Z132" s="33"/>
      <c r="AA132" s="10">
        <v>18246</v>
      </c>
      <c r="AB132" s="33"/>
      <c r="AC132" s="10">
        <v>2249</v>
      </c>
      <c r="AD132" s="30"/>
      <c r="AE132" s="10">
        <v>2249</v>
      </c>
      <c r="AF132" s="10">
        <v>2419</v>
      </c>
      <c r="AG132" s="10">
        <v>7317</v>
      </c>
      <c r="AH132" s="10">
        <v>4012</v>
      </c>
      <c r="AI132" s="10">
        <v>127</v>
      </c>
    </row>
    <row r="133" spans="1:35">
      <c r="A133" s="6" t="s">
        <v>56</v>
      </c>
      <c r="B133" s="6">
        <v>2018</v>
      </c>
      <c r="C133" s="10">
        <v>78382</v>
      </c>
      <c r="D133" s="32">
        <v>166</v>
      </c>
      <c r="E133" s="33"/>
      <c r="F133" s="32">
        <v>166</v>
      </c>
      <c r="G133" s="33"/>
      <c r="H133" s="33"/>
      <c r="I133" s="33"/>
      <c r="J133" s="33"/>
      <c r="K133" s="10">
        <v>78216</v>
      </c>
      <c r="L133" s="33"/>
      <c r="M133" s="10">
        <v>6519</v>
      </c>
      <c r="N133" s="10">
        <v>196</v>
      </c>
      <c r="O133" s="33"/>
      <c r="P133" s="10">
        <v>20770</v>
      </c>
      <c r="Q133" s="10">
        <v>25684</v>
      </c>
      <c r="R133" s="10">
        <v>25048</v>
      </c>
      <c r="S133" s="10">
        <v>81047</v>
      </c>
      <c r="T133" s="32">
        <v>166</v>
      </c>
      <c r="U133" s="33"/>
      <c r="V133" s="32">
        <v>166</v>
      </c>
      <c r="W133" s="33"/>
      <c r="X133" s="33"/>
      <c r="Y133" s="33"/>
      <c r="Z133" s="33"/>
      <c r="AA133" s="10">
        <v>80881</v>
      </c>
      <c r="AB133" s="33"/>
      <c r="AC133" s="10">
        <v>6714</v>
      </c>
      <c r="AD133" s="10">
        <v>196</v>
      </c>
      <c r="AE133" s="33"/>
      <c r="AF133" s="10">
        <v>21841</v>
      </c>
      <c r="AG133" s="10">
        <v>26842</v>
      </c>
      <c r="AH133" s="10">
        <v>25287</v>
      </c>
      <c r="AI133" s="10">
        <v>265</v>
      </c>
    </row>
    <row r="134" spans="1:35">
      <c r="A134" s="6" t="s">
        <v>57</v>
      </c>
      <c r="B134" s="6">
        <v>2018</v>
      </c>
      <c r="C134" s="10">
        <v>19720</v>
      </c>
      <c r="D134" s="10">
        <v>10119</v>
      </c>
      <c r="E134" s="33"/>
      <c r="F134" s="10">
        <v>4744</v>
      </c>
      <c r="G134" s="33"/>
      <c r="H134" s="10">
        <v>5375</v>
      </c>
      <c r="I134" s="33"/>
      <c r="J134" s="33"/>
      <c r="K134" s="10">
        <v>9600</v>
      </c>
      <c r="L134" s="33"/>
      <c r="M134" s="33"/>
      <c r="N134" s="10">
        <v>9409</v>
      </c>
      <c r="O134" s="33"/>
      <c r="P134" s="10">
        <v>191</v>
      </c>
      <c r="Q134" s="33"/>
      <c r="R134" s="30"/>
      <c r="S134" s="10">
        <v>21867</v>
      </c>
      <c r="T134" s="10">
        <v>11342</v>
      </c>
      <c r="U134" s="33"/>
      <c r="V134" s="10">
        <v>4744</v>
      </c>
      <c r="W134" s="33"/>
      <c r="X134" s="10">
        <v>6598</v>
      </c>
      <c r="Y134" s="33"/>
      <c r="Z134" s="33"/>
      <c r="AA134" s="10">
        <v>10525</v>
      </c>
      <c r="AB134" s="33"/>
      <c r="AC134" s="33"/>
      <c r="AD134" s="10">
        <v>10326</v>
      </c>
      <c r="AE134" s="33"/>
      <c r="AF134" s="32">
        <v>200</v>
      </c>
      <c r="AG134" s="30"/>
      <c r="AH134" s="31"/>
      <c r="AI134" s="10">
        <v>31</v>
      </c>
    </row>
    <row r="135" spans="1:35">
      <c r="A135" s="6" t="s">
        <v>25</v>
      </c>
      <c r="B135" s="6">
        <v>2019</v>
      </c>
      <c r="C135" s="10">
        <v>1764522</v>
      </c>
      <c r="D135" s="10">
        <v>39167</v>
      </c>
      <c r="E135" s="10">
        <v>3295</v>
      </c>
      <c r="F135" s="10">
        <v>21907</v>
      </c>
      <c r="G135" s="10">
        <v>1334</v>
      </c>
      <c r="H135" s="10">
        <v>11180</v>
      </c>
      <c r="I135" s="10">
        <v>1031</v>
      </c>
      <c r="J135" s="10">
        <v>420</v>
      </c>
      <c r="K135" s="10">
        <v>1725355</v>
      </c>
      <c r="L135" s="10">
        <v>9217</v>
      </c>
      <c r="M135" s="10">
        <v>19107</v>
      </c>
      <c r="N135" s="10">
        <v>162253</v>
      </c>
      <c r="O135" s="10">
        <v>30395</v>
      </c>
      <c r="P135" s="10">
        <v>382006</v>
      </c>
      <c r="Q135" s="10">
        <v>608229</v>
      </c>
      <c r="R135" s="10">
        <v>514148</v>
      </c>
      <c r="S135" s="35">
        <v>1975312</v>
      </c>
      <c r="T135" s="32">
        <v>42364</v>
      </c>
      <c r="U135" s="32">
        <v>3295</v>
      </c>
      <c r="V135" s="32">
        <v>21907</v>
      </c>
      <c r="W135" s="32">
        <v>1334</v>
      </c>
      <c r="X135" s="32">
        <v>13733</v>
      </c>
      <c r="Y135" s="32">
        <v>1639</v>
      </c>
      <c r="Z135" s="10">
        <v>457</v>
      </c>
      <c r="AA135" s="10">
        <v>1932947</v>
      </c>
      <c r="AB135" s="10">
        <v>10872</v>
      </c>
      <c r="AC135" s="10">
        <v>23256</v>
      </c>
      <c r="AD135" s="10">
        <v>195636</v>
      </c>
      <c r="AE135" s="10">
        <v>32314</v>
      </c>
      <c r="AF135" s="10">
        <v>454585</v>
      </c>
      <c r="AG135" s="10">
        <v>684406</v>
      </c>
      <c r="AH135" s="10">
        <v>531880</v>
      </c>
      <c r="AI135" s="15"/>
    </row>
    <row r="136" spans="1:35">
      <c r="A136" s="6" t="s">
        <v>26</v>
      </c>
      <c r="B136" s="6">
        <v>2019</v>
      </c>
      <c r="C136" s="29">
        <v>9393</v>
      </c>
      <c r="D136" s="30"/>
      <c r="E136" s="33"/>
      <c r="F136" s="33"/>
      <c r="G136" s="33"/>
      <c r="H136" s="33"/>
      <c r="I136" s="33"/>
      <c r="J136" s="33"/>
      <c r="K136" s="10">
        <v>9393</v>
      </c>
      <c r="L136" s="33"/>
      <c r="M136" s="33"/>
      <c r="N136" s="10">
        <v>311</v>
      </c>
      <c r="O136" s="30"/>
      <c r="P136" s="10">
        <v>2967</v>
      </c>
      <c r="Q136" s="10">
        <v>4462</v>
      </c>
      <c r="R136" s="10">
        <v>1652</v>
      </c>
      <c r="S136" s="32">
        <v>12011</v>
      </c>
      <c r="T136" s="30"/>
      <c r="U136" s="33"/>
      <c r="V136" s="33"/>
      <c r="W136" s="33"/>
      <c r="X136" s="33"/>
      <c r="Y136" s="33"/>
      <c r="Z136" s="33"/>
      <c r="AA136" s="10">
        <v>12011</v>
      </c>
      <c r="AB136" s="33"/>
      <c r="AC136" s="33"/>
      <c r="AD136" s="10">
        <v>2232</v>
      </c>
      <c r="AE136" s="33"/>
      <c r="AF136" s="10">
        <v>3342</v>
      </c>
      <c r="AG136" s="10">
        <v>4682</v>
      </c>
      <c r="AH136" s="10">
        <v>1754</v>
      </c>
      <c r="AI136" s="15"/>
    </row>
    <row r="137" spans="1:35">
      <c r="A137" s="6" t="s">
        <v>27</v>
      </c>
      <c r="B137" s="6">
        <v>2019</v>
      </c>
      <c r="C137" s="10">
        <v>12570</v>
      </c>
      <c r="D137" s="10">
        <v>392</v>
      </c>
      <c r="E137" s="33"/>
      <c r="F137" s="10">
        <v>392</v>
      </c>
      <c r="G137" s="33"/>
      <c r="H137" s="33"/>
      <c r="I137" s="33"/>
      <c r="J137" s="33"/>
      <c r="K137" s="10">
        <v>12178</v>
      </c>
      <c r="L137" s="10">
        <v>579</v>
      </c>
      <c r="M137" s="33"/>
      <c r="N137" s="10">
        <v>1252</v>
      </c>
      <c r="O137" s="30"/>
      <c r="P137" s="10">
        <v>3267</v>
      </c>
      <c r="Q137" s="10">
        <v>3640</v>
      </c>
      <c r="R137" s="10">
        <v>3441</v>
      </c>
      <c r="S137" s="29">
        <v>12570</v>
      </c>
      <c r="T137" s="29">
        <v>392</v>
      </c>
      <c r="U137" s="33"/>
      <c r="V137" s="29">
        <v>392</v>
      </c>
      <c r="W137" s="33"/>
      <c r="X137" s="33"/>
      <c r="Y137" s="33"/>
      <c r="Z137" s="33"/>
      <c r="AA137" s="10">
        <v>12178</v>
      </c>
      <c r="AB137" s="10">
        <v>579</v>
      </c>
      <c r="AC137" s="33"/>
      <c r="AD137" s="10">
        <v>1252</v>
      </c>
      <c r="AE137" s="33"/>
      <c r="AF137" s="10">
        <v>3267</v>
      </c>
      <c r="AG137" s="10">
        <v>3640</v>
      </c>
      <c r="AH137" s="10">
        <v>3441</v>
      </c>
      <c r="AI137" s="15"/>
    </row>
    <row r="138" spans="1:35">
      <c r="A138" s="6" t="s">
        <v>28</v>
      </c>
      <c r="B138" s="6">
        <v>2019</v>
      </c>
      <c r="C138" s="10">
        <v>98843</v>
      </c>
      <c r="D138" s="10">
        <v>1383</v>
      </c>
      <c r="E138" s="33"/>
      <c r="F138" s="10">
        <v>1183</v>
      </c>
      <c r="G138" s="10">
        <v>200</v>
      </c>
      <c r="H138" s="33"/>
      <c r="I138" s="33"/>
      <c r="J138" s="33"/>
      <c r="K138" s="10">
        <v>97460</v>
      </c>
      <c r="L138" s="10">
        <v>2033</v>
      </c>
      <c r="M138" s="33"/>
      <c r="N138" s="10">
        <v>13171</v>
      </c>
      <c r="O138" s="30"/>
      <c r="P138" s="10">
        <v>20530</v>
      </c>
      <c r="Q138" s="10">
        <v>31090</v>
      </c>
      <c r="R138" s="10">
        <v>30637</v>
      </c>
      <c r="S138" s="10">
        <v>108469</v>
      </c>
      <c r="T138" s="10">
        <v>1383</v>
      </c>
      <c r="U138" s="33"/>
      <c r="V138" s="10">
        <v>1183</v>
      </c>
      <c r="W138" s="10">
        <v>200</v>
      </c>
      <c r="X138" s="33"/>
      <c r="Y138" s="33"/>
      <c r="Z138" s="33"/>
      <c r="AA138" s="10">
        <v>107086</v>
      </c>
      <c r="AB138" s="10">
        <v>2285</v>
      </c>
      <c r="AC138" s="33"/>
      <c r="AD138" s="10">
        <v>13172</v>
      </c>
      <c r="AE138" s="33"/>
      <c r="AF138" s="10">
        <v>24672</v>
      </c>
      <c r="AG138" s="10">
        <v>35007</v>
      </c>
      <c r="AH138" s="10">
        <v>31950</v>
      </c>
      <c r="AI138" s="15"/>
    </row>
    <row r="139" spans="1:35">
      <c r="A139" s="6" t="s">
        <v>29</v>
      </c>
      <c r="B139" s="6">
        <v>2019</v>
      </c>
      <c r="C139" s="10">
        <v>72492</v>
      </c>
      <c r="D139" s="10">
        <v>1370</v>
      </c>
      <c r="E139" s="33"/>
      <c r="F139" s="10">
        <v>1065</v>
      </c>
      <c r="G139" s="10">
        <v>305</v>
      </c>
      <c r="H139" s="33"/>
      <c r="I139" s="33"/>
      <c r="J139" s="33"/>
      <c r="K139" s="10">
        <v>71122</v>
      </c>
      <c r="L139" s="10">
        <v>1018</v>
      </c>
      <c r="M139" s="33"/>
      <c r="N139" s="10">
        <v>8154</v>
      </c>
      <c r="O139" s="30"/>
      <c r="P139" s="10">
        <v>14817</v>
      </c>
      <c r="Q139" s="10">
        <v>21640</v>
      </c>
      <c r="R139" s="10">
        <v>25493</v>
      </c>
      <c r="S139" s="32">
        <v>79269</v>
      </c>
      <c r="T139" s="32">
        <v>1370</v>
      </c>
      <c r="U139" s="33"/>
      <c r="V139" s="32">
        <v>1065</v>
      </c>
      <c r="W139" s="32">
        <v>305</v>
      </c>
      <c r="X139" s="33"/>
      <c r="Y139" s="33"/>
      <c r="Z139" s="33"/>
      <c r="AA139" s="10">
        <v>77900</v>
      </c>
      <c r="AB139" s="10">
        <v>1284</v>
      </c>
      <c r="AC139" s="33"/>
      <c r="AD139" s="10">
        <v>9151</v>
      </c>
      <c r="AE139" s="33"/>
      <c r="AF139" s="10">
        <v>17057</v>
      </c>
      <c r="AG139" s="10">
        <v>23741</v>
      </c>
      <c r="AH139" s="10">
        <v>26667</v>
      </c>
      <c r="AI139" s="15"/>
    </row>
    <row r="140" spans="1:35">
      <c r="A140" s="6" t="s">
        <v>30</v>
      </c>
      <c r="B140" s="6">
        <v>2019</v>
      </c>
      <c r="C140" s="10">
        <v>116073</v>
      </c>
      <c r="D140" s="10">
        <v>1815</v>
      </c>
      <c r="E140" s="33"/>
      <c r="F140" s="10">
        <v>1100</v>
      </c>
      <c r="G140" s="33"/>
      <c r="H140" s="10">
        <v>715</v>
      </c>
      <c r="I140" s="33"/>
      <c r="J140" s="33"/>
      <c r="K140" s="10">
        <v>114257</v>
      </c>
      <c r="L140" s="10">
        <v>468</v>
      </c>
      <c r="M140" s="33"/>
      <c r="N140" s="10">
        <v>12210</v>
      </c>
      <c r="O140" s="30"/>
      <c r="P140" s="10">
        <v>35850</v>
      </c>
      <c r="Q140" s="10">
        <v>42936</v>
      </c>
      <c r="R140" s="10">
        <v>22793</v>
      </c>
      <c r="S140" s="10">
        <v>119677</v>
      </c>
      <c r="T140" s="10">
        <v>1815</v>
      </c>
      <c r="U140" s="33"/>
      <c r="V140" s="10">
        <v>1100</v>
      </c>
      <c r="W140" s="33"/>
      <c r="X140" s="10">
        <v>715</v>
      </c>
      <c r="Y140" s="33"/>
      <c r="Z140" s="33"/>
      <c r="AA140" s="10">
        <v>117862</v>
      </c>
      <c r="AB140" s="10">
        <v>468</v>
      </c>
      <c r="AC140" s="33"/>
      <c r="AD140" s="10">
        <v>13290</v>
      </c>
      <c r="AE140" s="33"/>
      <c r="AF140" s="10">
        <v>37346</v>
      </c>
      <c r="AG140" s="10">
        <v>43956</v>
      </c>
      <c r="AH140" s="10">
        <v>22801</v>
      </c>
      <c r="AI140" s="15"/>
    </row>
    <row r="141" spans="1:35">
      <c r="A141" s="6" t="s">
        <v>31</v>
      </c>
      <c r="B141" s="6">
        <v>2019</v>
      </c>
      <c r="C141" s="10">
        <v>46850</v>
      </c>
      <c r="D141" s="10">
        <v>193</v>
      </c>
      <c r="E141" s="33"/>
      <c r="F141" s="33"/>
      <c r="G141" s="33"/>
      <c r="H141" s="10">
        <v>193</v>
      </c>
      <c r="I141" s="33"/>
      <c r="J141" s="33"/>
      <c r="K141" s="10">
        <v>46658</v>
      </c>
      <c r="L141" s="33"/>
      <c r="M141" s="33"/>
      <c r="N141" s="10">
        <v>6727</v>
      </c>
      <c r="O141" s="30"/>
      <c r="P141" s="10">
        <v>14624</v>
      </c>
      <c r="Q141" s="10">
        <v>25275</v>
      </c>
      <c r="R141" s="10">
        <v>31</v>
      </c>
      <c r="S141" s="32">
        <v>64163</v>
      </c>
      <c r="T141" s="32">
        <v>385</v>
      </c>
      <c r="U141" s="33"/>
      <c r="V141" s="33"/>
      <c r="W141" s="33"/>
      <c r="X141" s="32">
        <v>385</v>
      </c>
      <c r="Y141" s="33"/>
      <c r="Z141" s="33"/>
      <c r="AA141" s="10">
        <v>63778</v>
      </c>
      <c r="AB141" s="33"/>
      <c r="AC141" s="33"/>
      <c r="AD141" s="10">
        <v>9000</v>
      </c>
      <c r="AE141" s="33"/>
      <c r="AF141" s="10">
        <v>19495</v>
      </c>
      <c r="AG141" s="10">
        <v>35249</v>
      </c>
      <c r="AH141" s="10">
        <v>34</v>
      </c>
      <c r="AI141" s="15"/>
    </row>
    <row r="142" spans="1:35">
      <c r="A142" s="6" t="s">
        <v>32</v>
      </c>
      <c r="B142" s="6">
        <v>2019</v>
      </c>
      <c r="C142" s="32">
        <v>32450</v>
      </c>
      <c r="D142" s="30"/>
      <c r="E142" s="33"/>
      <c r="F142" s="33"/>
      <c r="G142" s="33"/>
      <c r="H142" s="33"/>
      <c r="I142" s="33"/>
      <c r="J142" s="33"/>
      <c r="K142" s="10">
        <v>32450</v>
      </c>
      <c r="L142" s="33"/>
      <c r="M142" s="33"/>
      <c r="N142" s="10">
        <v>3167</v>
      </c>
      <c r="O142" s="30"/>
      <c r="P142" s="10">
        <v>10561</v>
      </c>
      <c r="Q142" s="10">
        <v>18679</v>
      </c>
      <c r="R142" s="10">
        <v>44</v>
      </c>
      <c r="S142" s="29">
        <v>39685</v>
      </c>
      <c r="T142" s="30"/>
      <c r="U142" s="33"/>
      <c r="V142" s="33"/>
      <c r="W142" s="33"/>
      <c r="X142" s="33"/>
      <c r="Y142" s="33"/>
      <c r="Z142" s="33"/>
      <c r="AA142" s="10">
        <v>39685</v>
      </c>
      <c r="AB142" s="33"/>
      <c r="AC142" s="33"/>
      <c r="AD142" s="10">
        <v>3829</v>
      </c>
      <c r="AE142" s="33"/>
      <c r="AF142" s="10">
        <v>12926</v>
      </c>
      <c r="AG142" s="10">
        <v>22886</v>
      </c>
      <c r="AH142" s="10">
        <v>44</v>
      </c>
      <c r="AI142" s="15"/>
    </row>
    <row r="143" spans="1:35">
      <c r="A143" s="6" t="s">
        <v>33</v>
      </c>
      <c r="B143" s="6">
        <v>2019</v>
      </c>
      <c r="C143" s="10">
        <v>57367</v>
      </c>
      <c r="D143" s="30"/>
      <c r="E143" s="33"/>
      <c r="F143" s="33"/>
      <c r="G143" s="33"/>
      <c r="H143" s="33"/>
      <c r="I143" s="33"/>
      <c r="J143" s="33"/>
      <c r="K143" s="10">
        <v>57367</v>
      </c>
      <c r="L143" s="33"/>
      <c r="M143" s="33"/>
      <c r="N143" s="10">
        <v>6228</v>
      </c>
      <c r="O143" s="30"/>
      <c r="P143" s="10">
        <v>13523</v>
      </c>
      <c r="Q143" s="10">
        <v>24013</v>
      </c>
      <c r="R143" s="10">
        <v>13602</v>
      </c>
      <c r="S143" s="29">
        <v>61750</v>
      </c>
      <c r="T143" s="30"/>
      <c r="U143" s="33"/>
      <c r="V143" s="33"/>
      <c r="W143" s="33"/>
      <c r="X143" s="33"/>
      <c r="Y143" s="33"/>
      <c r="Z143" s="33"/>
      <c r="AA143" s="10">
        <v>61750</v>
      </c>
      <c r="AB143" s="33"/>
      <c r="AC143" s="33"/>
      <c r="AD143" s="10">
        <v>6229</v>
      </c>
      <c r="AE143" s="33"/>
      <c r="AF143" s="10">
        <v>15846</v>
      </c>
      <c r="AG143" s="10">
        <v>25950</v>
      </c>
      <c r="AH143" s="10">
        <v>13725</v>
      </c>
      <c r="AI143" s="15"/>
    </row>
    <row r="144" spans="1:35">
      <c r="A144" s="6" t="s">
        <v>34</v>
      </c>
      <c r="B144" s="6">
        <v>2019</v>
      </c>
      <c r="C144" s="10">
        <v>7393</v>
      </c>
      <c r="D144" s="10">
        <v>427</v>
      </c>
      <c r="E144" s="33"/>
      <c r="F144" s="32">
        <v>106</v>
      </c>
      <c r="G144" s="33"/>
      <c r="H144" s="32">
        <v>81</v>
      </c>
      <c r="I144" s="33"/>
      <c r="J144" s="10">
        <v>241</v>
      </c>
      <c r="K144" s="10">
        <v>6966</v>
      </c>
      <c r="L144" s="10">
        <v>74</v>
      </c>
      <c r="M144" s="33"/>
      <c r="N144" s="10">
        <v>675</v>
      </c>
      <c r="O144" s="30"/>
      <c r="P144" s="10">
        <v>2123</v>
      </c>
      <c r="Q144" s="10">
        <v>1072</v>
      </c>
      <c r="R144" s="10">
        <v>3021</v>
      </c>
      <c r="S144" s="10">
        <v>10308</v>
      </c>
      <c r="T144" s="10">
        <v>461</v>
      </c>
      <c r="U144" s="33"/>
      <c r="V144" s="32">
        <v>106</v>
      </c>
      <c r="W144" s="33"/>
      <c r="X144" s="32">
        <v>81</v>
      </c>
      <c r="Y144" s="33"/>
      <c r="Z144" s="10">
        <v>274</v>
      </c>
      <c r="AA144" s="10">
        <v>9847</v>
      </c>
      <c r="AB144" s="10">
        <v>147</v>
      </c>
      <c r="AC144" s="33"/>
      <c r="AD144" s="10">
        <v>1152</v>
      </c>
      <c r="AE144" s="33"/>
      <c r="AF144" s="10">
        <v>3868</v>
      </c>
      <c r="AG144" s="10">
        <v>1159</v>
      </c>
      <c r="AH144" s="10">
        <v>3520</v>
      </c>
      <c r="AI144" s="15"/>
    </row>
    <row r="145" spans="1:35">
      <c r="A145" s="6" t="s">
        <v>35</v>
      </c>
      <c r="B145" s="6">
        <v>2019</v>
      </c>
      <c r="C145" s="10">
        <v>79542</v>
      </c>
      <c r="D145" s="10">
        <v>727</v>
      </c>
      <c r="E145" s="33"/>
      <c r="F145" s="10">
        <v>418</v>
      </c>
      <c r="G145" s="33"/>
      <c r="H145" s="10">
        <v>148</v>
      </c>
      <c r="I145" s="33"/>
      <c r="J145" s="10">
        <v>160</v>
      </c>
      <c r="K145" s="10">
        <v>78815</v>
      </c>
      <c r="L145" s="10">
        <v>1045</v>
      </c>
      <c r="M145" s="33"/>
      <c r="N145" s="10">
        <v>9916</v>
      </c>
      <c r="O145" s="30"/>
      <c r="P145" s="10">
        <v>23115</v>
      </c>
      <c r="Q145" s="10">
        <v>28973</v>
      </c>
      <c r="R145" s="10">
        <v>15766</v>
      </c>
      <c r="S145" s="29">
        <v>98644</v>
      </c>
      <c r="T145" s="29">
        <v>727</v>
      </c>
      <c r="U145" s="33"/>
      <c r="V145" s="29">
        <v>418</v>
      </c>
      <c r="W145" s="33"/>
      <c r="X145" s="29">
        <v>148</v>
      </c>
      <c r="Y145" s="33"/>
      <c r="Z145" s="10">
        <v>160</v>
      </c>
      <c r="AA145" s="10">
        <v>97917</v>
      </c>
      <c r="AB145" s="10">
        <v>1045</v>
      </c>
      <c r="AC145" s="33"/>
      <c r="AD145" s="10">
        <v>13130</v>
      </c>
      <c r="AE145" s="33"/>
      <c r="AF145" s="10">
        <v>30771</v>
      </c>
      <c r="AG145" s="10">
        <v>35284</v>
      </c>
      <c r="AH145" s="10">
        <v>17686</v>
      </c>
      <c r="AI145" s="15"/>
    </row>
    <row r="146" spans="1:35">
      <c r="A146" s="6" t="s">
        <v>36</v>
      </c>
      <c r="B146" s="6">
        <v>2019</v>
      </c>
      <c r="C146" s="10">
        <v>46578</v>
      </c>
      <c r="D146" s="10">
        <v>937</v>
      </c>
      <c r="E146" s="33"/>
      <c r="F146" s="10">
        <v>526</v>
      </c>
      <c r="G146" s="33"/>
      <c r="H146" s="10">
        <v>411</v>
      </c>
      <c r="I146" s="33"/>
      <c r="J146" s="33"/>
      <c r="K146" s="10">
        <v>45640</v>
      </c>
      <c r="L146" s="10">
        <v>834</v>
      </c>
      <c r="M146" s="33"/>
      <c r="N146" s="32">
        <v>6168</v>
      </c>
      <c r="O146" s="30"/>
      <c r="P146" s="10">
        <v>13724</v>
      </c>
      <c r="Q146" s="10">
        <v>14806</v>
      </c>
      <c r="R146" s="32">
        <v>10108</v>
      </c>
      <c r="S146" s="10">
        <v>69153</v>
      </c>
      <c r="T146" s="10">
        <v>1002</v>
      </c>
      <c r="U146" s="33"/>
      <c r="V146" s="10">
        <v>526</v>
      </c>
      <c r="W146" s="33"/>
      <c r="X146" s="10">
        <v>472</v>
      </c>
      <c r="Y146" s="33"/>
      <c r="Z146" s="10">
        <v>3</v>
      </c>
      <c r="AA146" s="10">
        <v>68151</v>
      </c>
      <c r="AB146" s="10">
        <v>1186</v>
      </c>
      <c r="AC146" s="33"/>
      <c r="AD146" s="10">
        <v>9652</v>
      </c>
      <c r="AE146" s="33"/>
      <c r="AF146" s="10">
        <v>19467</v>
      </c>
      <c r="AG146" s="10">
        <v>23897</v>
      </c>
      <c r="AH146" s="10">
        <v>13950</v>
      </c>
      <c r="AI146" s="15"/>
    </row>
    <row r="147" spans="1:35">
      <c r="A147" s="6" t="s">
        <v>37</v>
      </c>
      <c r="B147" s="6">
        <v>2019</v>
      </c>
      <c r="C147" s="10">
        <v>68136</v>
      </c>
      <c r="D147" s="10">
        <v>2945</v>
      </c>
      <c r="E147" s="10">
        <v>304</v>
      </c>
      <c r="F147" s="10">
        <v>1460</v>
      </c>
      <c r="G147" s="33"/>
      <c r="H147" s="10">
        <v>1180</v>
      </c>
      <c r="I147" s="33"/>
      <c r="J147" s="33"/>
      <c r="K147" s="10">
        <v>65192</v>
      </c>
      <c r="L147" s="10">
        <v>1231</v>
      </c>
      <c r="M147" s="33"/>
      <c r="N147" s="10">
        <v>5261</v>
      </c>
      <c r="O147" s="30"/>
      <c r="P147" s="10">
        <v>13598</v>
      </c>
      <c r="Q147" s="10">
        <v>18953</v>
      </c>
      <c r="R147" s="10">
        <v>26149</v>
      </c>
      <c r="S147" s="32">
        <v>77308</v>
      </c>
      <c r="T147" s="32">
        <v>3348</v>
      </c>
      <c r="U147" s="32">
        <v>304</v>
      </c>
      <c r="V147" s="32">
        <v>1460</v>
      </c>
      <c r="W147" s="33"/>
      <c r="X147" s="32">
        <v>1583</v>
      </c>
      <c r="Y147" s="33"/>
      <c r="Z147" s="33"/>
      <c r="AA147" s="29">
        <v>73961</v>
      </c>
      <c r="AB147" s="29">
        <v>1231</v>
      </c>
      <c r="AC147" s="33"/>
      <c r="AD147" s="29">
        <v>6689</v>
      </c>
      <c r="AE147" s="33"/>
      <c r="AF147" s="29">
        <v>17463</v>
      </c>
      <c r="AG147" s="29">
        <v>21555</v>
      </c>
      <c r="AH147" s="29">
        <v>27023</v>
      </c>
      <c r="AI147" s="15"/>
    </row>
    <row r="148" spans="1:35">
      <c r="A148" s="6" t="s">
        <v>38</v>
      </c>
      <c r="B148" s="6">
        <v>2019</v>
      </c>
      <c r="C148" s="29">
        <v>45780</v>
      </c>
      <c r="D148" s="30"/>
      <c r="E148" s="33"/>
      <c r="F148" s="33"/>
      <c r="G148" s="33"/>
      <c r="H148" s="33"/>
      <c r="I148" s="33"/>
      <c r="J148" s="33"/>
      <c r="K148" s="10">
        <v>45780</v>
      </c>
      <c r="L148" s="10">
        <v>342</v>
      </c>
      <c r="M148" s="33"/>
      <c r="N148" s="10">
        <v>4480</v>
      </c>
      <c r="O148" s="30"/>
      <c r="P148" s="10">
        <v>10177</v>
      </c>
      <c r="Q148" s="10">
        <v>16582</v>
      </c>
      <c r="R148" s="10">
        <v>14200</v>
      </c>
      <c r="S148" s="29">
        <v>52198</v>
      </c>
      <c r="T148" s="30"/>
      <c r="U148" s="33"/>
      <c r="V148" s="33"/>
      <c r="W148" s="33"/>
      <c r="X148" s="33"/>
      <c r="Y148" s="33"/>
      <c r="Z148" s="33"/>
      <c r="AA148" s="29">
        <v>52198</v>
      </c>
      <c r="AB148" s="29">
        <v>342</v>
      </c>
      <c r="AC148" s="33"/>
      <c r="AD148" s="29">
        <v>5427</v>
      </c>
      <c r="AE148" s="33"/>
      <c r="AF148" s="29">
        <v>13474</v>
      </c>
      <c r="AG148" s="29">
        <v>18522</v>
      </c>
      <c r="AH148" s="29">
        <v>14433</v>
      </c>
      <c r="AI148" s="15"/>
    </row>
    <row r="149" spans="1:35">
      <c r="A149" s="6" t="s">
        <v>39</v>
      </c>
      <c r="B149" s="6">
        <v>2019</v>
      </c>
      <c r="C149" s="10">
        <v>51140</v>
      </c>
      <c r="D149" s="10">
        <v>450</v>
      </c>
      <c r="E149" s="33"/>
      <c r="F149" s="10">
        <v>450</v>
      </c>
      <c r="G149" s="33"/>
      <c r="H149" s="33"/>
      <c r="I149" s="33"/>
      <c r="J149" s="33"/>
      <c r="K149" s="10">
        <v>50691</v>
      </c>
      <c r="L149" s="33"/>
      <c r="M149" s="33"/>
      <c r="N149" s="10">
        <v>4197</v>
      </c>
      <c r="O149" s="30"/>
      <c r="P149" s="10">
        <v>11857</v>
      </c>
      <c r="Q149" s="10">
        <v>16496</v>
      </c>
      <c r="R149" s="10">
        <v>18140</v>
      </c>
      <c r="S149" s="29">
        <v>54354</v>
      </c>
      <c r="T149" s="29">
        <v>450</v>
      </c>
      <c r="U149" s="33"/>
      <c r="V149" s="29">
        <v>450</v>
      </c>
      <c r="W149" s="33"/>
      <c r="X149" s="33"/>
      <c r="Y149" s="33"/>
      <c r="Z149" s="33"/>
      <c r="AA149" s="10">
        <v>53904</v>
      </c>
      <c r="AB149" s="33"/>
      <c r="AC149" s="33"/>
      <c r="AD149" s="10">
        <v>4879</v>
      </c>
      <c r="AE149" s="33"/>
      <c r="AF149" s="10">
        <v>13291</v>
      </c>
      <c r="AG149" s="10">
        <v>17558</v>
      </c>
      <c r="AH149" s="10">
        <v>18176</v>
      </c>
      <c r="AI149" s="15"/>
    </row>
    <row r="150" spans="1:35">
      <c r="A150" s="6" t="s">
        <v>40</v>
      </c>
      <c r="B150" s="6">
        <v>2019</v>
      </c>
      <c r="C150" s="32">
        <v>92993</v>
      </c>
      <c r="D150" s="32">
        <v>1544</v>
      </c>
      <c r="E150" s="33"/>
      <c r="F150" s="32">
        <v>1129</v>
      </c>
      <c r="G150" s="32">
        <v>415</v>
      </c>
      <c r="H150" s="33"/>
      <c r="I150" s="33"/>
      <c r="J150" s="33"/>
      <c r="K150" s="10">
        <v>91449</v>
      </c>
      <c r="L150" s="10">
        <v>711</v>
      </c>
      <c r="M150" s="33"/>
      <c r="N150" s="10">
        <v>7521</v>
      </c>
      <c r="O150" s="30"/>
      <c r="P150" s="10">
        <v>22183</v>
      </c>
      <c r="Q150" s="10">
        <v>28751</v>
      </c>
      <c r="R150" s="10">
        <v>32284</v>
      </c>
      <c r="S150" s="29">
        <v>111322</v>
      </c>
      <c r="T150" s="29">
        <v>1544</v>
      </c>
      <c r="U150" s="33"/>
      <c r="V150" s="29">
        <v>1129</v>
      </c>
      <c r="W150" s="29">
        <v>415</v>
      </c>
      <c r="X150" s="33"/>
      <c r="Y150" s="33"/>
      <c r="Z150" s="33"/>
      <c r="AA150" s="10">
        <v>109778</v>
      </c>
      <c r="AB150" s="10">
        <v>1423</v>
      </c>
      <c r="AC150" s="33"/>
      <c r="AD150" s="10">
        <v>10006</v>
      </c>
      <c r="AE150" s="33"/>
      <c r="AF150" s="10">
        <v>28853</v>
      </c>
      <c r="AG150" s="10">
        <v>34188</v>
      </c>
      <c r="AH150" s="10">
        <v>35309</v>
      </c>
      <c r="AI150" s="15"/>
    </row>
    <row r="151" spans="1:35">
      <c r="A151" s="6" t="s">
        <v>41</v>
      </c>
      <c r="B151" s="6">
        <v>2019</v>
      </c>
      <c r="C151" s="29">
        <v>79079</v>
      </c>
      <c r="D151" s="29">
        <v>1305</v>
      </c>
      <c r="E151" s="29">
        <v>537</v>
      </c>
      <c r="F151" s="29">
        <v>767</v>
      </c>
      <c r="G151" s="33"/>
      <c r="H151" s="33"/>
      <c r="I151" s="33"/>
      <c r="J151" s="33"/>
      <c r="K151" s="10">
        <v>77774</v>
      </c>
      <c r="L151" s="10">
        <v>343</v>
      </c>
      <c r="M151" s="33"/>
      <c r="N151" s="10">
        <v>6156</v>
      </c>
      <c r="O151" s="10">
        <v>95</v>
      </c>
      <c r="P151" s="10">
        <v>20282</v>
      </c>
      <c r="Q151" s="10">
        <v>25444</v>
      </c>
      <c r="R151" s="10">
        <v>25455</v>
      </c>
      <c r="S151" s="29">
        <v>83163</v>
      </c>
      <c r="T151" s="29">
        <v>1305</v>
      </c>
      <c r="U151" s="29">
        <v>537</v>
      </c>
      <c r="V151" s="29">
        <v>767</v>
      </c>
      <c r="W151" s="33"/>
      <c r="X151" s="33"/>
      <c r="Y151" s="33"/>
      <c r="Z151" s="33"/>
      <c r="AA151" s="10">
        <v>81859</v>
      </c>
      <c r="AB151" s="10">
        <v>343</v>
      </c>
      <c r="AC151" s="33"/>
      <c r="AD151" s="10">
        <v>8103</v>
      </c>
      <c r="AE151" s="10">
        <v>140</v>
      </c>
      <c r="AF151" s="10">
        <v>21266</v>
      </c>
      <c r="AG151" s="10">
        <v>26427</v>
      </c>
      <c r="AH151" s="10">
        <v>25579</v>
      </c>
      <c r="AI151" s="15"/>
    </row>
    <row r="152" spans="1:35">
      <c r="A152" s="6" t="s">
        <v>42</v>
      </c>
      <c r="B152" s="6">
        <v>2019</v>
      </c>
      <c r="C152" s="29">
        <v>69557</v>
      </c>
      <c r="D152" s="29">
        <v>2309</v>
      </c>
      <c r="E152" s="33"/>
      <c r="F152" s="29">
        <v>1185</v>
      </c>
      <c r="G152" s="33"/>
      <c r="H152" s="29">
        <v>1125</v>
      </c>
      <c r="I152" s="33"/>
      <c r="J152" s="33"/>
      <c r="K152" s="10">
        <v>67248</v>
      </c>
      <c r="L152" s="10">
        <v>180</v>
      </c>
      <c r="M152" s="33"/>
      <c r="N152" s="10">
        <v>9141</v>
      </c>
      <c r="O152" s="30"/>
      <c r="P152" s="10">
        <v>14315</v>
      </c>
      <c r="Q152" s="10">
        <v>21667</v>
      </c>
      <c r="R152" s="10">
        <v>21945</v>
      </c>
      <c r="S152" s="29">
        <v>73760</v>
      </c>
      <c r="T152" s="29">
        <v>2983</v>
      </c>
      <c r="U152" s="33"/>
      <c r="V152" s="29">
        <v>1185</v>
      </c>
      <c r="W152" s="33"/>
      <c r="X152" s="29">
        <v>1798</v>
      </c>
      <c r="Y152" s="33"/>
      <c r="Z152" s="33"/>
      <c r="AA152" s="10">
        <v>70778</v>
      </c>
      <c r="AB152" s="10">
        <v>180</v>
      </c>
      <c r="AC152" s="33"/>
      <c r="AD152" s="10">
        <v>9974</v>
      </c>
      <c r="AE152" s="33"/>
      <c r="AF152" s="10">
        <v>15570</v>
      </c>
      <c r="AG152" s="10">
        <v>22917</v>
      </c>
      <c r="AH152" s="10">
        <v>22136</v>
      </c>
      <c r="AI152" s="15"/>
    </row>
    <row r="153" spans="1:35">
      <c r="A153" s="6" t="s">
        <v>43</v>
      </c>
      <c r="B153" s="6">
        <v>2019</v>
      </c>
      <c r="C153" s="29">
        <v>65983</v>
      </c>
      <c r="D153" s="29">
        <v>2597</v>
      </c>
      <c r="E153" s="33"/>
      <c r="F153" s="29">
        <v>1740</v>
      </c>
      <c r="G153" s="33"/>
      <c r="H153" s="29">
        <v>857</v>
      </c>
      <c r="I153" s="33"/>
      <c r="J153" s="33"/>
      <c r="K153" s="10">
        <v>63386</v>
      </c>
      <c r="L153" s="33"/>
      <c r="M153" s="33"/>
      <c r="N153" s="10">
        <v>4573</v>
      </c>
      <c r="O153" s="30"/>
      <c r="P153" s="10">
        <v>14463</v>
      </c>
      <c r="Q153" s="10">
        <v>23030</v>
      </c>
      <c r="R153" s="10">
        <v>21320</v>
      </c>
      <c r="S153" s="29">
        <v>71706</v>
      </c>
      <c r="T153" s="29">
        <v>2597</v>
      </c>
      <c r="U153" s="33"/>
      <c r="V153" s="29">
        <v>1740</v>
      </c>
      <c r="W153" s="33"/>
      <c r="X153" s="29">
        <v>857</v>
      </c>
      <c r="Y153" s="33"/>
      <c r="Z153" s="33"/>
      <c r="AA153" s="10">
        <v>69109</v>
      </c>
      <c r="AB153" s="33"/>
      <c r="AC153" s="33"/>
      <c r="AD153" s="10">
        <v>4811</v>
      </c>
      <c r="AE153" s="33"/>
      <c r="AF153" s="10">
        <v>15862</v>
      </c>
      <c r="AG153" s="10">
        <v>24708</v>
      </c>
      <c r="AH153" s="10">
        <v>23729</v>
      </c>
      <c r="AI153" s="15"/>
    </row>
    <row r="154" spans="1:35">
      <c r="A154" s="6" t="s">
        <v>44</v>
      </c>
      <c r="B154" s="6">
        <v>2019</v>
      </c>
      <c r="C154" s="29">
        <v>56914</v>
      </c>
      <c r="D154" s="29">
        <v>19</v>
      </c>
      <c r="E154" s="33"/>
      <c r="F154" s="33"/>
      <c r="G154" s="33"/>
      <c r="H154" s="33"/>
      <c r="I154" s="33"/>
      <c r="J154" s="10">
        <v>19</v>
      </c>
      <c r="K154" s="10">
        <v>56895</v>
      </c>
      <c r="L154" s="33"/>
      <c r="M154" s="33"/>
      <c r="N154" s="10">
        <v>6901</v>
      </c>
      <c r="O154" s="30"/>
      <c r="P154" s="10">
        <v>17005</v>
      </c>
      <c r="Q154" s="10">
        <v>26223</v>
      </c>
      <c r="R154" s="10">
        <v>6767</v>
      </c>
      <c r="S154" s="29">
        <v>82129</v>
      </c>
      <c r="T154" s="29">
        <v>19</v>
      </c>
      <c r="U154" s="33"/>
      <c r="V154" s="33"/>
      <c r="W154" s="33"/>
      <c r="X154" s="33"/>
      <c r="Y154" s="33"/>
      <c r="Z154" s="10">
        <v>19</v>
      </c>
      <c r="AA154" s="10">
        <v>82110</v>
      </c>
      <c r="AB154" s="33"/>
      <c r="AC154" s="33"/>
      <c r="AD154" s="10">
        <v>11120</v>
      </c>
      <c r="AE154" s="33"/>
      <c r="AF154" s="10">
        <v>26706</v>
      </c>
      <c r="AG154" s="10">
        <v>37238</v>
      </c>
      <c r="AH154" s="10">
        <v>7047</v>
      </c>
      <c r="AI154" s="15"/>
    </row>
    <row r="155" spans="1:35">
      <c r="A155" s="6" t="s">
        <v>45</v>
      </c>
      <c r="B155" s="6">
        <v>2019</v>
      </c>
      <c r="C155" s="29">
        <v>74155</v>
      </c>
      <c r="D155" s="30"/>
      <c r="E155" s="33"/>
      <c r="F155" s="33"/>
      <c r="G155" s="33"/>
      <c r="H155" s="33"/>
      <c r="I155" s="33"/>
      <c r="J155" s="33"/>
      <c r="K155" s="29">
        <v>74155</v>
      </c>
      <c r="L155" s="33"/>
      <c r="M155" s="33"/>
      <c r="N155" s="29">
        <v>2373</v>
      </c>
      <c r="O155" s="30"/>
      <c r="P155" s="29">
        <v>15220</v>
      </c>
      <c r="Q155" s="29">
        <v>22303</v>
      </c>
      <c r="R155" s="29">
        <v>34259</v>
      </c>
      <c r="S155" s="29">
        <v>78287</v>
      </c>
      <c r="T155" s="30"/>
      <c r="U155" s="33"/>
      <c r="V155" s="33"/>
      <c r="W155" s="33"/>
      <c r="X155" s="33"/>
      <c r="Y155" s="33"/>
      <c r="Z155" s="33"/>
      <c r="AA155" s="10">
        <v>78287</v>
      </c>
      <c r="AB155" s="33"/>
      <c r="AC155" s="33"/>
      <c r="AD155" s="10">
        <v>2500</v>
      </c>
      <c r="AE155" s="33"/>
      <c r="AF155" s="10">
        <v>18782</v>
      </c>
      <c r="AG155" s="10">
        <v>23580</v>
      </c>
      <c r="AH155" s="10">
        <v>33425</v>
      </c>
      <c r="AI155" s="15"/>
    </row>
    <row r="156" spans="1:35">
      <c r="A156" s="6" t="s">
        <v>46</v>
      </c>
      <c r="B156" s="6">
        <v>2019</v>
      </c>
      <c r="C156" s="29">
        <v>10694</v>
      </c>
      <c r="D156" s="30"/>
      <c r="E156" s="33"/>
      <c r="F156" s="33"/>
      <c r="G156" s="33"/>
      <c r="H156" s="33"/>
      <c r="I156" s="33"/>
      <c r="J156" s="33"/>
      <c r="K156" s="10">
        <v>10694</v>
      </c>
      <c r="L156" s="33"/>
      <c r="M156" s="33"/>
      <c r="N156" s="33"/>
      <c r="O156" s="30"/>
      <c r="P156" s="10">
        <v>4048</v>
      </c>
      <c r="Q156" s="10">
        <v>3998</v>
      </c>
      <c r="R156" s="10">
        <v>2648</v>
      </c>
      <c r="S156" s="29">
        <v>10694</v>
      </c>
      <c r="T156" s="30"/>
      <c r="U156" s="33"/>
      <c r="V156" s="33"/>
      <c r="W156" s="33"/>
      <c r="X156" s="33"/>
      <c r="Y156" s="33"/>
      <c r="Z156" s="33"/>
      <c r="AA156" s="10">
        <v>10694</v>
      </c>
      <c r="AB156" s="33"/>
      <c r="AC156" s="33"/>
      <c r="AD156" s="33"/>
      <c r="AE156" s="33"/>
      <c r="AF156" s="10">
        <v>4048</v>
      </c>
      <c r="AG156" s="10">
        <v>3998</v>
      </c>
      <c r="AH156" s="10">
        <v>2648</v>
      </c>
      <c r="AI156" s="15"/>
    </row>
    <row r="157" spans="1:35">
      <c r="A157" s="6" t="s">
        <v>47</v>
      </c>
      <c r="B157" s="6">
        <v>2019</v>
      </c>
      <c r="C157" s="29">
        <v>33077</v>
      </c>
      <c r="D157" s="29">
        <v>676</v>
      </c>
      <c r="E157" s="33"/>
      <c r="F157" s="29">
        <v>676</v>
      </c>
      <c r="G157" s="33"/>
      <c r="H157" s="33"/>
      <c r="I157" s="33"/>
      <c r="J157" s="33"/>
      <c r="K157" s="10">
        <v>32401</v>
      </c>
      <c r="L157" s="33"/>
      <c r="M157" s="33"/>
      <c r="N157" s="10">
        <v>2868</v>
      </c>
      <c r="O157" s="30"/>
      <c r="P157" s="10">
        <v>7396</v>
      </c>
      <c r="Q157" s="10">
        <v>10399</v>
      </c>
      <c r="R157" s="10">
        <v>11737</v>
      </c>
      <c r="S157" s="10">
        <v>37746</v>
      </c>
      <c r="T157" s="10">
        <v>676</v>
      </c>
      <c r="U157" s="33"/>
      <c r="V157" s="10">
        <v>676</v>
      </c>
      <c r="W157" s="33"/>
      <c r="X157" s="33"/>
      <c r="Y157" s="33"/>
      <c r="Z157" s="33"/>
      <c r="AA157" s="10">
        <v>37070</v>
      </c>
      <c r="AB157" s="33"/>
      <c r="AC157" s="33"/>
      <c r="AD157" s="10">
        <v>3666</v>
      </c>
      <c r="AE157" s="33"/>
      <c r="AF157" s="10">
        <v>9166</v>
      </c>
      <c r="AG157" s="10">
        <v>11965</v>
      </c>
      <c r="AH157" s="10">
        <v>12274</v>
      </c>
      <c r="AI157" s="15"/>
    </row>
    <row r="158" spans="1:35">
      <c r="A158" s="6" t="s">
        <v>48</v>
      </c>
      <c r="B158" s="6">
        <v>2019</v>
      </c>
      <c r="C158" s="32">
        <v>89002</v>
      </c>
      <c r="D158" s="32">
        <v>1094</v>
      </c>
      <c r="E158" s="33"/>
      <c r="F158" s="32">
        <v>854</v>
      </c>
      <c r="G158" s="33"/>
      <c r="H158" s="32">
        <v>240</v>
      </c>
      <c r="I158" s="33"/>
      <c r="J158" s="33"/>
      <c r="K158" s="10">
        <v>87908</v>
      </c>
      <c r="L158" s="33"/>
      <c r="M158" s="33"/>
      <c r="N158" s="10">
        <v>11527</v>
      </c>
      <c r="O158" s="30"/>
      <c r="P158" s="10">
        <v>17999</v>
      </c>
      <c r="Q158" s="10">
        <v>28187</v>
      </c>
      <c r="R158" s="10">
        <v>30195</v>
      </c>
      <c r="S158" s="10">
        <v>99723</v>
      </c>
      <c r="T158" s="10">
        <v>1094</v>
      </c>
      <c r="U158" s="33"/>
      <c r="V158" s="10">
        <v>854</v>
      </c>
      <c r="W158" s="33"/>
      <c r="X158" s="10">
        <v>240</v>
      </c>
      <c r="Y158" s="33"/>
      <c r="Z158" s="33"/>
      <c r="AA158" s="10">
        <v>98628</v>
      </c>
      <c r="AB158" s="33"/>
      <c r="AC158" s="33"/>
      <c r="AD158" s="10">
        <v>16077</v>
      </c>
      <c r="AE158" s="33"/>
      <c r="AF158" s="10">
        <v>21984</v>
      </c>
      <c r="AG158" s="10">
        <v>30132</v>
      </c>
      <c r="AH158" s="10">
        <v>30435</v>
      </c>
      <c r="AI158" s="15"/>
    </row>
    <row r="159" spans="1:35">
      <c r="A159" s="6" t="s">
        <v>49</v>
      </c>
      <c r="B159" s="6">
        <v>2019</v>
      </c>
      <c r="C159" s="29">
        <v>56449</v>
      </c>
      <c r="D159" s="30"/>
      <c r="E159" s="33"/>
      <c r="F159" s="33"/>
      <c r="G159" s="33"/>
      <c r="H159" s="33"/>
      <c r="I159" s="33"/>
      <c r="J159" s="33"/>
      <c r="K159" s="10">
        <v>56449</v>
      </c>
      <c r="L159" s="33"/>
      <c r="M159" s="33"/>
      <c r="N159" s="10">
        <v>4033</v>
      </c>
      <c r="O159" s="30"/>
      <c r="P159" s="10">
        <v>13572</v>
      </c>
      <c r="Q159" s="10">
        <v>18319</v>
      </c>
      <c r="R159" s="10">
        <v>20526</v>
      </c>
      <c r="S159" s="29">
        <v>57959</v>
      </c>
      <c r="T159" s="30"/>
      <c r="U159" s="33"/>
      <c r="V159" s="33"/>
      <c r="W159" s="33"/>
      <c r="X159" s="33"/>
      <c r="Y159" s="33"/>
      <c r="Z159" s="33"/>
      <c r="AA159" s="10">
        <v>57959</v>
      </c>
      <c r="AB159" s="33"/>
      <c r="AC159" s="33"/>
      <c r="AD159" s="10">
        <v>4033</v>
      </c>
      <c r="AE159" s="33"/>
      <c r="AF159" s="10">
        <v>13572</v>
      </c>
      <c r="AG159" s="10">
        <v>19170</v>
      </c>
      <c r="AH159" s="10">
        <v>21184</v>
      </c>
      <c r="AI159" s="15"/>
    </row>
    <row r="160" spans="1:35">
      <c r="A160" s="6" t="s">
        <v>50</v>
      </c>
      <c r="B160" s="6">
        <v>2019</v>
      </c>
      <c r="C160" s="29">
        <v>91072</v>
      </c>
      <c r="D160" s="29">
        <v>562</v>
      </c>
      <c r="E160" s="33"/>
      <c r="F160" s="33"/>
      <c r="G160" s="33"/>
      <c r="H160" s="29">
        <v>562</v>
      </c>
      <c r="I160" s="33"/>
      <c r="J160" s="33"/>
      <c r="K160" s="10">
        <v>90510</v>
      </c>
      <c r="L160" s="33"/>
      <c r="M160" s="33"/>
      <c r="N160" s="10">
        <v>12849</v>
      </c>
      <c r="O160" s="30"/>
      <c r="P160" s="10">
        <v>17216</v>
      </c>
      <c r="Q160" s="10">
        <v>26711</v>
      </c>
      <c r="R160" s="10">
        <v>33733</v>
      </c>
      <c r="S160" s="10">
        <v>91813</v>
      </c>
      <c r="T160" s="10">
        <v>562</v>
      </c>
      <c r="U160" s="33"/>
      <c r="V160" s="33"/>
      <c r="W160" s="33"/>
      <c r="X160" s="10">
        <v>562</v>
      </c>
      <c r="Y160" s="33"/>
      <c r="Z160" s="33"/>
      <c r="AA160" s="10">
        <v>91251</v>
      </c>
      <c r="AB160" s="33"/>
      <c r="AC160" s="33"/>
      <c r="AD160" s="10">
        <v>12951</v>
      </c>
      <c r="AE160" s="33"/>
      <c r="AF160" s="10">
        <v>17294</v>
      </c>
      <c r="AG160" s="10">
        <v>27125</v>
      </c>
      <c r="AH160" s="10">
        <v>33882</v>
      </c>
      <c r="AI160" s="15"/>
    </row>
    <row r="161" spans="1:35">
      <c r="A161" s="6" t="s">
        <v>51</v>
      </c>
      <c r="B161" s="6">
        <v>2019</v>
      </c>
      <c r="C161" s="10">
        <v>24886</v>
      </c>
      <c r="D161" s="10">
        <v>423</v>
      </c>
      <c r="E161" s="33"/>
      <c r="F161" s="33"/>
      <c r="G161" s="33"/>
      <c r="H161" s="33"/>
      <c r="I161" s="10">
        <v>423</v>
      </c>
      <c r="J161" s="33"/>
      <c r="K161" s="10">
        <v>24463</v>
      </c>
      <c r="L161" s="33"/>
      <c r="M161" s="33"/>
      <c r="N161" s="10">
        <v>2434</v>
      </c>
      <c r="O161" s="30"/>
      <c r="P161" s="10">
        <v>2700</v>
      </c>
      <c r="Q161" s="10">
        <v>10612</v>
      </c>
      <c r="R161" s="10">
        <v>8717</v>
      </c>
      <c r="S161" s="10">
        <v>25171</v>
      </c>
      <c r="T161" s="10">
        <v>423</v>
      </c>
      <c r="U161" s="33"/>
      <c r="V161" s="33"/>
      <c r="W161" s="33"/>
      <c r="X161" s="33"/>
      <c r="Y161" s="10">
        <v>423</v>
      </c>
      <c r="Z161" s="33"/>
      <c r="AA161" s="10">
        <v>24748</v>
      </c>
      <c r="AB161" s="33"/>
      <c r="AC161" s="33"/>
      <c r="AD161" s="10">
        <v>2434</v>
      </c>
      <c r="AE161" s="33"/>
      <c r="AF161" s="10">
        <v>2986</v>
      </c>
      <c r="AG161" s="10">
        <v>10612</v>
      </c>
      <c r="AH161" s="10">
        <v>8717</v>
      </c>
      <c r="AI161" s="15"/>
    </row>
    <row r="162" spans="1:35">
      <c r="A162" s="6" t="s">
        <v>52</v>
      </c>
      <c r="B162" s="6">
        <v>2019</v>
      </c>
      <c r="C162" s="10">
        <v>58702</v>
      </c>
      <c r="D162" s="10">
        <v>2158</v>
      </c>
      <c r="E162" s="10">
        <v>405</v>
      </c>
      <c r="F162" s="10">
        <v>1151</v>
      </c>
      <c r="G162" s="10">
        <v>308</v>
      </c>
      <c r="H162" s="10">
        <v>294</v>
      </c>
      <c r="I162" s="33"/>
      <c r="J162" s="33"/>
      <c r="K162" s="10">
        <v>56545</v>
      </c>
      <c r="L162" s="10">
        <v>359</v>
      </c>
      <c r="M162" s="10">
        <v>3004</v>
      </c>
      <c r="N162" s="10">
        <v>271</v>
      </c>
      <c r="O162" s="10">
        <v>10193</v>
      </c>
      <c r="P162" s="10">
        <v>327</v>
      </c>
      <c r="Q162" s="10">
        <v>24223</v>
      </c>
      <c r="R162" s="10">
        <v>18169</v>
      </c>
      <c r="S162" s="10">
        <v>62763</v>
      </c>
      <c r="T162" s="10">
        <v>2158</v>
      </c>
      <c r="U162" s="10">
        <v>405</v>
      </c>
      <c r="V162" s="10">
        <v>1151</v>
      </c>
      <c r="W162" s="10">
        <v>308</v>
      </c>
      <c r="X162" s="10">
        <v>294</v>
      </c>
      <c r="Y162" s="33"/>
      <c r="Z162" s="33"/>
      <c r="AA162" s="10">
        <v>60605</v>
      </c>
      <c r="AB162" s="10">
        <v>359</v>
      </c>
      <c r="AC162" s="10">
        <v>3913</v>
      </c>
      <c r="AD162" s="10">
        <v>271</v>
      </c>
      <c r="AE162" s="10">
        <v>11373</v>
      </c>
      <c r="AF162" s="10">
        <v>327</v>
      </c>
      <c r="AG162" s="10">
        <v>26098</v>
      </c>
      <c r="AH162" s="10">
        <v>18265</v>
      </c>
      <c r="AI162" s="15"/>
    </row>
    <row r="163" spans="1:35">
      <c r="A163" s="6" t="s">
        <v>53</v>
      </c>
      <c r="B163" s="6">
        <v>2019</v>
      </c>
      <c r="C163" s="29">
        <v>66048</v>
      </c>
      <c r="D163" s="29">
        <v>3863</v>
      </c>
      <c r="E163" s="29">
        <v>1264</v>
      </c>
      <c r="F163" s="29">
        <v>2599</v>
      </c>
      <c r="G163" s="33"/>
      <c r="H163" s="33"/>
      <c r="I163" s="33"/>
      <c r="J163" s="33"/>
      <c r="K163" s="10">
        <v>62184</v>
      </c>
      <c r="L163" s="33"/>
      <c r="M163" s="10">
        <v>4619</v>
      </c>
      <c r="N163" s="33"/>
      <c r="O163" s="10">
        <v>11206</v>
      </c>
      <c r="P163" s="10">
        <v>781</v>
      </c>
      <c r="Q163" s="10">
        <v>23521</v>
      </c>
      <c r="R163" s="10">
        <v>22056</v>
      </c>
      <c r="S163" s="10">
        <v>68877</v>
      </c>
      <c r="T163" s="10">
        <v>3863</v>
      </c>
      <c r="U163" s="10">
        <v>1264</v>
      </c>
      <c r="V163" s="10">
        <v>2599</v>
      </c>
      <c r="W163" s="33"/>
      <c r="X163" s="33"/>
      <c r="Y163" s="33"/>
      <c r="Z163" s="33"/>
      <c r="AA163" s="10">
        <v>65014</v>
      </c>
      <c r="AB163" s="33"/>
      <c r="AC163" s="10">
        <v>6528</v>
      </c>
      <c r="AD163" s="33"/>
      <c r="AE163" s="10">
        <v>11613</v>
      </c>
      <c r="AF163" s="10">
        <v>826</v>
      </c>
      <c r="AG163" s="10">
        <v>23950</v>
      </c>
      <c r="AH163" s="10">
        <v>22097</v>
      </c>
      <c r="AI163" s="15"/>
    </row>
    <row r="164" spans="1:35">
      <c r="A164" s="6" t="s">
        <v>54</v>
      </c>
      <c r="B164" s="6">
        <v>2019</v>
      </c>
      <c r="C164" s="10">
        <v>32818</v>
      </c>
      <c r="D164" s="32">
        <v>608</v>
      </c>
      <c r="E164" s="33"/>
      <c r="F164" s="33"/>
      <c r="G164" s="33"/>
      <c r="H164" s="33"/>
      <c r="I164" s="32">
        <v>608</v>
      </c>
      <c r="J164" s="33"/>
      <c r="K164" s="10">
        <v>32210</v>
      </c>
      <c r="L164" s="33"/>
      <c r="M164" s="10">
        <v>3003</v>
      </c>
      <c r="N164" s="33"/>
      <c r="O164" s="10">
        <v>7014</v>
      </c>
      <c r="P164" s="33"/>
      <c r="Q164" s="10">
        <v>13462</v>
      </c>
      <c r="R164" s="10">
        <v>8731</v>
      </c>
      <c r="S164" s="10">
        <v>34553</v>
      </c>
      <c r="T164" s="32">
        <v>1216</v>
      </c>
      <c r="U164" s="33"/>
      <c r="V164" s="33"/>
      <c r="W164" s="33"/>
      <c r="X164" s="33"/>
      <c r="Y164" s="32">
        <v>1216</v>
      </c>
      <c r="Z164" s="33"/>
      <c r="AA164" s="10">
        <v>33337</v>
      </c>
      <c r="AB164" s="33"/>
      <c r="AC164" s="10">
        <v>3180</v>
      </c>
      <c r="AD164" s="33"/>
      <c r="AE164" s="10">
        <v>7142</v>
      </c>
      <c r="AF164" s="33"/>
      <c r="AG164" s="10">
        <v>14087</v>
      </c>
      <c r="AH164" s="10">
        <v>8928</v>
      </c>
      <c r="AI164" s="15"/>
    </row>
    <row r="165" spans="1:35">
      <c r="A165" s="6" t="s">
        <v>55</v>
      </c>
      <c r="B165" s="6">
        <v>2019</v>
      </c>
      <c r="C165" s="10">
        <v>16308</v>
      </c>
      <c r="D165" s="10">
        <v>486</v>
      </c>
      <c r="E165" s="10">
        <v>186</v>
      </c>
      <c r="F165" s="10">
        <v>195</v>
      </c>
      <c r="G165" s="10">
        <v>106</v>
      </c>
      <c r="H165" s="33"/>
      <c r="I165" s="33"/>
      <c r="J165" s="33"/>
      <c r="K165" s="10">
        <v>15822</v>
      </c>
      <c r="L165" s="33"/>
      <c r="M165" s="10">
        <v>1288</v>
      </c>
      <c r="N165" s="33"/>
      <c r="O165" s="10">
        <v>1888</v>
      </c>
      <c r="P165" s="10">
        <v>2205</v>
      </c>
      <c r="Q165" s="10">
        <v>6358</v>
      </c>
      <c r="R165" s="10">
        <v>4083</v>
      </c>
      <c r="S165" s="10">
        <v>19041</v>
      </c>
      <c r="T165" s="10">
        <v>486</v>
      </c>
      <c r="U165" s="32">
        <v>186</v>
      </c>
      <c r="V165" s="10">
        <v>195</v>
      </c>
      <c r="W165" s="32">
        <v>106</v>
      </c>
      <c r="X165" s="33"/>
      <c r="Y165" s="33"/>
      <c r="Z165" s="33"/>
      <c r="AA165" s="10">
        <v>18555</v>
      </c>
      <c r="AB165" s="33"/>
      <c r="AC165" s="10">
        <v>2247</v>
      </c>
      <c r="AD165" s="33"/>
      <c r="AE165" s="10">
        <v>2045</v>
      </c>
      <c r="AF165" s="10">
        <v>2411</v>
      </c>
      <c r="AG165" s="10">
        <v>7574</v>
      </c>
      <c r="AH165" s="10">
        <v>4277</v>
      </c>
      <c r="AI165" s="15"/>
    </row>
    <row r="166" spans="1:35">
      <c r="A166" s="6" t="s">
        <v>56</v>
      </c>
      <c r="B166" s="6">
        <v>2019</v>
      </c>
      <c r="C166" s="10">
        <v>82456</v>
      </c>
      <c r="D166" s="10">
        <v>764</v>
      </c>
      <c r="E166" s="10">
        <v>599</v>
      </c>
      <c r="F166" s="10">
        <v>166</v>
      </c>
      <c r="G166" s="33"/>
      <c r="H166" s="33"/>
      <c r="I166" s="33"/>
      <c r="J166" s="33"/>
      <c r="K166" s="10">
        <v>81692</v>
      </c>
      <c r="L166" s="33"/>
      <c r="M166" s="10">
        <v>7193</v>
      </c>
      <c r="N166" s="10">
        <v>282</v>
      </c>
      <c r="O166" s="30"/>
      <c r="P166" s="10">
        <v>21370</v>
      </c>
      <c r="Q166" s="10">
        <v>26402</v>
      </c>
      <c r="R166" s="10">
        <v>26447</v>
      </c>
      <c r="S166" s="10">
        <v>85176</v>
      </c>
      <c r="T166" s="10">
        <v>764</v>
      </c>
      <c r="U166" s="10">
        <v>599</v>
      </c>
      <c r="V166" s="10">
        <v>166</v>
      </c>
      <c r="W166" s="33"/>
      <c r="X166" s="33"/>
      <c r="Y166" s="33"/>
      <c r="Z166" s="33"/>
      <c r="AA166" s="10">
        <v>84411</v>
      </c>
      <c r="AB166" s="33"/>
      <c r="AC166" s="10">
        <v>7388</v>
      </c>
      <c r="AD166" s="10">
        <v>282</v>
      </c>
      <c r="AE166" s="33"/>
      <c r="AF166" s="10">
        <v>22448</v>
      </c>
      <c r="AG166" s="10">
        <v>27548</v>
      </c>
      <c r="AH166" s="10">
        <v>26746</v>
      </c>
      <c r="AI166" s="15"/>
    </row>
    <row r="167" spans="1:35">
      <c r="A167" s="6" t="s">
        <v>57</v>
      </c>
      <c r="B167" s="6">
        <v>2019</v>
      </c>
      <c r="C167" s="10">
        <v>19720</v>
      </c>
      <c r="D167" s="10">
        <v>10119</v>
      </c>
      <c r="E167" s="33"/>
      <c r="F167" s="10">
        <v>4744</v>
      </c>
      <c r="G167" s="33"/>
      <c r="H167" s="10">
        <v>5375</v>
      </c>
      <c r="I167" s="33"/>
      <c r="J167" s="33"/>
      <c r="K167" s="10">
        <v>9600</v>
      </c>
      <c r="L167" s="33"/>
      <c r="M167" s="33"/>
      <c r="N167" s="10">
        <v>9409</v>
      </c>
      <c r="O167" s="30"/>
      <c r="P167" s="10">
        <v>191</v>
      </c>
      <c r="Q167" s="33"/>
      <c r="R167" s="30"/>
      <c r="S167" s="29">
        <v>21867</v>
      </c>
      <c r="T167" s="29">
        <v>11342</v>
      </c>
      <c r="U167" s="33"/>
      <c r="V167" s="29">
        <v>4744</v>
      </c>
      <c r="W167" s="33"/>
      <c r="X167" s="29">
        <v>6598</v>
      </c>
      <c r="Y167" s="33"/>
      <c r="Z167" s="33"/>
      <c r="AA167" s="10">
        <v>10525</v>
      </c>
      <c r="AB167" s="33"/>
      <c r="AC167" s="33"/>
      <c r="AD167" s="10">
        <v>10326</v>
      </c>
      <c r="AE167" s="33"/>
      <c r="AF167" s="32">
        <v>200</v>
      </c>
      <c r="AG167" s="30"/>
      <c r="AH167" s="30"/>
      <c r="AI167" s="15"/>
    </row>
    <row r="168" spans="1:35">
      <c r="A168" s="6" t="s">
        <v>25</v>
      </c>
      <c r="B168" s="6">
        <v>2020</v>
      </c>
      <c r="C168" s="22">
        <v>1881903</v>
      </c>
      <c r="D168" s="22">
        <v>42284</v>
      </c>
      <c r="E168" s="22">
        <v>3295</v>
      </c>
      <c r="F168" s="22">
        <v>23632</v>
      </c>
      <c r="G168" s="22">
        <v>1334</v>
      </c>
      <c r="H168" s="22">
        <v>12124</v>
      </c>
      <c r="I168" s="22">
        <v>1639</v>
      </c>
      <c r="J168" s="19">
        <v>260</v>
      </c>
      <c r="K168" s="36">
        <v>1839619</v>
      </c>
      <c r="L168" s="22">
        <v>10348</v>
      </c>
      <c r="M168" s="22">
        <v>23000</v>
      </c>
      <c r="N168" s="22">
        <v>170674</v>
      </c>
      <c r="O168" s="22">
        <v>32526</v>
      </c>
      <c r="P168" s="22">
        <v>413786</v>
      </c>
      <c r="Q168" s="22">
        <v>651038</v>
      </c>
      <c r="R168" s="22">
        <v>538248</v>
      </c>
      <c r="S168" s="25">
        <v>2156170</v>
      </c>
      <c r="T168" s="25">
        <v>46324</v>
      </c>
      <c r="U168" s="25">
        <v>3295</v>
      </c>
      <c r="V168" s="25">
        <v>24980</v>
      </c>
      <c r="W168" s="25">
        <v>1334</v>
      </c>
      <c r="X168" s="25">
        <v>14783</v>
      </c>
      <c r="Y168" s="25">
        <v>1639</v>
      </c>
      <c r="Z168" s="22">
        <v>293</v>
      </c>
      <c r="AA168" s="22">
        <v>2109846</v>
      </c>
      <c r="AB168" s="22">
        <v>13361</v>
      </c>
      <c r="AC168" s="22">
        <v>25046</v>
      </c>
      <c r="AD168" s="22">
        <v>203058</v>
      </c>
      <c r="AE168" s="22">
        <v>36597</v>
      </c>
      <c r="AF168" s="22">
        <v>488543</v>
      </c>
      <c r="AG168" s="22">
        <v>752563</v>
      </c>
      <c r="AH168" s="22">
        <v>590678</v>
      </c>
      <c r="AI168" s="15"/>
    </row>
    <row r="169" spans="1:35">
      <c r="A169" s="6" t="s">
        <v>26</v>
      </c>
      <c r="B169" s="6">
        <v>2020</v>
      </c>
      <c r="C169" s="22">
        <v>9261</v>
      </c>
      <c r="D169" s="37"/>
      <c r="E169" s="37"/>
      <c r="F169" s="37"/>
      <c r="G169" s="37"/>
      <c r="H169" s="37"/>
      <c r="I169" s="37"/>
      <c r="J169" s="37"/>
      <c r="K169" s="22">
        <v>9261</v>
      </c>
      <c r="L169" s="37"/>
      <c r="M169" s="37"/>
      <c r="N169" s="22">
        <v>312</v>
      </c>
      <c r="O169" s="37"/>
      <c r="P169" s="22">
        <v>2978</v>
      </c>
      <c r="Q169" s="22">
        <v>4323</v>
      </c>
      <c r="R169" s="22">
        <v>1648</v>
      </c>
      <c r="S169" s="25">
        <v>11656</v>
      </c>
      <c r="T169" s="37"/>
      <c r="U169" s="37"/>
      <c r="V169" s="37"/>
      <c r="W169" s="37"/>
      <c r="X169" s="37"/>
      <c r="Y169" s="37"/>
      <c r="Z169" s="37"/>
      <c r="AA169" s="22">
        <v>11656</v>
      </c>
      <c r="AB169" s="37"/>
      <c r="AC169" s="37"/>
      <c r="AD169" s="22">
        <v>1812</v>
      </c>
      <c r="AE169" s="37"/>
      <c r="AF169" s="22">
        <v>3367</v>
      </c>
      <c r="AG169" s="22">
        <v>4610</v>
      </c>
      <c r="AH169" s="22">
        <v>1867</v>
      </c>
      <c r="AI169" s="15"/>
    </row>
    <row r="170" spans="1:35">
      <c r="A170" s="6" t="s">
        <v>27</v>
      </c>
      <c r="B170" s="6">
        <v>2020</v>
      </c>
      <c r="C170" s="22">
        <v>14628</v>
      </c>
      <c r="D170" s="22">
        <v>392</v>
      </c>
      <c r="E170" s="37"/>
      <c r="F170" s="22">
        <v>392</v>
      </c>
      <c r="G170" s="37"/>
      <c r="H170" s="37"/>
      <c r="I170" s="37"/>
      <c r="J170" s="37"/>
      <c r="K170" s="22">
        <v>14236</v>
      </c>
      <c r="L170" s="22">
        <v>579</v>
      </c>
      <c r="M170" s="37"/>
      <c r="N170" s="22">
        <v>1093</v>
      </c>
      <c r="O170" s="37"/>
      <c r="P170" s="22">
        <v>3627</v>
      </c>
      <c r="Q170" s="22">
        <v>4193</v>
      </c>
      <c r="R170" s="22">
        <v>4744</v>
      </c>
      <c r="S170" s="24">
        <v>14628</v>
      </c>
      <c r="T170" s="24">
        <v>392</v>
      </c>
      <c r="U170" s="37"/>
      <c r="V170" s="24">
        <v>392</v>
      </c>
      <c r="W170" s="37"/>
      <c r="X170" s="37"/>
      <c r="Y170" s="37"/>
      <c r="Z170" s="15"/>
      <c r="AA170" s="15">
        <v>14236</v>
      </c>
      <c r="AB170" s="22">
        <v>579</v>
      </c>
      <c r="AC170" s="37"/>
      <c r="AD170" s="22">
        <v>1093</v>
      </c>
      <c r="AE170" s="37"/>
      <c r="AF170" s="22">
        <v>3627</v>
      </c>
      <c r="AG170" s="22">
        <v>4193</v>
      </c>
      <c r="AH170" s="22">
        <v>4744</v>
      </c>
      <c r="AI170" s="15"/>
    </row>
    <row r="171" spans="1:35">
      <c r="A171" s="6" t="s">
        <v>28</v>
      </c>
      <c r="B171" s="6">
        <v>2020</v>
      </c>
      <c r="C171" s="22">
        <v>105627</v>
      </c>
      <c r="D171" s="22">
        <v>1598</v>
      </c>
      <c r="E171" s="37"/>
      <c r="F171" s="22">
        <v>1183</v>
      </c>
      <c r="G171" s="22">
        <v>200</v>
      </c>
      <c r="H171" s="22">
        <v>215</v>
      </c>
      <c r="I171" s="37"/>
      <c r="J171" s="37"/>
      <c r="K171" s="22">
        <v>104029</v>
      </c>
      <c r="L171" s="22">
        <v>2322</v>
      </c>
      <c r="M171" s="37"/>
      <c r="N171" s="22">
        <v>13482</v>
      </c>
      <c r="O171" s="37"/>
      <c r="P171" s="22">
        <v>23321</v>
      </c>
      <c r="Q171" s="22">
        <v>33610</v>
      </c>
      <c r="R171" s="22">
        <v>31293</v>
      </c>
      <c r="S171" s="22">
        <v>117437</v>
      </c>
      <c r="T171" s="22">
        <v>2041</v>
      </c>
      <c r="U171" s="37"/>
      <c r="V171" s="22">
        <v>1183</v>
      </c>
      <c r="W171" s="22">
        <v>200</v>
      </c>
      <c r="X171" s="22">
        <v>658</v>
      </c>
      <c r="Y171" s="37"/>
      <c r="Z171" s="37"/>
      <c r="AA171" s="22">
        <v>115396</v>
      </c>
      <c r="AB171" s="22">
        <v>2573</v>
      </c>
      <c r="AC171" s="37"/>
      <c r="AD171" s="22">
        <v>13790</v>
      </c>
      <c r="AE171" s="37"/>
      <c r="AF171" s="22">
        <v>27487</v>
      </c>
      <c r="AG171" s="22">
        <v>38125</v>
      </c>
      <c r="AH171" s="22">
        <v>33421</v>
      </c>
      <c r="AI171" s="15"/>
    </row>
    <row r="172" spans="1:35">
      <c r="A172" s="6" t="s">
        <v>29</v>
      </c>
      <c r="B172" s="6">
        <v>2020</v>
      </c>
      <c r="C172" s="22">
        <v>78353</v>
      </c>
      <c r="D172" s="22">
        <v>1370</v>
      </c>
      <c r="E172" s="37"/>
      <c r="F172" s="22">
        <v>1065</v>
      </c>
      <c r="G172" s="22">
        <v>305</v>
      </c>
      <c r="H172" s="37"/>
      <c r="I172" s="37"/>
      <c r="J172" s="37"/>
      <c r="K172" s="22">
        <v>76983</v>
      </c>
      <c r="L172" s="22">
        <v>1651</v>
      </c>
      <c r="M172" s="37"/>
      <c r="N172" s="22">
        <v>8801</v>
      </c>
      <c r="O172" s="37"/>
      <c r="P172" s="22">
        <v>16532</v>
      </c>
      <c r="Q172" s="22">
        <v>22899</v>
      </c>
      <c r="R172" s="22">
        <v>27099</v>
      </c>
      <c r="S172" s="22">
        <v>86612</v>
      </c>
      <c r="T172" s="22">
        <v>1370</v>
      </c>
      <c r="U172" s="37"/>
      <c r="V172" s="22">
        <v>1065</v>
      </c>
      <c r="W172" s="22">
        <v>305</v>
      </c>
      <c r="X172" s="37"/>
      <c r="Y172" s="37"/>
      <c r="Z172" s="37"/>
      <c r="AA172" s="22">
        <v>85242</v>
      </c>
      <c r="AB172" s="22">
        <v>2002</v>
      </c>
      <c r="AC172" s="37"/>
      <c r="AD172" s="22">
        <v>10375</v>
      </c>
      <c r="AE172" s="37"/>
      <c r="AF172" s="22">
        <v>18977</v>
      </c>
      <c r="AG172" s="22">
        <v>25264</v>
      </c>
      <c r="AH172" s="22">
        <v>28623</v>
      </c>
      <c r="AI172" s="15"/>
    </row>
    <row r="173" spans="1:35">
      <c r="A173" s="6" t="s">
        <v>30</v>
      </c>
      <c r="B173" s="6">
        <v>2020</v>
      </c>
      <c r="C173" s="22">
        <v>120786</v>
      </c>
      <c r="D173" s="22">
        <v>1328</v>
      </c>
      <c r="E173" s="37"/>
      <c r="F173" s="22">
        <v>613</v>
      </c>
      <c r="G173" s="37"/>
      <c r="H173" s="22">
        <v>715</v>
      </c>
      <c r="I173" s="37"/>
      <c r="J173" s="37"/>
      <c r="K173" s="22">
        <v>119458</v>
      </c>
      <c r="L173" s="22">
        <v>468</v>
      </c>
      <c r="M173" s="37"/>
      <c r="N173" s="22">
        <v>13411</v>
      </c>
      <c r="O173" s="37"/>
      <c r="P173" s="22">
        <v>36791</v>
      </c>
      <c r="Q173" s="22">
        <v>45332</v>
      </c>
      <c r="R173" s="22">
        <v>23456</v>
      </c>
      <c r="S173" s="24">
        <v>128164</v>
      </c>
      <c r="T173" s="24">
        <v>1695</v>
      </c>
      <c r="U173" s="37"/>
      <c r="V173" s="24">
        <v>980</v>
      </c>
      <c r="W173" s="37"/>
      <c r="X173" s="24">
        <v>715</v>
      </c>
      <c r="Y173" s="37"/>
      <c r="Z173" s="37"/>
      <c r="AA173" s="22">
        <v>126468</v>
      </c>
      <c r="AB173" s="22">
        <v>503</v>
      </c>
      <c r="AC173" s="37"/>
      <c r="AD173" s="22">
        <v>14241</v>
      </c>
      <c r="AE173" s="37"/>
      <c r="AF173" s="22">
        <v>39698</v>
      </c>
      <c r="AG173" s="22">
        <v>48314</v>
      </c>
      <c r="AH173" s="22">
        <v>23712</v>
      </c>
      <c r="AI173" s="15"/>
    </row>
    <row r="174" spans="1:35">
      <c r="A174" s="6" t="s">
        <v>31</v>
      </c>
      <c r="B174" s="6">
        <v>2020</v>
      </c>
      <c r="C174" s="22">
        <v>48280</v>
      </c>
      <c r="D174" s="22">
        <v>193</v>
      </c>
      <c r="E174" s="37"/>
      <c r="F174" s="37"/>
      <c r="G174" s="37"/>
      <c r="H174" s="22">
        <v>193</v>
      </c>
      <c r="I174" s="37"/>
      <c r="J174" s="37"/>
      <c r="K174" s="22">
        <v>48087</v>
      </c>
      <c r="L174" s="37"/>
      <c r="M174" s="37"/>
      <c r="N174" s="22">
        <v>7038</v>
      </c>
      <c r="O174" s="37"/>
      <c r="P174" s="22">
        <v>15239</v>
      </c>
      <c r="Q174" s="22">
        <v>25776</v>
      </c>
      <c r="R174" s="22">
        <v>35</v>
      </c>
      <c r="S174" s="24">
        <v>66842</v>
      </c>
      <c r="T174" s="24">
        <v>385</v>
      </c>
      <c r="U174" s="37"/>
      <c r="V174" s="37"/>
      <c r="W174" s="37"/>
      <c r="X174" s="24">
        <v>385</v>
      </c>
      <c r="Y174" s="37"/>
      <c r="Z174" s="37"/>
      <c r="AA174" s="22">
        <v>66457</v>
      </c>
      <c r="AB174" s="37"/>
      <c r="AC174" s="37"/>
      <c r="AD174" s="22">
        <v>9291</v>
      </c>
      <c r="AE174" s="37"/>
      <c r="AF174" s="22">
        <v>20081</v>
      </c>
      <c r="AG174" s="22">
        <v>37046</v>
      </c>
      <c r="AH174" s="22">
        <v>38</v>
      </c>
      <c r="AI174" s="15"/>
    </row>
    <row r="175" spans="1:35">
      <c r="A175" s="6" t="s">
        <v>32</v>
      </c>
      <c r="B175" s="6">
        <v>2020</v>
      </c>
      <c r="C175" s="22">
        <v>35166</v>
      </c>
      <c r="D175" s="37"/>
      <c r="E175" s="37"/>
      <c r="F175" s="37"/>
      <c r="G175" s="37"/>
      <c r="H175" s="37"/>
      <c r="I175" s="37"/>
      <c r="J175" s="37"/>
      <c r="K175" s="22">
        <v>35166</v>
      </c>
      <c r="L175" s="37"/>
      <c r="M175" s="37"/>
      <c r="N175" s="22">
        <v>3920</v>
      </c>
      <c r="O175" s="37"/>
      <c r="P175" s="22">
        <v>11192</v>
      </c>
      <c r="Q175" s="22">
        <v>20010</v>
      </c>
      <c r="R175" s="22">
        <v>44</v>
      </c>
      <c r="S175" s="25">
        <v>41451</v>
      </c>
      <c r="T175" s="37"/>
      <c r="U175" s="37"/>
      <c r="V175" s="37"/>
      <c r="W175" s="37"/>
      <c r="X175" s="37"/>
      <c r="Y175" s="37"/>
      <c r="Z175" s="37"/>
      <c r="AA175" s="22">
        <v>41451</v>
      </c>
      <c r="AB175" s="37"/>
      <c r="AC175" s="37"/>
      <c r="AD175" s="22">
        <v>4550</v>
      </c>
      <c r="AE175" s="37"/>
      <c r="AF175" s="22">
        <v>13142</v>
      </c>
      <c r="AG175" s="22">
        <v>23715</v>
      </c>
      <c r="AH175" s="22">
        <v>44</v>
      </c>
      <c r="AI175" s="15"/>
    </row>
    <row r="176" spans="1:35">
      <c r="A176" s="6" t="s">
        <v>33</v>
      </c>
      <c r="B176" s="6">
        <v>2020</v>
      </c>
      <c r="C176" s="22">
        <v>58647</v>
      </c>
      <c r="D176" s="37"/>
      <c r="E176" s="37"/>
      <c r="F176" s="37"/>
      <c r="G176" s="37"/>
      <c r="H176" s="37"/>
      <c r="I176" s="37"/>
      <c r="J176" s="37"/>
      <c r="K176" s="22">
        <v>58647</v>
      </c>
      <c r="L176" s="37"/>
      <c r="M176" s="37"/>
      <c r="N176" s="22">
        <v>6229</v>
      </c>
      <c r="O176" s="37"/>
      <c r="P176" s="22">
        <v>13872</v>
      </c>
      <c r="Q176" s="22">
        <v>25032</v>
      </c>
      <c r="R176" s="22">
        <v>13515</v>
      </c>
      <c r="S176" s="25">
        <v>63560</v>
      </c>
      <c r="T176" s="37"/>
      <c r="U176" s="37"/>
      <c r="V176" s="37"/>
      <c r="W176" s="37"/>
      <c r="X176" s="37"/>
      <c r="Y176" s="37"/>
      <c r="Z176" s="38" t="s">
        <v>59</v>
      </c>
      <c r="AA176" s="22">
        <v>63560</v>
      </c>
      <c r="AB176" s="37"/>
      <c r="AC176" s="37"/>
      <c r="AD176" s="22">
        <v>6229</v>
      </c>
      <c r="AE176" s="37"/>
      <c r="AF176" s="22">
        <v>16126</v>
      </c>
      <c r="AG176" s="22">
        <v>27287</v>
      </c>
      <c r="AH176" s="22">
        <v>13918</v>
      </c>
      <c r="AI176" s="15"/>
    </row>
    <row r="177" spans="1:35">
      <c r="A177" s="6" t="s">
        <v>34</v>
      </c>
      <c r="B177" s="6">
        <v>2020</v>
      </c>
      <c r="C177" s="22">
        <v>7140</v>
      </c>
      <c r="D177" s="22">
        <v>427</v>
      </c>
      <c r="E177" s="37"/>
      <c r="F177" s="22">
        <v>106</v>
      </c>
      <c r="G177" s="37"/>
      <c r="H177" s="22">
        <v>81</v>
      </c>
      <c r="I177" s="37"/>
      <c r="J177" s="39">
        <v>241</v>
      </c>
      <c r="K177" s="22">
        <v>6713</v>
      </c>
      <c r="L177" s="22">
        <v>74</v>
      </c>
      <c r="M177" s="37"/>
      <c r="N177" s="22">
        <v>675</v>
      </c>
      <c r="O177" s="37"/>
      <c r="P177" s="22">
        <v>2136</v>
      </c>
      <c r="Q177" s="22">
        <v>918</v>
      </c>
      <c r="R177" s="22">
        <v>2910</v>
      </c>
      <c r="S177" s="22">
        <v>10322</v>
      </c>
      <c r="T177" s="22">
        <v>461</v>
      </c>
      <c r="U177" s="37"/>
      <c r="V177" s="22">
        <v>106</v>
      </c>
      <c r="W177" s="37"/>
      <c r="X177" s="22">
        <v>81</v>
      </c>
      <c r="Y177" s="37"/>
      <c r="Z177" s="22">
        <v>274</v>
      </c>
      <c r="AA177" s="22">
        <v>9861</v>
      </c>
      <c r="AB177" s="22">
        <v>147</v>
      </c>
      <c r="AC177" s="37"/>
      <c r="AD177" s="22">
        <v>1152</v>
      </c>
      <c r="AE177" s="37"/>
      <c r="AF177" s="22">
        <v>3894</v>
      </c>
      <c r="AG177" s="22">
        <v>1202</v>
      </c>
      <c r="AH177" s="22">
        <v>3466</v>
      </c>
      <c r="AI177" s="15"/>
    </row>
    <row r="178" spans="1:35">
      <c r="A178" s="6" t="s">
        <v>35</v>
      </c>
      <c r="B178" s="6">
        <v>2020</v>
      </c>
      <c r="C178" s="22">
        <v>79516</v>
      </c>
      <c r="D178" s="22">
        <v>566</v>
      </c>
      <c r="E178" s="37"/>
      <c r="F178" s="22">
        <v>418</v>
      </c>
      <c r="G178" s="37"/>
      <c r="H178" s="22">
        <v>148</v>
      </c>
      <c r="I178" s="37"/>
      <c r="J178" s="37"/>
      <c r="K178" s="22">
        <v>78950</v>
      </c>
      <c r="L178" s="22">
        <v>1045</v>
      </c>
      <c r="M178" s="37"/>
      <c r="N178" s="22">
        <v>11256</v>
      </c>
      <c r="O178" s="37"/>
      <c r="P178" s="22">
        <v>26132</v>
      </c>
      <c r="Q178" s="22">
        <v>27920</v>
      </c>
      <c r="R178" s="22">
        <v>12597</v>
      </c>
      <c r="S178" s="24">
        <v>107906</v>
      </c>
      <c r="T178" s="24">
        <v>566</v>
      </c>
      <c r="U178" s="37"/>
      <c r="V178" s="24">
        <v>418</v>
      </c>
      <c r="W178" s="37"/>
      <c r="X178" s="24">
        <v>148</v>
      </c>
      <c r="Y178" s="37"/>
      <c r="Z178" s="37"/>
      <c r="AA178" s="22">
        <v>107340</v>
      </c>
      <c r="AB178" s="22">
        <v>1045</v>
      </c>
      <c r="AC178" s="37"/>
      <c r="AD178" s="22">
        <v>13159</v>
      </c>
      <c r="AE178" s="37"/>
      <c r="AF178" s="22">
        <v>32444</v>
      </c>
      <c r="AG178" s="22">
        <v>39074</v>
      </c>
      <c r="AH178" s="22">
        <v>21618</v>
      </c>
      <c r="AI178" s="15"/>
    </row>
    <row r="179" spans="1:35">
      <c r="A179" s="6" t="s">
        <v>36</v>
      </c>
      <c r="B179" s="6">
        <v>2020</v>
      </c>
      <c r="C179" s="22">
        <v>48366</v>
      </c>
      <c r="D179" s="22">
        <v>937</v>
      </c>
      <c r="E179" s="37"/>
      <c r="F179" s="22">
        <v>526</v>
      </c>
      <c r="G179" s="37"/>
      <c r="H179" s="22">
        <v>411</v>
      </c>
      <c r="I179" s="37"/>
      <c r="J179" s="37"/>
      <c r="K179" s="22">
        <v>47428</v>
      </c>
      <c r="L179" s="22">
        <v>834</v>
      </c>
      <c r="M179" s="37"/>
      <c r="N179" s="22">
        <v>6114</v>
      </c>
      <c r="O179" s="37"/>
      <c r="P179" s="22">
        <v>13749</v>
      </c>
      <c r="Q179" s="22">
        <v>16085</v>
      </c>
      <c r="R179" s="22">
        <v>10646</v>
      </c>
      <c r="S179" s="24">
        <v>73225</v>
      </c>
      <c r="T179" s="24">
        <v>999</v>
      </c>
      <c r="U179" s="37"/>
      <c r="V179" s="24">
        <v>526</v>
      </c>
      <c r="W179" s="37"/>
      <c r="X179" s="24">
        <v>472</v>
      </c>
      <c r="Y179" s="37"/>
      <c r="Z179" s="37"/>
      <c r="AA179" s="22">
        <v>72226</v>
      </c>
      <c r="AB179" s="25">
        <v>1186</v>
      </c>
      <c r="AC179" s="37"/>
      <c r="AD179" s="22">
        <v>9195</v>
      </c>
      <c r="AE179" s="37"/>
      <c r="AF179" s="25">
        <v>20012</v>
      </c>
      <c r="AG179" s="25">
        <v>26060</v>
      </c>
      <c r="AH179" s="22">
        <v>15773</v>
      </c>
      <c r="AI179" s="15"/>
    </row>
    <row r="180" spans="1:35">
      <c r="A180" s="6" t="s">
        <v>37</v>
      </c>
      <c r="B180" s="6">
        <v>2020</v>
      </c>
      <c r="C180" s="22">
        <v>70608</v>
      </c>
      <c r="D180" s="22">
        <v>2945</v>
      </c>
      <c r="E180" s="22">
        <v>304</v>
      </c>
      <c r="F180" s="22">
        <v>1458</v>
      </c>
      <c r="G180" s="37"/>
      <c r="H180" s="22">
        <v>1183</v>
      </c>
      <c r="I180" s="37"/>
      <c r="J180" s="37"/>
      <c r="K180" s="22">
        <v>67663</v>
      </c>
      <c r="L180" s="22">
        <v>618</v>
      </c>
      <c r="M180" s="37"/>
      <c r="N180" s="22">
        <v>4389</v>
      </c>
      <c r="O180" s="37"/>
      <c r="P180" s="22">
        <v>14724</v>
      </c>
      <c r="Q180" s="22">
        <v>19022</v>
      </c>
      <c r="R180" s="22">
        <v>28910</v>
      </c>
      <c r="S180" s="24">
        <v>83036</v>
      </c>
      <c r="T180" s="24">
        <v>3348</v>
      </c>
      <c r="U180" s="24">
        <v>304</v>
      </c>
      <c r="V180" s="24">
        <v>1458</v>
      </c>
      <c r="W180" s="37"/>
      <c r="X180" s="24">
        <v>1586</v>
      </c>
      <c r="Y180" s="37"/>
      <c r="Z180" s="37"/>
      <c r="AA180" s="22">
        <v>79688</v>
      </c>
      <c r="AB180" s="22">
        <v>1232</v>
      </c>
      <c r="AC180" s="37"/>
      <c r="AD180" s="22">
        <v>6881</v>
      </c>
      <c r="AE180" s="37"/>
      <c r="AF180" s="22">
        <v>18891</v>
      </c>
      <c r="AG180" s="22">
        <v>22244</v>
      </c>
      <c r="AH180" s="22">
        <v>30440</v>
      </c>
      <c r="AI180" s="15"/>
    </row>
    <row r="181" spans="1:35">
      <c r="A181" s="6" t="s">
        <v>38</v>
      </c>
      <c r="B181" s="6">
        <v>2020</v>
      </c>
      <c r="C181" s="25">
        <v>48563</v>
      </c>
      <c r="D181" s="37"/>
      <c r="E181" s="37"/>
      <c r="F181" s="37"/>
      <c r="G181" s="37"/>
      <c r="H181" s="37"/>
      <c r="I181" s="37"/>
      <c r="J181" s="37"/>
      <c r="K181" s="22">
        <v>48563</v>
      </c>
      <c r="L181" s="22">
        <v>342</v>
      </c>
      <c r="M181" s="37"/>
      <c r="N181" s="22">
        <v>5522</v>
      </c>
      <c r="O181" s="37"/>
      <c r="P181" s="22">
        <v>10744</v>
      </c>
      <c r="Q181" s="22">
        <v>17487</v>
      </c>
      <c r="R181" s="22">
        <v>14468</v>
      </c>
      <c r="S181" s="24">
        <v>54913</v>
      </c>
      <c r="T181" s="37"/>
      <c r="U181" s="37"/>
      <c r="V181" s="37"/>
      <c r="W181" s="37"/>
      <c r="X181" s="37"/>
      <c r="Y181" s="37"/>
      <c r="Z181" s="37"/>
      <c r="AA181" s="22">
        <v>54913</v>
      </c>
      <c r="AB181" s="22">
        <v>342</v>
      </c>
      <c r="AC181" s="37"/>
      <c r="AD181" s="22">
        <v>5671</v>
      </c>
      <c r="AE181" s="37"/>
      <c r="AF181" s="22">
        <v>14119</v>
      </c>
      <c r="AG181" s="22">
        <v>19899</v>
      </c>
      <c r="AH181" s="22">
        <v>14882</v>
      </c>
      <c r="AI181" s="15"/>
    </row>
    <row r="182" spans="1:35">
      <c r="A182" s="6" t="s">
        <v>39</v>
      </c>
      <c r="B182" s="6">
        <v>2020</v>
      </c>
      <c r="C182" s="22">
        <v>59448</v>
      </c>
      <c r="D182" s="22">
        <v>450</v>
      </c>
      <c r="E182" s="37"/>
      <c r="F182" s="22">
        <v>450</v>
      </c>
      <c r="G182" s="37"/>
      <c r="H182" s="37"/>
      <c r="I182" s="37"/>
      <c r="J182" s="37"/>
      <c r="K182" s="22">
        <v>58998</v>
      </c>
      <c r="L182" s="37"/>
      <c r="M182" s="37"/>
      <c r="N182" s="22">
        <v>4177</v>
      </c>
      <c r="O182" s="37"/>
      <c r="P182" s="22">
        <v>14484</v>
      </c>
      <c r="Q182" s="22">
        <v>19890</v>
      </c>
      <c r="R182" s="22">
        <v>20447</v>
      </c>
      <c r="S182" s="24">
        <v>60536</v>
      </c>
      <c r="T182" s="24">
        <v>450</v>
      </c>
      <c r="U182" s="37"/>
      <c r="V182" s="24">
        <v>450</v>
      </c>
      <c r="W182" s="37"/>
      <c r="X182" s="37"/>
      <c r="Y182" s="37"/>
      <c r="Z182" s="37"/>
      <c r="AA182" s="22">
        <v>60086</v>
      </c>
      <c r="AB182" s="37"/>
      <c r="AC182" s="37"/>
      <c r="AD182" s="22">
        <v>5117</v>
      </c>
      <c r="AE182" s="37"/>
      <c r="AF182" s="22">
        <v>14484</v>
      </c>
      <c r="AG182" s="22">
        <v>19917</v>
      </c>
      <c r="AH182" s="22">
        <v>20569</v>
      </c>
      <c r="AI182" s="15"/>
    </row>
    <row r="183" spans="1:35">
      <c r="A183" s="6" t="s">
        <v>40</v>
      </c>
      <c r="B183" s="6">
        <v>2020</v>
      </c>
      <c r="C183" s="25">
        <v>93809</v>
      </c>
      <c r="D183" s="25">
        <v>1540</v>
      </c>
      <c r="E183" s="37"/>
      <c r="F183" s="25">
        <v>1124</v>
      </c>
      <c r="G183" s="25">
        <v>415</v>
      </c>
      <c r="H183" s="37"/>
      <c r="I183" s="37"/>
      <c r="J183" s="37"/>
      <c r="K183" s="22">
        <v>92270</v>
      </c>
      <c r="L183" s="22">
        <v>1159</v>
      </c>
      <c r="M183" s="37"/>
      <c r="N183" s="22">
        <v>7510</v>
      </c>
      <c r="O183" s="37"/>
      <c r="P183" s="22">
        <v>24972</v>
      </c>
      <c r="Q183" s="22">
        <v>28655</v>
      </c>
      <c r="R183" s="22">
        <v>29974</v>
      </c>
      <c r="S183" s="25">
        <v>121596</v>
      </c>
      <c r="T183" s="25">
        <v>1540</v>
      </c>
      <c r="U183" s="37"/>
      <c r="V183" s="25">
        <v>1124</v>
      </c>
      <c r="W183" s="25">
        <v>415</v>
      </c>
      <c r="X183" s="37"/>
      <c r="Y183" s="37"/>
      <c r="Z183" s="37"/>
      <c r="AA183" s="22">
        <v>120056</v>
      </c>
      <c r="AB183" s="22">
        <v>2317</v>
      </c>
      <c r="AC183" s="37"/>
      <c r="AD183" s="22">
        <v>10544</v>
      </c>
      <c r="AE183" s="37"/>
      <c r="AF183" s="22">
        <v>31419</v>
      </c>
      <c r="AG183" s="22">
        <v>37104</v>
      </c>
      <c r="AH183" s="22">
        <v>38671</v>
      </c>
      <c r="AI183" s="15"/>
    </row>
    <row r="184" spans="1:35">
      <c r="A184" s="6" t="s">
        <v>41</v>
      </c>
      <c r="B184" s="6">
        <v>2020</v>
      </c>
      <c r="C184" s="24">
        <v>84383</v>
      </c>
      <c r="D184" s="24">
        <v>1634</v>
      </c>
      <c r="E184" s="24">
        <v>537</v>
      </c>
      <c r="F184" s="24">
        <v>1097</v>
      </c>
      <c r="G184" s="37"/>
      <c r="H184" s="37"/>
      <c r="I184" s="37"/>
      <c r="J184" s="37"/>
      <c r="K184" s="22">
        <v>82749</v>
      </c>
      <c r="L184" s="22">
        <v>717</v>
      </c>
      <c r="M184" s="37"/>
      <c r="N184" s="22">
        <v>6173</v>
      </c>
      <c r="O184" s="22">
        <v>95</v>
      </c>
      <c r="P184" s="22">
        <v>20625</v>
      </c>
      <c r="Q184" s="22">
        <v>29935</v>
      </c>
      <c r="R184" s="22">
        <v>25203</v>
      </c>
      <c r="S184" s="24">
        <v>94838</v>
      </c>
      <c r="T184" s="24">
        <v>1634</v>
      </c>
      <c r="U184" s="24">
        <v>537</v>
      </c>
      <c r="V184" s="24">
        <v>1097</v>
      </c>
      <c r="W184" s="37"/>
      <c r="X184" s="37"/>
      <c r="Y184" s="37"/>
      <c r="Z184" s="37"/>
      <c r="AA184" s="22">
        <v>93204</v>
      </c>
      <c r="AB184" s="22">
        <v>894</v>
      </c>
      <c r="AC184" s="37"/>
      <c r="AD184" s="22">
        <v>8186</v>
      </c>
      <c r="AE184" s="22">
        <v>140</v>
      </c>
      <c r="AF184" s="22">
        <v>22425</v>
      </c>
      <c r="AG184" s="22">
        <v>33299</v>
      </c>
      <c r="AH184" s="22">
        <v>28259</v>
      </c>
      <c r="AI184" s="15"/>
    </row>
    <row r="185" spans="1:35">
      <c r="A185" s="6" t="s">
        <v>42</v>
      </c>
      <c r="B185" s="6">
        <v>2020</v>
      </c>
      <c r="C185" s="24">
        <v>70921</v>
      </c>
      <c r="D185" s="24">
        <v>1665</v>
      </c>
      <c r="E185" s="37"/>
      <c r="F185" s="24">
        <v>204</v>
      </c>
      <c r="G185" s="37"/>
      <c r="H185" s="24">
        <v>1461</v>
      </c>
      <c r="I185" s="37"/>
      <c r="J185" s="37"/>
      <c r="K185" s="22">
        <v>69256</v>
      </c>
      <c r="L185" s="25">
        <v>180</v>
      </c>
      <c r="M185" s="37"/>
      <c r="N185" s="22">
        <v>9563</v>
      </c>
      <c r="O185" s="37"/>
      <c r="P185" s="22">
        <v>14147</v>
      </c>
      <c r="Q185" s="22">
        <v>22744</v>
      </c>
      <c r="R185" s="25">
        <v>22622</v>
      </c>
      <c r="S185" s="24">
        <v>78669</v>
      </c>
      <c r="T185" s="24">
        <v>2983</v>
      </c>
      <c r="U185" s="37"/>
      <c r="V185" s="24">
        <v>1185</v>
      </c>
      <c r="W185" s="37"/>
      <c r="X185" s="24">
        <v>1798</v>
      </c>
      <c r="Y185" s="37"/>
      <c r="Z185" s="37"/>
      <c r="AA185" s="22">
        <v>75686</v>
      </c>
      <c r="AB185" s="25">
        <v>180</v>
      </c>
      <c r="AC185" s="37"/>
      <c r="AD185" s="22">
        <v>10400</v>
      </c>
      <c r="AE185" s="37"/>
      <c r="AF185" s="25">
        <v>16266</v>
      </c>
      <c r="AG185" s="22">
        <v>24641</v>
      </c>
      <c r="AH185" s="22">
        <v>24199</v>
      </c>
      <c r="AI185" s="15"/>
    </row>
    <row r="186" spans="1:35">
      <c r="A186" s="6" t="s">
        <v>43</v>
      </c>
      <c r="B186" s="6">
        <v>2020</v>
      </c>
      <c r="C186" s="24">
        <v>73514</v>
      </c>
      <c r="D186" s="24">
        <v>2597</v>
      </c>
      <c r="E186" s="37"/>
      <c r="F186" s="24">
        <v>1740</v>
      </c>
      <c r="G186" s="37"/>
      <c r="H186" s="24">
        <v>857</v>
      </c>
      <c r="I186" s="37"/>
      <c r="J186" s="37"/>
      <c r="K186" s="22">
        <v>70917</v>
      </c>
      <c r="L186" s="37"/>
      <c r="M186" s="37"/>
      <c r="N186" s="22">
        <v>5326</v>
      </c>
      <c r="O186" s="37"/>
      <c r="P186" s="22">
        <v>15849</v>
      </c>
      <c r="Q186" s="22">
        <v>24778</v>
      </c>
      <c r="R186" s="22">
        <v>24964</v>
      </c>
      <c r="S186" s="22">
        <v>77063</v>
      </c>
      <c r="T186" s="22">
        <v>2597</v>
      </c>
      <c r="U186" s="37"/>
      <c r="V186" s="22">
        <v>1740</v>
      </c>
      <c r="W186" s="37"/>
      <c r="X186" s="22">
        <v>857</v>
      </c>
      <c r="Y186" s="37"/>
      <c r="Z186" s="37"/>
      <c r="AA186" s="22">
        <v>74466</v>
      </c>
      <c r="AB186" s="37"/>
      <c r="AC186" s="37"/>
      <c r="AD186" s="22">
        <v>5326</v>
      </c>
      <c r="AE186" s="37"/>
      <c r="AF186" s="22">
        <v>16541</v>
      </c>
      <c r="AG186" s="22">
        <v>26238</v>
      </c>
      <c r="AH186" s="22">
        <v>26360</v>
      </c>
      <c r="AI186" s="15"/>
    </row>
    <row r="187" spans="1:35">
      <c r="A187" s="6" t="s">
        <v>44</v>
      </c>
      <c r="B187" s="6">
        <v>2020</v>
      </c>
      <c r="C187" s="24">
        <v>58878</v>
      </c>
      <c r="D187" s="24">
        <v>19</v>
      </c>
      <c r="E187" s="37"/>
      <c r="F187" s="37"/>
      <c r="G187" s="37"/>
      <c r="H187" s="37"/>
      <c r="I187" s="37"/>
      <c r="J187" s="40">
        <v>19</v>
      </c>
      <c r="K187" s="22">
        <v>58859</v>
      </c>
      <c r="L187" s="37"/>
      <c r="M187" s="37"/>
      <c r="N187" s="22">
        <v>7238</v>
      </c>
      <c r="O187" s="37"/>
      <c r="P187" s="22">
        <v>18024</v>
      </c>
      <c r="Q187" s="22">
        <v>26854</v>
      </c>
      <c r="R187" s="22">
        <v>6743</v>
      </c>
      <c r="S187" s="24">
        <v>86482</v>
      </c>
      <c r="T187" s="24">
        <v>19</v>
      </c>
      <c r="U187" s="37"/>
      <c r="V187" s="37"/>
      <c r="W187" s="37"/>
      <c r="X187" s="37"/>
      <c r="Y187" s="37"/>
      <c r="Z187" s="22">
        <v>19</v>
      </c>
      <c r="AA187" s="22">
        <v>86463</v>
      </c>
      <c r="AB187" s="37"/>
      <c r="AC187" s="37"/>
      <c r="AD187" s="22">
        <v>11710</v>
      </c>
      <c r="AE187" s="37"/>
      <c r="AF187" s="22">
        <v>28743</v>
      </c>
      <c r="AG187" s="22">
        <v>38495</v>
      </c>
      <c r="AH187" s="22">
        <v>7515</v>
      </c>
      <c r="AI187" s="15"/>
    </row>
    <row r="188" spans="1:35">
      <c r="A188" s="6" t="s">
        <v>45</v>
      </c>
      <c r="B188" s="6">
        <v>2020</v>
      </c>
      <c r="C188" s="24">
        <v>77365</v>
      </c>
      <c r="D188" s="37"/>
      <c r="E188" s="37"/>
      <c r="F188" s="37"/>
      <c r="G188" s="37"/>
      <c r="H188" s="37"/>
      <c r="I188" s="37"/>
      <c r="J188" s="37"/>
      <c r="K188" s="22">
        <v>77365</v>
      </c>
      <c r="L188" s="37"/>
      <c r="M188" s="37"/>
      <c r="N188" s="22">
        <v>2228</v>
      </c>
      <c r="O188" s="37"/>
      <c r="P188" s="22">
        <v>16239</v>
      </c>
      <c r="Q188" s="22">
        <v>23893</v>
      </c>
      <c r="R188" s="22">
        <v>35006</v>
      </c>
      <c r="S188" s="25">
        <v>83416</v>
      </c>
      <c r="T188" s="37"/>
      <c r="U188" s="37"/>
      <c r="V188" s="37"/>
      <c r="W188" s="37"/>
      <c r="X188" s="37"/>
      <c r="Y188" s="37"/>
      <c r="Z188" s="37"/>
      <c r="AA188" s="22">
        <v>83416</v>
      </c>
      <c r="AB188" s="37"/>
      <c r="AC188" s="37"/>
      <c r="AD188" s="22">
        <v>2334</v>
      </c>
      <c r="AE188" s="37"/>
      <c r="AF188" s="22">
        <v>19713</v>
      </c>
      <c r="AG188" s="22">
        <v>25973</v>
      </c>
      <c r="AH188" s="22">
        <v>35395</v>
      </c>
      <c r="AI188" s="15"/>
    </row>
    <row r="189" spans="1:35">
      <c r="A189" s="6" t="s">
        <v>46</v>
      </c>
      <c r="B189" s="6">
        <v>2020</v>
      </c>
      <c r="C189" s="25">
        <v>11022</v>
      </c>
      <c r="D189" s="37"/>
      <c r="E189" s="37"/>
      <c r="F189" s="37"/>
      <c r="G189" s="37"/>
      <c r="H189" s="37"/>
      <c r="I189" s="37"/>
      <c r="J189" s="37"/>
      <c r="K189" s="22">
        <v>11022</v>
      </c>
      <c r="L189" s="37"/>
      <c r="M189" s="37"/>
      <c r="N189" s="37"/>
      <c r="O189" s="37"/>
      <c r="P189" s="22">
        <v>4221</v>
      </c>
      <c r="Q189" s="22">
        <v>4126</v>
      </c>
      <c r="R189" s="22">
        <v>2674</v>
      </c>
      <c r="S189" s="25">
        <v>11022</v>
      </c>
      <c r="T189" s="37"/>
      <c r="U189" s="37"/>
      <c r="V189" s="37"/>
      <c r="W189" s="37"/>
      <c r="X189" s="37"/>
      <c r="Y189" s="37"/>
      <c r="Z189" s="37"/>
      <c r="AA189" s="22">
        <v>11022</v>
      </c>
      <c r="AB189" s="37"/>
      <c r="AC189" s="37"/>
      <c r="AD189" s="37"/>
      <c r="AE189" s="37"/>
      <c r="AF189" s="22">
        <v>4221</v>
      </c>
      <c r="AG189" s="22">
        <v>4126</v>
      </c>
      <c r="AH189" s="22">
        <v>2674</v>
      </c>
      <c r="AI189" s="15"/>
    </row>
    <row r="190" spans="1:35">
      <c r="A190" s="6" t="s">
        <v>47</v>
      </c>
      <c r="B190" s="6">
        <v>2020</v>
      </c>
      <c r="C190" s="24">
        <v>36445</v>
      </c>
      <c r="D190" s="24">
        <v>678</v>
      </c>
      <c r="E190" s="37"/>
      <c r="F190" s="24">
        <v>678</v>
      </c>
      <c r="G190" s="37"/>
      <c r="H190" s="37"/>
      <c r="I190" s="37"/>
      <c r="J190" s="37"/>
      <c r="K190" s="22">
        <v>35768</v>
      </c>
      <c r="L190" s="37"/>
      <c r="M190" s="37"/>
      <c r="N190" s="22">
        <v>3638</v>
      </c>
      <c r="O190" s="37"/>
      <c r="P190" s="22">
        <v>8039</v>
      </c>
      <c r="Q190" s="22">
        <v>11472</v>
      </c>
      <c r="R190" s="22">
        <v>12619</v>
      </c>
      <c r="S190" s="22">
        <v>39730</v>
      </c>
      <c r="T190" s="22">
        <v>678</v>
      </c>
      <c r="U190" s="37"/>
      <c r="V190" s="22">
        <v>678</v>
      </c>
      <c r="W190" s="37"/>
      <c r="X190" s="37"/>
      <c r="Y190" s="37"/>
      <c r="Z190" s="37"/>
      <c r="AA190" s="22">
        <v>39052</v>
      </c>
      <c r="AB190" s="37"/>
      <c r="AC190" s="37"/>
      <c r="AD190" s="22">
        <v>3794</v>
      </c>
      <c r="AE190" s="37"/>
      <c r="AF190" s="22">
        <v>9854</v>
      </c>
      <c r="AG190" s="22">
        <v>12541</v>
      </c>
      <c r="AH190" s="22">
        <v>12862</v>
      </c>
      <c r="AI190" s="15"/>
    </row>
    <row r="191" spans="1:35">
      <c r="A191" s="6" t="s">
        <v>48</v>
      </c>
      <c r="B191" s="6">
        <v>2020</v>
      </c>
      <c r="C191" s="24">
        <v>101563</v>
      </c>
      <c r="D191" s="24">
        <v>1094</v>
      </c>
      <c r="E191" s="37"/>
      <c r="F191" s="24">
        <v>854</v>
      </c>
      <c r="G191" s="37"/>
      <c r="H191" s="24">
        <v>240</v>
      </c>
      <c r="I191" s="37"/>
      <c r="J191" s="37"/>
      <c r="K191" s="22">
        <v>100469</v>
      </c>
      <c r="L191" s="37"/>
      <c r="M191" s="37"/>
      <c r="N191" s="22">
        <v>11681</v>
      </c>
      <c r="O191" s="37"/>
      <c r="P191" s="22">
        <v>23099</v>
      </c>
      <c r="Q191" s="22">
        <v>32010</v>
      </c>
      <c r="R191" s="22">
        <v>33679</v>
      </c>
      <c r="S191" s="22">
        <v>112379</v>
      </c>
      <c r="T191" s="22">
        <v>1094</v>
      </c>
      <c r="U191" s="37"/>
      <c r="V191" s="22">
        <v>854</v>
      </c>
      <c r="W191" s="37"/>
      <c r="X191" s="22">
        <v>240</v>
      </c>
      <c r="Y191" s="37"/>
      <c r="Z191" s="37"/>
      <c r="AA191" s="22">
        <v>111284</v>
      </c>
      <c r="AB191" s="37"/>
      <c r="AC191" s="37"/>
      <c r="AD191" s="22">
        <v>16103</v>
      </c>
      <c r="AE191" s="37"/>
      <c r="AF191" s="22">
        <v>25805</v>
      </c>
      <c r="AG191" s="22">
        <v>34002</v>
      </c>
      <c r="AH191" s="22">
        <v>35375</v>
      </c>
      <c r="AI191" s="15"/>
    </row>
    <row r="192" spans="1:35">
      <c r="A192" s="6" t="s">
        <v>49</v>
      </c>
      <c r="B192" s="6">
        <v>2020</v>
      </c>
      <c r="C192" s="24">
        <v>55817</v>
      </c>
      <c r="D192" s="37"/>
      <c r="E192" s="37"/>
      <c r="F192" s="37"/>
      <c r="G192" s="37"/>
      <c r="H192" s="37"/>
      <c r="I192" s="37"/>
      <c r="J192" s="37"/>
      <c r="K192" s="22">
        <v>55817</v>
      </c>
      <c r="L192" s="37"/>
      <c r="M192" s="37"/>
      <c r="N192" s="22">
        <v>4141</v>
      </c>
      <c r="O192" s="37"/>
      <c r="P192" s="22">
        <v>13635</v>
      </c>
      <c r="Q192" s="22">
        <v>19761</v>
      </c>
      <c r="R192" s="22">
        <v>18279</v>
      </c>
      <c r="S192" s="25">
        <v>56490</v>
      </c>
      <c r="T192" s="37"/>
      <c r="U192" s="37"/>
      <c r="V192" s="37"/>
      <c r="W192" s="37"/>
      <c r="X192" s="37"/>
      <c r="Y192" s="37"/>
      <c r="Z192" s="37"/>
      <c r="AA192" s="22">
        <v>56490</v>
      </c>
      <c r="AB192" s="37"/>
      <c r="AC192" s="37"/>
      <c r="AD192" s="22">
        <v>4141</v>
      </c>
      <c r="AE192" s="37"/>
      <c r="AF192" s="22">
        <v>13659</v>
      </c>
      <c r="AG192" s="22">
        <v>20192</v>
      </c>
      <c r="AH192" s="22">
        <v>18498</v>
      </c>
      <c r="AI192" s="15"/>
    </row>
    <row r="193" spans="1:35">
      <c r="A193" s="6" t="s">
        <v>50</v>
      </c>
      <c r="B193" s="6">
        <v>2020</v>
      </c>
      <c r="C193" s="24">
        <v>93482</v>
      </c>
      <c r="D193" s="24">
        <v>562</v>
      </c>
      <c r="E193" s="37"/>
      <c r="F193" s="37"/>
      <c r="G193" s="37"/>
      <c r="H193" s="24">
        <v>562</v>
      </c>
      <c r="I193" s="37"/>
      <c r="J193" s="37"/>
      <c r="K193" s="22">
        <v>92920</v>
      </c>
      <c r="L193" s="37"/>
      <c r="M193" s="37"/>
      <c r="N193" s="22">
        <v>14362</v>
      </c>
      <c r="O193" s="37"/>
      <c r="P193" s="22">
        <v>17798</v>
      </c>
      <c r="Q193" s="22">
        <v>27343</v>
      </c>
      <c r="R193" s="22">
        <v>33416</v>
      </c>
      <c r="S193" s="22">
        <v>94441</v>
      </c>
      <c r="T193" s="22">
        <v>562</v>
      </c>
      <c r="U193" s="37"/>
      <c r="V193" s="37"/>
      <c r="W193" s="37"/>
      <c r="X193" s="22">
        <v>562</v>
      </c>
      <c r="Y193" s="37"/>
      <c r="Z193" s="37"/>
      <c r="AA193" s="22">
        <v>93879</v>
      </c>
      <c r="AB193" s="37"/>
      <c r="AC193" s="37"/>
      <c r="AD193" s="22">
        <v>14652</v>
      </c>
      <c r="AE193" s="37"/>
      <c r="AF193" s="22">
        <v>17891</v>
      </c>
      <c r="AG193" s="22">
        <v>27791</v>
      </c>
      <c r="AH193" s="22">
        <v>33545</v>
      </c>
      <c r="AI193" s="15"/>
    </row>
    <row r="194" spans="1:35">
      <c r="A194" s="6" t="s">
        <v>51</v>
      </c>
      <c r="B194" s="6">
        <v>2020</v>
      </c>
      <c r="C194" s="22">
        <v>37165</v>
      </c>
      <c r="D194" s="22">
        <v>423</v>
      </c>
      <c r="E194" s="37"/>
      <c r="F194" s="37"/>
      <c r="G194" s="37"/>
      <c r="H194" s="37"/>
      <c r="I194" s="22">
        <v>423</v>
      </c>
      <c r="J194" s="37"/>
      <c r="K194" s="22">
        <v>36742</v>
      </c>
      <c r="L194" s="37"/>
      <c r="M194" s="37"/>
      <c r="N194" s="22">
        <v>2434</v>
      </c>
      <c r="O194" s="37"/>
      <c r="P194" s="22">
        <v>4594</v>
      </c>
      <c r="Q194" s="22">
        <v>13462</v>
      </c>
      <c r="R194" s="22">
        <v>16252</v>
      </c>
      <c r="S194" s="22">
        <v>37340</v>
      </c>
      <c r="T194" s="22">
        <v>423</v>
      </c>
      <c r="U194" s="37"/>
      <c r="V194" s="37"/>
      <c r="W194" s="37"/>
      <c r="X194" s="37"/>
      <c r="Y194" s="22">
        <v>423</v>
      </c>
      <c r="Z194" s="37"/>
      <c r="AA194" s="22">
        <v>36917</v>
      </c>
      <c r="AB194" s="37"/>
      <c r="AC194" s="37"/>
      <c r="AD194" s="22">
        <v>2434</v>
      </c>
      <c r="AE194" s="37"/>
      <c r="AF194" s="22">
        <v>4651</v>
      </c>
      <c r="AG194" s="22">
        <v>13543</v>
      </c>
      <c r="AH194" s="22">
        <v>16289</v>
      </c>
      <c r="AI194" s="15"/>
    </row>
    <row r="195" spans="1:35">
      <c r="A195" s="6" t="s">
        <v>52</v>
      </c>
      <c r="B195" s="6">
        <v>2020</v>
      </c>
      <c r="C195" s="22">
        <v>61718</v>
      </c>
      <c r="D195" s="22">
        <v>2675</v>
      </c>
      <c r="E195" s="22">
        <v>405</v>
      </c>
      <c r="F195" s="22">
        <v>1668</v>
      </c>
      <c r="G195" s="22">
        <v>308</v>
      </c>
      <c r="H195" s="22">
        <v>294</v>
      </c>
      <c r="I195" s="37"/>
      <c r="J195" s="37"/>
      <c r="K195" s="22">
        <v>59043</v>
      </c>
      <c r="L195" s="22">
        <v>359</v>
      </c>
      <c r="M195" s="22">
        <v>3543</v>
      </c>
      <c r="N195" s="22">
        <v>271</v>
      </c>
      <c r="O195" s="22">
        <v>10459</v>
      </c>
      <c r="P195" s="22">
        <v>327</v>
      </c>
      <c r="Q195" s="22">
        <v>25693</v>
      </c>
      <c r="R195" s="22">
        <v>18391</v>
      </c>
      <c r="S195" s="22">
        <v>65416</v>
      </c>
      <c r="T195" s="22">
        <v>2675</v>
      </c>
      <c r="U195" s="22">
        <v>405</v>
      </c>
      <c r="V195" s="22">
        <v>1668</v>
      </c>
      <c r="W195" s="22">
        <v>308</v>
      </c>
      <c r="X195" s="22">
        <v>294</v>
      </c>
      <c r="Y195" s="37"/>
      <c r="Z195" s="37"/>
      <c r="AA195" s="22">
        <v>62741</v>
      </c>
      <c r="AB195" s="22">
        <v>359</v>
      </c>
      <c r="AC195" s="22">
        <v>4452</v>
      </c>
      <c r="AD195" s="22">
        <v>271</v>
      </c>
      <c r="AE195" s="22">
        <v>11428</v>
      </c>
      <c r="AF195" s="22">
        <v>327</v>
      </c>
      <c r="AG195" s="22">
        <v>27422</v>
      </c>
      <c r="AH195" s="22">
        <v>18483</v>
      </c>
      <c r="AI195" s="15"/>
    </row>
    <row r="196" spans="1:35">
      <c r="A196" s="6" t="s">
        <v>53</v>
      </c>
      <c r="B196" s="6">
        <v>2020</v>
      </c>
      <c r="C196" s="25">
        <v>74433</v>
      </c>
      <c r="D196" s="25">
        <v>4303</v>
      </c>
      <c r="E196" s="25">
        <v>1264</v>
      </c>
      <c r="F196" s="25">
        <v>3039</v>
      </c>
      <c r="G196" s="37"/>
      <c r="H196" s="37"/>
      <c r="I196" s="37"/>
      <c r="J196" s="37"/>
      <c r="K196" s="22">
        <v>70130</v>
      </c>
      <c r="L196" s="37"/>
      <c r="M196" s="22">
        <v>6592</v>
      </c>
      <c r="N196" s="37"/>
      <c r="O196" s="22">
        <v>11236</v>
      </c>
      <c r="P196" s="22">
        <v>801</v>
      </c>
      <c r="Q196" s="22">
        <v>27946</v>
      </c>
      <c r="R196" s="22">
        <v>23555</v>
      </c>
      <c r="S196" s="22">
        <v>80564</v>
      </c>
      <c r="T196" s="22">
        <v>4303</v>
      </c>
      <c r="U196" s="22">
        <v>1264</v>
      </c>
      <c r="V196" s="22">
        <v>3039</v>
      </c>
      <c r="W196" s="37"/>
      <c r="X196" s="37"/>
      <c r="Y196" s="37"/>
      <c r="Z196" s="37"/>
      <c r="AA196" s="22">
        <v>76261</v>
      </c>
      <c r="AB196" s="37"/>
      <c r="AC196" s="22">
        <v>6592</v>
      </c>
      <c r="AD196" s="37"/>
      <c r="AE196" s="22">
        <v>12450</v>
      </c>
      <c r="AF196" s="22">
        <v>843</v>
      </c>
      <c r="AG196" s="22">
        <v>29439</v>
      </c>
      <c r="AH196" s="22">
        <v>26938</v>
      </c>
      <c r="AI196" s="15"/>
    </row>
    <row r="197" spans="1:35">
      <c r="A197" s="6" t="s">
        <v>54</v>
      </c>
      <c r="B197" s="6">
        <v>2020</v>
      </c>
      <c r="C197" s="22">
        <v>28655</v>
      </c>
      <c r="D197" s="22">
        <v>1678</v>
      </c>
      <c r="E197" s="37"/>
      <c r="F197" s="22">
        <v>462</v>
      </c>
      <c r="G197" s="37"/>
      <c r="H197" s="37"/>
      <c r="I197" s="22">
        <v>1216</v>
      </c>
      <c r="J197" s="37"/>
      <c r="K197" s="22">
        <v>26976</v>
      </c>
      <c r="L197" s="37"/>
      <c r="M197" s="22">
        <v>4033</v>
      </c>
      <c r="N197" s="37"/>
      <c r="O197" s="22">
        <v>7390</v>
      </c>
      <c r="P197" s="37"/>
      <c r="Q197" s="22">
        <v>9952</v>
      </c>
      <c r="R197" s="22">
        <v>5601</v>
      </c>
      <c r="S197" s="22">
        <v>40934</v>
      </c>
      <c r="T197" s="22">
        <v>1678</v>
      </c>
      <c r="U197" s="37"/>
      <c r="V197" s="22">
        <v>462</v>
      </c>
      <c r="W197" s="37"/>
      <c r="X197" s="37"/>
      <c r="Y197" s="22">
        <v>1216</v>
      </c>
      <c r="Z197" s="37"/>
      <c r="AA197" s="22">
        <v>39256</v>
      </c>
      <c r="AB197" s="37"/>
      <c r="AC197" s="22">
        <v>4091</v>
      </c>
      <c r="AD197" s="37"/>
      <c r="AE197" s="22">
        <v>7405</v>
      </c>
      <c r="AF197" s="37"/>
      <c r="AG197" s="22">
        <v>15937</v>
      </c>
      <c r="AH197" s="22">
        <v>11823</v>
      </c>
      <c r="AI197" s="15"/>
    </row>
    <row r="198" spans="1:35">
      <c r="A198" s="6" t="s">
        <v>55</v>
      </c>
      <c r="B198" s="6">
        <v>2020</v>
      </c>
      <c r="C198" s="22">
        <v>23608</v>
      </c>
      <c r="D198" s="22">
        <v>486</v>
      </c>
      <c r="E198" s="22">
        <v>186</v>
      </c>
      <c r="F198" s="22">
        <v>195</v>
      </c>
      <c r="G198" s="22">
        <v>106</v>
      </c>
      <c r="H198" s="37"/>
      <c r="I198" s="37"/>
      <c r="J198" s="37"/>
      <c r="K198" s="22">
        <v>23121</v>
      </c>
      <c r="L198" s="37"/>
      <c r="M198" s="22">
        <v>1320</v>
      </c>
      <c r="N198" s="37"/>
      <c r="O198" s="22">
        <v>3346</v>
      </c>
      <c r="P198" s="22">
        <v>2303</v>
      </c>
      <c r="Q198" s="22">
        <v>8692</v>
      </c>
      <c r="R198" s="22">
        <v>7460</v>
      </c>
      <c r="S198" s="22">
        <v>32268</v>
      </c>
      <c r="T198" s="22">
        <v>486</v>
      </c>
      <c r="U198" s="22">
        <v>186</v>
      </c>
      <c r="V198" s="22">
        <v>195</v>
      </c>
      <c r="W198" s="22">
        <v>106</v>
      </c>
      <c r="X198" s="37"/>
      <c r="Y198" s="37"/>
      <c r="Z198" s="15"/>
      <c r="AA198" s="15">
        <v>31782</v>
      </c>
      <c r="AB198" s="37"/>
      <c r="AC198" s="22">
        <v>2400</v>
      </c>
      <c r="AD198" s="37"/>
      <c r="AE198" s="22">
        <v>5174</v>
      </c>
      <c r="AF198" s="22">
        <v>4606</v>
      </c>
      <c r="AG198" s="22">
        <v>11718</v>
      </c>
      <c r="AH198" s="22">
        <v>7883</v>
      </c>
      <c r="AI198" s="15"/>
    </row>
    <row r="199" spans="1:35">
      <c r="A199" s="6" t="s">
        <v>56</v>
      </c>
      <c r="B199" s="6">
        <v>2020</v>
      </c>
      <c r="C199" s="22">
        <v>93178</v>
      </c>
      <c r="D199" s="22">
        <v>764</v>
      </c>
      <c r="E199" s="22">
        <v>599</v>
      </c>
      <c r="F199" s="22">
        <v>166</v>
      </c>
      <c r="G199" s="37"/>
      <c r="H199" s="37"/>
      <c r="I199" s="37"/>
      <c r="J199" s="37"/>
      <c r="K199" s="22">
        <v>92414</v>
      </c>
      <c r="L199" s="37"/>
      <c r="M199" s="22">
        <v>7512</v>
      </c>
      <c r="N199" s="22">
        <v>282</v>
      </c>
      <c r="O199" s="37"/>
      <c r="P199" s="22">
        <v>23401</v>
      </c>
      <c r="Q199" s="22">
        <v>31222</v>
      </c>
      <c r="R199" s="22">
        <v>29997</v>
      </c>
      <c r="S199" s="22">
        <v>99530</v>
      </c>
      <c r="T199" s="22">
        <v>764</v>
      </c>
      <c r="U199" s="22">
        <v>599</v>
      </c>
      <c r="V199" s="22">
        <v>166</v>
      </c>
      <c r="W199" s="37"/>
      <c r="X199" s="37"/>
      <c r="Y199" s="37"/>
      <c r="Z199" s="41"/>
      <c r="AA199" s="22">
        <v>98765</v>
      </c>
      <c r="AB199" s="37"/>
      <c r="AC199" s="22">
        <v>7512</v>
      </c>
      <c r="AD199" s="22">
        <v>282</v>
      </c>
      <c r="AE199" s="37"/>
      <c r="AF199" s="22">
        <v>25027</v>
      </c>
      <c r="AG199" s="22">
        <v>33149</v>
      </c>
      <c r="AH199" s="22">
        <v>32795</v>
      </c>
      <c r="AI199" s="15"/>
    </row>
    <row r="200" spans="1:35">
      <c r="A200" s="6" t="s">
        <v>57</v>
      </c>
      <c r="B200" s="6">
        <v>2020</v>
      </c>
      <c r="C200" s="22">
        <v>21559</v>
      </c>
      <c r="D200" s="22">
        <v>11958</v>
      </c>
      <c r="E200" s="37"/>
      <c r="F200" s="22">
        <v>6194</v>
      </c>
      <c r="G200" s="37"/>
      <c r="H200" s="22">
        <v>5764</v>
      </c>
      <c r="I200" s="37"/>
      <c r="J200" s="37"/>
      <c r="K200" s="22">
        <v>9600</v>
      </c>
      <c r="L200" s="37"/>
      <c r="M200" s="37"/>
      <c r="N200" s="22">
        <v>9409</v>
      </c>
      <c r="O200" s="37"/>
      <c r="P200" s="22">
        <v>191</v>
      </c>
      <c r="Q200" s="37"/>
      <c r="R200" s="42"/>
      <c r="S200" s="25">
        <v>23707</v>
      </c>
      <c r="T200" s="25">
        <v>13181</v>
      </c>
      <c r="U200" s="37"/>
      <c r="V200" s="25">
        <v>6194</v>
      </c>
      <c r="W200" s="37"/>
      <c r="X200" s="25">
        <v>6987</v>
      </c>
      <c r="Y200" s="37"/>
      <c r="Z200" s="37"/>
      <c r="AA200" s="22">
        <v>10525</v>
      </c>
      <c r="AB200" s="37"/>
      <c r="AC200" s="37"/>
      <c r="AD200" s="22">
        <v>10326</v>
      </c>
      <c r="AE200" s="37"/>
      <c r="AF200" s="22">
        <v>200</v>
      </c>
      <c r="AG200" s="37"/>
      <c r="AH200" s="42"/>
      <c r="AI200" s="15"/>
    </row>
  </sheetData>
  <mergeCells count="5">
    <mergeCell ref="C1:R1"/>
    <mergeCell ref="S1:AH1"/>
    <mergeCell ref="A1:A2"/>
    <mergeCell ref="B1:B2"/>
    <mergeCell ref="AI1:A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5"/>
  <sheetViews>
    <sheetView topLeftCell="N1" workbookViewId="0">
      <selection activeCell="O13" sqref="O13:P13"/>
    </sheetView>
  </sheetViews>
  <sheetFormatPr defaultColWidth="9" defaultRowHeight="13.85"/>
  <cols>
    <col min="2" max="3" width="16.3716814159292" customWidth="1"/>
    <col min="4" max="13" width="9.87610619469027" customWidth="1"/>
    <col min="15" max="15" width="20.6283185840708" customWidth="1"/>
    <col min="18" max="18" width="12.7964601769912"/>
  </cols>
  <sheetData>
    <row r="1" ht="13.9" spans="1:28">
      <c r="A1" s="17" t="s">
        <v>60</v>
      </c>
      <c r="B1" s="18" t="s">
        <v>61</v>
      </c>
      <c r="C1" s="18" t="s">
        <v>62</v>
      </c>
      <c r="D1" s="19" t="s">
        <v>63</v>
      </c>
      <c r="E1" s="19"/>
      <c r="F1" s="19" t="s">
        <v>64</v>
      </c>
      <c r="G1" s="19"/>
      <c r="H1" s="19" t="s">
        <v>65</v>
      </c>
      <c r="I1" s="19"/>
      <c r="J1" s="19" t="s">
        <v>66</v>
      </c>
      <c r="K1" s="19"/>
      <c r="L1" s="19" t="s">
        <v>67</v>
      </c>
      <c r="M1" s="19"/>
      <c r="O1" s="20" t="s">
        <v>61</v>
      </c>
      <c r="P1" s="20" t="s">
        <v>68</v>
      </c>
      <c r="Q1" s="20" t="s">
        <v>69</v>
      </c>
      <c r="R1" s="20" t="s">
        <v>70</v>
      </c>
      <c r="S1" s="20" t="s">
        <v>71</v>
      </c>
      <c r="T1" s="20"/>
      <c r="U1" s="20" t="s">
        <v>72</v>
      </c>
      <c r="V1" s="20"/>
      <c r="W1" s="20" t="s">
        <v>73</v>
      </c>
      <c r="X1" s="20"/>
      <c r="Y1" s="20" t="s">
        <v>74</v>
      </c>
      <c r="Z1" s="20"/>
      <c r="AA1" s="20" t="s">
        <v>75</v>
      </c>
      <c r="AB1" s="20"/>
    </row>
    <row r="2" ht="13.9" spans="1:28">
      <c r="A2" s="17"/>
      <c r="B2" s="21"/>
      <c r="C2" s="21"/>
      <c r="D2" s="19" t="s">
        <v>76</v>
      </c>
      <c r="E2" s="19" t="s">
        <v>77</v>
      </c>
      <c r="F2" s="19" t="s">
        <v>76</v>
      </c>
      <c r="G2" s="19" t="s">
        <v>77</v>
      </c>
      <c r="H2" s="22" t="s">
        <v>76</v>
      </c>
      <c r="I2" s="19" t="s">
        <v>77</v>
      </c>
      <c r="J2" s="19" t="s">
        <v>76</v>
      </c>
      <c r="K2" s="19" t="s">
        <v>77</v>
      </c>
      <c r="L2" s="19" t="s">
        <v>76</v>
      </c>
      <c r="M2" s="19" t="s">
        <v>77</v>
      </c>
      <c r="O2" s="20"/>
      <c r="P2" s="20"/>
      <c r="Q2" s="20"/>
      <c r="R2" s="20"/>
      <c r="S2" s="20" t="s">
        <v>78</v>
      </c>
      <c r="T2" s="20" t="s">
        <v>79</v>
      </c>
      <c r="U2" s="20" t="s">
        <v>78</v>
      </c>
      <c r="V2" s="20" t="s">
        <v>79</v>
      </c>
      <c r="W2" s="10" t="s">
        <v>78</v>
      </c>
      <c r="X2" s="20" t="s">
        <v>79</v>
      </c>
      <c r="Y2" s="20" t="s">
        <v>78</v>
      </c>
      <c r="Z2" s="20" t="s">
        <v>79</v>
      </c>
      <c r="AA2" s="20" t="s">
        <v>78</v>
      </c>
      <c r="AB2" s="20" t="s">
        <v>79</v>
      </c>
    </row>
    <row r="3" spans="1:28">
      <c r="A3">
        <v>1</v>
      </c>
      <c r="B3" s="19" t="s">
        <v>80</v>
      </c>
      <c r="C3" s="19">
        <v>2020</v>
      </c>
      <c r="D3" s="23"/>
      <c r="E3" s="22">
        <v>176608</v>
      </c>
      <c r="F3" s="23"/>
      <c r="G3" s="22">
        <v>150404</v>
      </c>
      <c r="H3" s="24"/>
      <c r="I3" s="22">
        <v>61102</v>
      </c>
      <c r="J3" s="23"/>
      <c r="K3" s="22">
        <v>67542</v>
      </c>
      <c r="L3" s="23"/>
      <c r="M3" s="22">
        <v>62653</v>
      </c>
      <c r="O3" s="6" t="s">
        <v>81</v>
      </c>
      <c r="P3" s="6" t="s">
        <v>82</v>
      </c>
      <c r="Q3" s="6">
        <v>400</v>
      </c>
      <c r="R3" s="6">
        <f>Y3/Z3</f>
        <v>0.580234771973623</v>
      </c>
      <c r="S3" s="6"/>
      <c r="T3" s="6"/>
      <c r="U3" s="6"/>
      <c r="V3" s="6"/>
      <c r="W3" s="6">
        <v>30712</v>
      </c>
      <c r="X3" s="6">
        <v>57829</v>
      </c>
      <c r="Y3" s="6">
        <v>46019</v>
      </c>
      <c r="Z3" s="6">
        <v>79311</v>
      </c>
      <c r="AA3" s="6">
        <v>34585</v>
      </c>
      <c r="AB3" s="6">
        <v>56679</v>
      </c>
    </row>
    <row r="4" spans="1:28">
      <c r="A4">
        <v>2</v>
      </c>
      <c r="B4" s="19" t="s">
        <v>83</v>
      </c>
      <c r="C4" s="19">
        <v>2020</v>
      </c>
      <c r="D4" s="22">
        <v>12600</v>
      </c>
      <c r="E4" s="22">
        <v>13148</v>
      </c>
      <c r="F4" s="22">
        <v>12600</v>
      </c>
      <c r="G4" s="22">
        <v>13147</v>
      </c>
      <c r="H4" s="24">
        <v>3800</v>
      </c>
      <c r="I4" s="24">
        <v>3890</v>
      </c>
      <c r="J4" s="24">
        <v>5200</v>
      </c>
      <c r="K4" s="24">
        <v>4444</v>
      </c>
      <c r="L4" s="24">
        <v>5200</v>
      </c>
      <c r="M4" s="24">
        <v>4444</v>
      </c>
      <c r="O4" s="6" t="s">
        <v>84</v>
      </c>
      <c r="P4" s="6" t="s">
        <v>82</v>
      </c>
      <c r="Q4" s="6">
        <v>500</v>
      </c>
      <c r="R4" s="6">
        <f>S4/T4</f>
        <v>0.861285436052802</v>
      </c>
      <c r="S4" s="6">
        <v>7960</v>
      </c>
      <c r="T4" s="6">
        <v>9242</v>
      </c>
      <c r="U4" s="6">
        <v>6180</v>
      </c>
      <c r="V4" s="6">
        <v>5669</v>
      </c>
      <c r="W4" s="6">
        <v>2200</v>
      </c>
      <c r="X4" s="6">
        <v>1738</v>
      </c>
      <c r="Y4" s="6">
        <v>4920</v>
      </c>
      <c r="Z4" s="6">
        <v>5733</v>
      </c>
      <c r="AA4" s="6">
        <v>3040</v>
      </c>
      <c r="AB4" s="6">
        <v>2726</v>
      </c>
    </row>
    <row r="5" spans="1:28">
      <c r="A5">
        <v>3</v>
      </c>
      <c r="B5" s="19" t="s">
        <v>85</v>
      </c>
      <c r="C5" s="19">
        <v>2020</v>
      </c>
      <c r="D5" s="23"/>
      <c r="E5" s="22">
        <v>1768</v>
      </c>
      <c r="F5" s="23"/>
      <c r="G5" s="22">
        <v>1768</v>
      </c>
      <c r="H5" s="15"/>
      <c r="I5" s="15"/>
      <c r="J5" s="15"/>
      <c r="K5" s="15"/>
      <c r="L5" s="15"/>
      <c r="M5" s="15"/>
      <c r="O5" s="6" t="s">
        <v>86</v>
      </c>
      <c r="P5" s="6" t="s">
        <v>82</v>
      </c>
      <c r="Q5" s="6">
        <v>800</v>
      </c>
      <c r="R5" s="6">
        <f t="shared" ref="R5:R12" si="0">S5/T5</f>
        <v>1.06940160957717</v>
      </c>
      <c r="S5" s="6">
        <v>58600</v>
      </c>
      <c r="T5" s="6">
        <v>54797</v>
      </c>
      <c r="U5" s="6">
        <v>53500</v>
      </c>
      <c r="V5" s="6">
        <v>45979</v>
      </c>
      <c r="W5" s="6">
        <v>15800</v>
      </c>
      <c r="X5" s="6">
        <v>14147</v>
      </c>
      <c r="Y5" s="6">
        <v>18800</v>
      </c>
      <c r="Z5" s="6">
        <v>22255</v>
      </c>
      <c r="AA5" s="6">
        <v>13300</v>
      </c>
      <c r="AB5" s="6">
        <v>13448</v>
      </c>
    </row>
    <row r="6" spans="1:28">
      <c r="A6">
        <v>4</v>
      </c>
      <c r="B6" s="19" t="s">
        <v>87</v>
      </c>
      <c r="C6" s="19">
        <v>2020</v>
      </c>
      <c r="D6" s="22">
        <v>11400</v>
      </c>
      <c r="E6" s="22">
        <v>10321</v>
      </c>
      <c r="F6" s="22">
        <v>11400</v>
      </c>
      <c r="G6" s="22">
        <v>10321</v>
      </c>
      <c r="H6" s="22">
        <v>3200</v>
      </c>
      <c r="I6" s="22">
        <v>3224</v>
      </c>
      <c r="J6" s="22">
        <v>4000</v>
      </c>
      <c r="K6" s="22">
        <v>3389</v>
      </c>
      <c r="L6" s="22">
        <v>4000</v>
      </c>
      <c r="M6" s="22">
        <v>3389</v>
      </c>
      <c r="O6" s="6" t="s">
        <v>88</v>
      </c>
      <c r="P6" s="6" t="s">
        <v>82</v>
      </c>
      <c r="Q6" s="6">
        <v>1100</v>
      </c>
      <c r="R6" s="6">
        <f t="shared" si="0"/>
        <v>0.531697341513292</v>
      </c>
      <c r="S6" s="6">
        <v>7800</v>
      </c>
      <c r="T6" s="6">
        <v>14670</v>
      </c>
      <c r="U6" s="6">
        <v>7800</v>
      </c>
      <c r="V6" s="6">
        <v>14670</v>
      </c>
      <c r="W6" s="6">
        <v>2400</v>
      </c>
      <c r="X6" s="6">
        <v>3325</v>
      </c>
      <c r="Y6" s="6">
        <v>3000</v>
      </c>
      <c r="Z6" s="6">
        <v>4882</v>
      </c>
      <c r="AA6" s="6">
        <v>1200</v>
      </c>
      <c r="AB6" s="6">
        <v>3325</v>
      </c>
    </row>
    <row r="7" spans="1:28">
      <c r="A7">
        <v>5</v>
      </c>
      <c r="B7" s="19" t="s">
        <v>89</v>
      </c>
      <c r="C7" s="19">
        <v>2020</v>
      </c>
      <c r="D7" s="23"/>
      <c r="E7" s="23"/>
      <c r="F7" s="23"/>
      <c r="G7" s="23"/>
      <c r="H7" s="15"/>
      <c r="I7" s="15"/>
      <c r="J7" s="15"/>
      <c r="K7" s="15"/>
      <c r="L7" s="15"/>
      <c r="M7" s="15"/>
      <c r="O7" s="6" t="s">
        <v>90</v>
      </c>
      <c r="P7" s="6" t="s">
        <v>91</v>
      </c>
      <c r="Q7" s="6">
        <v>110</v>
      </c>
      <c r="R7" s="6">
        <f t="shared" si="0"/>
        <v>0.40852675145614</v>
      </c>
      <c r="S7" s="6">
        <v>162371</v>
      </c>
      <c r="T7" s="6">
        <v>397455</v>
      </c>
      <c r="U7" s="6">
        <v>136277</v>
      </c>
      <c r="V7" s="6">
        <v>349867</v>
      </c>
      <c r="W7" s="6">
        <v>53565</v>
      </c>
      <c r="X7" s="6">
        <v>142503</v>
      </c>
      <c r="Y7" s="6">
        <v>67057</v>
      </c>
      <c r="Z7" s="6">
        <v>181742</v>
      </c>
      <c r="AA7" s="6">
        <v>51476</v>
      </c>
      <c r="AB7" s="6">
        <v>141344</v>
      </c>
    </row>
    <row r="8" spans="1:28">
      <c r="A8">
        <v>6</v>
      </c>
      <c r="B8" s="19" t="s">
        <v>92</v>
      </c>
      <c r="C8" s="19">
        <v>2020</v>
      </c>
      <c r="D8" s="22">
        <v>1200</v>
      </c>
      <c r="E8" s="22">
        <v>1059</v>
      </c>
      <c r="F8" s="22">
        <v>1200</v>
      </c>
      <c r="G8" s="22">
        <v>1059</v>
      </c>
      <c r="H8" s="22">
        <v>600</v>
      </c>
      <c r="I8" s="22">
        <v>666</v>
      </c>
      <c r="J8" s="22">
        <v>1200</v>
      </c>
      <c r="K8" s="22">
        <v>1055</v>
      </c>
      <c r="L8" s="22">
        <v>1200</v>
      </c>
      <c r="M8" s="22">
        <v>1055</v>
      </c>
      <c r="O8" s="6" t="s">
        <v>93</v>
      </c>
      <c r="P8" s="6" t="s">
        <v>91</v>
      </c>
      <c r="Q8" s="6">
        <v>220</v>
      </c>
      <c r="R8" s="6">
        <f t="shared" si="0"/>
        <v>0.493484815446965</v>
      </c>
      <c r="S8" s="6">
        <v>196896</v>
      </c>
      <c r="T8" s="6">
        <v>398991</v>
      </c>
      <c r="U8" s="6">
        <v>158637</v>
      </c>
      <c r="V8" s="6">
        <v>332070</v>
      </c>
      <c r="W8" s="6">
        <v>56126</v>
      </c>
      <c r="X8" s="6">
        <v>116833</v>
      </c>
      <c r="Y8" s="6">
        <v>80364</v>
      </c>
      <c r="Z8" s="6">
        <v>159030</v>
      </c>
      <c r="AA8" s="6">
        <v>55578</v>
      </c>
      <c r="AB8" s="6">
        <v>116982</v>
      </c>
    </row>
    <row r="9" spans="1:28">
      <c r="A9">
        <v>7</v>
      </c>
      <c r="B9" s="19" t="s">
        <v>94</v>
      </c>
      <c r="C9" s="19">
        <v>2020</v>
      </c>
      <c r="D9" s="23"/>
      <c r="E9" s="23"/>
      <c r="F9" s="23"/>
      <c r="G9" s="23"/>
      <c r="H9" s="15"/>
      <c r="I9" s="15"/>
      <c r="J9" s="15"/>
      <c r="K9" s="15"/>
      <c r="L9" s="15"/>
      <c r="M9" s="15"/>
      <c r="O9" s="6" t="s">
        <v>95</v>
      </c>
      <c r="P9" s="6" t="s">
        <v>91</v>
      </c>
      <c r="Q9" s="6">
        <v>330</v>
      </c>
      <c r="R9" s="6">
        <f t="shared" ref="R9" si="1">S9/T9</f>
        <v>0.436405281595257</v>
      </c>
      <c r="S9" s="6">
        <v>16195</v>
      </c>
      <c r="T9" s="6">
        <v>37110</v>
      </c>
      <c r="U9" s="6">
        <v>14658</v>
      </c>
      <c r="V9" s="6">
        <v>34085</v>
      </c>
      <c r="W9" s="6">
        <v>6076</v>
      </c>
      <c r="X9" s="6">
        <v>11740</v>
      </c>
      <c r="Y9" s="6">
        <v>7089</v>
      </c>
      <c r="Z9" s="6">
        <v>18263</v>
      </c>
      <c r="AA9" s="6">
        <v>5238</v>
      </c>
      <c r="AB9" s="6">
        <v>13840</v>
      </c>
    </row>
    <row r="10" spans="1:28">
      <c r="A10">
        <v>8</v>
      </c>
      <c r="B10" s="19" t="s">
        <v>96</v>
      </c>
      <c r="C10" s="19">
        <v>2020</v>
      </c>
      <c r="D10" s="22">
        <v>104095</v>
      </c>
      <c r="E10" s="22">
        <v>163460</v>
      </c>
      <c r="F10" s="22">
        <v>87746</v>
      </c>
      <c r="G10" s="22">
        <v>137257</v>
      </c>
      <c r="H10" s="25">
        <v>35202</v>
      </c>
      <c r="I10" s="25">
        <v>57213</v>
      </c>
      <c r="J10" s="25">
        <v>34042</v>
      </c>
      <c r="K10" s="25">
        <v>63098</v>
      </c>
      <c r="L10" s="25">
        <v>31597</v>
      </c>
      <c r="M10" s="25">
        <v>58208</v>
      </c>
      <c r="O10" s="6" t="s">
        <v>97</v>
      </c>
      <c r="P10" s="6" t="s">
        <v>91</v>
      </c>
      <c r="Q10" s="6">
        <v>500</v>
      </c>
      <c r="R10" s="6">
        <f t="shared" si="0"/>
        <v>1.02905525403942</v>
      </c>
      <c r="S10" s="6">
        <v>165717</v>
      </c>
      <c r="T10" s="6">
        <v>161038</v>
      </c>
      <c r="U10" s="6">
        <v>150031</v>
      </c>
      <c r="V10" s="6">
        <v>142497</v>
      </c>
      <c r="W10" s="6">
        <v>52630</v>
      </c>
      <c r="X10" s="6">
        <v>52609</v>
      </c>
      <c r="Y10" s="6">
        <v>64080</v>
      </c>
      <c r="Z10" s="6">
        <v>63440</v>
      </c>
      <c r="AA10" s="6">
        <v>52380</v>
      </c>
      <c r="AB10" s="6">
        <v>49668</v>
      </c>
    </row>
    <row r="11" ht="13.9" spans="1:28">
      <c r="A11">
        <v>9</v>
      </c>
      <c r="B11" s="19" t="s">
        <v>98</v>
      </c>
      <c r="C11" s="19">
        <v>2020</v>
      </c>
      <c r="D11" s="22">
        <v>6000</v>
      </c>
      <c r="E11" s="22">
        <v>3411</v>
      </c>
      <c r="F11" s="22">
        <v>5400</v>
      </c>
      <c r="G11" s="22">
        <v>2806</v>
      </c>
      <c r="H11" s="22">
        <v>3300</v>
      </c>
      <c r="I11" s="22">
        <v>690</v>
      </c>
      <c r="J11" s="22">
        <v>1800</v>
      </c>
      <c r="K11" s="22">
        <v>1736</v>
      </c>
      <c r="L11" s="22">
        <v>1800</v>
      </c>
      <c r="M11" s="22">
        <v>1736</v>
      </c>
      <c r="O11" s="6" t="s">
        <v>15</v>
      </c>
      <c r="P11" s="6" t="s">
        <v>91</v>
      </c>
      <c r="Q11" s="6">
        <v>750</v>
      </c>
      <c r="R11" s="6">
        <f t="shared" si="0"/>
        <v>1.11605467703029</v>
      </c>
      <c r="S11" s="6">
        <v>41640</v>
      </c>
      <c r="T11" s="6">
        <v>37310</v>
      </c>
      <c r="U11" s="6">
        <v>39810</v>
      </c>
      <c r="V11" s="6">
        <v>37106</v>
      </c>
      <c r="W11" s="6">
        <v>12415</v>
      </c>
      <c r="X11" s="6">
        <v>11771</v>
      </c>
      <c r="Y11" s="6">
        <v>17035</v>
      </c>
      <c r="Z11" s="6">
        <v>13469</v>
      </c>
      <c r="AA11" s="6">
        <v>14175</v>
      </c>
      <c r="AB11" s="6">
        <v>12090</v>
      </c>
    </row>
    <row r="12" spans="1:28">
      <c r="A12">
        <v>10</v>
      </c>
      <c r="B12" s="19" t="s">
        <v>99</v>
      </c>
      <c r="C12" s="19">
        <v>2020</v>
      </c>
      <c r="D12" s="22">
        <v>6850</v>
      </c>
      <c r="E12" s="22">
        <v>6153</v>
      </c>
      <c r="F12" s="22">
        <v>6430</v>
      </c>
      <c r="G12" s="22">
        <v>6051</v>
      </c>
      <c r="H12" s="22">
        <v>1520</v>
      </c>
      <c r="I12" s="22">
        <v>2038</v>
      </c>
      <c r="J12" s="22">
        <v>2620</v>
      </c>
      <c r="K12" s="22">
        <v>1818</v>
      </c>
      <c r="L12" s="22">
        <v>2620</v>
      </c>
      <c r="M12" s="22">
        <v>1760</v>
      </c>
      <c r="O12" s="6" t="s">
        <v>100</v>
      </c>
      <c r="P12" s="6" t="s">
        <v>91</v>
      </c>
      <c r="Q12" s="6">
        <v>1000</v>
      </c>
      <c r="R12" s="6">
        <f t="shared" si="0"/>
        <v>1.14434423015222</v>
      </c>
      <c r="S12" s="6">
        <v>32100</v>
      </c>
      <c r="T12" s="6">
        <v>28051</v>
      </c>
      <c r="U12" s="6">
        <v>30300</v>
      </c>
      <c r="V12" s="6">
        <v>25909</v>
      </c>
      <c r="W12" s="6">
        <v>13200</v>
      </c>
      <c r="X12" s="6">
        <v>8149</v>
      </c>
      <c r="Y12" s="6">
        <v>12900</v>
      </c>
      <c r="Z12" s="6">
        <v>11693</v>
      </c>
      <c r="AA12" s="6">
        <v>12300</v>
      </c>
      <c r="AB12" s="6">
        <v>11063</v>
      </c>
    </row>
    <row r="13" spans="1:28">
      <c r="A13">
        <v>11</v>
      </c>
      <c r="B13" s="19" t="s">
        <v>101</v>
      </c>
      <c r="C13" s="19">
        <v>2020</v>
      </c>
      <c r="D13" s="22">
        <v>25436</v>
      </c>
      <c r="E13" s="22">
        <v>22532</v>
      </c>
      <c r="F13" s="22">
        <v>21568</v>
      </c>
      <c r="G13" s="22">
        <v>17874</v>
      </c>
      <c r="H13" s="22">
        <v>8580</v>
      </c>
      <c r="I13" s="22">
        <v>8676</v>
      </c>
      <c r="J13" s="22">
        <v>8355</v>
      </c>
      <c r="K13" s="22">
        <v>8137</v>
      </c>
      <c r="L13" s="22">
        <v>7705</v>
      </c>
      <c r="M13" s="22">
        <v>7214</v>
      </c>
      <c r="O13" s="26" t="s">
        <v>102</v>
      </c>
      <c r="P13" s="26" t="s">
        <v>91</v>
      </c>
      <c r="Q13" s="27">
        <v>35</v>
      </c>
      <c r="R13" s="27" cm="1">
        <f t="array" ref="R13">FORECAST(Q13,R7:R12,Q7:Q12)</f>
        <v>0.338376602989729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>
      <c r="A14">
        <v>12</v>
      </c>
      <c r="B14" s="19" t="s">
        <v>103</v>
      </c>
      <c r="C14" s="19">
        <v>2020</v>
      </c>
      <c r="D14" s="22">
        <v>4330</v>
      </c>
      <c r="E14" s="22">
        <v>7010</v>
      </c>
      <c r="F14" s="22">
        <v>4114</v>
      </c>
      <c r="G14" s="22">
        <v>6982</v>
      </c>
      <c r="H14" s="22">
        <v>2008</v>
      </c>
      <c r="I14" s="22">
        <v>3004</v>
      </c>
      <c r="J14" s="22">
        <v>1674</v>
      </c>
      <c r="K14" s="22">
        <v>3014</v>
      </c>
      <c r="L14" s="22">
        <v>1458</v>
      </c>
      <c r="M14" s="22">
        <v>2815</v>
      </c>
    </row>
    <row r="15" spans="1:28">
      <c r="A15">
        <v>13</v>
      </c>
      <c r="B15" s="19" t="s">
        <v>104</v>
      </c>
      <c r="C15" s="19">
        <v>2020</v>
      </c>
      <c r="D15" s="22">
        <v>31777</v>
      </c>
      <c r="E15" s="22">
        <v>61314</v>
      </c>
      <c r="F15" s="22">
        <v>25303</v>
      </c>
      <c r="G15" s="22">
        <v>48944</v>
      </c>
      <c r="H15" s="22">
        <v>10920</v>
      </c>
      <c r="I15" s="22">
        <v>20330</v>
      </c>
      <c r="J15" s="22">
        <v>10576</v>
      </c>
      <c r="K15" s="22">
        <v>21107</v>
      </c>
      <c r="L15" s="22">
        <v>9533</v>
      </c>
      <c r="M15" s="22">
        <v>18511</v>
      </c>
    </row>
    <row r="16" spans="1:28">
      <c r="A16">
        <v>14</v>
      </c>
      <c r="B16" s="19" t="s">
        <v>105</v>
      </c>
      <c r="C16" s="19">
        <v>2020</v>
      </c>
      <c r="D16" s="22">
        <v>29701</v>
      </c>
      <c r="E16" s="22">
        <v>63040</v>
      </c>
      <c r="F16" s="22">
        <v>24931</v>
      </c>
      <c r="G16" s="22">
        <v>54600</v>
      </c>
      <c r="H16" s="22">
        <v>8874</v>
      </c>
      <c r="I16" s="22">
        <v>22474</v>
      </c>
      <c r="J16" s="22">
        <v>9017</v>
      </c>
      <c r="K16" s="22">
        <v>27286</v>
      </c>
      <c r="L16" s="22">
        <v>8481</v>
      </c>
      <c r="M16" s="22">
        <v>26173</v>
      </c>
    </row>
    <row r="17" spans="1:13">
      <c r="A17">
        <v>15</v>
      </c>
      <c r="B17" s="19" t="s">
        <v>80</v>
      </c>
      <c r="C17" s="19">
        <v>2019</v>
      </c>
      <c r="D17" s="23"/>
      <c r="E17" s="22">
        <v>177201</v>
      </c>
      <c r="F17" s="23"/>
      <c r="G17" s="22">
        <v>160164</v>
      </c>
      <c r="H17" s="24"/>
      <c r="I17" s="22">
        <v>58731</v>
      </c>
      <c r="J17" s="23"/>
      <c r="K17" s="22">
        <v>71109</v>
      </c>
      <c r="L17" s="23"/>
      <c r="M17" s="22">
        <v>57935</v>
      </c>
    </row>
    <row r="18" spans="1:13">
      <c r="A18">
        <v>16</v>
      </c>
      <c r="B18" s="19" t="s">
        <v>83</v>
      </c>
      <c r="C18" s="19">
        <v>2019</v>
      </c>
      <c r="D18" s="22">
        <v>9700</v>
      </c>
      <c r="E18" s="22">
        <v>11027</v>
      </c>
      <c r="F18" s="22">
        <v>9000</v>
      </c>
      <c r="G18" s="22">
        <v>9075</v>
      </c>
      <c r="H18" s="24">
        <v>1900</v>
      </c>
      <c r="I18" s="24">
        <v>1295</v>
      </c>
      <c r="J18" s="24">
        <v>3800</v>
      </c>
      <c r="K18" s="24">
        <v>3510</v>
      </c>
      <c r="L18" s="24">
        <v>2200</v>
      </c>
      <c r="M18" s="24"/>
    </row>
    <row r="19" spans="1:13">
      <c r="A19">
        <v>17</v>
      </c>
      <c r="B19" s="19" t="s">
        <v>85</v>
      </c>
      <c r="C19" s="19">
        <v>2019</v>
      </c>
      <c r="D19" s="23">
        <v>1800</v>
      </c>
      <c r="E19" s="22">
        <v>4010</v>
      </c>
      <c r="F19" s="23">
        <v>1800</v>
      </c>
      <c r="G19" s="22">
        <v>4010</v>
      </c>
      <c r="H19" s="15"/>
      <c r="I19" s="15"/>
      <c r="J19" s="15">
        <v>1800</v>
      </c>
      <c r="K19" s="15">
        <v>1557</v>
      </c>
      <c r="L19" s="15">
        <v>1200</v>
      </c>
      <c r="M19" s="15"/>
    </row>
    <row r="20" spans="1:13">
      <c r="A20">
        <v>18</v>
      </c>
      <c r="B20" s="19" t="s">
        <v>87</v>
      </c>
      <c r="C20" s="19">
        <v>2019</v>
      </c>
      <c r="D20" s="22">
        <v>6000</v>
      </c>
      <c r="E20" s="22">
        <v>5945</v>
      </c>
      <c r="F20" s="22">
        <v>5000</v>
      </c>
      <c r="G20" s="22">
        <v>3992</v>
      </c>
      <c r="H20" s="22">
        <v>1600</v>
      </c>
      <c r="I20" s="22">
        <v>909</v>
      </c>
      <c r="J20" s="22">
        <v>1000</v>
      </c>
      <c r="K20" s="22">
        <v>1953</v>
      </c>
      <c r="L20" s="22"/>
      <c r="M20" s="22"/>
    </row>
    <row r="21" spans="1:13">
      <c r="A21">
        <v>19</v>
      </c>
      <c r="B21" s="19" t="s">
        <v>89</v>
      </c>
      <c r="C21" s="19">
        <v>2019</v>
      </c>
      <c r="D21" s="23"/>
      <c r="E21" s="23"/>
      <c r="F21" s="23"/>
      <c r="G21" s="23"/>
      <c r="H21" s="15"/>
      <c r="I21" s="15"/>
      <c r="J21" s="15"/>
      <c r="K21" s="15"/>
      <c r="L21" s="15"/>
      <c r="M21" s="15"/>
    </row>
    <row r="22" spans="1:13">
      <c r="A22">
        <v>20</v>
      </c>
      <c r="B22" s="19" t="s">
        <v>92</v>
      </c>
      <c r="C22" s="19">
        <v>2019</v>
      </c>
      <c r="D22" s="22">
        <v>900</v>
      </c>
      <c r="E22" s="22">
        <v>1073</v>
      </c>
      <c r="F22" s="22">
        <v>1200</v>
      </c>
      <c r="G22" s="22">
        <v>1074</v>
      </c>
      <c r="H22" s="22">
        <v>300</v>
      </c>
      <c r="I22" s="22">
        <v>386</v>
      </c>
      <c r="J22" s="22"/>
      <c r="K22" s="22"/>
      <c r="L22" s="22"/>
      <c r="M22" s="22"/>
    </row>
    <row r="23" spans="1:13">
      <c r="A23">
        <v>21</v>
      </c>
      <c r="B23" s="19" t="s">
        <v>94</v>
      </c>
      <c r="C23" s="19">
        <v>2019</v>
      </c>
      <c r="D23" s="23">
        <v>1000</v>
      </c>
      <c r="E23" s="23"/>
      <c r="F23" s="23">
        <v>1000</v>
      </c>
      <c r="G23" s="23"/>
      <c r="H23" s="15"/>
      <c r="I23" s="15"/>
      <c r="J23" s="15">
        <v>1000</v>
      </c>
      <c r="K23" s="15"/>
      <c r="L23" s="15">
        <v>1000</v>
      </c>
      <c r="M23" s="15"/>
    </row>
    <row r="24" spans="1:13">
      <c r="A24">
        <v>22</v>
      </c>
      <c r="B24" s="19" t="s">
        <v>96</v>
      </c>
      <c r="C24" s="19">
        <v>2019</v>
      </c>
      <c r="D24" s="22">
        <v>95307</v>
      </c>
      <c r="E24" s="22">
        <v>166174</v>
      </c>
      <c r="F24" s="22">
        <v>88187</v>
      </c>
      <c r="G24" s="22">
        <v>151088</v>
      </c>
      <c r="H24" s="25">
        <v>34390</v>
      </c>
      <c r="I24" s="25">
        <v>57436</v>
      </c>
      <c r="J24" s="25">
        <v>37608</v>
      </c>
      <c r="K24" s="25">
        <v>67599</v>
      </c>
      <c r="L24" s="25">
        <v>31915</v>
      </c>
      <c r="M24" s="25">
        <v>57935</v>
      </c>
    </row>
    <row r="25" spans="1:13">
      <c r="A25">
        <v>23</v>
      </c>
      <c r="B25" s="19" t="s">
        <v>98</v>
      </c>
      <c r="C25" s="19">
        <v>2019</v>
      </c>
      <c r="D25" s="22">
        <v>4800</v>
      </c>
      <c r="E25" s="22">
        <v>4316</v>
      </c>
      <c r="F25" s="22">
        <v>4800</v>
      </c>
      <c r="G25" s="22">
        <v>4316</v>
      </c>
      <c r="H25" s="22">
        <v>2100</v>
      </c>
      <c r="I25" s="22">
        <v>1128</v>
      </c>
      <c r="J25" s="22">
        <v>1500</v>
      </c>
      <c r="K25" s="22">
        <v>2100</v>
      </c>
      <c r="L25" s="22">
        <v>1500</v>
      </c>
      <c r="M25" s="22">
        <v>2100</v>
      </c>
    </row>
    <row r="26" spans="1:13">
      <c r="A26">
        <v>24</v>
      </c>
      <c r="B26" s="19" t="s">
        <v>99</v>
      </c>
      <c r="C26" s="19">
        <v>2019</v>
      </c>
      <c r="D26" s="22">
        <v>8840</v>
      </c>
      <c r="E26" s="22">
        <v>8350</v>
      </c>
      <c r="F26" s="22">
        <v>8630</v>
      </c>
      <c r="G26" s="22">
        <v>8350</v>
      </c>
      <c r="H26" s="22">
        <v>2615</v>
      </c>
      <c r="I26" s="22">
        <v>1386</v>
      </c>
      <c r="J26" s="22">
        <v>3455</v>
      </c>
      <c r="K26" s="22">
        <v>4566</v>
      </c>
      <c r="L26" s="22">
        <v>3245</v>
      </c>
      <c r="M26" s="22">
        <v>4406</v>
      </c>
    </row>
    <row r="27" spans="1:13">
      <c r="A27">
        <v>25</v>
      </c>
      <c r="B27" s="19" t="s">
        <v>101</v>
      </c>
      <c r="C27" s="19">
        <v>2019</v>
      </c>
      <c r="D27" s="22">
        <v>25333</v>
      </c>
      <c r="E27" s="22">
        <v>22478</v>
      </c>
      <c r="F27" s="22">
        <v>23603</v>
      </c>
      <c r="G27" s="22">
        <v>19409</v>
      </c>
      <c r="H27" s="22">
        <v>9493</v>
      </c>
      <c r="I27" s="22">
        <v>8563</v>
      </c>
      <c r="J27" s="22">
        <v>9995</v>
      </c>
      <c r="K27" s="22">
        <v>8095</v>
      </c>
      <c r="L27" s="22">
        <v>8645</v>
      </c>
      <c r="M27" s="22">
        <v>5595</v>
      </c>
    </row>
    <row r="28" spans="1:13">
      <c r="A28">
        <v>26</v>
      </c>
      <c r="B28" s="19" t="s">
        <v>103</v>
      </c>
      <c r="C28" s="19">
        <v>2019</v>
      </c>
      <c r="D28" s="22">
        <v>3705</v>
      </c>
      <c r="E28" s="22">
        <v>7328</v>
      </c>
      <c r="F28" s="22">
        <v>3489</v>
      </c>
      <c r="G28" s="22">
        <v>7300</v>
      </c>
      <c r="H28" s="22">
        <v>1188</v>
      </c>
      <c r="I28" s="22">
        <v>1810</v>
      </c>
      <c r="J28" s="22">
        <v>1623</v>
      </c>
      <c r="K28" s="22">
        <v>4245</v>
      </c>
      <c r="L28" s="22">
        <v>1263</v>
      </c>
      <c r="M28" s="22">
        <v>3989</v>
      </c>
    </row>
    <row r="29" spans="1:13">
      <c r="A29">
        <v>27</v>
      </c>
      <c r="B29" s="19" t="s">
        <v>104</v>
      </c>
      <c r="C29" s="19">
        <v>2019</v>
      </c>
      <c r="D29" s="22">
        <v>29630</v>
      </c>
      <c r="E29" s="22">
        <v>62940</v>
      </c>
      <c r="F29" s="22">
        <v>26136</v>
      </c>
      <c r="G29" s="22">
        <v>54343</v>
      </c>
      <c r="H29" s="22">
        <v>10163</v>
      </c>
      <c r="I29" s="22">
        <v>18694</v>
      </c>
      <c r="J29" s="22">
        <v>11775</v>
      </c>
      <c r="K29" s="22">
        <v>24284</v>
      </c>
      <c r="L29" s="22">
        <v>9161</v>
      </c>
      <c r="M29" s="22">
        <v>19822</v>
      </c>
    </row>
    <row r="30" spans="1:13">
      <c r="A30">
        <v>28</v>
      </c>
      <c r="B30" s="19" t="s">
        <v>105</v>
      </c>
      <c r="C30" s="19">
        <v>2019</v>
      </c>
      <c r="D30" s="22">
        <v>22999</v>
      </c>
      <c r="E30" s="22">
        <v>60762</v>
      </c>
      <c r="F30" s="22">
        <v>21528</v>
      </c>
      <c r="G30" s="22">
        <v>57370</v>
      </c>
      <c r="H30" s="22">
        <v>8831</v>
      </c>
      <c r="I30" s="22">
        <v>25855</v>
      </c>
      <c r="J30" s="22">
        <v>9260</v>
      </c>
      <c r="K30" s="22">
        <v>24310</v>
      </c>
      <c r="L30" s="22">
        <v>8100</v>
      </c>
      <c r="M30" s="22">
        <v>22023</v>
      </c>
    </row>
    <row r="31" spans="1:13">
      <c r="A31">
        <v>29</v>
      </c>
      <c r="B31" s="19" t="s">
        <v>80</v>
      </c>
      <c r="C31" s="19">
        <v>2018</v>
      </c>
      <c r="D31" s="23"/>
      <c r="E31" s="22">
        <v>202586</v>
      </c>
      <c r="F31" s="23"/>
      <c r="G31" s="22">
        <v>162751</v>
      </c>
      <c r="H31" s="24"/>
      <c r="I31" s="22">
        <v>54031</v>
      </c>
      <c r="J31" s="23"/>
      <c r="K31" s="22">
        <v>80787</v>
      </c>
      <c r="L31" s="23"/>
      <c r="M31" s="22">
        <v>60298</v>
      </c>
    </row>
    <row r="32" spans="1:13">
      <c r="A32">
        <v>30</v>
      </c>
      <c r="B32" s="19" t="s">
        <v>83</v>
      </c>
      <c r="C32" s="19">
        <v>2018</v>
      </c>
      <c r="D32" s="22">
        <v>11500</v>
      </c>
      <c r="E32" s="22">
        <v>13919</v>
      </c>
      <c r="F32" s="22">
        <v>9400</v>
      </c>
      <c r="G32" s="22">
        <v>8637</v>
      </c>
      <c r="H32" s="24">
        <v>2500</v>
      </c>
      <c r="I32" s="24">
        <v>2253</v>
      </c>
      <c r="J32" s="24">
        <v>4700</v>
      </c>
      <c r="K32" s="24">
        <v>7118</v>
      </c>
      <c r="L32" s="24">
        <v>3200</v>
      </c>
      <c r="M32" s="24">
        <v>3325</v>
      </c>
    </row>
    <row r="33" spans="1:13">
      <c r="A33">
        <v>31</v>
      </c>
      <c r="B33" s="19" t="s">
        <v>85</v>
      </c>
      <c r="C33" s="19">
        <v>2018</v>
      </c>
      <c r="D33" s="23">
        <v>2400</v>
      </c>
      <c r="E33" s="22">
        <v>4010</v>
      </c>
      <c r="F33" s="23">
        <v>2400</v>
      </c>
      <c r="G33" s="22">
        <v>4010</v>
      </c>
      <c r="H33" s="15"/>
      <c r="I33" s="15"/>
      <c r="J33" s="15">
        <v>1200</v>
      </c>
      <c r="K33" s="15">
        <v>3325</v>
      </c>
      <c r="L33" s="15">
        <v>1200</v>
      </c>
      <c r="M33" s="15">
        <v>3325</v>
      </c>
    </row>
    <row r="34" spans="1:13">
      <c r="A34">
        <v>32</v>
      </c>
      <c r="B34" s="19" t="s">
        <v>87</v>
      </c>
      <c r="C34" s="19">
        <v>2018</v>
      </c>
      <c r="D34" s="22">
        <v>8200</v>
      </c>
      <c r="E34" s="22">
        <v>8658</v>
      </c>
      <c r="F34" s="22">
        <v>6100</v>
      </c>
      <c r="G34" s="22">
        <v>3938</v>
      </c>
      <c r="H34" s="22">
        <v>1600</v>
      </c>
      <c r="I34" s="22">
        <v>1604</v>
      </c>
      <c r="J34" s="22">
        <v>3500</v>
      </c>
      <c r="K34" s="22">
        <v>3231</v>
      </c>
      <c r="L34" s="22">
        <v>2000</v>
      </c>
      <c r="M34" s="22"/>
    </row>
    <row r="35" spans="1:13">
      <c r="A35">
        <v>33</v>
      </c>
      <c r="B35" s="19" t="s">
        <v>89</v>
      </c>
      <c r="C35" s="19">
        <v>2018</v>
      </c>
      <c r="D35" s="23"/>
      <c r="E35" s="23"/>
      <c r="F35" s="23"/>
      <c r="G35" s="23"/>
      <c r="H35" s="15"/>
      <c r="I35" s="15"/>
      <c r="J35" s="15"/>
      <c r="K35" s="15"/>
      <c r="L35" s="15"/>
      <c r="M35" s="15"/>
    </row>
    <row r="36" spans="1:13">
      <c r="A36">
        <v>34</v>
      </c>
      <c r="B36" s="19" t="s">
        <v>92</v>
      </c>
      <c r="C36" s="19">
        <v>2018</v>
      </c>
      <c r="D36" s="22">
        <v>900</v>
      </c>
      <c r="E36" s="22">
        <v>1251</v>
      </c>
      <c r="F36" s="22">
        <v>900</v>
      </c>
      <c r="G36" s="22">
        <v>689</v>
      </c>
      <c r="H36" s="22">
        <v>900</v>
      </c>
      <c r="I36" s="22">
        <v>649</v>
      </c>
      <c r="J36" s="22"/>
      <c r="K36" s="22">
        <v>562</v>
      </c>
      <c r="L36" s="22"/>
      <c r="M36" s="22"/>
    </row>
    <row r="37" spans="1:13">
      <c r="A37">
        <v>35</v>
      </c>
      <c r="B37" s="19" t="s">
        <v>94</v>
      </c>
      <c r="C37" s="19">
        <v>2018</v>
      </c>
      <c r="D37" s="23"/>
      <c r="E37" s="23"/>
      <c r="F37" s="23"/>
      <c r="G37" s="23"/>
      <c r="H37" s="15"/>
      <c r="I37" s="15"/>
      <c r="J37" s="15"/>
      <c r="K37" s="15"/>
      <c r="L37" s="15"/>
      <c r="M37" s="15"/>
    </row>
    <row r="38" spans="1:13">
      <c r="A38">
        <v>36</v>
      </c>
      <c r="B38" s="19" t="s">
        <v>96</v>
      </c>
      <c r="C38" s="19">
        <v>2018</v>
      </c>
      <c r="D38" s="22">
        <v>103483</v>
      </c>
      <c r="E38" s="22">
        <v>188668</v>
      </c>
      <c r="F38" s="22">
        <v>85931</v>
      </c>
      <c r="G38" s="22">
        <v>154115</v>
      </c>
      <c r="H38" s="25">
        <v>30872</v>
      </c>
      <c r="I38" s="25">
        <v>51778</v>
      </c>
      <c r="J38" s="25">
        <v>40730</v>
      </c>
      <c r="K38" s="25">
        <v>73669</v>
      </c>
      <c r="L38" s="25">
        <v>31024</v>
      </c>
      <c r="M38" s="25">
        <v>56973</v>
      </c>
    </row>
    <row r="39" spans="1:13">
      <c r="A39">
        <v>37</v>
      </c>
      <c r="B39" s="19" t="s">
        <v>98</v>
      </c>
      <c r="C39" s="19">
        <v>2018</v>
      </c>
      <c r="D39" s="22">
        <v>2400</v>
      </c>
      <c r="E39" s="22">
        <v>2399</v>
      </c>
      <c r="F39" s="22">
        <v>2100</v>
      </c>
      <c r="G39" s="22">
        <v>2399</v>
      </c>
      <c r="H39" s="22">
        <v>1500</v>
      </c>
      <c r="I39" s="22">
        <v>2169</v>
      </c>
      <c r="J39" s="22">
        <v>900</v>
      </c>
      <c r="K39" s="22">
        <v>129</v>
      </c>
      <c r="L39" s="22">
        <v>900</v>
      </c>
      <c r="M39" s="22">
        <v>129</v>
      </c>
    </row>
    <row r="40" spans="1:13">
      <c r="A40">
        <v>38</v>
      </c>
      <c r="B40" s="19" t="s">
        <v>99</v>
      </c>
      <c r="C40" s="19">
        <v>2018</v>
      </c>
      <c r="D40" s="22">
        <v>6570</v>
      </c>
      <c r="E40" s="22">
        <v>6525</v>
      </c>
      <c r="F40" s="22">
        <v>5370</v>
      </c>
      <c r="G40" s="22">
        <v>6423</v>
      </c>
      <c r="H40" s="22">
        <v>1800</v>
      </c>
      <c r="I40" s="22">
        <v>2163</v>
      </c>
      <c r="J40" s="22">
        <v>2340</v>
      </c>
      <c r="K40" s="22">
        <v>1733</v>
      </c>
      <c r="L40" s="22">
        <v>1140</v>
      </c>
      <c r="M40" s="22">
        <v>1573</v>
      </c>
    </row>
    <row r="41" spans="1:13">
      <c r="A41">
        <v>39</v>
      </c>
      <c r="B41" s="19" t="s">
        <v>101</v>
      </c>
      <c r="C41" s="19">
        <v>2018</v>
      </c>
      <c r="D41" s="22">
        <v>29968</v>
      </c>
      <c r="E41" s="22">
        <v>30060</v>
      </c>
      <c r="F41" s="22">
        <v>26463</v>
      </c>
      <c r="G41" s="22">
        <v>26012</v>
      </c>
      <c r="H41" s="22">
        <v>8437</v>
      </c>
      <c r="I41" s="22">
        <v>6027</v>
      </c>
      <c r="J41" s="22">
        <v>13225</v>
      </c>
      <c r="K41" s="22">
        <v>17650</v>
      </c>
      <c r="L41" s="22">
        <v>11160</v>
      </c>
      <c r="M41" s="22">
        <v>14540</v>
      </c>
    </row>
    <row r="42" spans="1:13">
      <c r="A42">
        <v>40</v>
      </c>
      <c r="B42" s="19" t="s">
        <v>103</v>
      </c>
      <c r="C42" s="19">
        <v>2018</v>
      </c>
      <c r="D42" s="22">
        <v>2949</v>
      </c>
      <c r="E42" s="22">
        <v>7419</v>
      </c>
      <c r="F42" s="22">
        <v>1988</v>
      </c>
      <c r="G42" s="22">
        <v>4757</v>
      </c>
      <c r="H42" s="22">
        <v>1122</v>
      </c>
      <c r="I42" s="22">
        <v>1318</v>
      </c>
      <c r="J42" s="22">
        <v>1887</v>
      </c>
      <c r="K42" s="22">
        <v>4342</v>
      </c>
      <c r="L42" s="22">
        <v>612</v>
      </c>
      <c r="M42" s="22">
        <v>828</v>
      </c>
    </row>
    <row r="43" spans="1:13">
      <c r="A43">
        <v>41</v>
      </c>
      <c r="B43" s="19" t="s">
        <v>104</v>
      </c>
      <c r="C43" s="19">
        <v>2018</v>
      </c>
      <c r="D43" s="22">
        <v>33467</v>
      </c>
      <c r="E43" s="22">
        <v>75889</v>
      </c>
      <c r="F43" s="22">
        <v>26637</v>
      </c>
      <c r="G43" s="22">
        <v>57529</v>
      </c>
      <c r="H43" s="22">
        <v>9125</v>
      </c>
      <c r="I43" s="22">
        <v>19500</v>
      </c>
      <c r="J43" s="22">
        <v>11770</v>
      </c>
      <c r="K43" s="22">
        <v>25612</v>
      </c>
      <c r="L43" s="22">
        <v>8402</v>
      </c>
      <c r="M43" s="22">
        <v>20697</v>
      </c>
    </row>
    <row r="44" spans="1:13">
      <c r="A44">
        <v>42</v>
      </c>
      <c r="B44" s="19" t="s">
        <v>105</v>
      </c>
      <c r="C44" s="19">
        <v>2018</v>
      </c>
      <c r="D44" s="22">
        <v>28130</v>
      </c>
      <c r="E44" s="22">
        <v>66375</v>
      </c>
      <c r="F44" s="22">
        <v>23374</v>
      </c>
      <c r="G44" s="22">
        <v>56995</v>
      </c>
      <c r="H44" s="22">
        <v>8888</v>
      </c>
      <c r="I44" s="22">
        <v>20600</v>
      </c>
      <c r="J44" s="22">
        <v>10608</v>
      </c>
      <c r="K44" s="22">
        <v>24203</v>
      </c>
      <c r="L44" s="22">
        <v>8810</v>
      </c>
      <c r="M44" s="22">
        <v>19206</v>
      </c>
    </row>
    <row r="45" spans="1:13">
      <c r="A45">
        <v>43</v>
      </c>
      <c r="B45" s="19" t="s">
        <v>80</v>
      </c>
      <c r="C45" s="19">
        <v>2017</v>
      </c>
      <c r="D45" s="23"/>
      <c r="E45" s="22">
        <v>201258</v>
      </c>
      <c r="F45" s="23"/>
      <c r="G45" s="22">
        <v>175788</v>
      </c>
      <c r="H45" s="24"/>
      <c r="I45" s="22">
        <v>56053</v>
      </c>
      <c r="J45" s="23"/>
      <c r="K45" s="22">
        <v>91640</v>
      </c>
      <c r="L45" s="23"/>
      <c r="M45" s="22">
        <v>66423</v>
      </c>
    </row>
    <row r="46" spans="1:13">
      <c r="A46">
        <v>44</v>
      </c>
      <c r="B46" s="19" t="s">
        <v>83</v>
      </c>
      <c r="C46" s="19">
        <v>2017</v>
      </c>
      <c r="D46" s="22">
        <v>14400</v>
      </c>
      <c r="E46" s="22">
        <v>13469</v>
      </c>
      <c r="F46" s="22">
        <v>13800</v>
      </c>
      <c r="G46" s="22">
        <v>12903</v>
      </c>
      <c r="H46" s="24">
        <v>1000</v>
      </c>
      <c r="I46" s="24"/>
      <c r="J46" s="24">
        <v>8500</v>
      </c>
      <c r="K46" s="24">
        <v>8901</v>
      </c>
      <c r="L46" s="24">
        <v>7900</v>
      </c>
      <c r="M46" s="24">
        <v>8339</v>
      </c>
    </row>
    <row r="47" spans="1:13">
      <c r="A47">
        <v>45</v>
      </c>
      <c r="B47" s="19" t="s">
        <v>85</v>
      </c>
      <c r="C47" s="19">
        <v>2017</v>
      </c>
      <c r="D47" s="23">
        <v>1200</v>
      </c>
      <c r="E47" s="22">
        <v>3325</v>
      </c>
      <c r="F47" s="23">
        <v>1200</v>
      </c>
      <c r="G47" s="22">
        <v>3325</v>
      </c>
      <c r="H47" s="15"/>
      <c r="I47" s="15"/>
      <c r="J47" s="15"/>
      <c r="K47" s="15"/>
      <c r="L47" s="15"/>
      <c r="M47" s="15"/>
    </row>
    <row r="48" spans="1:13">
      <c r="A48">
        <v>46</v>
      </c>
      <c r="B48" s="19" t="s">
        <v>87</v>
      </c>
      <c r="C48" s="19">
        <v>2017</v>
      </c>
      <c r="D48" s="22">
        <v>11200</v>
      </c>
      <c r="E48" s="22">
        <v>9577</v>
      </c>
      <c r="F48" s="22">
        <v>11200</v>
      </c>
      <c r="G48" s="22">
        <v>9577</v>
      </c>
      <c r="H48" s="22">
        <v>1000</v>
      </c>
      <c r="I48" s="22"/>
      <c r="J48" s="22">
        <v>7700</v>
      </c>
      <c r="K48" s="22">
        <v>8339</v>
      </c>
      <c r="L48" s="22">
        <v>7700</v>
      </c>
      <c r="M48" s="22">
        <v>8339</v>
      </c>
    </row>
    <row r="49" spans="1:13">
      <c r="A49">
        <v>47</v>
      </c>
      <c r="B49" s="19" t="s">
        <v>89</v>
      </c>
      <c r="C49" s="19">
        <v>2017</v>
      </c>
      <c r="D49" s="23">
        <v>1200</v>
      </c>
      <c r="E49" s="23"/>
      <c r="F49" s="23">
        <v>1200</v>
      </c>
      <c r="G49" s="23"/>
      <c r="H49" s="15"/>
      <c r="I49" s="15"/>
      <c r="J49" s="15"/>
      <c r="K49" s="15"/>
      <c r="L49" s="15"/>
      <c r="M49" s="15"/>
    </row>
    <row r="50" spans="1:13">
      <c r="A50">
        <v>48</v>
      </c>
      <c r="B50" s="19" t="s">
        <v>92</v>
      </c>
      <c r="C50" s="19">
        <v>2017</v>
      </c>
      <c r="D50" s="22">
        <v>800</v>
      </c>
      <c r="E50" s="22">
        <v>567</v>
      </c>
      <c r="F50" s="22">
        <v>200</v>
      </c>
      <c r="G50" s="22"/>
      <c r="H50" s="22"/>
      <c r="I50" s="22"/>
      <c r="J50" s="22">
        <v>800</v>
      </c>
      <c r="K50" s="22">
        <v>562</v>
      </c>
      <c r="L50" s="22">
        <v>200</v>
      </c>
      <c r="M50" s="22"/>
    </row>
    <row r="51" spans="1:13">
      <c r="A51">
        <v>49</v>
      </c>
      <c r="B51" s="19" t="s">
        <v>94</v>
      </c>
      <c r="C51" s="19">
        <v>2017</v>
      </c>
      <c r="D51" s="23"/>
      <c r="E51" s="23"/>
      <c r="F51" s="23"/>
      <c r="G51" s="23"/>
      <c r="H51" s="15"/>
      <c r="I51" s="15"/>
      <c r="J51" s="15"/>
      <c r="K51" s="15"/>
      <c r="L51" s="15"/>
      <c r="M51" s="15"/>
    </row>
    <row r="52" spans="1:13">
      <c r="A52">
        <v>50</v>
      </c>
      <c r="B52" s="19" t="s">
        <v>96</v>
      </c>
      <c r="C52" s="19">
        <v>2017</v>
      </c>
      <c r="D52" s="22">
        <v>105704</v>
      </c>
      <c r="E52" s="22">
        <v>187789</v>
      </c>
      <c r="F52" s="22">
        <v>89181</v>
      </c>
      <c r="G52" s="22">
        <v>162885</v>
      </c>
      <c r="H52" s="25">
        <v>28400</v>
      </c>
      <c r="I52" s="25">
        <v>56053</v>
      </c>
      <c r="J52" s="25">
        <v>46799</v>
      </c>
      <c r="K52" s="25">
        <v>82739</v>
      </c>
      <c r="L52" s="25">
        <v>32595</v>
      </c>
      <c r="M52" s="25">
        <v>58084</v>
      </c>
    </row>
    <row r="53" spans="1:13">
      <c r="A53">
        <v>51</v>
      </c>
      <c r="B53" s="19" t="s">
        <v>98</v>
      </c>
      <c r="C53" s="19">
        <v>2017</v>
      </c>
      <c r="D53" s="22">
        <v>4500</v>
      </c>
      <c r="E53" s="22">
        <v>3600</v>
      </c>
      <c r="F53" s="22">
        <v>3900</v>
      </c>
      <c r="G53" s="22">
        <v>2970</v>
      </c>
      <c r="H53" s="22">
        <v>900</v>
      </c>
      <c r="I53" s="22">
        <v>72</v>
      </c>
      <c r="J53" s="22">
        <v>3600</v>
      </c>
      <c r="K53" s="22">
        <v>3476</v>
      </c>
      <c r="L53" s="22">
        <v>3000</v>
      </c>
      <c r="M53" s="22">
        <v>2846</v>
      </c>
    </row>
    <row r="54" spans="1:13">
      <c r="A54">
        <v>52</v>
      </c>
      <c r="B54" s="19" t="s">
        <v>99</v>
      </c>
      <c r="C54" s="19">
        <v>2017</v>
      </c>
      <c r="D54" s="22">
        <v>5670</v>
      </c>
      <c r="E54" s="22">
        <v>5180</v>
      </c>
      <c r="F54" s="22">
        <v>5670</v>
      </c>
      <c r="G54" s="22">
        <v>5180</v>
      </c>
      <c r="H54" s="22">
        <v>1350</v>
      </c>
      <c r="I54" s="22">
        <v>1581</v>
      </c>
      <c r="J54" s="22">
        <v>1740</v>
      </c>
      <c r="K54" s="22">
        <v>1001</v>
      </c>
      <c r="L54" s="22">
        <v>1740</v>
      </c>
      <c r="M54" s="22">
        <v>899</v>
      </c>
    </row>
    <row r="55" spans="1:13">
      <c r="A55">
        <v>53</v>
      </c>
      <c r="B55" s="19" t="s">
        <v>101</v>
      </c>
      <c r="C55" s="19">
        <v>2017</v>
      </c>
      <c r="D55" s="22">
        <v>30370</v>
      </c>
      <c r="E55" s="22">
        <v>32331</v>
      </c>
      <c r="F55" s="22">
        <v>27973</v>
      </c>
      <c r="G55" s="22">
        <v>29278</v>
      </c>
      <c r="H55" s="22">
        <v>8725</v>
      </c>
      <c r="I55" s="22">
        <v>11430</v>
      </c>
      <c r="J55" s="22">
        <v>10155</v>
      </c>
      <c r="K55" s="22">
        <v>10044</v>
      </c>
      <c r="L55" s="22">
        <v>8275</v>
      </c>
      <c r="M55" s="22">
        <v>7999</v>
      </c>
    </row>
    <row r="56" spans="1:13">
      <c r="A56">
        <v>54</v>
      </c>
      <c r="B56" s="19" t="s">
        <v>103</v>
      </c>
      <c r="C56" s="19">
        <v>2017</v>
      </c>
      <c r="D56" s="22">
        <v>1782</v>
      </c>
      <c r="E56" s="22">
        <v>5123</v>
      </c>
      <c r="F56" s="22">
        <v>1710</v>
      </c>
      <c r="G56" s="22">
        <v>5057</v>
      </c>
      <c r="H56" s="22">
        <v>459</v>
      </c>
      <c r="I56" s="22">
        <v>1073</v>
      </c>
      <c r="J56" s="22">
        <v>783</v>
      </c>
      <c r="K56" s="22">
        <v>2975</v>
      </c>
      <c r="L56" s="22">
        <v>783</v>
      </c>
      <c r="M56" s="22">
        <v>2521</v>
      </c>
    </row>
    <row r="57" spans="1:13">
      <c r="A57">
        <v>55</v>
      </c>
      <c r="B57" s="19" t="s">
        <v>104</v>
      </c>
      <c r="C57" s="19">
        <v>2017</v>
      </c>
      <c r="D57" s="22">
        <v>35375</v>
      </c>
      <c r="E57" s="22">
        <v>70782</v>
      </c>
      <c r="F57" s="22">
        <v>27561</v>
      </c>
      <c r="G57" s="22">
        <v>59414</v>
      </c>
      <c r="H57" s="22">
        <v>8001</v>
      </c>
      <c r="I57" s="22">
        <v>17879</v>
      </c>
      <c r="J57" s="22">
        <v>17005</v>
      </c>
      <c r="K57" s="22">
        <v>29235</v>
      </c>
      <c r="L57" s="22">
        <v>10433</v>
      </c>
      <c r="M57" s="22">
        <v>18810</v>
      </c>
    </row>
    <row r="58" spans="1:13">
      <c r="A58">
        <v>56</v>
      </c>
      <c r="B58" s="19" t="s">
        <v>105</v>
      </c>
      <c r="C58" s="19">
        <v>2017</v>
      </c>
      <c r="D58" s="22">
        <v>28007</v>
      </c>
      <c r="E58" s="22">
        <v>70773</v>
      </c>
      <c r="F58" s="22">
        <v>22367</v>
      </c>
      <c r="G58" s="22">
        <v>60986</v>
      </c>
      <c r="H58" s="22">
        <v>8965</v>
      </c>
      <c r="I58" s="22">
        <v>24019</v>
      </c>
      <c r="J58" s="22">
        <v>13516</v>
      </c>
      <c r="K58" s="22">
        <v>36007</v>
      </c>
      <c r="L58" s="22">
        <v>8364</v>
      </c>
      <c r="M58" s="22">
        <v>25010</v>
      </c>
    </row>
    <row r="59" spans="1:13">
      <c r="A59">
        <v>57</v>
      </c>
      <c r="B59" s="19" t="s">
        <v>80</v>
      </c>
      <c r="C59" s="19">
        <v>2016</v>
      </c>
      <c r="D59" s="23"/>
      <c r="E59" s="22">
        <v>195329</v>
      </c>
      <c r="F59" s="23"/>
      <c r="G59" s="22">
        <v>176792</v>
      </c>
      <c r="H59" s="24"/>
      <c r="I59" s="22">
        <v>64316</v>
      </c>
      <c r="J59" s="23"/>
      <c r="K59" s="22">
        <v>83807</v>
      </c>
      <c r="L59" s="23"/>
      <c r="M59" s="22">
        <v>60070</v>
      </c>
    </row>
    <row r="60" spans="1:13">
      <c r="A60">
        <v>58</v>
      </c>
      <c r="B60" s="19" t="s">
        <v>83</v>
      </c>
      <c r="C60" s="19">
        <v>2016</v>
      </c>
      <c r="D60" s="22">
        <v>16040</v>
      </c>
      <c r="E60" s="22">
        <v>16261</v>
      </c>
      <c r="F60" s="22">
        <v>16040</v>
      </c>
      <c r="G60" s="22">
        <v>16179</v>
      </c>
      <c r="H60" s="24">
        <v>5600</v>
      </c>
      <c r="I60" s="24">
        <v>6487</v>
      </c>
      <c r="J60" s="24">
        <v>3240</v>
      </c>
      <c r="K60" s="24">
        <v>4496</v>
      </c>
      <c r="L60" s="24">
        <v>3240</v>
      </c>
      <c r="M60" s="24">
        <v>3391</v>
      </c>
    </row>
    <row r="61" spans="1:13">
      <c r="A61">
        <v>59</v>
      </c>
      <c r="B61" s="19" t="s">
        <v>85</v>
      </c>
      <c r="C61" s="19">
        <v>2016</v>
      </c>
      <c r="D61" s="23">
        <v>2400</v>
      </c>
      <c r="E61" s="22">
        <v>3325</v>
      </c>
      <c r="F61" s="23">
        <v>2400</v>
      </c>
      <c r="G61" s="22">
        <v>3325</v>
      </c>
      <c r="H61" s="15">
        <v>2400</v>
      </c>
      <c r="I61" s="15">
        <v>3325</v>
      </c>
      <c r="J61" s="15"/>
      <c r="K61" s="15"/>
      <c r="L61" s="15"/>
      <c r="M61" s="15"/>
    </row>
    <row r="62" spans="1:13">
      <c r="A62">
        <v>60</v>
      </c>
      <c r="B62" s="19" t="s">
        <v>87</v>
      </c>
      <c r="C62" s="19">
        <v>2016</v>
      </c>
      <c r="D62" s="22">
        <v>11800</v>
      </c>
      <c r="E62" s="22">
        <v>11265</v>
      </c>
      <c r="F62" s="22">
        <v>11800</v>
      </c>
      <c r="G62" s="22">
        <v>11183</v>
      </c>
      <c r="H62" s="22">
        <v>3000</v>
      </c>
      <c r="I62" s="22">
        <v>3162</v>
      </c>
      <c r="J62" s="22">
        <v>1600</v>
      </c>
      <c r="K62" s="22">
        <v>2825</v>
      </c>
      <c r="L62" s="22">
        <v>1600</v>
      </c>
      <c r="M62" s="22">
        <v>1720</v>
      </c>
    </row>
    <row r="63" spans="1:13">
      <c r="A63">
        <v>61</v>
      </c>
      <c r="B63" s="19" t="s">
        <v>89</v>
      </c>
      <c r="C63" s="19">
        <v>2016</v>
      </c>
      <c r="D63" s="23"/>
      <c r="E63" s="23"/>
      <c r="F63" s="23"/>
      <c r="G63" s="23"/>
      <c r="H63" s="15"/>
      <c r="I63" s="15"/>
      <c r="J63" s="15"/>
      <c r="K63" s="15"/>
      <c r="L63" s="15"/>
      <c r="M63" s="15"/>
    </row>
    <row r="64" spans="1:13">
      <c r="A64">
        <v>62</v>
      </c>
      <c r="B64" s="19" t="s">
        <v>92</v>
      </c>
      <c r="C64" s="19">
        <v>2016</v>
      </c>
      <c r="D64" s="22">
        <v>1840</v>
      </c>
      <c r="E64" s="22">
        <v>1671</v>
      </c>
      <c r="F64" s="22">
        <v>1840</v>
      </c>
      <c r="G64" s="22">
        <v>1671</v>
      </c>
      <c r="H64" s="22">
        <v>200</v>
      </c>
      <c r="I64" s="22"/>
      <c r="J64" s="22">
        <v>1640</v>
      </c>
      <c r="K64" s="22">
        <v>1671</v>
      </c>
      <c r="L64" s="22">
        <v>1640</v>
      </c>
      <c r="M64" s="22">
        <v>1671</v>
      </c>
    </row>
    <row r="65" spans="1:13">
      <c r="A65">
        <v>63</v>
      </c>
      <c r="B65" s="19" t="s">
        <v>94</v>
      </c>
      <c r="C65" s="19">
        <v>2016</v>
      </c>
      <c r="D65" s="23"/>
      <c r="E65" s="23"/>
      <c r="F65" s="23"/>
      <c r="G65" s="23"/>
      <c r="H65" s="15">
        <v>30712</v>
      </c>
      <c r="I65" s="15">
        <v>57829</v>
      </c>
      <c r="J65" s="15">
        <v>46019</v>
      </c>
      <c r="K65" s="15">
        <v>79311</v>
      </c>
      <c r="L65" s="15">
        <v>34585</v>
      </c>
      <c r="M65" s="15">
        <v>56679</v>
      </c>
    </row>
    <row r="66" spans="1:13">
      <c r="A66">
        <v>64</v>
      </c>
      <c r="B66" s="19" t="s">
        <v>96</v>
      </c>
      <c r="C66" s="19">
        <v>2016</v>
      </c>
      <c r="D66" s="22">
        <v>101578</v>
      </c>
      <c r="E66" s="22">
        <v>179068</v>
      </c>
      <c r="F66" s="22">
        <v>91054</v>
      </c>
      <c r="G66" s="22">
        <v>160613</v>
      </c>
      <c r="H66" s="25">
        <v>30712</v>
      </c>
      <c r="I66" s="25">
        <v>57829</v>
      </c>
      <c r="J66" s="25">
        <v>46019</v>
      </c>
      <c r="K66" s="25">
        <v>79311</v>
      </c>
      <c r="L66" s="25">
        <v>34585</v>
      </c>
      <c r="M66" s="25">
        <v>56679</v>
      </c>
    </row>
    <row r="67" spans="1:13">
      <c r="A67">
        <v>65</v>
      </c>
      <c r="B67" s="19" t="s">
        <v>98</v>
      </c>
      <c r="C67" s="19">
        <v>2016</v>
      </c>
      <c r="D67" s="22">
        <v>7800</v>
      </c>
      <c r="E67" s="22">
        <v>7968</v>
      </c>
      <c r="F67" s="22">
        <v>7800</v>
      </c>
      <c r="G67" s="22">
        <v>7067</v>
      </c>
      <c r="H67" s="22">
        <v>1500</v>
      </c>
      <c r="I67" s="22">
        <v>761</v>
      </c>
      <c r="J67" s="22">
        <v>5100</v>
      </c>
      <c r="K67" s="22">
        <v>4252</v>
      </c>
      <c r="L67" s="22">
        <v>5100</v>
      </c>
      <c r="M67" s="22">
        <v>4252</v>
      </c>
    </row>
    <row r="68" spans="1:13">
      <c r="A68">
        <v>66</v>
      </c>
      <c r="B68" s="19" t="s">
        <v>99</v>
      </c>
      <c r="C68" s="19">
        <v>2016</v>
      </c>
      <c r="D68" s="22">
        <v>7080</v>
      </c>
      <c r="E68" s="22">
        <v>5905</v>
      </c>
      <c r="F68" s="22">
        <v>7080</v>
      </c>
      <c r="G68" s="22">
        <v>5905</v>
      </c>
      <c r="H68" s="22">
        <v>2340</v>
      </c>
      <c r="I68" s="22">
        <v>2059</v>
      </c>
      <c r="J68" s="22">
        <v>2910</v>
      </c>
      <c r="K68" s="22">
        <v>2486</v>
      </c>
      <c r="L68" s="22">
        <v>1860</v>
      </c>
      <c r="M68" s="22">
        <v>1813</v>
      </c>
    </row>
    <row r="69" spans="1:13">
      <c r="A69">
        <v>67</v>
      </c>
      <c r="B69" s="19" t="s">
        <v>101</v>
      </c>
      <c r="C69" s="19">
        <v>2016</v>
      </c>
      <c r="D69" s="22">
        <v>26885</v>
      </c>
      <c r="E69" s="22">
        <v>27075</v>
      </c>
      <c r="F69" s="22">
        <v>24224</v>
      </c>
      <c r="G69" s="22">
        <v>26085</v>
      </c>
      <c r="H69" s="22">
        <v>9565</v>
      </c>
      <c r="I69" s="22">
        <v>9357</v>
      </c>
      <c r="J69" s="22">
        <v>10380</v>
      </c>
      <c r="K69" s="22">
        <v>9737</v>
      </c>
      <c r="L69" s="22">
        <v>7715</v>
      </c>
      <c r="M69" s="22">
        <v>6931</v>
      </c>
    </row>
    <row r="70" spans="1:13">
      <c r="A70">
        <v>68</v>
      </c>
      <c r="B70" s="19" t="s">
        <v>103</v>
      </c>
      <c r="C70" s="19">
        <v>2016</v>
      </c>
      <c r="D70" s="22">
        <v>1707</v>
      </c>
      <c r="E70" s="22">
        <v>5498</v>
      </c>
      <c r="F70" s="22">
        <v>1707</v>
      </c>
      <c r="G70" s="22">
        <v>5495</v>
      </c>
      <c r="H70" s="22">
        <v>588</v>
      </c>
      <c r="I70" s="22">
        <v>2165</v>
      </c>
      <c r="J70" s="22">
        <v>480</v>
      </c>
      <c r="K70" s="22">
        <v>1525</v>
      </c>
      <c r="L70" s="22">
        <v>480</v>
      </c>
      <c r="M70" s="22">
        <v>1525</v>
      </c>
    </row>
    <row r="71" spans="1:13">
      <c r="A71">
        <v>69</v>
      </c>
      <c r="B71" s="19" t="s">
        <v>104</v>
      </c>
      <c r="C71" s="19">
        <v>2016</v>
      </c>
      <c r="D71" s="22">
        <v>32076</v>
      </c>
      <c r="E71" s="22">
        <v>64086</v>
      </c>
      <c r="F71" s="22">
        <v>27454</v>
      </c>
      <c r="G71" s="22">
        <v>55592</v>
      </c>
      <c r="H71" s="22">
        <v>8856</v>
      </c>
      <c r="I71" s="22">
        <v>20962</v>
      </c>
      <c r="J71" s="22">
        <v>14011</v>
      </c>
      <c r="K71" s="22">
        <v>26271</v>
      </c>
      <c r="L71" s="22">
        <v>9239</v>
      </c>
      <c r="M71" s="22">
        <v>17088</v>
      </c>
    </row>
    <row r="72" spans="1:13">
      <c r="A72">
        <v>70</v>
      </c>
      <c r="B72" s="19" t="s">
        <v>105</v>
      </c>
      <c r="C72" s="19">
        <v>2016</v>
      </c>
      <c r="D72" s="22">
        <v>26030</v>
      </c>
      <c r="E72" s="22">
        <v>68536</v>
      </c>
      <c r="F72" s="22">
        <v>22789</v>
      </c>
      <c r="G72" s="22">
        <v>60469</v>
      </c>
      <c r="H72" s="22">
        <v>7863</v>
      </c>
      <c r="I72" s="22">
        <v>22525</v>
      </c>
      <c r="J72" s="22">
        <v>13139</v>
      </c>
      <c r="K72" s="22">
        <v>35040</v>
      </c>
      <c r="L72" s="22">
        <v>10191</v>
      </c>
      <c r="M72" s="22">
        <v>25070</v>
      </c>
    </row>
    <row r="73" spans="1:13">
      <c r="A73">
        <v>71</v>
      </c>
      <c r="B73" s="19" t="s">
        <v>80</v>
      </c>
      <c r="C73" s="19">
        <v>2015</v>
      </c>
      <c r="D73" s="23"/>
      <c r="E73" s="22">
        <v>187449</v>
      </c>
      <c r="F73" s="23"/>
      <c r="G73" s="22">
        <v>163720</v>
      </c>
      <c r="H73" s="24"/>
      <c r="I73" s="22">
        <v>68582</v>
      </c>
      <c r="J73" s="23"/>
      <c r="K73" s="22">
        <v>86189</v>
      </c>
      <c r="L73" s="23"/>
      <c r="M73" s="22">
        <v>57110</v>
      </c>
    </row>
    <row r="74" spans="1:13">
      <c r="A74">
        <v>72</v>
      </c>
      <c r="B74" s="19" t="s">
        <v>83</v>
      </c>
      <c r="C74" s="19">
        <v>2015</v>
      </c>
      <c r="D74" s="22">
        <v>12320</v>
      </c>
      <c r="E74" s="22">
        <v>12652</v>
      </c>
      <c r="F74" s="22">
        <v>9040</v>
      </c>
      <c r="G74" s="22">
        <v>8144</v>
      </c>
      <c r="H74" s="24">
        <v>6800</v>
      </c>
      <c r="I74" s="24">
        <v>5285</v>
      </c>
      <c r="J74" s="24">
        <v>2280</v>
      </c>
      <c r="K74" s="24">
        <v>4963</v>
      </c>
      <c r="L74" s="24">
        <v>250</v>
      </c>
      <c r="M74" s="24"/>
    </row>
    <row r="75" spans="1:13">
      <c r="A75">
        <v>73</v>
      </c>
      <c r="B75" s="19" t="s">
        <v>87</v>
      </c>
      <c r="C75" s="19">
        <v>2015</v>
      </c>
      <c r="D75" s="23">
        <v>10000</v>
      </c>
      <c r="E75" s="22">
        <v>9031</v>
      </c>
      <c r="F75" s="23">
        <v>8000</v>
      </c>
      <c r="G75" s="22">
        <v>6968</v>
      </c>
      <c r="H75" s="15">
        <v>6400</v>
      </c>
      <c r="I75" s="15">
        <v>5248</v>
      </c>
      <c r="J75" s="15">
        <v>1000</v>
      </c>
      <c r="K75" s="15">
        <v>2518</v>
      </c>
      <c r="L75" s="15">
        <v>250</v>
      </c>
      <c r="M75" s="15"/>
    </row>
    <row r="76" spans="1:13">
      <c r="A76">
        <v>74</v>
      </c>
      <c r="B76" s="19" t="s">
        <v>89</v>
      </c>
      <c r="C76" s="19">
        <v>2015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1:13">
      <c r="A77">
        <v>75</v>
      </c>
      <c r="B77" s="19" t="s">
        <v>92</v>
      </c>
      <c r="C77" s="19">
        <v>2015</v>
      </c>
      <c r="D77" s="23">
        <v>2320</v>
      </c>
      <c r="E77" s="23">
        <v>3621</v>
      </c>
      <c r="F77" s="23">
        <v>1040</v>
      </c>
      <c r="G77" s="23">
        <v>1176</v>
      </c>
      <c r="H77" s="15">
        <v>400</v>
      </c>
      <c r="I77" s="15">
        <v>37</v>
      </c>
      <c r="J77" s="15">
        <v>1280</v>
      </c>
      <c r="K77" s="15">
        <v>2445</v>
      </c>
      <c r="L77" s="15"/>
      <c r="M77" s="15"/>
    </row>
    <row r="78" spans="1:13">
      <c r="A78">
        <v>76</v>
      </c>
      <c r="B78" s="19" t="s">
        <v>94</v>
      </c>
      <c r="C78" s="19">
        <v>2015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1:13">
      <c r="A79">
        <v>77</v>
      </c>
      <c r="B79" s="19" t="s">
        <v>96</v>
      </c>
      <c r="C79" s="19">
        <v>2015</v>
      </c>
      <c r="D79" s="23">
        <v>104752</v>
      </c>
      <c r="E79" s="23">
        <v>174797</v>
      </c>
      <c r="F79" s="23">
        <v>87614</v>
      </c>
      <c r="G79" s="23">
        <v>155576</v>
      </c>
      <c r="H79" s="15">
        <v>34436</v>
      </c>
      <c r="I79" s="15">
        <v>63297</v>
      </c>
      <c r="J79" s="15">
        <v>43326</v>
      </c>
      <c r="K79" s="15">
        <v>81226</v>
      </c>
      <c r="L79" s="15">
        <v>29432</v>
      </c>
      <c r="M79" s="15">
        <v>57110</v>
      </c>
    </row>
    <row r="80" spans="1:13">
      <c r="A80">
        <v>78</v>
      </c>
      <c r="B80" s="19" t="s">
        <v>98</v>
      </c>
      <c r="C80" s="19">
        <v>2015</v>
      </c>
      <c r="D80" s="22">
        <v>6600</v>
      </c>
      <c r="E80" s="22">
        <v>6357</v>
      </c>
      <c r="F80" s="22">
        <v>6300</v>
      </c>
      <c r="G80" s="22">
        <v>6351</v>
      </c>
      <c r="H80" s="25">
        <v>3900</v>
      </c>
      <c r="I80" s="25">
        <v>3329</v>
      </c>
      <c r="J80" s="25"/>
      <c r="K80" s="25">
        <v>5</v>
      </c>
      <c r="L80" s="25"/>
      <c r="M80" s="25">
        <v>5</v>
      </c>
    </row>
    <row r="81" spans="1:13">
      <c r="A81">
        <v>79</v>
      </c>
      <c r="B81" s="19" t="s">
        <v>99</v>
      </c>
      <c r="C81" s="19">
        <v>2015</v>
      </c>
      <c r="D81" s="22">
        <v>6630</v>
      </c>
      <c r="E81" s="22">
        <v>5197</v>
      </c>
      <c r="F81" s="22">
        <v>6630</v>
      </c>
      <c r="G81" s="22">
        <v>5197</v>
      </c>
      <c r="H81" s="22">
        <v>2790</v>
      </c>
      <c r="I81" s="22">
        <v>2544</v>
      </c>
      <c r="J81" s="22">
        <v>3970</v>
      </c>
      <c r="K81" s="22">
        <v>1865</v>
      </c>
      <c r="L81" s="22">
        <v>3570</v>
      </c>
      <c r="M81" s="22">
        <v>1639</v>
      </c>
    </row>
    <row r="82" spans="1:13">
      <c r="A82">
        <v>80</v>
      </c>
      <c r="B82" s="19" t="s">
        <v>101</v>
      </c>
      <c r="C82" s="19">
        <v>2015</v>
      </c>
      <c r="D82" s="22">
        <v>27725</v>
      </c>
      <c r="E82" s="22">
        <v>26562</v>
      </c>
      <c r="F82" s="22">
        <v>26200</v>
      </c>
      <c r="G82" s="22">
        <v>23839</v>
      </c>
      <c r="H82" s="22">
        <v>7830</v>
      </c>
      <c r="I82" s="22">
        <v>8556</v>
      </c>
      <c r="J82" s="22">
        <v>11970</v>
      </c>
      <c r="K82" s="22">
        <v>9777</v>
      </c>
      <c r="L82" s="22">
        <v>8880</v>
      </c>
      <c r="M82" s="22">
        <v>7389</v>
      </c>
    </row>
    <row r="83" spans="1:13">
      <c r="A83">
        <v>81</v>
      </c>
      <c r="B83" s="19" t="s">
        <v>103</v>
      </c>
      <c r="C83" s="19">
        <v>2015</v>
      </c>
      <c r="D83" s="22">
        <v>1722</v>
      </c>
      <c r="E83" s="22">
        <v>4732</v>
      </c>
      <c r="F83" s="22">
        <v>1650</v>
      </c>
      <c r="G83" s="22">
        <v>4494</v>
      </c>
      <c r="H83" s="22">
        <v>711</v>
      </c>
      <c r="I83" s="22">
        <v>2370</v>
      </c>
      <c r="J83" s="22">
        <v>642</v>
      </c>
      <c r="K83" s="22">
        <v>2162</v>
      </c>
      <c r="L83" s="22">
        <v>642</v>
      </c>
      <c r="M83" s="22">
        <v>2162</v>
      </c>
    </row>
    <row r="84" spans="1:13">
      <c r="A84">
        <v>82</v>
      </c>
      <c r="B84" s="19" t="s">
        <v>104</v>
      </c>
      <c r="C84" s="19">
        <v>2015</v>
      </c>
      <c r="D84" s="22">
        <v>34571</v>
      </c>
      <c r="E84" s="22">
        <v>63980</v>
      </c>
      <c r="F84" s="22">
        <v>25546</v>
      </c>
      <c r="G84" s="22">
        <v>56248</v>
      </c>
      <c r="H84" s="22">
        <v>9061</v>
      </c>
      <c r="I84" s="22">
        <v>19468</v>
      </c>
      <c r="J84" s="22">
        <v>15227</v>
      </c>
      <c r="K84" s="22">
        <v>32521</v>
      </c>
      <c r="L84" s="22">
        <v>8810</v>
      </c>
      <c r="M84" s="22">
        <v>22054</v>
      </c>
    </row>
    <row r="85" spans="1:13">
      <c r="A85">
        <v>83</v>
      </c>
      <c r="B85" s="19" t="s">
        <v>105</v>
      </c>
      <c r="C85" s="19">
        <v>2015</v>
      </c>
      <c r="D85" s="22">
        <v>27504</v>
      </c>
      <c r="E85" s="22">
        <v>67969</v>
      </c>
      <c r="F85" s="22">
        <v>21288</v>
      </c>
      <c r="G85" s="22">
        <v>59447</v>
      </c>
      <c r="H85" s="22">
        <v>10144</v>
      </c>
      <c r="I85" s="22">
        <v>27030</v>
      </c>
      <c r="J85" s="22">
        <v>11517</v>
      </c>
      <c r="K85" s="22">
        <v>34896</v>
      </c>
      <c r="L85" s="22">
        <v>7530</v>
      </c>
      <c r="M85" s="22">
        <v>23862</v>
      </c>
    </row>
  </sheetData>
  <autoFilter xmlns:etc="http://www.wps.cn/officeDocument/2017/etCustomData" ref="O1:AB12" etc:filterBottomFollowUsedRange="0">
    <extLst/>
  </autoFilter>
  <mergeCells count="17">
    <mergeCell ref="D1:E1"/>
    <mergeCell ref="F1:G1"/>
    <mergeCell ref="H1:I1"/>
    <mergeCell ref="J1:K1"/>
    <mergeCell ref="L1:M1"/>
    <mergeCell ref="S1:T1"/>
    <mergeCell ref="U1:V1"/>
    <mergeCell ref="W1:X1"/>
    <mergeCell ref="Y1:Z1"/>
    <mergeCell ref="AA1:AB1"/>
    <mergeCell ref="A1:A2"/>
    <mergeCell ref="B1:B2"/>
    <mergeCell ref="C1:C2"/>
    <mergeCell ref="O1:O2"/>
    <mergeCell ref="P1:P2"/>
    <mergeCell ref="Q1:Q2"/>
    <mergeCell ref="R1:R2"/>
  </mergeCells>
  <conditionalFormatting sqref="D3:M1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M3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M4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M5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M7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M8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9"/>
  <sheetViews>
    <sheetView tabSelected="1" topLeftCell="A32" workbookViewId="0">
      <selection activeCell="Q37" sqref="Q37"/>
    </sheetView>
  </sheetViews>
  <sheetFormatPr defaultColWidth="9" defaultRowHeight="13.85"/>
  <cols>
    <col min="1" max="1" width="20.3716814159292" customWidth="1"/>
    <col min="2" max="4" width="9" customWidth="1"/>
    <col min="5" max="5" width="10" customWidth="1"/>
    <col min="7" max="10" width="9" customWidth="1"/>
    <col min="12" max="12" width="9" customWidth="1"/>
    <col min="13" max="13" width="10" customWidth="1"/>
    <col min="14" max="14" width="9" customWidth="1"/>
    <col min="16" max="17" width="12.7964601769912"/>
    <col min="18" max="18" width="9" customWidth="1"/>
    <col min="19" max="19" width="11.1238938053097" customWidth="1"/>
    <col min="24" max="24" width="9" style="2"/>
    <col min="27" max="27" width="9" style="2"/>
  </cols>
  <sheetData>
    <row r="1" ht="41.65" spans="1:39">
      <c r="A1" t="s">
        <v>25</v>
      </c>
      <c r="B1" s="3" t="s">
        <v>5</v>
      </c>
      <c r="C1" s="4" t="s">
        <v>6</v>
      </c>
      <c r="D1" s="4" t="s">
        <v>21</v>
      </c>
      <c r="E1" s="5" t="s">
        <v>8</v>
      </c>
      <c r="F1" s="5" t="s">
        <v>9</v>
      </c>
      <c r="G1" s="6" t="s">
        <v>84</v>
      </c>
      <c r="H1" s="5" t="s">
        <v>11</v>
      </c>
      <c r="I1" s="3" t="s">
        <v>23</v>
      </c>
      <c r="J1" s="3" t="s">
        <v>24</v>
      </c>
      <c r="K1" s="5" t="s">
        <v>14</v>
      </c>
      <c r="L1" s="5" t="s">
        <v>15</v>
      </c>
      <c r="M1" s="5" t="s">
        <v>16</v>
      </c>
      <c r="N1" s="5" t="s">
        <v>17</v>
      </c>
      <c r="O1" s="4" t="s">
        <v>18</v>
      </c>
      <c r="P1" s="6" t="s">
        <v>90</v>
      </c>
      <c r="Q1" s="5" t="s">
        <v>20</v>
      </c>
      <c r="R1" s="7" t="s">
        <v>106</v>
      </c>
      <c r="S1" s="7" t="s">
        <v>107</v>
      </c>
      <c r="U1" s="8" t="s">
        <v>108</v>
      </c>
      <c r="V1" s="8" t="s">
        <v>109</v>
      </c>
      <c r="W1" s="8" t="s">
        <v>110</v>
      </c>
      <c r="X1" s="9" t="s">
        <v>111</v>
      </c>
      <c r="Y1" s="8" t="s">
        <v>112</v>
      </c>
      <c r="Z1" s="8" t="s">
        <v>113</v>
      </c>
      <c r="AA1" s="9" t="s">
        <v>114</v>
      </c>
      <c r="AD1" t="s">
        <v>115</v>
      </c>
      <c r="AE1" t="s">
        <v>116</v>
      </c>
      <c r="AF1" s="2" t="s">
        <v>117</v>
      </c>
      <c r="AG1" t="s">
        <v>118</v>
      </c>
      <c r="AH1" s="2" t="s">
        <v>119</v>
      </c>
    </row>
    <row r="2" spans="1:39">
      <c r="A2">
        <v>2015</v>
      </c>
      <c r="B2" s="10">
        <f>SUMIFS('2015-20线路长度'!S$3:S$200,'2015-20线路长度'!$A$3:$A$200,Calculation!$A$1,'2015-20线路长度'!$B$3:$B$200,Calculation!$A2)</f>
        <v>1696849</v>
      </c>
      <c r="C2" s="10">
        <f>SUMIFS('2015-20线路长度'!T$3:T$200,'2015-20线路长度'!$A$3:$A$200,Calculation!$A$1,'2015-20线路长度'!$B$3:$B$200,Calculation!$A2)</f>
        <v>25428</v>
      </c>
      <c r="D2" s="10">
        <f>SUMIFS('2015-20线路长度'!U$3:U$200,'2015-20线路长度'!$A$3:$A$200,Calculation!$A$1,'2015-20线路长度'!$B$3:$B$200,Calculation!$A2)</f>
        <v>0</v>
      </c>
      <c r="E2" s="10">
        <f>SUMIFS('2015-20线路长度'!V$3:V$200,'2015-20线路长度'!$A$3:$A$200,Calculation!$A$1,'2015-20线路长度'!$B$3:$B$200,Calculation!$A2)</f>
        <v>10580</v>
      </c>
      <c r="F2" s="10">
        <f>SUMIFS('2015-20线路长度'!W$3:W$200,'2015-20线路长度'!$A$3:$A$200,Calculation!$A$1,'2015-20线路长度'!$B$3:$B$200,Calculation!$A2)</f>
        <v>1336</v>
      </c>
      <c r="G2" s="10">
        <f>SUMIFS('2015-20线路长度'!X$3:X$200,'2015-20线路长度'!$A$3:$A$200,Calculation!$A$1,'2015-20线路长度'!$B$3:$B$200,Calculation!$A2)</f>
        <v>11872</v>
      </c>
      <c r="H2" s="10">
        <f>SUMIFS('2015-20线路长度'!Y$3:Y$200,'2015-20线路长度'!$A$3:$A$200,Calculation!$A$1,'2015-20线路长度'!$B$3:$B$200,Calculation!$A2)</f>
        <v>1640</v>
      </c>
      <c r="I2" s="10">
        <f>SUMIFS('2015-20线路长度'!Z$3:Z$200,'2015-20线路长度'!$A$3:$A$200,Calculation!$A$1,'2015-20线路长度'!$B$3:$B$200,Calculation!$A2)</f>
        <v>0</v>
      </c>
      <c r="J2" s="10">
        <f>SUMIFS('2015-20线路长度'!AA$3:AA$200,'2015-20线路长度'!$A$3:$A$200,Calculation!$A$1,'2015-20线路长度'!$B$3:$B$200,Calculation!$A2)</f>
        <v>1671419</v>
      </c>
      <c r="K2" s="10">
        <f>SUMIFS('2015-20线路长度'!AB$3:AB$200,'2015-20线路长度'!$A$3:$A$200,Calculation!$A$1,'2015-20线路长度'!$B$3:$B$200,Calculation!$A2)</f>
        <v>3114</v>
      </c>
      <c r="L2" s="10">
        <f>SUMIFS('2015-20线路长度'!AC$3:AC$200,'2015-20线路长度'!$A$3:$A$200,Calculation!$A$1,'2015-20线路长度'!$B$3:$B$200,Calculation!$A2)</f>
        <v>15665</v>
      </c>
      <c r="M2" s="10">
        <f>SUMIFS('2015-20线路长度'!AD$3:AD$200,'2015-20线路长度'!$A$3:$A$200,Calculation!$A$1,'2015-20线路长度'!$B$3:$B$200,Calculation!$A2)</f>
        <v>157973</v>
      </c>
      <c r="N2" s="10">
        <f>SUMIFS('2015-20线路长度'!AE$3:AE$200,'2015-20线路长度'!$A$3:$A$200,Calculation!$A$1,'2015-20线路长度'!$B$3:$B$200,Calculation!$A2)</f>
        <v>26811</v>
      </c>
      <c r="O2" s="10">
        <f>SUMIFS('2015-20线路长度'!AF$3:AF$200,'2015-20线路长度'!$A$3:$A$200,Calculation!$A$1,'2015-20线路长度'!$B$3:$B$200,Calculation!$A2)</f>
        <v>380121</v>
      </c>
      <c r="P2" s="10">
        <f>SUMIFS('2015-20线路长度'!AG$3:AG$200,'2015-20线路长度'!$A$3:$A$200,Calculation!$A$1,'2015-20线路长度'!$B$3:$B$200,Calculation!$A2)</f>
        <v>591637</v>
      </c>
      <c r="Q2" s="10">
        <f>SUMIFS('2015-20线路长度'!AH$3:AH$200,'2015-20线路长度'!$A$3:$A$200,Calculation!$A$1,'2015-20线路长度'!$B$3:$B$200,Calculation!$A2)</f>
        <v>496098</v>
      </c>
      <c r="R2" s="10">
        <f>SUMIFS('2015-20线路长度'!AI$3:AI$200,'2015-20线路长度'!$A$3:$A$200,Calculation!$A$1,'2015-20线路长度'!$B$3:$B$200,Calculation!$A2)</f>
        <v>50063</v>
      </c>
      <c r="S2" s="2">
        <f>(SUM(E2:I2)+SUM(K2:R2))/1.609344</f>
        <v>1085479.54943132</v>
      </c>
      <c r="T2" s="2"/>
      <c r="U2" s="11">
        <v>35</v>
      </c>
      <c r="V2" s="11">
        <v>2.5</v>
      </c>
      <c r="W2" s="11">
        <v>15</v>
      </c>
      <c r="X2" s="12">
        <f>U2*AA2*0.85*1.732/1000</f>
        <v>8.41145833333333</v>
      </c>
      <c r="Y2" s="2">
        <f>V2*1000/0.8/1.732/$U2</f>
        <v>51.550643352029</v>
      </c>
      <c r="Z2" s="2">
        <f>W2*1000/0.9/1.732/$U2</f>
        <v>274.936764544155</v>
      </c>
      <c r="AA2" s="2">
        <f>AVERAGE(Y2:Z2)</f>
        <v>163.243703948092</v>
      </c>
      <c r="AB2" t="s">
        <v>120</v>
      </c>
      <c r="AD2" t="s">
        <v>121</v>
      </c>
      <c r="AE2">
        <v>100</v>
      </c>
      <c r="AF2" s="13">
        <v>100</v>
      </c>
      <c r="AG2" s="13">
        <v>500</v>
      </c>
      <c r="AH2" s="2">
        <v>54</v>
      </c>
      <c r="AJ2" s="11">
        <v>35</v>
      </c>
      <c r="AK2" s="2">
        <v>163.243703948092</v>
      </c>
      <c r="AL2">
        <v>100</v>
      </c>
      <c r="AM2" s="13">
        <v>500</v>
      </c>
    </row>
    <row r="3" spans="1:39">
      <c r="A3">
        <v>2016</v>
      </c>
      <c r="B3" s="10">
        <f>SUMIFS('2015-20线路长度'!S$3:S$200,'2015-20线路长度'!$A$3:$A$200,Calculation!$A$1,'2015-20线路长度'!$B$3:$B$200,Calculation!$A3)</f>
        <v>1756141</v>
      </c>
      <c r="C3" s="10">
        <f>SUMIFS('2015-20线路长度'!T$3:T$200,'2015-20线路长度'!$A$3:$A$200,Calculation!$A$1,'2015-20线路长度'!$B$3:$B$200,Calculation!$A3)</f>
        <v>28808</v>
      </c>
      <c r="D3" s="10">
        <f>SUMIFS('2015-20线路长度'!U$3:U$200,'2015-20线路长度'!$A$3:$A$200,Calculation!$A$1,'2015-20线路长度'!$B$3:$B$200,Calculation!$A3)</f>
        <v>0</v>
      </c>
      <c r="E3" s="10">
        <f>SUMIFS('2015-20线路长度'!V$3:V$200,'2015-20线路长度'!$A$3:$A$200,Calculation!$A$1,'2015-20线路长度'!$B$3:$B$200,Calculation!$A3)</f>
        <v>12295</v>
      </c>
      <c r="F3" s="10">
        <f>SUMIFS('2015-20线路长度'!W$3:W$200,'2015-20线路长度'!$A$3:$A$200,Calculation!$A$1,'2015-20线路长度'!$B$3:$B$200,Calculation!$A3)</f>
        <v>1334</v>
      </c>
      <c r="G3" s="10">
        <f>SUMIFS('2015-20线路长度'!X$3:X$200,'2015-20线路长度'!$A$3:$A$200,Calculation!$A$1,'2015-20线路长度'!$B$3:$B$200,Calculation!$A3)</f>
        <v>13539</v>
      </c>
      <c r="H3" s="10">
        <f>SUMIFS('2015-20线路长度'!Y$3:Y$200,'2015-20线路长度'!$A$3:$A$200,Calculation!$A$1,'2015-20线路长度'!$B$3:$B$200,Calculation!$A3)</f>
        <v>1640</v>
      </c>
      <c r="I3" s="10">
        <f>SUMIFS('2015-20线路长度'!Z$3:Z$200,'2015-20线路长度'!$A$3:$A$200,Calculation!$A$1,'2015-20线路长度'!$B$3:$B$200,Calculation!$A3)</f>
        <v>0</v>
      </c>
      <c r="J3" s="10">
        <f>SUMIFS('2015-20线路长度'!AA$3:AA$200,'2015-20线路长度'!$A$3:$A$200,Calculation!$A$1,'2015-20线路长度'!$B$3:$B$200,Calculation!$A3)</f>
        <v>1727335</v>
      </c>
      <c r="K3" s="10">
        <f>SUMIFS('2015-20线路长度'!AB$3:AB$200,'2015-20线路长度'!$A$3:$A$200,Calculation!$A$1,'2015-20线路长度'!$B$3:$B$200,Calculation!$A3)</f>
        <v>7245</v>
      </c>
      <c r="L3" s="10">
        <f>SUMIFS('2015-20线路长度'!AC$3:AC$200,'2015-20线路长度'!$A$3:$A$200,Calculation!$A$1,'2015-20线路长度'!$B$3:$B$200,Calculation!$A3)</f>
        <v>17968</v>
      </c>
      <c r="M3" s="10">
        <f>SUMIFS('2015-20线路长度'!AD$3:AD$200,'2015-20线路长度'!$A$3:$A$200,Calculation!$A$1,'2015-20线路长度'!$B$3:$B$200,Calculation!$A3)</f>
        <v>165875</v>
      </c>
      <c r="N3" s="10">
        <f>SUMIFS('2015-20线路长度'!AE$3:AE$200,'2015-20线路长度'!$A$3:$A$200,Calculation!$A$1,'2015-20线路长度'!$B$3:$B$200,Calculation!$A3)</f>
        <v>28366</v>
      </c>
      <c r="O3" s="10">
        <f>SUMIFS('2015-20线路长度'!AF$3:AF$200,'2015-20线路长度'!$A$3:$A$200,Calculation!$A$1,'2015-20线路长度'!$B$3:$B$200,Calculation!$A3)</f>
        <v>397050</v>
      </c>
      <c r="P3" s="10">
        <f>SUMIFS('2015-20线路长度'!AG$3:AG$200,'2015-20线路长度'!$A$3:$A$200,Calculation!$A$1,'2015-20线路长度'!$B$3:$B$200,Calculation!$A3)</f>
        <v>611431</v>
      </c>
      <c r="Q3" s="10">
        <f>SUMIFS('2015-20线路长度'!AH$3:AH$200,'2015-20线路长度'!$A$3:$A$200,Calculation!$A$1,'2015-20线路长度'!$B$3:$B$200,Calculation!$A3)</f>
        <v>499400</v>
      </c>
      <c r="R3" s="10">
        <f>SUMIFS('2015-20线路长度'!AI$3:AI$200,'2015-20线路长度'!$A$3:$A$200,Calculation!$A$1,'2015-20线路长度'!$B$3:$B$200,Calculation!$A3)</f>
        <v>57933</v>
      </c>
      <c r="S3" s="2">
        <f t="shared" ref="S3:S7" si="0">(SUM(E3:I3)+SUM(K3:R3))/1.609344</f>
        <v>1127214.56692913</v>
      </c>
      <c r="T3" s="2"/>
      <c r="U3" s="11">
        <v>110</v>
      </c>
      <c r="V3" s="11">
        <v>10</v>
      </c>
      <c r="W3" s="11">
        <v>50</v>
      </c>
      <c r="X3" s="12">
        <f t="shared" ref="X3:X7" si="1">U3*AA3*0.85*1.732/1000</f>
        <v>28.9236111111111</v>
      </c>
      <c r="Y3" s="2">
        <f t="shared" ref="Y3:Y7" si="2">V3*1000/0.8/1.732/$U3</f>
        <v>65.6099097207642</v>
      </c>
      <c r="Z3" s="2">
        <f t="shared" ref="Z3:Z7" si="3">W3*1000/0.9/1.732/$U3</f>
        <v>291.599598758952</v>
      </c>
      <c r="AA3" s="2">
        <f t="shared" ref="AA3:AA7" si="4">AVERAGE(Y3:Z3)</f>
        <v>178.604754239858</v>
      </c>
      <c r="AB3" t="s">
        <v>122</v>
      </c>
      <c r="AD3" t="s">
        <v>123</v>
      </c>
      <c r="AE3">
        <v>125</v>
      </c>
      <c r="AF3" s="13">
        <v>750</v>
      </c>
      <c r="AG3" s="13">
        <v>3000</v>
      </c>
      <c r="AH3" s="2"/>
      <c r="AJ3" s="11">
        <v>110</v>
      </c>
      <c r="AK3" s="2">
        <v>178.604754239858</v>
      </c>
      <c r="AL3">
        <v>125</v>
      </c>
      <c r="AM3" s="13">
        <v>3000</v>
      </c>
    </row>
    <row r="4" spans="1:39">
      <c r="A4">
        <v>2017</v>
      </c>
      <c r="B4" s="10">
        <f>SUMIFS('2015-20线路长度'!S$3:S$200,'2015-20线路长度'!$A$3:$A$200,Calculation!$A$1,'2015-20线路长度'!$B$3:$B$200,Calculation!$A4)</f>
        <v>1825611</v>
      </c>
      <c r="C4" s="10">
        <f>SUMIFS('2015-20线路长度'!T$3:T$200,'2015-20线路长度'!$A$3:$A$200,Calculation!$A$1,'2015-20线路长度'!$B$3:$B$200,Calculation!$A4)</f>
        <v>37400</v>
      </c>
      <c r="D4" s="10">
        <f>SUMIFS('2015-20线路长度'!U$3:U$200,'2015-20线路长度'!$A$3:$A$200,Calculation!$A$1,'2015-20线路长度'!$B$3:$B$200,Calculation!$A4)</f>
        <v>0</v>
      </c>
      <c r="E4" s="10">
        <f>SUMIFS('2015-20线路长度'!V$3:V$200,'2015-20线路长度'!$A$3:$A$200,Calculation!$A$1,'2015-20线路长度'!$B$3:$B$200,Calculation!$A4)</f>
        <v>20874</v>
      </c>
      <c r="F4" s="10">
        <f>SUMIFS('2015-20线路长度'!W$3:W$200,'2015-20线路长度'!$A$3:$A$200,Calculation!$A$1,'2015-20线路长度'!$B$3:$B$200,Calculation!$A4)</f>
        <v>1334</v>
      </c>
      <c r="G4" s="10">
        <f>SUMIFS('2015-20线路长度'!X$3:X$200,'2015-20线路长度'!$A$3:$A$200,Calculation!$A$1,'2015-20线路长度'!$B$3:$B$200,Calculation!$A4)</f>
        <v>13552</v>
      </c>
      <c r="H4" s="10">
        <f>SUMIFS('2015-20线路长度'!Y$3:Y$200,'2015-20线路长度'!$A$3:$A$200,Calculation!$A$1,'2015-20线路长度'!$B$3:$B$200,Calculation!$A4)</f>
        <v>1640</v>
      </c>
      <c r="I4" s="10">
        <f>SUMIFS('2015-20线路长度'!Z$3:Z$200,'2015-20线路长度'!$A$3:$A$200,Calculation!$A$1,'2015-20线路长度'!$B$3:$B$200,Calculation!$A4)</f>
        <v>0</v>
      </c>
      <c r="J4" s="10">
        <f>SUMIFS('2015-20线路长度'!AA$3:AA$200,'2015-20线路长度'!$A$3:$A$200,Calculation!$A$1,'2015-20线路长度'!$B$3:$B$200,Calculation!$A4)</f>
        <v>1788211</v>
      </c>
      <c r="K4" s="10">
        <f>SUMIFS('2015-20线路长度'!AB$3:AB$200,'2015-20线路长度'!$A$3:$A$200,Calculation!$A$1,'2015-20线路长度'!$B$3:$B$200,Calculation!$A4)</f>
        <v>10073</v>
      </c>
      <c r="L4" s="10">
        <f>SUMIFS('2015-20线路长度'!AC$3:AC$200,'2015-20线路长度'!$A$3:$A$200,Calculation!$A$1,'2015-20线路长度'!$B$3:$B$200,Calculation!$A4)</f>
        <v>18830</v>
      </c>
      <c r="M4" s="10">
        <f>SUMIFS('2015-20线路长度'!AD$3:AD$200,'2015-20线路长度'!$A$3:$A$200,Calculation!$A$1,'2015-20线路长度'!$B$3:$B$200,Calculation!$A4)</f>
        <v>173771</v>
      </c>
      <c r="N4" s="10">
        <f>SUMIFS('2015-20线路长度'!AE$3:AE$200,'2015-20线路长度'!$A$3:$A$200,Calculation!$A$1,'2015-20线路长度'!$B$3:$B$200,Calculation!$A4)</f>
        <v>30183</v>
      </c>
      <c r="O4" s="10">
        <f>SUMIFS('2015-20线路长度'!AF$3:AF$200,'2015-20线路长度'!$A$3:$A$200,Calculation!$A$1,'2015-20线路长度'!$B$3:$B$200,Calculation!$A4)</f>
        <v>415311</v>
      </c>
      <c r="P4" s="10">
        <f>SUMIFS('2015-20线路长度'!AG$3:AG$200,'2015-20线路长度'!$A$3:$A$200,Calculation!$A$1,'2015-20线路长度'!$B$3:$B$200,Calculation!$A4)</f>
        <v>631361</v>
      </c>
      <c r="Q4" s="10">
        <f>SUMIFS('2015-20线路长度'!AH$3:AH$200,'2015-20线路长度'!$A$3:$A$200,Calculation!$A$1,'2015-20线路长度'!$B$3:$B$200,Calculation!$A4)</f>
        <v>508682</v>
      </c>
      <c r="R4" s="10">
        <f>SUMIFS('2015-20线路长度'!AI$3:AI$200,'2015-20线路长度'!$A$3:$A$200,Calculation!$A$1,'2015-20线路长度'!$B$3:$B$200,Calculation!$A4)</f>
        <v>62760</v>
      </c>
      <c r="S4" s="2">
        <f t="shared" si="0"/>
        <v>1173379.33965641</v>
      </c>
      <c r="T4" s="2"/>
      <c r="U4" s="11">
        <v>220</v>
      </c>
      <c r="V4" s="11">
        <v>100</v>
      </c>
      <c r="W4" s="11">
        <v>500</v>
      </c>
      <c r="X4" s="12">
        <f t="shared" si="1"/>
        <v>289.236111111111</v>
      </c>
      <c r="Y4" s="2">
        <f t="shared" si="2"/>
        <v>328.049548603821</v>
      </c>
      <c r="Z4" s="2">
        <f t="shared" si="3"/>
        <v>1457.99799379476</v>
      </c>
      <c r="AA4" s="2">
        <f t="shared" si="4"/>
        <v>893.023771199291</v>
      </c>
      <c r="AB4" t="s">
        <v>122</v>
      </c>
      <c r="AE4">
        <v>320</v>
      </c>
      <c r="AF4" s="13">
        <v>1000</v>
      </c>
      <c r="AG4" s="13">
        <f>AF4/AE4/2*1000</f>
        <v>1562.5</v>
      </c>
      <c r="AH4" s="2"/>
      <c r="AJ4" s="11">
        <v>220</v>
      </c>
      <c r="AK4" s="2">
        <v>893.023771199291</v>
      </c>
      <c r="AL4">
        <v>320</v>
      </c>
      <c r="AM4" s="13">
        <v>1562.5</v>
      </c>
    </row>
    <row r="5" spans="1:39">
      <c r="A5">
        <v>2018</v>
      </c>
      <c r="B5" s="10">
        <f>SUMIFS('2015-20线路长度'!S$3:S$200,'2015-20线路长度'!$A$3:$A$200,Calculation!$A$1,'2015-20线路长度'!$B$3:$B$200,Calculation!$A5)</f>
        <v>1892018</v>
      </c>
      <c r="C5" s="10">
        <f>SUMIFS('2015-20线路长度'!T$3:T$200,'2015-20线路长度'!$A$3:$A$200,Calculation!$A$1,'2015-20线路长度'!$B$3:$B$200,Calculation!$A5)</f>
        <v>41995</v>
      </c>
      <c r="D5" s="10">
        <f>SUMIFS('2015-20线路长度'!U$3:U$200,'2015-20线路长度'!$A$3:$A$200,Calculation!$A$1,'2015-20线路长度'!$B$3:$B$200,Calculation!$A5)</f>
        <v>608</v>
      </c>
      <c r="E5" s="10">
        <f>SUMIFS('2015-20线路长度'!V$3:V$200,'2015-20线路长度'!$A$3:$A$200,Calculation!$A$1,'2015-20线路长度'!$B$3:$B$200,Calculation!$A5)</f>
        <v>21723</v>
      </c>
      <c r="F5" s="10">
        <f>SUMIFS('2015-20线路长度'!W$3:W$200,'2015-20线路长度'!$A$3:$A$200,Calculation!$A$1,'2015-20线路长度'!$B$3:$B$200,Calculation!$A5)</f>
        <v>2091</v>
      </c>
      <c r="G5" s="10">
        <f>SUMIFS('2015-20线路长度'!X$3:X$200,'2015-20线路长度'!$A$3:$A$200,Calculation!$A$1,'2015-20线路长度'!$B$3:$B$200,Calculation!$A5)</f>
        <v>15428</v>
      </c>
      <c r="H5" s="10">
        <f>SUMIFS('2015-20线路长度'!Y$3:Y$200,'2015-20线路长度'!$A$3:$A$200,Calculation!$A$1,'2015-20线路长度'!$B$3:$B$200,Calculation!$A5)</f>
        <v>1640</v>
      </c>
      <c r="I5" s="10">
        <f>SUMIFS('2015-20线路长度'!Z$3:Z$200,'2015-20线路长度'!$A$3:$A$200,Calculation!$A$1,'2015-20线路长度'!$B$3:$B$200,Calculation!$A5)</f>
        <v>506</v>
      </c>
      <c r="J5" s="10">
        <f>SUMIFS('2015-20线路长度'!AA$3:AA$200,'2015-20线路长度'!$A$3:$A$200,Calculation!$A$1,'2015-20线路长度'!$B$3:$B$200,Calculation!$A5)</f>
        <v>1850022</v>
      </c>
      <c r="K5" s="10">
        <f>SUMIFS('2015-20线路长度'!AB$3:AB$200,'2015-20线路长度'!$A$3:$A$200,Calculation!$A$1,'2015-20线路长度'!$B$3:$B$200,Calculation!$A5)</f>
        <v>10396</v>
      </c>
      <c r="L5" s="10">
        <f>SUMIFS('2015-20线路长度'!AC$3:AC$200,'2015-20线路长度'!$A$3:$A$200,Calculation!$A$1,'2015-20线路长度'!$B$3:$B$200,Calculation!$A5)</f>
        <v>20543</v>
      </c>
      <c r="M5" s="10">
        <f>SUMIFS('2015-20线路长度'!AD$3:AD$200,'2015-20线路长度'!$A$3:$A$200,Calculation!$A$1,'2015-20线路长度'!$B$3:$B$200,Calculation!$A5)</f>
        <v>187158</v>
      </c>
      <c r="N5" s="10">
        <f>SUMIFS('2015-20线路长度'!AE$3:AE$200,'2015-20线路长度'!$A$3:$A$200,Calculation!$A$1,'2015-20线路长度'!$B$3:$B$200,Calculation!$A5)</f>
        <v>30477</v>
      </c>
      <c r="O5" s="10">
        <f>SUMIFS('2015-20线路长度'!AF$3:AF$200,'2015-20线路长度'!$A$3:$A$200,Calculation!$A$1,'2015-20线路长度'!$B$3:$B$200,Calculation!$A5)</f>
        <v>434493</v>
      </c>
      <c r="P5" s="10">
        <f>SUMIFS('2015-20线路长度'!AG$3:AG$200,'2015-20线路长度'!$A$3:$A$200,Calculation!$A$1,'2015-20线路长度'!$B$3:$B$200,Calculation!$A5)</f>
        <v>652891</v>
      </c>
      <c r="Q5" s="10">
        <f>SUMIFS('2015-20线路长度'!AH$3:AH$200,'2015-20线路长度'!$A$3:$A$200,Calculation!$A$1,'2015-20线路长度'!$B$3:$B$200,Calculation!$A5)</f>
        <v>514066</v>
      </c>
      <c r="R5" s="10">
        <f>SUMIFS('2015-20线路长度'!AI$3:AI$200,'2015-20线路长度'!$A$3:$A$200,Calculation!$A$1,'2015-20线路长度'!$B$3:$B$200,Calculation!$A5)</f>
        <v>62760</v>
      </c>
      <c r="S5" s="2">
        <f t="shared" si="0"/>
        <v>1214266.18547682</v>
      </c>
      <c r="T5" s="2"/>
      <c r="U5" s="14">
        <v>330</v>
      </c>
      <c r="V5" s="14">
        <v>200</v>
      </c>
      <c r="W5" s="14">
        <v>800</v>
      </c>
      <c r="X5" s="12">
        <f t="shared" si="1"/>
        <v>484.027777777778</v>
      </c>
      <c r="Y5" s="2">
        <f t="shared" si="2"/>
        <v>437.399398138428</v>
      </c>
      <c r="Z5" s="2">
        <f t="shared" si="3"/>
        <v>1555.19786004774</v>
      </c>
      <c r="AA5" s="2">
        <f t="shared" si="4"/>
        <v>996.298629093086</v>
      </c>
      <c r="AD5" t="s">
        <v>124</v>
      </c>
      <c r="AE5">
        <v>500</v>
      </c>
      <c r="AF5" s="13">
        <v>3000</v>
      </c>
      <c r="AG5" s="13">
        <v>3000</v>
      </c>
      <c r="AH5" s="2">
        <v>550</v>
      </c>
      <c r="AJ5" s="14">
        <v>330</v>
      </c>
      <c r="AK5" s="2">
        <v>996.298629093086</v>
      </c>
      <c r="AL5">
        <v>500</v>
      </c>
      <c r="AM5" s="13">
        <v>3000</v>
      </c>
    </row>
    <row r="6" spans="1:39">
      <c r="A6">
        <v>2019</v>
      </c>
      <c r="B6" s="10">
        <f>SUMIFS('2015-20线路长度'!S$3:S$200,'2015-20线路长度'!$A$3:$A$200,Calculation!$A$1,'2015-20线路长度'!$B$3:$B$200,Calculation!$A6)</f>
        <v>1975312</v>
      </c>
      <c r="C6" s="10">
        <f>SUMIFS('2015-20线路长度'!T$3:T$200,'2015-20线路长度'!$A$3:$A$200,Calculation!$A$1,'2015-20线路长度'!$B$3:$B$200,Calculation!$A6)</f>
        <v>42364</v>
      </c>
      <c r="D6" s="10">
        <f>SUMIFS('2015-20线路长度'!U$3:U$200,'2015-20线路长度'!$A$3:$A$200,Calculation!$A$1,'2015-20线路长度'!$B$3:$B$200,Calculation!$A6)</f>
        <v>3295</v>
      </c>
      <c r="E6" s="10">
        <f>SUMIFS('2015-20线路长度'!V$3:V$200,'2015-20线路长度'!$A$3:$A$200,Calculation!$A$1,'2015-20线路长度'!$B$3:$B$200,Calculation!$A6)</f>
        <v>21907</v>
      </c>
      <c r="F6" s="10">
        <f>SUMIFS('2015-20线路长度'!W$3:W$200,'2015-20线路长度'!$A$3:$A$200,Calculation!$A$1,'2015-20线路长度'!$B$3:$B$200,Calculation!$A6)</f>
        <v>1334</v>
      </c>
      <c r="G6" s="10">
        <f>SUMIFS('2015-20线路长度'!X$3:X$200,'2015-20线路长度'!$A$3:$A$200,Calculation!$A$1,'2015-20线路长度'!$B$3:$B$200,Calculation!$A6)</f>
        <v>13733</v>
      </c>
      <c r="H6" s="10">
        <f>SUMIFS('2015-20线路长度'!Y$3:Y$200,'2015-20线路长度'!$A$3:$A$200,Calculation!$A$1,'2015-20线路长度'!$B$3:$B$200,Calculation!$A6)</f>
        <v>1639</v>
      </c>
      <c r="I6" s="10">
        <f>SUMIFS('2015-20线路长度'!Z$3:Z$200,'2015-20线路长度'!$A$3:$A$200,Calculation!$A$1,'2015-20线路长度'!$B$3:$B$200,Calculation!$A6)</f>
        <v>457</v>
      </c>
      <c r="J6" s="10">
        <f>SUMIFS('2015-20线路长度'!AA$3:AA$200,'2015-20线路长度'!$A$3:$A$200,Calculation!$A$1,'2015-20线路长度'!$B$3:$B$200,Calculation!$A6)</f>
        <v>1932947</v>
      </c>
      <c r="K6" s="10">
        <f>SUMIFS('2015-20线路长度'!AB$3:AB$200,'2015-20线路长度'!$A$3:$A$200,Calculation!$A$1,'2015-20线路长度'!$B$3:$B$200,Calculation!$A6)</f>
        <v>10872</v>
      </c>
      <c r="L6" s="10">
        <f>SUMIFS('2015-20线路长度'!AC$3:AC$200,'2015-20线路长度'!$A$3:$A$200,Calculation!$A$1,'2015-20线路长度'!$B$3:$B$200,Calculation!$A6)</f>
        <v>23256</v>
      </c>
      <c r="M6" s="10">
        <f>SUMIFS('2015-20线路长度'!AD$3:AD$200,'2015-20线路长度'!$A$3:$A$200,Calculation!$A$1,'2015-20线路长度'!$B$3:$B$200,Calculation!$A6)</f>
        <v>195636</v>
      </c>
      <c r="N6" s="10">
        <f>SUMIFS('2015-20线路长度'!AE$3:AE$200,'2015-20线路长度'!$A$3:$A$200,Calculation!$A$1,'2015-20线路长度'!$B$3:$B$200,Calculation!$A6)</f>
        <v>32314</v>
      </c>
      <c r="O6" s="10">
        <f>SUMIFS('2015-20线路长度'!AF$3:AF$200,'2015-20线路长度'!$A$3:$A$200,Calculation!$A$1,'2015-20线路长度'!$B$3:$B$200,Calculation!$A6)</f>
        <v>454585</v>
      </c>
      <c r="P6" s="10">
        <f>SUMIFS('2015-20线路长度'!AG$3:AG$200,'2015-20线路长度'!$A$3:$A$200,Calculation!$A$1,'2015-20线路长度'!$B$3:$B$200,Calculation!$A6)</f>
        <v>684406</v>
      </c>
      <c r="Q6" s="10">
        <f>SUMIFS('2015-20线路长度'!AH$3:AH$200,'2015-20线路长度'!$A$3:$A$200,Calculation!$A$1,'2015-20线路长度'!$B$3:$B$200,Calculation!$A6)</f>
        <v>531880</v>
      </c>
      <c r="R6" s="10">
        <f>SUMIFS('2015-20线路长度'!AI$3:AI$200,'2015-20线路长度'!$A$3:$A$200,Calculation!$A$1,'2015-20线路长度'!$B$3:$B$200,Calculation!$A6)</f>
        <v>0</v>
      </c>
      <c r="S6" s="2">
        <f t="shared" si="0"/>
        <v>1225355.79714467</v>
      </c>
      <c r="T6" s="2"/>
      <c r="U6" s="14">
        <v>500</v>
      </c>
      <c r="V6" s="14">
        <v>1000</v>
      </c>
      <c r="W6" s="14">
        <v>1500</v>
      </c>
      <c r="X6" s="12">
        <f t="shared" si="1"/>
        <v>1239.58333333333</v>
      </c>
      <c r="Y6" s="2">
        <f t="shared" si="2"/>
        <v>1443.41801385681</v>
      </c>
      <c r="Z6" s="2">
        <f t="shared" si="3"/>
        <v>1924.55735180908</v>
      </c>
      <c r="AA6" s="2">
        <f t="shared" si="4"/>
        <v>1683.98768283295</v>
      </c>
      <c r="AB6">
        <v>3000</v>
      </c>
      <c r="AD6" t="s">
        <v>125</v>
      </c>
      <c r="AE6">
        <v>500</v>
      </c>
      <c r="AF6" s="13">
        <v>3000</v>
      </c>
      <c r="AG6" s="13">
        <v>3000</v>
      </c>
      <c r="AH6" s="2">
        <v>976</v>
      </c>
      <c r="AJ6" s="14">
        <v>500</v>
      </c>
      <c r="AK6" s="2">
        <v>1683.98768283295</v>
      </c>
      <c r="AL6">
        <v>500</v>
      </c>
      <c r="AM6" s="13">
        <v>3000</v>
      </c>
    </row>
    <row r="7" spans="1:39">
      <c r="A7">
        <v>2020</v>
      </c>
      <c r="B7" s="10">
        <f>SUMIFS('2015-20线路长度'!S$3:S$200,'2015-20线路长度'!$A$3:$A$200,Calculation!$A$1,'2015-20线路长度'!$B$3:$B$200,Calculation!$A7)</f>
        <v>2156170</v>
      </c>
      <c r="C7" s="10">
        <f>SUMIFS('2015-20线路长度'!T$3:T$200,'2015-20线路长度'!$A$3:$A$200,Calculation!$A$1,'2015-20线路长度'!$B$3:$B$200,Calculation!$A7)</f>
        <v>46324</v>
      </c>
      <c r="D7" s="10">
        <f>SUMIFS('2015-20线路长度'!U$3:U$200,'2015-20线路长度'!$A$3:$A$200,Calculation!$A$1,'2015-20线路长度'!$B$3:$B$200,Calculation!$A7)</f>
        <v>3295</v>
      </c>
      <c r="E7" s="10">
        <f>SUMIFS('2015-20线路长度'!V$3:V$200,'2015-20线路长度'!$A$3:$A$200,Calculation!$A$1,'2015-20线路长度'!$B$3:$B$200,Calculation!$A7)</f>
        <v>24980</v>
      </c>
      <c r="F7" s="10">
        <f>SUMIFS('2015-20线路长度'!W$3:W$200,'2015-20线路长度'!$A$3:$A$200,Calculation!$A$1,'2015-20线路长度'!$B$3:$B$200,Calculation!$A7)</f>
        <v>1334</v>
      </c>
      <c r="G7" s="10">
        <f>SUMIFS('2015-20线路长度'!X$3:X$200,'2015-20线路长度'!$A$3:$A$200,Calculation!$A$1,'2015-20线路长度'!$B$3:$B$200,Calculation!$A7)</f>
        <v>14783</v>
      </c>
      <c r="H7" s="10">
        <f>SUMIFS('2015-20线路长度'!Y$3:Y$200,'2015-20线路长度'!$A$3:$A$200,Calculation!$A$1,'2015-20线路长度'!$B$3:$B$200,Calculation!$A7)</f>
        <v>1639</v>
      </c>
      <c r="I7" s="10">
        <f>SUMIFS('2015-20线路长度'!Z$3:Z$200,'2015-20线路长度'!$A$3:$A$200,Calculation!$A$1,'2015-20线路长度'!$B$3:$B$200,Calculation!$A7)</f>
        <v>293</v>
      </c>
      <c r="J7" s="10">
        <f>SUMIFS('2015-20线路长度'!AA$3:AA$200,'2015-20线路长度'!$A$3:$A$200,Calculation!$A$1,'2015-20线路长度'!$B$3:$B$200,Calculation!$A7)</f>
        <v>2109846</v>
      </c>
      <c r="K7" s="10">
        <f>SUMIFS('2015-20线路长度'!AB$3:AB$200,'2015-20线路长度'!$A$3:$A$200,Calculation!$A$1,'2015-20线路长度'!$B$3:$B$200,Calculation!$A7)</f>
        <v>13361</v>
      </c>
      <c r="L7" s="10">
        <f>SUMIFS('2015-20线路长度'!AC$3:AC$200,'2015-20线路长度'!$A$3:$A$200,Calculation!$A$1,'2015-20线路长度'!$B$3:$B$200,Calculation!$A7)</f>
        <v>25046</v>
      </c>
      <c r="M7" s="10">
        <f>SUMIFS('2015-20线路长度'!AD$3:AD$200,'2015-20线路长度'!$A$3:$A$200,Calculation!$A$1,'2015-20线路长度'!$B$3:$B$200,Calculation!$A7)</f>
        <v>203058</v>
      </c>
      <c r="N7" s="10">
        <f>SUMIFS('2015-20线路长度'!AE$3:AE$200,'2015-20线路长度'!$A$3:$A$200,Calculation!$A$1,'2015-20线路长度'!$B$3:$B$200,Calculation!$A7)</f>
        <v>36597</v>
      </c>
      <c r="O7" s="10">
        <f>SUMIFS('2015-20线路长度'!AF$3:AF$200,'2015-20线路长度'!$A$3:$A$200,Calculation!$A$1,'2015-20线路长度'!$B$3:$B$200,Calculation!$A7)</f>
        <v>488543</v>
      </c>
      <c r="P7" s="10">
        <f>SUMIFS('2015-20线路长度'!AG$3:AG$200,'2015-20线路长度'!$A$3:$A$200,Calculation!$A$1,'2015-20线路长度'!$B$3:$B$200,Calculation!$A7)</f>
        <v>752563</v>
      </c>
      <c r="Q7" s="10">
        <f>SUMIFS('2015-20线路长度'!AH$3:AH$200,'2015-20线路长度'!$A$3:$A$200,Calculation!$A$1,'2015-20线路长度'!$B$3:$B$200,Calculation!$A7)</f>
        <v>590678</v>
      </c>
      <c r="R7" s="10">
        <f>SUMIFS('2015-20线路长度'!AI$3:AI$200,'2015-20线路长度'!$A$3:$A$200,Calculation!$A$1,'2015-20线路长度'!$B$3:$B$200,Calculation!$A7)</f>
        <v>0</v>
      </c>
      <c r="S7" s="2">
        <f t="shared" si="0"/>
        <v>1337734.50548795</v>
      </c>
      <c r="U7" s="14">
        <v>765</v>
      </c>
      <c r="V7" s="14">
        <v>2000</v>
      </c>
      <c r="W7" s="14">
        <v>2500</v>
      </c>
      <c r="X7" s="12">
        <f t="shared" si="1"/>
        <v>2243.05555555556</v>
      </c>
      <c r="Y7" s="2">
        <f t="shared" si="2"/>
        <v>1886.82093314616</v>
      </c>
      <c r="Z7" s="2">
        <f t="shared" si="3"/>
        <v>2096.46770349573</v>
      </c>
      <c r="AA7" s="2">
        <f t="shared" si="4"/>
        <v>1991.64431832095</v>
      </c>
      <c r="AD7" t="s">
        <v>126</v>
      </c>
      <c r="AE7">
        <v>500</v>
      </c>
      <c r="AF7" s="13">
        <v>3000</v>
      </c>
      <c r="AG7" s="13">
        <v>3000</v>
      </c>
      <c r="AH7" s="2">
        <v>1043</v>
      </c>
      <c r="AJ7" s="14">
        <v>765</v>
      </c>
      <c r="AK7" s="2">
        <v>1991.64431832095</v>
      </c>
      <c r="AL7">
        <v>500</v>
      </c>
      <c r="AM7" s="13">
        <v>3000</v>
      </c>
    </row>
    <row r="8" spans="1:39">
      <c r="S8" s="2" t="s">
        <v>127</v>
      </c>
      <c r="U8" s="14">
        <v>1100</v>
      </c>
      <c r="X8" s="2">
        <f>1.732*U8*AA8/1000*0.9</f>
        <v>4286.7</v>
      </c>
      <c r="AA8" s="2">
        <v>2500</v>
      </c>
      <c r="AD8" t="s">
        <v>128</v>
      </c>
      <c r="AE8">
        <v>500</v>
      </c>
      <c r="AF8" s="13">
        <v>3000</v>
      </c>
      <c r="AG8" s="13">
        <v>3000</v>
      </c>
      <c r="AH8" s="2">
        <v>908</v>
      </c>
      <c r="AJ8" s="14">
        <v>1100</v>
      </c>
      <c r="AK8" s="2">
        <v>2500</v>
      </c>
      <c r="AL8">
        <v>500</v>
      </c>
      <c r="AM8" s="13">
        <v>3000</v>
      </c>
    </row>
    <row r="9" spans="1:39">
      <c r="A9">
        <v>2015</v>
      </c>
      <c r="B9" s="10">
        <f>C9+J9</f>
        <v>816242.064972027</v>
      </c>
      <c r="C9" s="15">
        <f t="shared" ref="C9" si="5">SUM(D9:I9)</f>
        <v>23780.7336986629</v>
      </c>
      <c r="D9">
        <f>Calculation!D2*VLOOKUP(Calculation!D$1,'Capacity by Linetype'!$O$3:$R$12,4,FALSE)</f>
        <v>0</v>
      </c>
      <c r="E9">
        <f>Calculation!E2*VLOOKUP(Calculation!E$1,'Capacity by Linetype'!$O$3:$R$12,4,FALSE)</f>
        <v>11314.2690293264</v>
      </c>
      <c r="F9">
        <f>Calculation!F2*AVERAGE(I$16,K$16)</f>
        <v>1289.69894648082</v>
      </c>
      <c r="G9">
        <f>Calculation!G2*VLOOKUP(Calculation!G$1,'Capacity by Linetype'!$O$3:$R$12,4,FALSE)</f>
        <v>10225.1806968189</v>
      </c>
      <c r="H9">
        <f>Calculation!H2*VLOOKUP(Calculation!H$1,'Capacity by Linetype'!$O$3:$R$12,4,FALSE)</f>
        <v>951.585026036741</v>
      </c>
      <c r="I9">
        <f>Calculation!I2*VLOOKUP(Calculation!H$1,'Capacity by Linetype'!$O$3:$R$12,4,FALSE)*0.5</f>
        <v>0</v>
      </c>
      <c r="J9" s="15">
        <f>SUM(K9:Q9)</f>
        <v>792461.331273364</v>
      </c>
      <c r="K9">
        <f>Calculation!K2*VLOOKUP(Calculation!K$1,'Capacity by Linetype'!$O$3:$R$12,4,FALSE)</f>
        <v>3563.48793269402</v>
      </c>
      <c r="L9">
        <f>Calculation!L2*VLOOKUP(Calculation!L$1,'Capacity by Linetype'!$O$3:$R$12,4,FALSE)</f>
        <v>17482.9965156794</v>
      </c>
      <c r="M9">
        <f>Calculation!M2*VLOOKUP(Calculation!M$1,'Capacity by Linetype'!$O$3:$R$12,4,FALSE)</f>
        <v>162562.945646369</v>
      </c>
      <c r="N9">
        <f>Calculation!N2*VLOOKUP(Calculation!N$1,'Capacity by Linetype'!$O$3:$R$12,4,FALSE)</f>
        <v>11700.4620048504</v>
      </c>
      <c r="O9">
        <f>Calculation!O2*VLOOKUP(Calculation!O$1,'Capacity by Linetype'!$O$3:$R$12,4,FALSE)</f>
        <v>187583.941532516</v>
      </c>
      <c r="P9">
        <f>Calculation!P2*VLOOKUP(Calculation!P$1,'Capacity by Linetype'!$O$3:$R$12,4,FALSE)</f>
        <v>241699.541651256</v>
      </c>
      <c r="Q9">
        <f>Calculation!Q2*VLOOKUP(Calculation!Q$1,'Capacity by Linetype'!$O$3:$R$13,4,FALSE)</f>
        <v>167867.955989999</v>
      </c>
      <c r="S9" s="2">
        <f>(SUM(E9:I9)+SUM(K9:R9))*10/1.609344</f>
        <v>5071893.05065931</v>
      </c>
      <c r="T9" s="2"/>
      <c r="AD9" t="s">
        <v>129</v>
      </c>
      <c r="AE9">
        <v>500</v>
      </c>
      <c r="AF9" s="13">
        <v>1200</v>
      </c>
      <c r="AG9" s="13">
        <v>1200</v>
      </c>
      <c r="AH9" s="2">
        <v>1064</v>
      </c>
      <c r="AL9">
        <v>500</v>
      </c>
      <c r="AM9" s="13">
        <v>1200</v>
      </c>
    </row>
    <row r="10" spans="1:39">
      <c r="A10">
        <v>2016</v>
      </c>
      <c r="B10" s="10">
        <f t="shared" ref="B10:B13" si="6">C10+J10</f>
        <v>853175.588135662</v>
      </c>
      <c r="C10" s="15">
        <f t="shared" ref="C10:C13" si="7">SUM(D10:I10)</f>
        <v>27048.5895939421</v>
      </c>
      <c r="D10">
        <f>Calculation!D3*VLOOKUP(Calculation!D$1,'Capacity by Linetype'!$O$3:$R$12,4,FALSE)</f>
        <v>0</v>
      </c>
      <c r="E10">
        <f>Calculation!E3*VLOOKUP(Calculation!E$1,'Capacity by Linetype'!$O$3:$R$12,4,FALSE)</f>
        <v>13148.2927897513</v>
      </c>
      <c r="F10">
        <f>Calculation!F3*AVERAGE(I$16,K$16)</f>
        <v>1287.76825943519</v>
      </c>
      <c r="G10">
        <f>Calculation!G3*VLOOKUP(Calculation!G$1,'Capacity by Linetype'!$O$3:$R$12,4,FALSE)</f>
        <v>11660.9435187189</v>
      </c>
      <c r="H10">
        <f>Calculation!H3*VLOOKUP(Calculation!H$1,'Capacity by Linetype'!$O$3:$R$12,4,FALSE)</f>
        <v>951.585026036741</v>
      </c>
      <c r="I10">
        <f>Calculation!I3*VLOOKUP(Calculation!H$1,'Capacity by Linetype'!$O$3:$R$12,4,FALSE)*0.5</f>
        <v>0</v>
      </c>
      <c r="J10" s="15">
        <f t="shared" ref="J10:J13" si="8">SUM(K10:Q10)</f>
        <v>826126.99854172</v>
      </c>
      <c r="K10">
        <f>Calculation!K3*VLOOKUP(Calculation!K$1,'Capacity by Linetype'!$O$3:$R$12,4,FALSE)</f>
        <v>8290.77394745285</v>
      </c>
      <c r="L10">
        <f>Calculation!L3*VLOOKUP(Calculation!L$1,'Capacity by Linetype'!$O$3:$R$12,4,FALSE)</f>
        <v>20053.2704368802</v>
      </c>
      <c r="M10">
        <f>Calculation!M3*VLOOKUP(Calculation!M$1,'Capacity by Linetype'!$O$3:$R$12,4,FALSE)</f>
        <v>170694.540263789</v>
      </c>
      <c r="N10">
        <f>Calculation!N3*VLOOKUP(Calculation!N$1,'Capacity by Linetype'!$O$3:$R$12,4,FALSE)</f>
        <v>12379.0722177311</v>
      </c>
      <c r="O10">
        <f>Calculation!O3*VLOOKUP(Calculation!O$1,'Capacity by Linetype'!$O$3:$R$12,4,FALSE)</f>
        <v>195938.145973217</v>
      </c>
      <c r="P10">
        <f>Calculation!P3*VLOOKUP(Calculation!P$1,'Capacity by Linetype'!$O$3:$R$12,4,FALSE)</f>
        <v>249785.920169579</v>
      </c>
      <c r="Q10">
        <f>Calculation!Q3*VLOOKUP(Calculation!Q$1,'Capacity by Linetype'!$O$3:$R$13,4,FALSE)</f>
        <v>168985.275533071</v>
      </c>
      <c r="S10" s="2">
        <f t="shared" ref="S10:S14" si="9">(SUM(E10:I10)+SUM(K10:R10))*10/1.609344</f>
        <v>5301387.32387645</v>
      </c>
      <c r="T10" s="2"/>
      <c r="U10"/>
      <c r="AD10" t="s">
        <v>130</v>
      </c>
      <c r="AE10">
        <v>500</v>
      </c>
      <c r="AF10" s="13">
        <v>3000</v>
      </c>
      <c r="AG10" s="13">
        <v>3000</v>
      </c>
      <c r="AH10" s="2">
        <v>962</v>
      </c>
      <c r="AL10">
        <v>500</v>
      </c>
      <c r="AM10" s="13">
        <v>3000</v>
      </c>
    </row>
    <row r="11" spans="1:39">
      <c r="A11">
        <v>2017</v>
      </c>
      <c r="B11" s="10">
        <f t="shared" si="6"/>
        <v>895772.070552266</v>
      </c>
      <c r="C11" s="15">
        <f t="shared" si="7"/>
        <v>36234.1827131733</v>
      </c>
      <c r="D11">
        <f>Calculation!D4*VLOOKUP(Calculation!D$1,'Capacity by Linetype'!$O$3:$R$12,4,FALSE)</f>
        <v>0</v>
      </c>
      <c r="E11">
        <f>Calculation!E4*VLOOKUP(Calculation!E$1,'Capacity by Linetype'!$O$3:$R$12,4,FALSE)</f>
        <v>22322.6891983138</v>
      </c>
      <c r="F11">
        <f>Calculation!F4*AVERAGE(I$16,K$16)</f>
        <v>1287.76825943519</v>
      </c>
      <c r="G11">
        <f>Calculation!G4*VLOOKUP(Calculation!G$1,'Capacity by Linetype'!$O$3:$R$12,4,FALSE)</f>
        <v>11672.1402293876</v>
      </c>
      <c r="H11">
        <f>Calculation!H4*VLOOKUP(Calculation!H$1,'Capacity by Linetype'!$O$3:$R$12,4,FALSE)</f>
        <v>951.585026036741</v>
      </c>
      <c r="I11">
        <f>Calculation!I4*VLOOKUP(Calculation!H$1,'Capacity by Linetype'!$O$3:$R$12,4,FALSE)*0.5</f>
        <v>0</v>
      </c>
      <c r="J11" s="15">
        <f t="shared" si="8"/>
        <v>859537.887839093</v>
      </c>
      <c r="K11">
        <f>Calculation!K4*VLOOKUP(Calculation!K$1,'Capacity by Linetype'!$O$3:$R$12,4,FALSE)</f>
        <v>11526.9794303233</v>
      </c>
      <c r="L11">
        <f>Calculation!L4*VLOOKUP(Calculation!L$1,'Capacity by Linetype'!$O$3:$R$12,4,FALSE)</f>
        <v>21015.3095684803</v>
      </c>
      <c r="M11">
        <f>Calculation!M4*VLOOKUP(Calculation!M$1,'Capacity by Linetype'!$O$3:$R$12,4,FALSE)</f>
        <v>178819.960549684</v>
      </c>
      <c r="N11">
        <f>Calculation!N4*VLOOKUP(Calculation!N$1,'Capacity by Linetype'!$O$3:$R$12,4,FALSE)</f>
        <v>13172.0206143897</v>
      </c>
      <c r="O11">
        <f>Calculation!O4*VLOOKUP(Calculation!O$1,'Capacity by Linetype'!$O$3:$R$12,4,FALSE)</f>
        <v>204949.672188094</v>
      </c>
      <c r="P11">
        <f>Calculation!P4*VLOOKUP(Calculation!P$1,'Capacity by Linetype'!$O$3:$R$12,4,FALSE)</f>
        <v>257927.8583261</v>
      </c>
      <c r="Q11">
        <f>Calculation!Q4*VLOOKUP(Calculation!Q$1,'Capacity by Linetype'!$O$3:$R$13,4,FALSE)</f>
        <v>172126.087162021</v>
      </c>
      <c r="S11" s="2">
        <f t="shared" si="9"/>
        <v>5566069.59451967</v>
      </c>
      <c r="T11" s="2"/>
      <c r="AD11" t="s">
        <v>131</v>
      </c>
      <c r="AE11">
        <v>660</v>
      </c>
      <c r="AF11" s="13">
        <v>4000</v>
      </c>
      <c r="AG11" s="13">
        <f>AF11/AE11/2*1000</f>
        <v>3030.30303030303</v>
      </c>
      <c r="AH11" s="2"/>
      <c r="AL11">
        <v>660</v>
      </c>
      <c r="AM11" s="13">
        <v>3030.30303030303</v>
      </c>
    </row>
    <row r="12" spans="1:39">
      <c r="A12">
        <v>2018</v>
      </c>
      <c r="B12" s="10">
        <f t="shared" si="6"/>
        <v>935765.71743051</v>
      </c>
      <c r="C12" s="15">
        <f t="shared" si="7"/>
        <v>39958.7125854597</v>
      </c>
      <c r="D12">
        <f>Calculation!D5*VLOOKUP(Calculation!D$1,'Capacity by Linetype'!$O$3:$R$12,4,FALSE)</f>
        <v>323.271983640082</v>
      </c>
      <c r="E12">
        <f>Calculation!E5*VLOOKUP(Calculation!E$1,'Capacity by Linetype'!$O$3:$R$12,4,FALSE)</f>
        <v>23230.6111648448</v>
      </c>
      <c r="F12">
        <f>Calculation!F5*AVERAGE(I$16,K$16)</f>
        <v>2018.53330620613</v>
      </c>
      <c r="G12">
        <f>Calculation!G5*VLOOKUP(Calculation!G$1,'Capacity by Linetype'!$O$3:$R$12,4,FALSE)</f>
        <v>13287.9117074226</v>
      </c>
      <c r="H12">
        <f>Calculation!H5*VLOOKUP(Calculation!H$1,'Capacity by Linetype'!$O$3:$R$12,4,FALSE)</f>
        <v>951.585026036741</v>
      </c>
      <c r="I12">
        <f>Calculation!I5*VLOOKUP(Calculation!H$1,'Capacity by Linetype'!$O$3:$R$12,4,FALSE)*0.5</f>
        <v>146.799397309327</v>
      </c>
      <c r="J12" s="15">
        <f t="shared" si="8"/>
        <v>895807.004845051</v>
      </c>
      <c r="K12">
        <f>Calculation!K5*VLOOKUP(Calculation!K$1,'Capacity by Linetype'!$O$3:$R$12,4,FALSE)</f>
        <v>11896.6026166625</v>
      </c>
      <c r="L12">
        <f>Calculation!L5*VLOOKUP(Calculation!L$1,'Capacity by Linetype'!$O$3:$R$12,4,FALSE)</f>
        <v>22927.1112302332</v>
      </c>
      <c r="M12">
        <f>Calculation!M5*VLOOKUP(Calculation!M$1,'Capacity by Linetype'!$O$3:$R$12,4,FALSE)</f>
        <v>192595.92323551</v>
      </c>
      <c r="N12">
        <f>Calculation!N5*VLOOKUP(Calculation!N$1,'Capacity by Linetype'!$O$3:$R$12,4,FALSE)</f>
        <v>13300.3237671787</v>
      </c>
      <c r="O12">
        <f>Calculation!O5*VLOOKUP(Calculation!O$1,'Capacity by Linetype'!$O$3:$R$12,4,FALSE)</f>
        <v>214415.697917998</v>
      </c>
      <c r="P12">
        <f>Calculation!P5*VLOOKUP(Calculation!P$1,'Capacity by Linetype'!$O$3:$R$12,4,FALSE)</f>
        <v>266723.43928495</v>
      </c>
      <c r="Q12">
        <f>Calculation!Q5*VLOOKUP(Calculation!Q$1,'Capacity by Linetype'!$O$3:$R$13,4,FALSE)</f>
        <v>173947.906792518</v>
      </c>
      <c r="S12" s="2">
        <f t="shared" si="9"/>
        <v>5812569.87596729</v>
      </c>
      <c r="T12" s="2"/>
      <c r="AD12" t="s">
        <v>132</v>
      </c>
      <c r="AE12">
        <v>800</v>
      </c>
      <c r="AF12" s="13">
        <v>6400</v>
      </c>
      <c r="AG12" s="13">
        <v>4000</v>
      </c>
      <c r="AH12" s="2">
        <v>2093</v>
      </c>
      <c r="AL12">
        <v>800</v>
      </c>
      <c r="AM12" s="13">
        <v>4000</v>
      </c>
    </row>
    <row r="13" spans="1:39">
      <c r="A13">
        <v>2019</v>
      </c>
      <c r="B13" s="10">
        <f t="shared" si="6"/>
        <v>977101.947663885</v>
      </c>
      <c r="C13" s="15">
        <f t="shared" si="7"/>
        <v>39378.7133907023</v>
      </c>
      <c r="D13">
        <f>Calculation!D6*VLOOKUP(Calculation!D$1,'Capacity by Linetype'!$O$3:$R$12,4,FALSE)</f>
        <v>1751.9427402863</v>
      </c>
      <c r="E13">
        <f>Calculation!E6*VLOOKUP(Calculation!E$1,'Capacity by Linetype'!$O$3:$R$12,4,FALSE)</f>
        <v>23427.381061007</v>
      </c>
      <c r="F13">
        <f>Calculation!F6*AVERAGE(I$16,K$16)</f>
        <v>1287.76825943519</v>
      </c>
      <c r="G13">
        <f>Calculation!G6*VLOOKUP(Calculation!G$1,'Capacity by Linetype'!$O$3:$R$12,4,FALSE)</f>
        <v>11828.0328933131</v>
      </c>
      <c r="H13">
        <f>Calculation!H6*VLOOKUP(Calculation!H$1,'Capacity by Linetype'!$O$3:$R$12,4,FALSE)</f>
        <v>951.004791264768</v>
      </c>
      <c r="I13">
        <f>Calculation!I6*VLOOKUP(Calculation!H$1,'Capacity by Linetype'!$O$3:$R$12,4,FALSE)*0.5</f>
        <v>132.583645395973</v>
      </c>
      <c r="J13" s="15">
        <f t="shared" si="8"/>
        <v>937723.234273183</v>
      </c>
      <c r="K13">
        <f>Calculation!K6*VLOOKUP(Calculation!K$1,'Capacity by Linetype'!$O$3:$R$12,4,FALSE)</f>
        <v>12441.310470215</v>
      </c>
      <c r="L13">
        <f>Calculation!L6*VLOOKUP(Calculation!L$1,'Capacity by Linetype'!$O$3:$R$12,4,FALSE)</f>
        <v>25954.9675690163</v>
      </c>
      <c r="M13">
        <f>Calculation!M6*VLOOKUP(Calculation!M$1,'Capacity by Linetype'!$O$3:$R$12,4,FALSE)</f>
        <v>201320.253679256</v>
      </c>
      <c r="N13">
        <f>Calculation!N6*VLOOKUP(Calculation!N$1,'Capacity by Linetype'!$O$3:$R$12,4,FALSE)</f>
        <v>14102.0002694691</v>
      </c>
      <c r="O13">
        <f>Calculation!O6*VLOOKUP(Calculation!O$1,'Capacity by Linetype'!$O$3:$R$12,4,FALSE)</f>
        <v>224330.794829959</v>
      </c>
      <c r="P13">
        <f>Calculation!P6*VLOOKUP(Calculation!P$1,'Capacity by Linetype'!$O$3:$R$12,4,FALSE)</f>
        <v>279598.159857091</v>
      </c>
      <c r="Q13">
        <f>Calculation!Q6*VLOOKUP(Calculation!Q$1,'Capacity by Linetype'!$O$3:$R$13,4,FALSE)</f>
        <v>179975.747598177</v>
      </c>
      <c r="S13" s="2">
        <f t="shared" si="9"/>
        <v>6060543.95408066</v>
      </c>
      <c r="T13" s="2"/>
      <c r="AD13" t="s">
        <v>133</v>
      </c>
      <c r="AE13">
        <v>800</v>
      </c>
      <c r="AF13" s="13">
        <v>5000</v>
      </c>
      <c r="AG13" s="13">
        <v>3200</v>
      </c>
      <c r="AH13" s="2"/>
      <c r="AL13">
        <v>800</v>
      </c>
      <c r="AM13" s="13">
        <v>3200</v>
      </c>
    </row>
    <row r="14" spans="1:39">
      <c r="A14">
        <v>2020</v>
      </c>
      <c r="B14" s="10">
        <f t="shared" ref="B14" si="10">C14+J14</f>
        <v>1060095.35450849</v>
      </c>
      <c r="C14" s="15">
        <f t="shared" ref="C14" si="11">SUM(D14:I14)</f>
        <v>43521.7549934866</v>
      </c>
      <c r="D14">
        <f>Calculation!D7*VLOOKUP(Calculation!D$1,'Capacity by Linetype'!$O$3:$R$12,4,FALSE)</f>
        <v>1751.9427402863</v>
      </c>
      <c r="E14">
        <f>Calculation!E7*VLOOKUP(Calculation!E$1,'Capacity by Linetype'!$O$3:$R$12,4,FALSE)</f>
        <v>26713.6522072376</v>
      </c>
      <c r="F14">
        <f>Calculation!F7*AVERAGE(I$16,K$16)</f>
        <v>1287.76825943519</v>
      </c>
      <c r="G14">
        <f>Calculation!G7*VLOOKUP(Calculation!G$1,'Capacity by Linetype'!$O$3:$R$12,4,FALSE)</f>
        <v>12732.3826011686</v>
      </c>
      <c r="H14">
        <f>Calculation!H7*VLOOKUP(Calculation!H$1,'Capacity by Linetype'!$O$3:$R$12,4,FALSE)</f>
        <v>951.004791264768</v>
      </c>
      <c r="I14">
        <f>Calculation!I7*VLOOKUP(Calculation!H$1,'Capacity by Linetype'!$O$3:$R$12,4,FALSE)*0.5</f>
        <v>85.0043940941357</v>
      </c>
      <c r="J14" s="15">
        <f t="shared" ref="J14" si="12">SUM(K14:Q14)</f>
        <v>1016573.599515</v>
      </c>
      <c r="K14">
        <f>Calculation!K7*VLOOKUP(Calculation!K$1,'Capacity by Linetype'!$O$3:$R$12,4,FALSE)</f>
        <v>15289.5832590638</v>
      </c>
      <c r="L14">
        <f>Calculation!L7*VLOOKUP(Calculation!L$1,'Capacity by Linetype'!$O$3:$R$12,4,FALSE)</f>
        <v>27952.7054409006</v>
      </c>
      <c r="M14">
        <f>Calculation!M7*VLOOKUP(Calculation!M$1,'Capacity by Linetype'!$O$3:$R$12,4,FALSE)</f>
        <v>208957.901774736</v>
      </c>
      <c r="N14">
        <f>Calculation!N7*VLOOKUP(Calculation!N$1,'Capacity by Linetype'!$O$3:$R$12,4,FALSE)</f>
        <v>15971.1240905416</v>
      </c>
      <c r="O14">
        <f>Calculation!O7*VLOOKUP(Calculation!O$1,'Capacity by Linetype'!$O$3:$R$12,4,FALSE)</f>
        <v>241088.552192907</v>
      </c>
      <c r="P14">
        <f>Calculation!P7*VLOOKUP(Calculation!P$1,'Capacity by Linetype'!$O$3:$R$12,4,FALSE)</f>
        <v>307442.117656087</v>
      </c>
      <c r="Q14">
        <f>Calculation!Q7*VLOOKUP(Calculation!Q$1,'Capacity by Linetype'!$O$3:$R$13,4,FALSE)</f>
        <v>199871.615100767</v>
      </c>
      <c r="S14" s="2">
        <f t="shared" si="9"/>
        <v>6576241.07566936</v>
      </c>
      <c r="AD14" t="s">
        <v>134</v>
      </c>
      <c r="AE14">
        <v>800</v>
      </c>
      <c r="AF14" s="13">
        <v>6400</v>
      </c>
      <c r="AG14" s="13">
        <v>4000</v>
      </c>
      <c r="AH14" s="2">
        <v>2000</v>
      </c>
      <c r="AL14">
        <v>800</v>
      </c>
      <c r="AM14" s="13">
        <v>4000</v>
      </c>
    </row>
    <row r="15" spans="1:39">
      <c r="AD15" t="s">
        <v>135</v>
      </c>
      <c r="AE15">
        <v>800</v>
      </c>
      <c r="AF15" s="13">
        <f>AE15*AG15*2/1000</f>
        <v>5000</v>
      </c>
      <c r="AG15" s="13">
        <v>3125</v>
      </c>
      <c r="AH15" s="2"/>
      <c r="AL15">
        <v>800</v>
      </c>
      <c r="AM15" s="13">
        <v>3125</v>
      </c>
    </row>
    <row r="16" spans="1:39">
      <c r="E16">
        <v>1</v>
      </c>
      <c r="G16">
        <v>1</v>
      </c>
      <c r="I16">
        <f>Calculation!E16*VLOOKUP(Calculation!E$1,'Capacity by Linetype'!$O$3:$R$12,4,FALSE)</f>
        <v>1.06940160957717</v>
      </c>
      <c r="K16">
        <f>Calculation!G16*VLOOKUP(Calculation!G$1,'Capacity by Linetype'!$O$3:$R$12,4,FALSE)</f>
        <v>0.861285436052802</v>
      </c>
    </row>
    <row r="37" spans="1:47">
      <c r="A37" t="s">
        <v>62</v>
      </c>
      <c r="B37">
        <v>2015</v>
      </c>
      <c r="C37">
        <v>2016</v>
      </c>
      <c r="D37">
        <v>2017</v>
      </c>
      <c r="E37">
        <v>2018</v>
      </c>
      <c r="F37">
        <v>2019</v>
      </c>
      <c r="G37">
        <v>2020</v>
      </c>
      <c r="H37">
        <v>2021</v>
      </c>
      <c r="I37">
        <v>2022</v>
      </c>
      <c r="J37">
        <v>2023</v>
      </c>
      <c r="K37">
        <v>2024</v>
      </c>
      <c r="L37">
        <v>2025</v>
      </c>
      <c r="M37">
        <v>2026</v>
      </c>
      <c r="N37">
        <v>2027</v>
      </c>
      <c r="O37">
        <v>2028</v>
      </c>
      <c r="P37">
        <v>2029</v>
      </c>
      <c r="Q37">
        <v>2030</v>
      </c>
      <c r="R37">
        <v>2031</v>
      </c>
      <c r="S37">
        <v>2032</v>
      </c>
      <c r="T37">
        <v>2033</v>
      </c>
      <c r="U37">
        <v>2034</v>
      </c>
      <c r="V37">
        <v>2035</v>
      </c>
      <c r="W37">
        <v>2036</v>
      </c>
      <c r="X37">
        <v>2037</v>
      </c>
      <c r="Y37">
        <v>2038</v>
      </c>
      <c r="Z37">
        <v>2039</v>
      </c>
      <c r="AA37">
        <v>2040</v>
      </c>
      <c r="AB37">
        <v>2041</v>
      </c>
      <c r="AC37">
        <v>2042</v>
      </c>
      <c r="AD37">
        <v>2043</v>
      </c>
      <c r="AE37">
        <v>2044</v>
      </c>
      <c r="AF37">
        <v>2045</v>
      </c>
      <c r="AG37">
        <v>2046</v>
      </c>
      <c r="AH37">
        <v>2047</v>
      </c>
      <c r="AI37">
        <v>2048</v>
      </c>
      <c r="AJ37">
        <v>2049</v>
      </c>
      <c r="AK37">
        <v>2050</v>
      </c>
      <c r="AL37">
        <v>2051</v>
      </c>
      <c r="AM37">
        <v>2052</v>
      </c>
      <c r="AN37">
        <v>2053</v>
      </c>
      <c r="AO37">
        <v>2054</v>
      </c>
      <c r="AP37">
        <v>2055</v>
      </c>
      <c r="AQ37">
        <v>2056</v>
      </c>
      <c r="AR37">
        <v>2057</v>
      </c>
      <c r="AS37">
        <v>2058</v>
      </c>
      <c r="AT37">
        <v>2059</v>
      </c>
      <c r="AU37">
        <v>2060</v>
      </c>
    </row>
    <row r="38" spans="1:47">
      <c r="A38" t="s">
        <v>136</v>
      </c>
      <c r="B38" cm="1">
        <f t="array" ref="B38:G38">TRANSPOSE(S9:S14)</f>
        <v>5071893.05065931</v>
      </c>
      <c r="C38">
        <v>5301387.32387645</v>
      </c>
      <c r="D38">
        <v>5566069.59451967</v>
      </c>
      <c r="E38">
        <v>5812569.87596729</v>
      </c>
      <c r="F38">
        <v>6060543.95408066</v>
      </c>
      <c r="G38">
        <v>6576241.07566936</v>
      </c>
    </row>
    <row r="39" spans="1:47">
      <c r="A39" t="s">
        <v>137</v>
      </c>
      <c r="B39">
        <v>57400</v>
      </c>
      <c r="C39">
        <v>60228</v>
      </c>
      <c r="D39">
        <v>64529</v>
      </c>
      <c r="E39">
        <v>69947</v>
      </c>
      <c r="F39">
        <v>73269</v>
      </c>
      <c r="G39">
        <v>76264</v>
      </c>
    </row>
    <row r="40" spans="1:47">
      <c r="A40" t="s">
        <v>138</v>
      </c>
      <c r="B40">
        <v>152527</v>
      </c>
      <c r="C40">
        <v>165051</v>
      </c>
      <c r="D40">
        <v>178451</v>
      </c>
      <c r="E40">
        <v>190012</v>
      </c>
      <c r="F40">
        <v>201006</v>
      </c>
      <c r="G40">
        <v>220204</v>
      </c>
    </row>
    <row r="41" spans="1:47">
      <c r="A41" t="s">
        <v>139</v>
      </c>
      <c r="H41">
        <f>SUM('BAU Generation'!B2:B49)/10^5</f>
        <v>83927.138262</v>
      </c>
      <c r="I41">
        <f>SUM('BAU Generation'!C2:C49)/10^5</f>
        <v>86271.975222</v>
      </c>
      <c r="J41">
        <f>SUM('BAU Generation'!D2:D49)/10^5</f>
        <v>88548.427152</v>
      </c>
      <c r="K41">
        <f>SUM('BAU Generation'!E2:E49)/10^5</f>
        <v>90708.260652</v>
      </c>
      <c r="L41">
        <f>SUM('BAU Generation'!F2:F49)/10^5</f>
        <v>92785.167052</v>
      </c>
      <c r="M41">
        <f>SUM('BAU Generation'!G2:G49)/10^5</f>
        <v>94890.310552</v>
      </c>
      <c r="N41">
        <f>SUM('BAU Generation'!H2:H49)/10^5</f>
        <v>97245.296652</v>
      </c>
      <c r="O41">
        <f>SUM('BAU Generation'!I2:I49)/10^5</f>
        <v>99523.036352</v>
      </c>
      <c r="P41">
        <f>SUM('BAU Generation'!J2:J49)/10^5</f>
        <v>101620.998952</v>
      </c>
      <c r="Q41">
        <f>SUM('BAU Generation'!K2:K49)/10^5</f>
        <v>104120.514152</v>
      </c>
      <c r="R41">
        <f>SUM('BAU Generation'!L2:L49)/10^5</f>
        <v>106639.480222</v>
      </c>
      <c r="S41">
        <f>SUM('BAU Generation'!M2:M49)/10^5</f>
        <v>108825.136572</v>
      </c>
      <c r="T41">
        <f>SUM('BAU Generation'!N2:N49)/10^5</f>
        <v>111173.148212</v>
      </c>
      <c r="U41">
        <f>SUM('BAU Generation'!O2:O49)/10^5</f>
        <v>113374.954892</v>
      </c>
      <c r="V41">
        <f>SUM('BAU Generation'!P2:P49)/10^5</f>
        <v>115576.342072</v>
      </c>
      <c r="W41">
        <f>SUM('BAU Generation'!Q2:Q49)/10^5</f>
        <v>117655.038542</v>
      </c>
      <c r="X41">
        <f>SUM('BAU Generation'!R2:R49)/10^5</f>
        <v>119629.351912</v>
      </c>
      <c r="Y41">
        <f>SUM('BAU Generation'!S2:S49)/10^5</f>
        <v>121560.109162</v>
      </c>
      <c r="Z41">
        <f>SUM('BAU Generation'!T2:T49)/10^5</f>
        <v>123384.364602</v>
      </c>
      <c r="AA41">
        <f>SUM('BAU Generation'!U2:U49)/10^5</f>
        <v>125231.623352</v>
      </c>
      <c r="AB41">
        <f>SUM('BAU Generation'!V2:V49)/10^5</f>
        <v>126980.927942</v>
      </c>
      <c r="AC41">
        <f>SUM('BAU Generation'!W2:W49)/10^5</f>
        <v>128706.425792</v>
      </c>
      <c r="AD41">
        <f>SUM('BAU Generation'!X2:X49)/10^5</f>
        <v>130442.529092</v>
      </c>
      <c r="AE41">
        <f>SUM('BAU Generation'!Y2:Y49)/10^5</f>
        <v>132099.612812</v>
      </c>
      <c r="AF41">
        <f>SUM('BAU Generation'!Z2:Z49)/10^5</f>
        <v>133631.843582</v>
      </c>
      <c r="AG41">
        <f>SUM('BAU Generation'!AA2:AA49)/10^5</f>
        <v>135145.272772</v>
      </c>
      <c r="AH41">
        <f>SUM('BAU Generation'!AB2:AB49)/10^5</f>
        <v>136638.288182</v>
      </c>
      <c r="AI41">
        <f>SUM('BAU Generation'!AC2:AC49)/10^5</f>
        <v>138084.723082</v>
      </c>
      <c r="AJ41">
        <f>SUM('BAU Generation'!AD2:AD49)/10^5</f>
        <v>139508.478122</v>
      </c>
      <c r="AK41">
        <f>SUM('BAU Generation'!AE2:AE49)/10^5</f>
        <v>140832.505252</v>
      </c>
      <c r="AL41">
        <f>SUM('BAU Generation'!AF2:AF49)/10^5</f>
        <v>142096.907942</v>
      </c>
      <c r="AM41">
        <f>SUM('BAU Generation'!AG2:AG49)/10^5</f>
        <v>143318.970602</v>
      </c>
      <c r="AN41">
        <f>SUM('BAU Generation'!AH2:AH49)/10^5</f>
        <v>144581.836242</v>
      </c>
      <c r="AO41">
        <f>SUM('BAU Generation'!AI2:AI49)/10^5</f>
        <v>145772.751502</v>
      </c>
      <c r="AP41">
        <f>SUM('BAU Generation'!AJ2:AJ49)/10^5</f>
        <v>146908.170782</v>
      </c>
      <c r="AQ41">
        <f>SUM('BAU Generation'!AK2:AK49)/10^5</f>
        <v>148001.084642</v>
      </c>
      <c r="AR41">
        <f>SUM('BAU Generation'!AL2:AL49)/10^5</f>
        <v>149087.775443</v>
      </c>
      <c r="AS41">
        <f>SUM('BAU Generation'!AM2:AM49)/10^5</f>
        <v>150182.589552</v>
      </c>
      <c r="AT41">
        <f>SUM('BAU Generation'!AN2:AN49)/10^5</f>
        <v>151301.093652</v>
      </c>
      <c r="AU41">
        <f>SUM('BAU Generation'!AO2:AO49)/10^5</f>
        <v>152318.851652</v>
      </c>
    </row>
    <row r="42" spans="1:47">
      <c r="A42" t="s">
        <v>140</v>
      </c>
      <c r="H42">
        <f>SUM('BAU Capacity'!B2:B49)/10</f>
        <v>222562</v>
      </c>
      <c r="I42">
        <f>SUM('BAU Capacity'!C2:C49)/10</f>
        <v>234873.6</v>
      </c>
      <c r="J42">
        <f>SUM('BAU Capacity'!D2:D49)/10</f>
        <v>239754</v>
      </c>
      <c r="K42">
        <f>SUM('BAU Capacity'!E2:E49)/10</f>
        <v>245220.7</v>
      </c>
      <c r="L42">
        <f>SUM('BAU Capacity'!F2:F49)/10</f>
        <v>251474.7</v>
      </c>
      <c r="M42">
        <f>SUM('BAU Capacity'!G2:G49)/10</f>
        <v>258434.8</v>
      </c>
      <c r="N42">
        <f>SUM('BAU Capacity'!H2:H49)/10</f>
        <v>266550.6</v>
      </c>
      <c r="O42">
        <f>SUM('BAU Capacity'!I2:I49)/10</f>
        <v>274809.8</v>
      </c>
      <c r="P42">
        <f>SUM('BAU Capacity'!J2:J49)/10</f>
        <v>282539.1</v>
      </c>
      <c r="Q42">
        <f>SUM('BAU Capacity'!K2:K49)/10</f>
        <v>293464.9</v>
      </c>
      <c r="R42">
        <f>SUM('BAU Capacity'!L2:L49)/10</f>
        <v>305120.7</v>
      </c>
      <c r="S42">
        <f>SUM('BAU Capacity'!M2:M49)/10</f>
        <v>315382.6</v>
      </c>
      <c r="T42">
        <f>SUM('BAU Capacity'!N2:N49)/10</f>
        <v>326989</v>
      </c>
      <c r="U42">
        <f>SUM('BAU Capacity'!O2:O49)/10</f>
        <v>337843.4</v>
      </c>
      <c r="V42">
        <f>SUM('BAU Capacity'!P2:P49)/10</f>
        <v>349097.1</v>
      </c>
      <c r="W42">
        <f>SUM('BAU Capacity'!Q2:Q49)/10</f>
        <v>359987.6</v>
      </c>
      <c r="X42">
        <f>SUM('BAU Capacity'!R2:R49)/10</f>
        <v>372610.2</v>
      </c>
      <c r="Y42">
        <f>SUM('BAU Capacity'!S2:S49)/10</f>
        <v>383617.4</v>
      </c>
      <c r="Z42">
        <f>SUM('BAU Capacity'!T2:T49)/10</f>
        <v>394774.3</v>
      </c>
      <c r="AA42">
        <f>SUM('BAU Capacity'!U2:U49)/10</f>
        <v>408625.2</v>
      </c>
      <c r="AB42">
        <f>SUM('BAU Capacity'!V2:V49)/10</f>
        <v>426350.1</v>
      </c>
      <c r="AC42">
        <f>SUM('BAU Capacity'!W2:W49)/10</f>
        <v>451264.3</v>
      </c>
      <c r="AD42">
        <f>SUM('BAU Capacity'!X2:X49)/10</f>
        <v>476081.5</v>
      </c>
      <c r="AE42">
        <f>SUM('BAU Capacity'!Y2:Y49)/10</f>
        <v>501773.9</v>
      </c>
      <c r="AF42">
        <f>SUM('BAU Capacity'!Z2:Z49)/10</f>
        <v>525633.2</v>
      </c>
      <c r="AG42">
        <f>SUM('BAU Capacity'!AA2:AA49)/10</f>
        <v>550005.3</v>
      </c>
      <c r="AH42">
        <f>SUM('BAU Capacity'!AB2:AB49)/10</f>
        <v>572583.9</v>
      </c>
      <c r="AI42">
        <f>SUM('BAU Capacity'!AC2:AC49)/10</f>
        <v>592669.9</v>
      </c>
      <c r="AJ42">
        <f>SUM('BAU Capacity'!AD2:AD49)/10</f>
        <v>612680.2</v>
      </c>
      <c r="AK42">
        <f>SUM('BAU Capacity'!AE2:AE49)/10</f>
        <v>635721.2</v>
      </c>
      <c r="AL42">
        <f>SUM('BAU Capacity'!AF2:AF49)/10</f>
        <v>653328</v>
      </c>
      <c r="AM42">
        <f>SUM('BAU Capacity'!AG2:AG49)/10</f>
        <v>672075.9</v>
      </c>
      <c r="AN42">
        <f>SUM('BAU Capacity'!AH2:AH49)/10</f>
        <v>689271.8</v>
      </c>
      <c r="AO42">
        <f>SUM('BAU Capacity'!AI2:AI49)/10</f>
        <v>705738.2</v>
      </c>
      <c r="AP42">
        <f>SUM('BAU Capacity'!AJ2:AJ49)/10</f>
        <v>723078.6</v>
      </c>
      <c r="AQ42">
        <f>SUM('BAU Capacity'!AK2:AK49)/10</f>
        <v>737651.5</v>
      </c>
      <c r="AR42">
        <f>SUM('BAU Capacity'!AL2:AL49)/10</f>
        <v>752955.8</v>
      </c>
      <c r="AS42">
        <f>SUM('BAU Capacity'!AM2:AM49)/10</f>
        <v>766602.5</v>
      </c>
      <c r="AT42">
        <f>SUM('BAU Capacity'!AN2:AN49)/10</f>
        <v>779414.9</v>
      </c>
      <c r="AU42">
        <f>SUM('BAU Capacity'!AO2:AO49)/10</f>
        <v>790553.6</v>
      </c>
    </row>
    <row r="43" spans="1:47">
      <c r="A43" t="s">
        <v>141</v>
      </c>
      <c r="H43" s="16" cm="1">
        <f t="array" ref="H43">FORECAST(H41,$B38:$G38,$B39:$G39)</f>
        <v>6940593.95344679</v>
      </c>
      <c r="I43" s="16" cm="1">
        <f t="array" ref="I43">FORECAST(I41,$B38:$G38,$B39:$G39)</f>
        <v>7107494.34790914</v>
      </c>
      <c r="J43" s="16" cm="1">
        <f t="array" ref="J43">FORECAST(J41,$B38:$G38,$B39:$G39)</f>
        <v>7269527.24468314</v>
      </c>
      <c r="K43" s="16" cm="1">
        <f t="array" ref="K43">FORECAST(K41,$B38:$G38,$B39:$G39)</f>
        <v>7423259.49527125</v>
      </c>
      <c r="L43" s="16" cm="1">
        <f t="array" ref="L43">FORECAST(L41,$B38:$G38,$B39:$G39)</f>
        <v>7571089.17525947</v>
      </c>
      <c r="M43" s="16" cm="1">
        <f t="array" ref="M43">FORECAST(M41,$B38:$G38,$B39:$G39)</f>
        <v>7720928.71060603</v>
      </c>
      <c r="N43" s="16" cm="1">
        <f t="array" ref="N43">FORECAST(N41,$B38:$G38,$B39:$G39)</f>
        <v>7888551.49877776</v>
      </c>
      <c r="O43" s="16" cm="1">
        <f t="array" ref="O43">FORECAST(O41,$B38:$G38,$B39:$G39)</f>
        <v>8050676.05621929</v>
      </c>
      <c r="P43" s="16" cm="1">
        <f t="array" ref="P43">FORECAST(P41,$B38:$G38,$B39:$G39)</f>
        <v>8200004.47072331</v>
      </c>
      <c r="Q43" s="16" cm="1">
        <f t="array" ref="Q43">FORECAST(Q41,$B38:$G38,$B39:$G39)</f>
        <v>8377914.52586191</v>
      </c>
      <c r="R43" s="16" cm="1">
        <f t="array" ref="R43">FORECAST(R41,$B38:$G38,$B39:$G39)</f>
        <v>8557209.05161872</v>
      </c>
      <c r="S43" s="16" cm="1">
        <f t="array" ref="S43">FORECAST(S41,$B38:$G38,$B39:$G39)</f>
        <v>8712779.3165015</v>
      </c>
      <c r="T43" s="16" cm="1">
        <f t="array" ref="T43">FORECAST(T41,$B38:$G38,$B39:$G39)</f>
        <v>8879905.67778086</v>
      </c>
      <c r="U43" s="16" cm="1">
        <f t="array" ref="U43">FORECAST(U41,$B38:$G38,$B39:$G39)</f>
        <v>9036625.4880238</v>
      </c>
      <c r="V43" s="16" cm="1">
        <f t="array" ref="V43">FORECAST(V41,$B38:$G38,$B39:$G39)</f>
        <v>9193315.4391692</v>
      </c>
      <c r="W43" s="16" cm="1">
        <f t="array" ref="W43">FORECAST(W41,$B38:$G38,$B39:$G39)</f>
        <v>9341272.53244637</v>
      </c>
      <c r="X43" s="16" cm="1">
        <f t="array" ref="X43">FORECAST(X41,$B38:$G38,$B39:$G39)</f>
        <v>9481799.86371347</v>
      </c>
      <c r="Y43" s="16" cm="1">
        <f t="array" ref="Y43">FORECAST(Y41,$B38:$G38,$B39:$G39)</f>
        <v>9619226.96509967</v>
      </c>
      <c r="Z43" s="16" cm="1">
        <f t="array" ref="Z43">FORECAST(Z41,$B38:$G38,$B39:$G39)</f>
        <v>9749073.4993065</v>
      </c>
      <c r="AA43" s="16" cm="1">
        <f t="array" ref="AA43">FORECAST(AA41,$B38:$G38,$B39:$G39)</f>
        <v>9880557.35908369</v>
      </c>
      <c r="AB43" s="16" cm="1">
        <f t="array" ref="AB43">FORECAST(AB41,$B38:$G38,$B39:$G39)</f>
        <v>10005069.0548162</v>
      </c>
      <c r="AC43" s="16" cm="1">
        <f t="array" ref="AC43">FORECAST(AC41,$B38:$G38,$B39:$G39)</f>
        <v>10127886.2385784</v>
      </c>
      <c r="AD43" s="16" cm="1">
        <f t="array" ref="AD43">FORECAST(AD41,$B38:$G38,$B39:$G39)</f>
        <v>10251458.2952034</v>
      </c>
      <c r="AE43" s="16" cm="1">
        <f t="array" ref="AE43">FORECAST(AE41,$B38:$G38,$B39:$G39)</f>
        <v>10369405.9100026</v>
      </c>
      <c r="AF43" s="16" cm="1">
        <f t="array" ref="AF43">FORECAST(AF41,$B38:$G38,$B39:$G39)</f>
        <v>10478466.7633936</v>
      </c>
      <c r="AG43" s="16" cm="1">
        <f t="array" ref="AG43">FORECAST(AG41,$B38:$G38,$B39:$G39)</f>
        <v>10586189.3612163</v>
      </c>
      <c r="AH43" s="16" cm="1">
        <f t="array" ref="AH43">FORECAST(AH41,$B38:$G38,$B39:$G39)</f>
        <v>10692458.9505814</v>
      </c>
      <c r="AI43" s="16" cm="1">
        <f t="array" ref="AI43">FORECAST(AI41,$B38:$G38,$B39:$G39)</f>
        <v>10795413.0405639</v>
      </c>
      <c r="AJ43" s="16" cm="1">
        <f t="array" ref="AJ43">FORECAST(AJ41,$B38:$G38,$B39:$G39)</f>
        <v>10896752.8274435</v>
      </c>
      <c r="AK43" s="16" cm="1">
        <f t="array" ref="AK43">FORECAST(AK41,$B38:$G38,$B39:$G39)</f>
        <v>10990994.1986115</v>
      </c>
      <c r="AL43" s="16" cm="1">
        <f t="array" ref="AL43">FORECAST(AL41,$B38:$G38,$B39:$G39)</f>
        <v>11080991.6318319</v>
      </c>
      <c r="AM43" s="16" cm="1">
        <f t="array" ref="AM43">FORECAST(AM41,$B38:$G38,$B39:$G39)</f>
        <v>11167975.3938123</v>
      </c>
      <c r="AN43" s="16" cm="1">
        <f t="array" ref="AN43">FORECAST(AN41,$B38:$G38,$B39:$G39)</f>
        <v>11257863.423157</v>
      </c>
      <c r="AO43" s="16" cm="1">
        <f t="array" ref="AO43">FORECAST(AO41,$B38:$G38,$B39:$G39)</f>
        <v>11342630.1809555</v>
      </c>
      <c r="AP43" s="16" cm="1">
        <f t="array" ref="AP43">FORECAST(AP41,$B38:$G38,$B39:$G39)</f>
        <v>11423446.8556091</v>
      </c>
      <c r="AQ43" s="16" cm="1">
        <f t="array" ref="AQ43">FORECAST(AQ41,$B38:$G38,$B39:$G39)</f>
        <v>11501238.0869224</v>
      </c>
      <c r="AR43" s="16" cm="1">
        <f t="array" ref="AR43">FORECAST(AR41,$B38:$G38,$B39:$G39)</f>
        <v>11578586.3744322</v>
      </c>
      <c r="AS43" s="16" cm="1">
        <f t="array" ref="AS43">FORECAST(AS41,$B38:$G38,$B39:$G39)</f>
        <v>11656512.861336</v>
      </c>
      <c r="AT43" s="16" cm="1">
        <f t="array" ref="AT43">FORECAST(AT41,$B38:$G38,$B39:$G39)</f>
        <v>11736125.5502701</v>
      </c>
      <c r="AU43" s="16" cm="1">
        <f t="array" ref="AU43">FORECAST(AU41,$B38:$G38,$B39:$G39)</f>
        <v>11808567.3509432</v>
      </c>
    </row>
    <row r="44" spans="1:47">
      <c r="A44" t="s">
        <v>142</v>
      </c>
      <c r="H44" s="16" cm="1">
        <f t="array" ref="H44">FORECAST(H42,$B38:$G38,$B40:$G40)</f>
        <v>6570043.2609911</v>
      </c>
      <c r="I44" s="16" cm="1">
        <f t="array" ref="I44">FORECAST(I42,$B38:$G38,$B40:$G40)</f>
        <v>6841594.27442632</v>
      </c>
      <c r="J44" s="16" cm="1">
        <f t="array" ref="J44">FORECAST(J42,$B38:$G38,$B40:$G40)</f>
        <v>6949238.89949287</v>
      </c>
      <c r="K44" s="16" cm="1">
        <f t="array" ref="K44">FORECAST(K42,$B38:$G38,$B40:$G40)</f>
        <v>7069815.26041641</v>
      </c>
      <c r="L44" s="16" cm="1">
        <f t="array" ref="L44">FORECAST(L42,$B38:$G38,$B40:$G40)</f>
        <v>7207756.71709336</v>
      </c>
      <c r="M44" s="16" cm="1">
        <f t="array" ref="M44">FORECAST(M42,$B38:$G38,$B40:$G40)</f>
        <v>7361272.28035163</v>
      </c>
      <c r="N44" s="16" cm="1">
        <f t="array" ref="N44">FORECAST(N42,$B38:$G38,$B40:$G40)</f>
        <v>7540278.56018833</v>
      </c>
      <c r="O44" s="16" cm="1">
        <f t="array" ref="O44">FORECAST(O42,$B38:$G38,$B40:$G40)</f>
        <v>7722447.74454814</v>
      </c>
      <c r="P44" s="16" cm="1">
        <f t="array" ref="P44">FORECAST(P42,$B38:$G38,$B40:$G40)</f>
        <v>7892929.18060396</v>
      </c>
      <c r="Q44" s="16" cm="1">
        <f t="array" ref="Q44">FORECAST(Q42,$B38:$G38,$B40:$G40)</f>
        <v>8133914.27292263</v>
      </c>
      <c r="R44" s="16" cm="1">
        <f t="array" ref="R44">FORECAST(R42,$B38:$G38,$B40:$G40)</f>
        <v>8391000.62257647</v>
      </c>
      <c r="S44" s="16" cm="1">
        <f t="array" ref="S44">FORECAST(S42,$B38:$G38,$B40:$G40)</f>
        <v>8617342.39332689</v>
      </c>
      <c r="T44" s="16" cm="1">
        <f t="array" ref="T44">FORECAST(T42,$B38:$G38,$B40:$G40)</f>
        <v>8873339.151046</v>
      </c>
      <c r="U44" s="16" cm="1">
        <f t="array" ref="U44">FORECAST(U42,$B38:$G38,$B40:$G40)</f>
        <v>9112749.40805819</v>
      </c>
      <c r="V44" s="16" cm="1">
        <f t="array" ref="V44">FORECAST(V42,$B38:$G38,$B40:$G40)</f>
        <v>9360966.83226755</v>
      </c>
      <c r="W44" s="16" cm="1">
        <f t="array" ref="W44">FORECAST(W42,$B38:$G38,$B40:$G40)</f>
        <v>9601173.32953974</v>
      </c>
      <c r="X44" s="16" cm="1">
        <f t="array" ref="X44">FORECAST(X42,$B38:$G38,$B40:$G40)</f>
        <v>9879583.91973008</v>
      </c>
      <c r="Y44" s="16" cm="1">
        <f t="array" ref="Y44">FORECAST(Y42,$B38:$G38,$B40:$G40)</f>
        <v>10122364.4125242</v>
      </c>
      <c r="Z44" s="16" cm="1">
        <f t="array" ref="Z44">FORECAST(Z42,$B38:$G38,$B40:$G40)</f>
        <v>10368446.7658979</v>
      </c>
      <c r="AA44" s="16" cm="1">
        <f t="array" ref="AA44">FORECAST(AA42,$B38:$G38,$B40:$G40)</f>
        <v>10673949.3757934</v>
      </c>
      <c r="AB44" s="16" cm="1">
        <f t="array" ref="AB44">FORECAST(AB42,$B38:$G38,$B40:$G40)</f>
        <v>11064898.9321499</v>
      </c>
      <c r="AC44" s="16" cm="1">
        <f t="array" ref="AC44">FORECAST(AC42,$B38:$G38,$B40:$G40)</f>
        <v>11614419.4054375</v>
      </c>
      <c r="AD44" s="16" cm="1">
        <f t="array" ref="AD44">FORECAST(AD42,$B38:$G38,$B40:$G40)</f>
        <v>12161800.396586</v>
      </c>
      <c r="AE44" s="16" cm="1">
        <f t="array" ref="AE44">FORECAST(AE42,$B38:$G38,$B40:$G40)</f>
        <v>12728485.2513233</v>
      </c>
      <c r="AF44" s="16" cm="1">
        <f t="array" ref="AF44">FORECAST(AF42,$B38:$G38,$B40:$G40)</f>
        <v>13254738.3049357</v>
      </c>
      <c r="AG44" s="16" cm="1">
        <f t="array" ref="AG44">FORECAST(AG42,$B38:$G38,$B40:$G40)</f>
        <v>13792301.9404132</v>
      </c>
      <c r="AH44" s="16" cm="1">
        <f t="array" ref="AH44">FORECAST(AH42,$B38:$G38,$B40:$G40)</f>
        <v>14290307.212835</v>
      </c>
      <c r="AI44" s="16" cm="1">
        <f t="array" ref="AI44">FORECAST(AI42,$B38:$G38,$B40:$G40)</f>
        <v>14733334.4112382</v>
      </c>
      <c r="AJ44" s="16" cm="1">
        <f t="array" ref="AJ44">FORECAST(AJ42,$B38:$G38,$B40:$G40)</f>
        <v>15174691.9313121</v>
      </c>
      <c r="AK44" s="16" cm="1">
        <f t="array" ref="AK44">FORECAST(AK42,$B38:$G38,$B40:$G40)</f>
        <v>15682896.1371474</v>
      </c>
      <c r="AL44" s="16" cm="1">
        <f t="array" ref="AL44">FORECAST(AL42,$B38:$G38,$B40:$G40)</f>
        <v>16071240.8188582</v>
      </c>
      <c r="AM44" s="16" cm="1">
        <f t="array" ref="AM44">FORECAST(AM42,$B38:$G38,$B40:$G40)</f>
        <v>16484754.1920008</v>
      </c>
      <c r="AN44" s="16" cm="1">
        <f t="array" ref="AN44">FORECAST(AN42,$B38:$G38,$B40:$G40)</f>
        <v>16864035.8509185</v>
      </c>
      <c r="AO44" s="16" cm="1">
        <f t="array" ref="AO44">FORECAST(AO42,$B38:$G38,$B40:$G40)</f>
        <v>17227227.2807594</v>
      </c>
      <c r="AP44" s="16" cm="1">
        <f t="array" ref="AP44">FORECAST(AP42,$B38:$G38,$B40:$G40)</f>
        <v>17609696.1063688</v>
      </c>
      <c r="AQ44" s="16" cm="1">
        <f t="array" ref="AQ44">FORECAST(AQ42,$B38:$G38,$B40:$G40)</f>
        <v>17931123.5214643</v>
      </c>
      <c r="AR44" s="16" cm="1">
        <f t="array" ref="AR44">FORECAST(AR42,$B38:$G38,$B40:$G40)</f>
        <v>18268683.0730186</v>
      </c>
      <c r="AS44" s="16" cm="1">
        <f t="array" ref="AS44">FORECAST(AS42,$B38:$G38,$B40:$G40)</f>
        <v>18569681.7421637</v>
      </c>
      <c r="AT44" s="16" cm="1">
        <f t="array" ref="AT44">FORECAST(AT42,$B38:$G38,$B40:$G40)</f>
        <v>18852278.6592612</v>
      </c>
      <c r="AU44" s="16" cm="1">
        <f t="array" ref="AU44">FORECAST(AU42,$B38:$G38,$B40:$G40)</f>
        <v>19097959.5840273</v>
      </c>
    </row>
    <row r="45" spans="1:47">
      <c r="X45"/>
      <c r="AA45"/>
    </row>
    <row r="46" spans="1:47">
      <c r="A46" t="s">
        <v>62</v>
      </c>
      <c r="B46">
        <v>2015</v>
      </c>
      <c r="C46">
        <v>2016</v>
      </c>
      <c r="D46">
        <v>2017</v>
      </c>
      <c r="E46">
        <v>2018</v>
      </c>
      <c r="F46">
        <v>2019</v>
      </c>
      <c r="G46">
        <v>2020</v>
      </c>
      <c r="H46">
        <v>2021</v>
      </c>
      <c r="I46">
        <v>2022</v>
      </c>
      <c r="J46">
        <v>2023</v>
      </c>
      <c r="K46">
        <v>2024</v>
      </c>
      <c r="L46">
        <v>2025</v>
      </c>
      <c r="M46">
        <v>2026</v>
      </c>
      <c r="N46">
        <v>2027</v>
      </c>
      <c r="O46">
        <v>2028</v>
      </c>
      <c r="P46">
        <v>2029</v>
      </c>
      <c r="Q46">
        <v>2030</v>
      </c>
      <c r="R46">
        <v>2031</v>
      </c>
      <c r="S46">
        <v>2032</v>
      </c>
      <c r="T46">
        <v>2033</v>
      </c>
      <c r="U46">
        <v>2034</v>
      </c>
      <c r="V46">
        <v>2035</v>
      </c>
      <c r="W46">
        <v>2036</v>
      </c>
      <c r="X46">
        <v>2037</v>
      </c>
      <c r="Y46">
        <v>2038</v>
      </c>
      <c r="Z46">
        <v>2039</v>
      </c>
      <c r="AA46">
        <v>2040</v>
      </c>
      <c r="AB46">
        <v>2041</v>
      </c>
      <c r="AC46">
        <v>2042</v>
      </c>
      <c r="AD46">
        <v>2043</v>
      </c>
      <c r="AE46">
        <v>2044</v>
      </c>
      <c r="AF46">
        <v>2045</v>
      </c>
      <c r="AG46">
        <v>2046</v>
      </c>
      <c r="AH46">
        <v>2047</v>
      </c>
      <c r="AI46">
        <v>2048</v>
      </c>
      <c r="AJ46">
        <v>2049</v>
      </c>
      <c r="AK46">
        <v>2050</v>
      </c>
      <c r="AL46">
        <v>2051</v>
      </c>
      <c r="AM46">
        <v>2052</v>
      </c>
      <c r="AN46">
        <v>2053</v>
      </c>
      <c r="AO46">
        <v>2054</v>
      </c>
      <c r="AP46">
        <v>2055</v>
      </c>
      <c r="AQ46">
        <v>2056</v>
      </c>
      <c r="AR46">
        <v>2057</v>
      </c>
      <c r="AS46">
        <v>2058</v>
      </c>
      <c r="AT46">
        <v>2059</v>
      </c>
      <c r="AU46">
        <v>2060</v>
      </c>
    </row>
    <row r="47" spans="1:47">
      <c r="A47" t="s">
        <v>136</v>
      </c>
      <c r="B47">
        <f>B38</f>
        <v>5071893.05065931</v>
      </c>
      <c r="C47">
        <f t="shared" ref="C47:G47" si="13">C38</f>
        <v>5301387.32387645</v>
      </c>
      <c r="D47">
        <f t="shared" si="13"/>
        <v>5566069.59451967</v>
      </c>
      <c r="E47">
        <f t="shared" si="13"/>
        <v>5812569.87596729</v>
      </c>
      <c r="F47">
        <f t="shared" si="13"/>
        <v>6060543.95408066</v>
      </c>
      <c r="G47">
        <f t="shared" si="13"/>
        <v>6576241.07566936</v>
      </c>
    </row>
    <row r="48" spans="1:47">
      <c r="A48" t="s">
        <v>141</v>
      </c>
      <c r="G48">
        <f>MAX($G$38,G43)</f>
        <v>6576241.07566936</v>
      </c>
      <c r="H48">
        <f>MAX($G$38,H43)</f>
        <v>6940593.95344679</v>
      </c>
      <c r="I48">
        <f t="shared" ref="I48:AU48" si="14">MAX($G$38,I43)</f>
        <v>7107494.34790914</v>
      </c>
      <c r="J48">
        <f t="shared" si="14"/>
        <v>7269527.24468314</v>
      </c>
      <c r="K48">
        <f t="shared" si="14"/>
        <v>7423259.49527125</v>
      </c>
      <c r="L48">
        <f t="shared" si="14"/>
        <v>7571089.17525947</v>
      </c>
      <c r="M48">
        <f t="shared" si="14"/>
        <v>7720928.71060603</v>
      </c>
      <c r="N48">
        <f t="shared" si="14"/>
        <v>7888551.49877776</v>
      </c>
      <c r="O48">
        <f t="shared" si="14"/>
        <v>8050676.05621929</v>
      </c>
      <c r="P48">
        <f t="shared" si="14"/>
        <v>8200004.47072331</v>
      </c>
      <c r="Q48">
        <f t="shared" si="14"/>
        <v>8377914.52586191</v>
      </c>
      <c r="R48">
        <f t="shared" si="14"/>
        <v>8557209.05161872</v>
      </c>
      <c r="S48">
        <f t="shared" si="14"/>
        <v>8712779.3165015</v>
      </c>
      <c r="T48">
        <f t="shared" si="14"/>
        <v>8879905.67778086</v>
      </c>
      <c r="U48">
        <f t="shared" si="14"/>
        <v>9036625.4880238</v>
      </c>
      <c r="V48">
        <f t="shared" si="14"/>
        <v>9193315.4391692</v>
      </c>
      <c r="W48">
        <f t="shared" si="14"/>
        <v>9341272.53244637</v>
      </c>
      <c r="X48">
        <f t="shared" si="14"/>
        <v>9481799.86371347</v>
      </c>
      <c r="Y48">
        <f t="shared" si="14"/>
        <v>9619226.96509967</v>
      </c>
      <c r="Z48">
        <f t="shared" si="14"/>
        <v>9749073.4993065</v>
      </c>
      <c r="AA48">
        <f t="shared" si="14"/>
        <v>9880557.35908369</v>
      </c>
      <c r="AB48">
        <f t="shared" si="14"/>
        <v>10005069.0548162</v>
      </c>
      <c r="AC48">
        <f t="shared" si="14"/>
        <v>10127886.2385784</v>
      </c>
      <c r="AD48">
        <f t="shared" si="14"/>
        <v>10251458.2952034</v>
      </c>
      <c r="AE48">
        <f t="shared" si="14"/>
        <v>10369405.9100026</v>
      </c>
      <c r="AF48">
        <f t="shared" si="14"/>
        <v>10478466.7633936</v>
      </c>
      <c r="AG48">
        <f t="shared" si="14"/>
        <v>10586189.3612163</v>
      </c>
      <c r="AH48">
        <f t="shared" si="14"/>
        <v>10692458.9505814</v>
      </c>
      <c r="AI48">
        <f t="shared" si="14"/>
        <v>10795413.0405639</v>
      </c>
      <c r="AJ48">
        <f t="shared" si="14"/>
        <v>10896752.8274435</v>
      </c>
      <c r="AK48">
        <f t="shared" si="14"/>
        <v>10990994.1986115</v>
      </c>
      <c r="AL48">
        <f t="shared" si="14"/>
        <v>11080991.6318319</v>
      </c>
      <c r="AM48">
        <f t="shared" si="14"/>
        <v>11167975.3938123</v>
      </c>
      <c r="AN48">
        <f t="shared" si="14"/>
        <v>11257863.423157</v>
      </c>
      <c r="AO48">
        <f t="shared" si="14"/>
        <v>11342630.1809555</v>
      </c>
      <c r="AP48">
        <f t="shared" si="14"/>
        <v>11423446.8556091</v>
      </c>
      <c r="AQ48">
        <f t="shared" si="14"/>
        <v>11501238.0869224</v>
      </c>
      <c r="AR48">
        <f t="shared" si="14"/>
        <v>11578586.3744322</v>
      </c>
      <c r="AS48">
        <f t="shared" si="14"/>
        <v>11656512.861336</v>
      </c>
      <c r="AT48">
        <f t="shared" si="14"/>
        <v>11736125.5502701</v>
      </c>
      <c r="AU48">
        <f t="shared" si="14"/>
        <v>11808567.3509432</v>
      </c>
    </row>
    <row r="49" spans="1:47">
      <c r="A49" t="s">
        <v>142</v>
      </c>
      <c r="G49">
        <f>MAX($G$38,G44)</f>
        <v>6576241.07566936</v>
      </c>
      <c r="H49">
        <f>MAX($G$38,H44)</f>
        <v>6576241.07566936</v>
      </c>
      <c r="I49">
        <f t="shared" ref="I49:AU49" si="15">MAX($G$38,I44)</f>
        <v>6841594.27442632</v>
      </c>
      <c r="J49">
        <f t="shared" si="15"/>
        <v>6949238.89949287</v>
      </c>
      <c r="K49">
        <f t="shared" si="15"/>
        <v>7069815.26041641</v>
      </c>
      <c r="L49">
        <f t="shared" si="15"/>
        <v>7207756.71709336</v>
      </c>
      <c r="M49">
        <f t="shared" si="15"/>
        <v>7361272.28035163</v>
      </c>
      <c r="N49">
        <f t="shared" si="15"/>
        <v>7540278.56018833</v>
      </c>
      <c r="O49">
        <f t="shared" si="15"/>
        <v>7722447.74454814</v>
      </c>
      <c r="P49">
        <f t="shared" si="15"/>
        <v>7892929.18060396</v>
      </c>
      <c r="Q49">
        <f t="shared" si="15"/>
        <v>8133914.27292263</v>
      </c>
      <c r="R49">
        <f t="shared" si="15"/>
        <v>8391000.62257647</v>
      </c>
      <c r="S49">
        <f t="shared" si="15"/>
        <v>8617342.39332689</v>
      </c>
      <c r="T49">
        <f t="shared" si="15"/>
        <v>8873339.151046</v>
      </c>
      <c r="U49">
        <f t="shared" si="15"/>
        <v>9112749.40805819</v>
      </c>
      <c r="V49">
        <f t="shared" si="15"/>
        <v>9360966.83226755</v>
      </c>
      <c r="W49">
        <f t="shared" si="15"/>
        <v>9601173.32953974</v>
      </c>
      <c r="X49">
        <f t="shared" si="15"/>
        <v>9879583.91973008</v>
      </c>
      <c r="Y49">
        <f t="shared" si="15"/>
        <v>10122364.4125242</v>
      </c>
      <c r="Z49">
        <f t="shared" si="15"/>
        <v>10368446.7658979</v>
      </c>
      <c r="AA49">
        <f t="shared" si="15"/>
        <v>10673949.3757934</v>
      </c>
      <c r="AB49">
        <f t="shared" si="15"/>
        <v>11064898.9321499</v>
      </c>
      <c r="AC49">
        <f t="shared" si="15"/>
        <v>11614419.4054375</v>
      </c>
      <c r="AD49">
        <f t="shared" si="15"/>
        <v>12161800.396586</v>
      </c>
      <c r="AE49">
        <f t="shared" si="15"/>
        <v>12728485.2513233</v>
      </c>
      <c r="AF49">
        <f t="shared" si="15"/>
        <v>13254738.3049357</v>
      </c>
      <c r="AG49">
        <f t="shared" si="15"/>
        <v>13792301.9404132</v>
      </c>
      <c r="AH49">
        <f t="shared" si="15"/>
        <v>14290307.212835</v>
      </c>
      <c r="AI49">
        <f t="shared" si="15"/>
        <v>14733334.4112382</v>
      </c>
      <c r="AJ49">
        <f t="shared" si="15"/>
        <v>15174691.9313121</v>
      </c>
      <c r="AK49">
        <f t="shared" si="15"/>
        <v>15682896.1371474</v>
      </c>
      <c r="AL49">
        <f t="shared" si="15"/>
        <v>16071240.8188582</v>
      </c>
      <c r="AM49">
        <f t="shared" si="15"/>
        <v>16484754.1920008</v>
      </c>
      <c r="AN49">
        <f t="shared" si="15"/>
        <v>16864035.8509185</v>
      </c>
      <c r="AO49">
        <f t="shared" si="15"/>
        <v>17227227.2807594</v>
      </c>
      <c r="AP49">
        <f t="shared" si="15"/>
        <v>17609696.1063688</v>
      </c>
      <c r="AQ49">
        <f t="shared" si="15"/>
        <v>17931123.5214643</v>
      </c>
      <c r="AR49">
        <f t="shared" si="15"/>
        <v>18268683.0730186</v>
      </c>
      <c r="AS49">
        <f t="shared" si="15"/>
        <v>18569681.7421637</v>
      </c>
      <c r="AT49">
        <f t="shared" si="15"/>
        <v>18852278.6592612</v>
      </c>
      <c r="AU49">
        <f t="shared" si="15"/>
        <v>19097959.5840273</v>
      </c>
    </row>
  </sheetData>
  <autoFilter xmlns:etc="http://www.wps.cn/officeDocument/2017/etCustomData" ref="AD1:AH15" etc:filterBottomFollowUsedRange="0">
    <sortState ref="AD1:AH15">
      <sortCondition ref="AE1"/>
    </sortState>
    <extLst/>
  </autoFilter>
  <dataValidations count="1">
    <dataValidation type="list" allowBlank="1" showInputMessage="1" showErrorMessage="1" sqref="A1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9"/>
  <sheetViews>
    <sheetView workbookViewId="0">
      <selection activeCell="A1" sqref="A1:AO49"/>
    </sheetView>
  </sheetViews>
  <sheetFormatPr defaultColWidth="9" defaultRowHeight="13.85"/>
  <cols>
    <col min="1" max="1" width="89.6283185840708" customWidth="1"/>
  </cols>
  <sheetData>
    <row r="1" spans="1:41">
      <c r="A1" t="s">
        <v>143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</row>
    <row r="2" spans="1:41">
      <c r="A2" t="s">
        <v>144</v>
      </c>
      <c r="B2" s="1">
        <v>1036580</v>
      </c>
      <c r="C2" s="1">
        <v>1027810</v>
      </c>
      <c r="D2" s="1">
        <v>1015160</v>
      </c>
      <c r="E2" s="1">
        <v>1002520</v>
      </c>
      <c r="F2">
        <v>989880</v>
      </c>
      <c r="G2">
        <v>977238</v>
      </c>
      <c r="H2">
        <v>964596</v>
      </c>
      <c r="I2">
        <v>953502</v>
      </c>
      <c r="J2">
        <v>942924</v>
      </c>
      <c r="K2">
        <v>928734</v>
      </c>
      <c r="L2">
        <v>911706</v>
      </c>
      <c r="M2">
        <v>898290</v>
      </c>
      <c r="N2">
        <v>880746</v>
      </c>
      <c r="O2">
        <v>866556</v>
      </c>
      <c r="P2">
        <v>851592</v>
      </c>
      <c r="Q2">
        <v>835854</v>
      </c>
      <c r="R2">
        <v>798960</v>
      </c>
      <c r="S2">
        <v>778320</v>
      </c>
      <c r="T2">
        <v>752520</v>
      </c>
      <c r="U2">
        <v>703500</v>
      </c>
      <c r="V2">
        <v>616038</v>
      </c>
      <c r="W2">
        <v>551538</v>
      </c>
      <c r="X2">
        <v>491166</v>
      </c>
      <c r="Y2">
        <v>427956</v>
      </c>
      <c r="Z2">
        <v>372486</v>
      </c>
      <c r="AA2">
        <v>315984</v>
      </c>
      <c r="AB2">
        <v>268254</v>
      </c>
      <c r="AC2">
        <v>233940</v>
      </c>
      <c r="AD2">
        <v>199110</v>
      </c>
      <c r="AE2">
        <v>145188</v>
      </c>
      <c r="AF2">
        <v>107004</v>
      </c>
      <c r="AG2">
        <v>72174</v>
      </c>
      <c r="AH2">
        <v>41730</v>
      </c>
      <c r="AI2">
        <v>10770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145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146</v>
      </c>
      <c r="B4">
        <v>29412</v>
      </c>
      <c r="C4">
        <v>55986</v>
      </c>
      <c r="D4">
        <v>79722</v>
      </c>
      <c r="E4">
        <v>101136</v>
      </c>
      <c r="F4">
        <v>120228</v>
      </c>
      <c r="G4">
        <v>136998</v>
      </c>
      <c r="H4">
        <v>151446</v>
      </c>
      <c r="I4">
        <v>163572</v>
      </c>
      <c r="J4">
        <v>173376</v>
      </c>
      <c r="K4">
        <v>180858</v>
      </c>
      <c r="L4">
        <v>186018</v>
      </c>
      <c r="M4">
        <v>188598</v>
      </c>
      <c r="N4">
        <v>188856</v>
      </c>
      <c r="O4">
        <v>189114</v>
      </c>
      <c r="P4">
        <v>189372</v>
      </c>
      <c r="Q4">
        <v>189630</v>
      </c>
      <c r="R4">
        <v>189888</v>
      </c>
      <c r="S4">
        <v>190146</v>
      </c>
      <c r="T4">
        <v>190404</v>
      </c>
      <c r="U4">
        <v>190662</v>
      </c>
      <c r="V4">
        <v>191178</v>
      </c>
      <c r="W4">
        <v>192210</v>
      </c>
      <c r="X4">
        <v>193242</v>
      </c>
      <c r="Y4">
        <v>194274</v>
      </c>
      <c r="Z4">
        <v>195048</v>
      </c>
      <c r="AA4">
        <v>195822</v>
      </c>
      <c r="AB4">
        <v>196596</v>
      </c>
      <c r="AC4">
        <v>197370</v>
      </c>
      <c r="AD4">
        <v>198144</v>
      </c>
      <c r="AE4">
        <v>198918</v>
      </c>
      <c r="AF4">
        <v>199434</v>
      </c>
      <c r="AG4">
        <v>199950</v>
      </c>
      <c r="AH4">
        <v>200466</v>
      </c>
      <c r="AI4">
        <v>200982</v>
      </c>
      <c r="AJ4">
        <v>173826</v>
      </c>
      <c r="AK4">
        <v>145188</v>
      </c>
      <c r="AL4">
        <v>119130</v>
      </c>
      <c r="AM4">
        <v>96684</v>
      </c>
      <c r="AN4">
        <v>76560</v>
      </c>
      <c r="AO4">
        <v>58500</v>
      </c>
    </row>
    <row r="5" spans="1:41">
      <c r="A5" t="s">
        <v>147</v>
      </c>
      <c r="B5">
        <v>69804</v>
      </c>
      <c r="C5">
        <v>69804</v>
      </c>
      <c r="D5">
        <v>69804</v>
      </c>
      <c r="E5">
        <v>69804</v>
      </c>
      <c r="F5">
        <v>69804</v>
      </c>
      <c r="G5">
        <v>69804</v>
      </c>
      <c r="H5">
        <v>69804</v>
      </c>
      <c r="I5">
        <v>69804</v>
      </c>
      <c r="J5">
        <v>69804</v>
      </c>
      <c r="K5">
        <v>69804</v>
      </c>
      <c r="L5">
        <v>69804</v>
      </c>
      <c r="M5">
        <v>69804</v>
      </c>
      <c r="N5">
        <v>69804</v>
      </c>
      <c r="O5">
        <v>68880</v>
      </c>
      <c r="P5">
        <v>68880</v>
      </c>
      <c r="Q5">
        <v>68880</v>
      </c>
      <c r="R5">
        <v>67956</v>
      </c>
      <c r="S5">
        <v>67648</v>
      </c>
      <c r="T5">
        <v>66416</v>
      </c>
      <c r="U5">
        <v>62104</v>
      </c>
      <c r="V5">
        <v>58254</v>
      </c>
      <c r="W5">
        <v>54250</v>
      </c>
      <c r="X5">
        <v>52094</v>
      </c>
      <c r="Y5">
        <v>51324</v>
      </c>
      <c r="Z5">
        <v>50554</v>
      </c>
      <c r="AA5">
        <v>49014</v>
      </c>
      <c r="AB5">
        <v>47320</v>
      </c>
      <c r="AC5">
        <v>44240</v>
      </c>
      <c r="AD5">
        <v>37772</v>
      </c>
      <c r="AE5">
        <v>32998</v>
      </c>
      <c r="AF5">
        <v>31612</v>
      </c>
      <c r="AG5">
        <v>27762</v>
      </c>
      <c r="AH5">
        <v>21602</v>
      </c>
      <c r="AI5">
        <v>17290</v>
      </c>
      <c r="AJ5">
        <v>11592</v>
      </c>
      <c r="AK5">
        <v>6202</v>
      </c>
      <c r="AL5">
        <v>1428</v>
      </c>
      <c r="AM5">
        <v>0</v>
      </c>
      <c r="AN5">
        <v>0</v>
      </c>
      <c r="AO5">
        <v>0</v>
      </c>
    </row>
    <row r="6" spans="1:41">
      <c r="A6" t="s">
        <v>148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149</v>
      </c>
      <c r="B7">
        <v>1386</v>
      </c>
      <c r="C7">
        <v>2618</v>
      </c>
      <c r="D7">
        <v>5852</v>
      </c>
      <c r="E7">
        <v>9548</v>
      </c>
      <c r="F7">
        <v>10626</v>
      </c>
      <c r="G7">
        <v>10780</v>
      </c>
      <c r="H7">
        <v>10780</v>
      </c>
      <c r="I7">
        <v>10780</v>
      </c>
      <c r="J7">
        <v>10780</v>
      </c>
      <c r="K7">
        <v>10780</v>
      </c>
      <c r="L7">
        <v>10780</v>
      </c>
      <c r="M7">
        <v>10780</v>
      </c>
      <c r="N7">
        <v>10780</v>
      </c>
      <c r="O7">
        <v>10780</v>
      </c>
      <c r="P7">
        <v>10780</v>
      </c>
      <c r="Q7">
        <v>10780</v>
      </c>
      <c r="R7">
        <v>10780</v>
      </c>
      <c r="S7">
        <v>10780</v>
      </c>
      <c r="T7">
        <v>10780</v>
      </c>
      <c r="U7">
        <v>10780</v>
      </c>
      <c r="V7">
        <v>10780</v>
      </c>
      <c r="W7">
        <v>10780</v>
      </c>
      <c r="X7">
        <v>10780</v>
      </c>
      <c r="Y7">
        <v>10780</v>
      </c>
      <c r="Z7">
        <v>10780</v>
      </c>
      <c r="AA7">
        <v>10780</v>
      </c>
      <c r="AB7">
        <v>10780</v>
      </c>
      <c r="AC7">
        <v>10780</v>
      </c>
      <c r="AD7">
        <v>10780</v>
      </c>
      <c r="AE7">
        <v>10780</v>
      </c>
      <c r="AF7">
        <v>10780</v>
      </c>
      <c r="AG7">
        <v>10780</v>
      </c>
      <c r="AH7">
        <v>10780</v>
      </c>
      <c r="AI7">
        <v>10780</v>
      </c>
      <c r="AJ7">
        <v>10780</v>
      </c>
      <c r="AK7">
        <v>10780</v>
      </c>
      <c r="AL7">
        <v>10780</v>
      </c>
      <c r="AM7">
        <v>658</v>
      </c>
      <c r="AN7">
        <v>0</v>
      </c>
      <c r="AO7">
        <v>0</v>
      </c>
    </row>
    <row r="8" spans="1:41">
      <c r="A8" t="s">
        <v>150</v>
      </c>
      <c r="B8">
        <v>49890</v>
      </c>
      <c r="C8">
        <v>49890</v>
      </c>
      <c r="D8">
        <v>49890</v>
      </c>
      <c r="E8">
        <v>49890</v>
      </c>
      <c r="F8">
        <v>49890</v>
      </c>
      <c r="G8">
        <v>49890</v>
      </c>
      <c r="H8">
        <v>49890</v>
      </c>
      <c r="I8">
        <v>49890</v>
      </c>
      <c r="J8">
        <v>49890</v>
      </c>
      <c r="K8">
        <v>49890</v>
      </c>
      <c r="L8">
        <v>49890</v>
      </c>
      <c r="M8">
        <v>49890</v>
      </c>
      <c r="N8">
        <v>49890</v>
      </c>
      <c r="O8">
        <v>49890</v>
      </c>
      <c r="P8">
        <v>49890</v>
      </c>
      <c r="Q8">
        <v>49890</v>
      </c>
      <c r="R8">
        <v>49890</v>
      </c>
      <c r="S8">
        <v>49890</v>
      </c>
      <c r="T8">
        <v>49890</v>
      </c>
      <c r="U8">
        <v>49890</v>
      </c>
      <c r="V8">
        <v>49890</v>
      </c>
      <c r="W8">
        <v>49890</v>
      </c>
      <c r="X8">
        <v>49890</v>
      </c>
      <c r="Y8">
        <v>49890</v>
      </c>
      <c r="Z8">
        <v>49890</v>
      </c>
      <c r="AA8">
        <v>49890</v>
      </c>
      <c r="AB8">
        <v>49890</v>
      </c>
      <c r="AC8">
        <v>49890</v>
      </c>
      <c r="AD8">
        <v>49890</v>
      </c>
      <c r="AE8">
        <v>49890</v>
      </c>
      <c r="AF8">
        <v>49890</v>
      </c>
      <c r="AG8">
        <v>49890</v>
      </c>
      <c r="AH8">
        <v>49890</v>
      </c>
      <c r="AI8">
        <v>49890</v>
      </c>
      <c r="AJ8">
        <v>49890</v>
      </c>
      <c r="AK8">
        <v>49890</v>
      </c>
      <c r="AL8">
        <v>49890</v>
      </c>
      <c r="AM8">
        <v>49890</v>
      </c>
      <c r="AN8">
        <v>49890</v>
      </c>
      <c r="AO8">
        <v>49890</v>
      </c>
    </row>
    <row r="9" spans="1:41">
      <c r="A9" t="s">
        <v>151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152</v>
      </c>
      <c r="B10">
        <v>4000</v>
      </c>
      <c r="C10">
        <v>5500</v>
      </c>
      <c r="D10">
        <v>8500</v>
      </c>
      <c r="E10">
        <v>10000</v>
      </c>
      <c r="F10">
        <v>12500</v>
      </c>
      <c r="G10">
        <v>18500</v>
      </c>
      <c r="H10">
        <v>25000</v>
      </c>
      <c r="I10">
        <v>30500</v>
      </c>
      <c r="J10">
        <v>36000</v>
      </c>
      <c r="K10">
        <v>36500</v>
      </c>
      <c r="L10">
        <v>37000</v>
      </c>
      <c r="M10">
        <v>37500</v>
      </c>
      <c r="N10">
        <v>38000</v>
      </c>
      <c r="O10">
        <v>38500</v>
      </c>
      <c r="P10">
        <v>39000</v>
      </c>
      <c r="Q10">
        <v>39500</v>
      </c>
      <c r="R10">
        <v>40000</v>
      </c>
      <c r="S10">
        <v>40500</v>
      </c>
      <c r="T10">
        <v>41000</v>
      </c>
      <c r="U10">
        <v>41500</v>
      </c>
      <c r="V10">
        <v>42500</v>
      </c>
      <c r="W10">
        <v>44500</v>
      </c>
      <c r="X10">
        <v>46000</v>
      </c>
      <c r="Y10">
        <v>47500</v>
      </c>
      <c r="Z10">
        <v>49000</v>
      </c>
      <c r="AA10">
        <v>50500</v>
      </c>
      <c r="AB10">
        <v>52000</v>
      </c>
      <c r="AC10">
        <v>53000</v>
      </c>
      <c r="AD10">
        <v>54000</v>
      </c>
      <c r="AE10">
        <v>55500</v>
      </c>
      <c r="AF10">
        <v>56500</v>
      </c>
      <c r="AG10">
        <v>57500</v>
      </c>
      <c r="AH10">
        <v>58500</v>
      </c>
      <c r="AI10">
        <v>59500</v>
      </c>
      <c r="AJ10">
        <v>60500</v>
      </c>
      <c r="AK10">
        <v>61000</v>
      </c>
      <c r="AL10">
        <v>62000</v>
      </c>
      <c r="AM10">
        <v>62500</v>
      </c>
      <c r="AN10">
        <v>63000</v>
      </c>
      <c r="AO10">
        <v>63500</v>
      </c>
    </row>
    <row r="11" spans="1:41">
      <c r="A11" t="s">
        <v>153</v>
      </c>
      <c r="B11">
        <v>338790</v>
      </c>
      <c r="C11">
        <v>338790</v>
      </c>
      <c r="D11">
        <v>338790</v>
      </c>
      <c r="E11">
        <v>338790</v>
      </c>
      <c r="F11">
        <v>338790</v>
      </c>
      <c r="G11">
        <v>338790</v>
      </c>
      <c r="H11">
        <v>338790</v>
      </c>
      <c r="I11">
        <v>338790</v>
      </c>
      <c r="J11">
        <v>338790</v>
      </c>
      <c r="K11">
        <v>338790</v>
      </c>
      <c r="L11">
        <v>338790</v>
      </c>
      <c r="M11">
        <v>338790</v>
      </c>
      <c r="N11">
        <v>338790</v>
      </c>
      <c r="O11">
        <v>338790</v>
      </c>
      <c r="P11">
        <v>338790</v>
      </c>
      <c r="Q11">
        <v>338790</v>
      </c>
      <c r="R11">
        <v>338790</v>
      </c>
      <c r="S11">
        <v>338790</v>
      </c>
      <c r="T11">
        <v>338790</v>
      </c>
      <c r="U11">
        <v>338790</v>
      </c>
      <c r="V11">
        <v>338790</v>
      </c>
      <c r="W11">
        <v>338790</v>
      </c>
      <c r="X11">
        <v>338790</v>
      </c>
      <c r="Y11">
        <v>338790</v>
      </c>
      <c r="Z11">
        <v>338790</v>
      </c>
      <c r="AA11">
        <v>338790</v>
      </c>
      <c r="AB11">
        <v>338790</v>
      </c>
      <c r="AC11">
        <v>338790</v>
      </c>
      <c r="AD11">
        <v>338790</v>
      </c>
      <c r="AE11">
        <v>338790</v>
      </c>
      <c r="AF11">
        <v>338790</v>
      </c>
      <c r="AG11">
        <v>338790</v>
      </c>
      <c r="AH11">
        <v>338790</v>
      </c>
      <c r="AI11">
        <v>338790</v>
      </c>
      <c r="AJ11">
        <v>338790</v>
      </c>
      <c r="AK11">
        <v>338790</v>
      </c>
      <c r="AL11">
        <v>338790</v>
      </c>
      <c r="AM11">
        <v>338790</v>
      </c>
      <c r="AN11">
        <v>338790</v>
      </c>
      <c r="AO11">
        <v>338790</v>
      </c>
    </row>
    <row r="12" spans="1:41">
      <c r="A12" t="s">
        <v>154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155</v>
      </c>
      <c r="B13">
        <v>30887</v>
      </c>
      <c r="C13">
        <v>46757</v>
      </c>
      <c r="D13">
        <v>52351</v>
      </c>
      <c r="E13">
        <v>59196</v>
      </c>
      <c r="F13">
        <v>69665</v>
      </c>
      <c r="G13">
        <v>80352</v>
      </c>
      <c r="H13">
        <v>90911</v>
      </c>
      <c r="I13">
        <v>100121</v>
      </c>
      <c r="J13">
        <v>107495</v>
      </c>
      <c r="K13">
        <v>117400</v>
      </c>
      <c r="L13">
        <v>126747</v>
      </c>
      <c r="M13">
        <v>133813</v>
      </c>
      <c r="N13">
        <v>141022</v>
      </c>
      <c r="O13">
        <v>146837</v>
      </c>
      <c r="P13">
        <v>148357</v>
      </c>
      <c r="Q13">
        <v>149671</v>
      </c>
      <c r="R13">
        <v>150811</v>
      </c>
      <c r="S13">
        <v>151750</v>
      </c>
      <c r="T13">
        <v>152552</v>
      </c>
      <c r="U13">
        <v>153228</v>
      </c>
      <c r="V13">
        <v>153738</v>
      </c>
      <c r="W13">
        <v>154052</v>
      </c>
      <c r="X13">
        <v>154217</v>
      </c>
      <c r="Y13">
        <v>154255</v>
      </c>
      <c r="Z13">
        <v>154277</v>
      </c>
      <c r="AA13">
        <v>154297</v>
      </c>
      <c r="AB13">
        <v>154315</v>
      </c>
      <c r="AC13">
        <v>154332</v>
      </c>
      <c r="AD13">
        <v>154347</v>
      </c>
      <c r="AE13">
        <v>154361</v>
      </c>
      <c r="AF13">
        <v>154373</v>
      </c>
      <c r="AG13">
        <v>154384</v>
      </c>
      <c r="AH13">
        <v>154394</v>
      </c>
      <c r="AI13">
        <v>154403</v>
      </c>
      <c r="AJ13">
        <v>154411</v>
      </c>
      <c r="AK13">
        <v>154419</v>
      </c>
      <c r="AL13">
        <v>154426</v>
      </c>
      <c r="AM13">
        <v>154432</v>
      </c>
      <c r="AN13">
        <v>154438</v>
      </c>
      <c r="AO13">
        <v>154443</v>
      </c>
    </row>
    <row r="14" spans="1:41">
      <c r="A14" t="s">
        <v>156</v>
      </c>
      <c r="B14">
        <v>272650</v>
      </c>
      <c r="C14">
        <v>272650</v>
      </c>
      <c r="D14">
        <v>272650</v>
      </c>
      <c r="E14">
        <v>272650</v>
      </c>
      <c r="F14">
        <v>272650</v>
      </c>
      <c r="G14">
        <v>272650</v>
      </c>
      <c r="H14">
        <v>272650</v>
      </c>
      <c r="I14">
        <v>272650</v>
      </c>
      <c r="J14">
        <v>272650</v>
      </c>
      <c r="K14">
        <v>272650</v>
      </c>
      <c r="L14">
        <v>272650</v>
      </c>
      <c r="M14">
        <v>272650</v>
      </c>
      <c r="N14">
        <v>272650</v>
      </c>
      <c r="O14">
        <v>272650</v>
      </c>
      <c r="P14">
        <v>272650</v>
      </c>
      <c r="Q14">
        <v>272650</v>
      </c>
      <c r="R14">
        <v>272650</v>
      </c>
      <c r="S14">
        <v>272650</v>
      </c>
      <c r="T14">
        <v>272650</v>
      </c>
      <c r="U14">
        <v>272650</v>
      </c>
      <c r="V14">
        <v>272650</v>
      </c>
      <c r="W14">
        <v>272650</v>
      </c>
      <c r="X14">
        <v>272650</v>
      </c>
      <c r="Y14">
        <v>272650</v>
      </c>
      <c r="Z14">
        <v>272650</v>
      </c>
      <c r="AA14">
        <v>272650</v>
      </c>
      <c r="AB14">
        <v>272650</v>
      </c>
      <c r="AC14">
        <v>272650</v>
      </c>
      <c r="AD14">
        <v>272650</v>
      </c>
      <c r="AE14">
        <v>272650</v>
      </c>
      <c r="AF14">
        <v>272650</v>
      </c>
      <c r="AG14">
        <v>272650</v>
      </c>
      <c r="AH14">
        <v>272650</v>
      </c>
      <c r="AI14">
        <v>272650</v>
      </c>
      <c r="AJ14">
        <v>272650</v>
      </c>
      <c r="AK14">
        <v>272650</v>
      </c>
      <c r="AL14">
        <v>272650</v>
      </c>
      <c r="AM14">
        <v>272650</v>
      </c>
      <c r="AN14">
        <v>272650</v>
      </c>
      <c r="AO14">
        <v>272650</v>
      </c>
    </row>
    <row r="15" spans="1:41">
      <c r="A15" t="s">
        <v>157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158</v>
      </c>
      <c r="B16">
        <v>38935</v>
      </c>
      <c r="C16">
        <v>72455</v>
      </c>
      <c r="D16">
        <v>75825</v>
      </c>
      <c r="E16">
        <v>80795</v>
      </c>
      <c r="F16">
        <v>90080</v>
      </c>
      <c r="G16">
        <v>101155</v>
      </c>
      <c r="H16">
        <v>114840</v>
      </c>
      <c r="I16">
        <v>128720</v>
      </c>
      <c r="J16">
        <v>141595</v>
      </c>
      <c r="K16">
        <v>161545</v>
      </c>
      <c r="L16">
        <v>182880</v>
      </c>
      <c r="M16">
        <v>201130</v>
      </c>
      <c r="N16">
        <v>222080</v>
      </c>
      <c r="O16">
        <v>241070</v>
      </c>
      <c r="P16">
        <v>260770</v>
      </c>
      <c r="Q16">
        <v>279580</v>
      </c>
      <c r="R16">
        <v>304020</v>
      </c>
      <c r="S16">
        <v>323080</v>
      </c>
      <c r="T16">
        <v>343010</v>
      </c>
      <c r="U16">
        <v>370430</v>
      </c>
      <c r="V16">
        <v>408110</v>
      </c>
      <c r="W16">
        <v>469785</v>
      </c>
      <c r="X16">
        <v>529410</v>
      </c>
      <c r="Y16">
        <v>590835</v>
      </c>
      <c r="Z16">
        <v>647185</v>
      </c>
      <c r="AA16">
        <v>705270</v>
      </c>
      <c r="AB16">
        <v>758885</v>
      </c>
      <c r="AC16">
        <v>805890</v>
      </c>
      <c r="AD16">
        <v>854375</v>
      </c>
      <c r="AE16">
        <v>912690</v>
      </c>
      <c r="AF16">
        <v>955980</v>
      </c>
      <c r="AG16" s="1">
        <v>1002320</v>
      </c>
      <c r="AH16" s="1">
        <v>1045890</v>
      </c>
      <c r="AI16" s="1">
        <v>1088210</v>
      </c>
      <c r="AJ16" s="1">
        <v>1134900</v>
      </c>
      <c r="AK16" s="1">
        <v>1174530</v>
      </c>
      <c r="AL16" s="1">
        <v>1215310</v>
      </c>
      <c r="AM16" s="1">
        <v>1254280</v>
      </c>
      <c r="AN16" s="1">
        <v>1288730</v>
      </c>
      <c r="AO16" s="1">
        <v>1317950</v>
      </c>
    </row>
    <row r="17" spans="1:41">
      <c r="A17" t="s">
        <v>159</v>
      </c>
      <c r="B17">
        <v>175290</v>
      </c>
      <c r="C17">
        <v>175290</v>
      </c>
      <c r="D17">
        <v>175290</v>
      </c>
      <c r="E17">
        <v>175290</v>
      </c>
      <c r="F17">
        <v>175290</v>
      </c>
      <c r="G17">
        <v>175290</v>
      </c>
      <c r="H17">
        <v>175290</v>
      </c>
      <c r="I17">
        <v>175290</v>
      </c>
      <c r="J17">
        <v>175290</v>
      </c>
      <c r="K17">
        <v>175290</v>
      </c>
      <c r="L17">
        <v>175290</v>
      </c>
      <c r="M17">
        <v>175290</v>
      </c>
      <c r="N17">
        <v>175290</v>
      </c>
      <c r="O17">
        <v>175290</v>
      </c>
      <c r="P17">
        <v>175290</v>
      </c>
      <c r="Q17">
        <v>175290</v>
      </c>
      <c r="R17">
        <v>175290</v>
      </c>
      <c r="S17">
        <v>175290</v>
      </c>
      <c r="T17">
        <v>175290</v>
      </c>
      <c r="U17">
        <v>175290</v>
      </c>
      <c r="V17">
        <v>175290</v>
      </c>
      <c r="W17">
        <v>175290</v>
      </c>
      <c r="X17">
        <v>175290</v>
      </c>
      <c r="Y17">
        <v>175290</v>
      </c>
      <c r="Z17">
        <v>175290</v>
      </c>
      <c r="AA17">
        <v>175290</v>
      </c>
      <c r="AB17">
        <v>175290</v>
      </c>
      <c r="AC17">
        <v>175290</v>
      </c>
      <c r="AD17">
        <v>175290</v>
      </c>
      <c r="AE17">
        <v>175290</v>
      </c>
      <c r="AF17">
        <v>175290</v>
      </c>
      <c r="AG17">
        <v>175290</v>
      </c>
      <c r="AH17">
        <v>175290</v>
      </c>
      <c r="AI17">
        <v>175290</v>
      </c>
      <c r="AJ17">
        <v>175290</v>
      </c>
      <c r="AK17">
        <v>175290</v>
      </c>
      <c r="AL17">
        <v>175290</v>
      </c>
      <c r="AM17">
        <v>175290</v>
      </c>
      <c r="AN17">
        <v>175290</v>
      </c>
      <c r="AO17">
        <v>175290</v>
      </c>
    </row>
    <row r="18" spans="1:41">
      <c r="A18" t="s">
        <v>160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161</v>
      </c>
      <c r="B19">
        <v>33856</v>
      </c>
      <c r="C19">
        <v>69796</v>
      </c>
      <c r="D19">
        <v>75094</v>
      </c>
      <c r="E19">
        <v>83582</v>
      </c>
      <c r="F19">
        <v>100830</v>
      </c>
      <c r="G19">
        <v>123124</v>
      </c>
      <c r="H19">
        <v>152670</v>
      </c>
      <c r="I19">
        <v>184532</v>
      </c>
      <c r="J19">
        <v>215802</v>
      </c>
      <c r="K19">
        <v>266790</v>
      </c>
      <c r="L19">
        <v>324480</v>
      </c>
      <c r="M19">
        <v>376550</v>
      </c>
      <c r="N19">
        <v>439142</v>
      </c>
      <c r="O19">
        <v>498428</v>
      </c>
      <c r="P19">
        <v>562376</v>
      </c>
      <c r="Q19">
        <v>625706</v>
      </c>
      <c r="R19">
        <v>710714</v>
      </c>
      <c r="S19">
        <v>779234</v>
      </c>
      <c r="T19">
        <v>852802</v>
      </c>
      <c r="U19">
        <v>956472</v>
      </c>
      <c r="V19" s="1">
        <v>1102390</v>
      </c>
      <c r="W19" s="1">
        <v>1345950</v>
      </c>
      <c r="X19" s="1">
        <v>1586350</v>
      </c>
      <c r="Y19" s="1">
        <v>1836020</v>
      </c>
      <c r="Z19" s="1">
        <v>2064970</v>
      </c>
      <c r="AA19" s="1">
        <v>2298390</v>
      </c>
      <c r="AB19" s="1">
        <v>2509290</v>
      </c>
      <c r="AC19" s="1">
        <v>2691130</v>
      </c>
      <c r="AD19" s="1">
        <v>2874750</v>
      </c>
      <c r="AE19" s="1">
        <v>3091560</v>
      </c>
      <c r="AF19" s="1">
        <v>3245410</v>
      </c>
      <c r="AG19" s="1">
        <v>3404240</v>
      </c>
      <c r="AH19" s="1">
        <v>3547770</v>
      </c>
      <c r="AI19" s="1">
        <v>3681000</v>
      </c>
      <c r="AJ19" s="1">
        <v>3822330</v>
      </c>
      <c r="AK19" s="1">
        <v>3935200</v>
      </c>
      <c r="AL19" s="1">
        <v>4045780</v>
      </c>
      <c r="AM19" s="1">
        <v>4146040</v>
      </c>
      <c r="AN19" s="1">
        <v>4230310</v>
      </c>
      <c r="AO19" s="1">
        <v>4298550</v>
      </c>
    </row>
    <row r="20" spans="1:41">
      <c r="A20" t="s">
        <v>162</v>
      </c>
      <c r="B20">
        <v>420</v>
      </c>
      <c r="C20">
        <v>420</v>
      </c>
      <c r="D20">
        <v>420</v>
      </c>
      <c r="E20">
        <v>420</v>
      </c>
      <c r="F20">
        <v>420</v>
      </c>
      <c r="G20">
        <v>420</v>
      </c>
      <c r="H20">
        <v>420</v>
      </c>
      <c r="I20">
        <v>420</v>
      </c>
      <c r="J20">
        <v>420</v>
      </c>
      <c r="K20">
        <v>420</v>
      </c>
      <c r="L20">
        <v>420</v>
      </c>
      <c r="M20">
        <v>420</v>
      </c>
      <c r="N20">
        <v>420</v>
      </c>
      <c r="O20">
        <v>420</v>
      </c>
      <c r="P20">
        <v>420</v>
      </c>
      <c r="Q20">
        <v>420</v>
      </c>
      <c r="R20">
        <v>420</v>
      </c>
      <c r="S20">
        <v>420</v>
      </c>
      <c r="T20">
        <v>420</v>
      </c>
      <c r="U20">
        <v>420</v>
      </c>
      <c r="V20">
        <v>420</v>
      </c>
      <c r="W20">
        <v>420</v>
      </c>
      <c r="X20">
        <v>420</v>
      </c>
      <c r="Y20">
        <v>420</v>
      </c>
      <c r="Z20">
        <v>420</v>
      </c>
      <c r="AA20">
        <v>420</v>
      </c>
      <c r="AB20">
        <v>420</v>
      </c>
      <c r="AC20">
        <v>420</v>
      </c>
      <c r="AD20">
        <v>420</v>
      </c>
      <c r="AE20">
        <v>420</v>
      </c>
      <c r="AF20">
        <v>420</v>
      </c>
      <c r="AG20">
        <v>420</v>
      </c>
      <c r="AH20">
        <v>420</v>
      </c>
      <c r="AI20">
        <v>420</v>
      </c>
      <c r="AJ20">
        <v>420</v>
      </c>
      <c r="AK20">
        <v>420</v>
      </c>
      <c r="AL20">
        <v>420</v>
      </c>
      <c r="AM20">
        <v>420</v>
      </c>
      <c r="AN20">
        <v>420</v>
      </c>
      <c r="AO20">
        <v>420</v>
      </c>
    </row>
    <row r="21" spans="1:41">
      <c r="A21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t="s">
        <v>164</v>
      </c>
      <c r="B22">
        <v>0</v>
      </c>
      <c r="C22">
        <v>0</v>
      </c>
      <c r="D22">
        <v>312</v>
      </c>
      <c r="E22">
        <v>312</v>
      </c>
      <c r="F22">
        <v>312</v>
      </c>
      <c r="G22">
        <v>312</v>
      </c>
      <c r="H22">
        <v>312</v>
      </c>
      <c r="I22">
        <v>312</v>
      </c>
      <c r="J22">
        <v>312</v>
      </c>
      <c r="K22">
        <v>468</v>
      </c>
      <c r="L22">
        <v>780</v>
      </c>
      <c r="M22">
        <v>1092</v>
      </c>
      <c r="N22">
        <v>1404</v>
      </c>
      <c r="O22">
        <v>1716</v>
      </c>
      <c r="P22">
        <v>2184</v>
      </c>
      <c r="Q22">
        <v>2808</v>
      </c>
      <c r="R22">
        <v>3744</v>
      </c>
      <c r="S22">
        <v>4524</v>
      </c>
      <c r="T22">
        <v>5460</v>
      </c>
      <c r="U22">
        <v>7176</v>
      </c>
      <c r="V22">
        <v>9828</v>
      </c>
      <c r="W22">
        <v>14976</v>
      </c>
      <c r="X22">
        <v>20592</v>
      </c>
      <c r="Y22">
        <v>27144</v>
      </c>
      <c r="Z22">
        <v>34008</v>
      </c>
      <c r="AA22">
        <v>41964</v>
      </c>
      <c r="AB22">
        <v>50388</v>
      </c>
      <c r="AC22">
        <v>58656</v>
      </c>
      <c r="AD22">
        <v>68328</v>
      </c>
      <c r="AE22">
        <v>81432</v>
      </c>
      <c r="AF22">
        <v>98436</v>
      </c>
      <c r="AG22">
        <v>119028</v>
      </c>
      <c r="AH22">
        <v>141024</v>
      </c>
      <c r="AI22">
        <v>165204</v>
      </c>
      <c r="AJ22">
        <v>195156</v>
      </c>
      <c r="AK22">
        <v>223704</v>
      </c>
      <c r="AL22">
        <v>256776</v>
      </c>
      <c r="AM22">
        <v>292032</v>
      </c>
      <c r="AN22">
        <v>326820</v>
      </c>
      <c r="AO22">
        <v>359580</v>
      </c>
    </row>
    <row r="23" spans="1:41">
      <c r="A23" t="s">
        <v>165</v>
      </c>
      <c r="B23">
        <v>14520</v>
      </c>
      <c r="C23">
        <v>14520</v>
      </c>
      <c r="D23">
        <v>14520</v>
      </c>
      <c r="E23">
        <v>14520</v>
      </c>
      <c r="F23">
        <v>14520</v>
      </c>
      <c r="G23">
        <v>14520</v>
      </c>
      <c r="H23">
        <v>14520</v>
      </c>
      <c r="I23">
        <v>14520</v>
      </c>
      <c r="J23">
        <v>14520</v>
      </c>
      <c r="K23">
        <v>14520</v>
      </c>
      <c r="L23">
        <v>14520</v>
      </c>
      <c r="M23">
        <v>14520</v>
      </c>
      <c r="N23">
        <v>14520</v>
      </c>
      <c r="O23">
        <v>14520</v>
      </c>
      <c r="P23">
        <v>14520</v>
      </c>
      <c r="Q23">
        <v>14520</v>
      </c>
      <c r="R23">
        <v>14520</v>
      </c>
      <c r="S23">
        <v>14520</v>
      </c>
      <c r="T23">
        <v>14520</v>
      </c>
      <c r="U23">
        <v>14520</v>
      </c>
      <c r="V23">
        <v>14520</v>
      </c>
      <c r="W23">
        <v>14520</v>
      </c>
      <c r="X23">
        <v>14520</v>
      </c>
      <c r="Y23">
        <v>14520</v>
      </c>
      <c r="Z23">
        <v>14520</v>
      </c>
      <c r="AA23">
        <v>14520</v>
      </c>
      <c r="AB23">
        <v>14520</v>
      </c>
      <c r="AC23">
        <v>14520</v>
      </c>
      <c r="AD23">
        <v>14520</v>
      </c>
      <c r="AE23">
        <v>14520</v>
      </c>
      <c r="AF23">
        <v>14520</v>
      </c>
      <c r="AG23">
        <v>14520</v>
      </c>
      <c r="AH23">
        <v>14520</v>
      </c>
      <c r="AI23">
        <v>14520</v>
      </c>
      <c r="AJ23">
        <v>14502</v>
      </c>
      <c r="AK23">
        <v>14502</v>
      </c>
      <c r="AL23">
        <v>14502</v>
      </c>
      <c r="AM23">
        <v>14502</v>
      </c>
      <c r="AN23">
        <v>14502</v>
      </c>
      <c r="AO23">
        <v>14502</v>
      </c>
    </row>
    <row r="24" spans="1:41">
      <c r="A24" t="s">
        <v>166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t="s">
        <v>167</v>
      </c>
      <c r="B25">
        <v>2106</v>
      </c>
      <c r="C25">
        <v>4014</v>
      </c>
      <c r="D25">
        <v>4014</v>
      </c>
      <c r="E25">
        <v>4014</v>
      </c>
      <c r="F25">
        <v>4014</v>
      </c>
      <c r="G25">
        <v>4014</v>
      </c>
      <c r="H25">
        <v>4014</v>
      </c>
      <c r="I25">
        <v>4014</v>
      </c>
      <c r="J25">
        <v>4014</v>
      </c>
      <c r="K25">
        <v>4014</v>
      </c>
      <c r="L25">
        <v>4014</v>
      </c>
      <c r="M25">
        <v>4014</v>
      </c>
      <c r="N25">
        <v>4014</v>
      </c>
      <c r="O25">
        <v>4014</v>
      </c>
      <c r="P25">
        <v>4014</v>
      </c>
      <c r="Q25">
        <v>4014</v>
      </c>
      <c r="R25">
        <v>4014</v>
      </c>
      <c r="S25">
        <v>4014</v>
      </c>
      <c r="T25">
        <v>4014</v>
      </c>
      <c r="U25">
        <v>4014</v>
      </c>
      <c r="V25">
        <v>4014</v>
      </c>
      <c r="W25">
        <v>4014</v>
      </c>
      <c r="X25">
        <v>4014</v>
      </c>
      <c r="Y25">
        <v>4014</v>
      </c>
      <c r="Z25">
        <v>4014</v>
      </c>
      <c r="AA25">
        <v>4014</v>
      </c>
      <c r="AB25">
        <v>4014</v>
      </c>
      <c r="AC25">
        <v>4014</v>
      </c>
      <c r="AD25">
        <v>4014</v>
      </c>
      <c r="AE25">
        <v>4014</v>
      </c>
      <c r="AF25">
        <v>4014</v>
      </c>
      <c r="AG25">
        <v>4014</v>
      </c>
      <c r="AH25">
        <v>4014</v>
      </c>
      <c r="AI25">
        <v>4014</v>
      </c>
      <c r="AJ25">
        <v>4014</v>
      </c>
      <c r="AK25">
        <v>4014</v>
      </c>
      <c r="AL25">
        <v>4014</v>
      </c>
      <c r="AM25">
        <v>4014</v>
      </c>
      <c r="AN25">
        <v>4014</v>
      </c>
      <c r="AO25">
        <v>4014</v>
      </c>
    </row>
    <row r="26" spans="1:41">
      <c r="A26" t="s">
        <v>168</v>
      </c>
      <c r="B26">
        <v>527</v>
      </c>
      <c r="C26">
        <v>527</v>
      </c>
      <c r="D26">
        <v>527</v>
      </c>
      <c r="E26">
        <v>527</v>
      </c>
      <c r="F26">
        <v>527</v>
      </c>
      <c r="G26">
        <v>527</v>
      </c>
      <c r="H26">
        <v>527</v>
      </c>
      <c r="I26">
        <v>527</v>
      </c>
      <c r="J26">
        <v>527</v>
      </c>
      <c r="K26">
        <v>527</v>
      </c>
      <c r="L26">
        <v>527</v>
      </c>
      <c r="M26">
        <v>527</v>
      </c>
      <c r="N26">
        <v>527</v>
      </c>
      <c r="O26">
        <v>527</v>
      </c>
      <c r="P26">
        <v>527</v>
      </c>
      <c r="Q26">
        <v>527</v>
      </c>
      <c r="R26">
        <v>527</v>
      </c>
      <c r="S26">
        <v>527</v>
      </c>
      <c r="T26">
        <v>527</v>
      </c>
      <c r="U26">
        <v>527</v>
      </c>
      <c r="V26">
        <v>527</v>
      </c>
      <c r="W26">
        <v>527</v>
      </c>
      <c r="X26">
        <v>527</v>
      </c>
      <c r="Y26">
        <v>527</v>
      </c>
      <c r="Z26">
        <v>527</v>
      </c>
      <c r="AA26">
        <v>527</v>
      </c>
      <c r="AB26">
        <v>527</v>
      </c>
      <c r="AC26">
        <v>527</v>
      </c>
      <c r="AD26">
        <v>527</v>
      </c>
      <c r="AE26">
        <v>527</v>
      </c>
      <c r="AF26">
        <v>527</v>
      </c>
      <c r="AG26">
        <v>527</v>
      </c>
      <c r="AH26">
        <v>527</v>
      </c>
      <c r="AI26">
        <v>527</v>
      </c>
      <c r="AJ26">
        <v>527</v>
      </c>
      <c r="AK26">
        <v>527</v>
      </c>
      <c r="AL26">
        <v>527</v>
      </c>
      <c r="AM26">
        <v>527</v>
      </c>
      <c r="AN26">
        <v>527</v>
      </c>
      <c r="AO26">
        <v>527</v>
      </c>
    </row>
    <row r="27" spans="1:41">
      <c r="A27" t="s">
        <v>169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t="s">
        <v>170</v>
      </c>
      <c r="B28">
        <v>710</v>
      </c>
      <c r="C28">
        <v>710</v>
      </c>
      <c r="D28">
        <v>760</v>
      </c>
      <c r="E28">
        <v>830</v>
      </c>
      <c r="F28">
        <v>980</v>
      </c>
      <c r="G28">
        <v>1160</v>
      </c>
      <c r="H28">
        <v>1210</v>
      </c>
      <c r="I28">
        <v>1270</v>
      </c>
      <c r="J28">
        <v>1330</v>
      </c>
      <c r="K28">
        <v>1440</v>
      </c>
      <c r="L28">
        <v>1550</v>
      </c>
      <c r="M28">
        <v>1660</v>
      </c>
      <c r="N28">
        <v>1770</v>
      </c>
      <c r="O28">
        <v>1880</v>
      </c>
      <c r="P28">
        <v>1990</v>
      </c>
      <c r="Q28">
        <v>2100</v>
      </c>
      <c r="R28">
        <v>2210</v>
      </c>
      <c r="S28">
        <v>2310</v>
      </c>
      <c r="T28">
        <v>2410</v>
      </c>
      <c r="U28">
        <v>2500</v>
      </c>
      <c r="V28">
        <v>2580</v>
      </c>
      <c r="W28">
        <v>2630</v>
      </c>
      <c r="X28">
        <v>2660</v>
      </c>
      <c r="Y28">
        <v>2660</v>
      </c>
      <c r="Z28">
        <v>2660</v>
      </c>
      <c r="AA28">
        <v>2660</v>
      </c>
      <c r="AB28">
        <v>2660</v>
      </c>
      <c r="AC28">
        <v>2660</v>
      </c>
      <c r="AD28">
        <v>2660</v>
      </c>
      <c r="AE28">
        <v>2660</v>
      </c>
      <c r="AF28">
        <v>2660</v>
      </c>
      <c r="AG28">
        <v>2660</v>
      </c>
      <c r="AH28">
        <v>2660</v>
      </c>
      <c r="AI28">
        <v>2660</v>
      </c>
      <c r="AJ28">
        <v>2660</v>
      </c>
      <c r="AK28">
        <v>2660</v>
      </c>
      <c r="AL28">
        <v>2660</v>
      </c>
      <c r="AM28">
        <v>2660</v>
      </c>
      <c r="AN28">
        <v>2660</v>
      </c>
      <c r="AO28">
        <v>2660</v>
      </c>
    </row>
    <row r="29" spans="1:41">
      <c r="A29" t="s">
        <v>171</v>
      </c>
      <c r="B29">
        <v>335</v>
      </c>
      <c r="C29">
        <v>335</v>
      </c>
      <c r="D29">
        <v>335</v>
      </c>
      <c r="E29">
        <v>335</v>
      </c>
      <c r="F29">
        <v>335</v>
      </c>
      <c r="G29">
        <v>335</v>
      </c>
      <c r="H29">
        <v>335</v>
      </c>
      <c r="I29">
        <v>335</v>
      </c>
      <c r="J29">
        <v>335</v>
      </c>
      <c r="K29">
        <v>335</v>
      </c>
      <c r="L29">
        <v>335</v>
      </c>
      <c r="M29">
        <v>335</v>
      </c>
      <c r="N29">
        <v>335</v>
      </c>
      <c r="O29">
        <v>335</v>
      </c>
      <c r="P29">
        <v>335</v>
      </c>
      <c r="Q29">
        <v>335</v>
      </c>
      <c r="R29">
        <v>335</v>
      </c>
      <c r="S29">
        <v>335</v>
      </c>
      <c r="T29">
        <v>335</v>
      </c>
      <c r="U29">
        <v>335</v>
      </c>
      <c r="V29">
        <v>335</v>
      </c>
      <c r="W29">
        <v>335</v>
      </c>
      <c r="X29">
        <v>335</v>
      </c>
      <c r="Y29">
        <v>335</v>
      </c>
      <c r="Z29">
        <v>335</v>
      </c>
      <c r="AA29">
        <v>335</v>
      </c>
      <c r="AB29">
        <v>335</v>
      </c>
      <c r="AC29">
        <v>335</v>
      </c>
      <c r="AD29">
        <v>335</v>
      </c>
      <c r="AE29">
        <v>335</v>
      </c>
      <c r="AF29">
        <v>335</v>
      </c>
      <c r="AG29">
        <v>335</v>
      </c>
      <c r="AH29">
        <v>335</v>
      </c>
      <c r="AI29">
        <v>335</v>
      </c>
      <c r="AJ29">
        <v>335</v>
      </c>
      <c r="AK29">
        <v>335</v>
      </c>
      <c r="AL29">
        <v>335</v>
      </c>
      <c r="AM29">
        <v>335</v>
      </c>
      <c r="AN29">
        <v>335</v>
      </c>
      <c r="AO29">
        <v>335</v>
      </c>
    </row>
    <row r="30" spans="1:41">
      <c r="A30" t="s">
        <v>172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t="s">
        <v>173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t="s">
        <v>174</v>
      </c>
      <c r="B32">
        <v>29916</v>
      </c>
      <c r="C32">
        <v>29916</v>
      </c>
      <c r="D32">
        <v>29916</v>
      </c>
      <c r="E32">
        <v>29916</v>
      </c>
      <c r="F32">
        <v>29916</v>
      </c>
      <c r="G32">
        <v>29916</v>
      </c>
      <c r="H32">
        <v>29916</v>
      </c>
      <c r="I32">
        <v>29916</v>
      </c>
      <c r="J32">
        <v>29916</v>
      </c>
      <c r="K32">
        <v>29916</v>
      </c>
      <c r="L32">
        <v>29916</v>
      </c>
      <c r="M32">
        <v>29866</v>
      </c>
      <c r="N32">
        <v>29866</v>
      </c>
      <c r="O32">
        <v>29416</v>
      </c>
      <c r="P32">
        <v>29416</v>
      </c>
      <c r="Q32">
        <v>29416</v>
      </c>
      <c r="R32">
        <v>29016</v>
      </c>
      <c r="S32">
        <v>28866</v>
      </c>
      <c r="T32">
        <v>28316</v>
      </c>
      <c r="U32">
        <v>26466</v>
      </c>
      <c r="V32">
        <v>24816</v>
      </c>
      <c r="W32">
        <v>23116</v>
      </c>
      <c r="X32">
        <v>22166</v>
      </c>
      <c r="Y32">
        <v>21816</v>
      </c>
      <c r="Z32">
        <v>21466</v>
      </c>
      <c r="AA32">
        <v>20766</v>
      </c>
      <c r="AB32">
        <v>20066</v>
      </c>
      <c r="AC32">
        <v>18766</v>
      </c>
      <c r="AD32">
        <v>15966</v>
      </c>
      <c r="AE32">
        <v>13916</v>
      </c>
      <c r="AF32">
        <v>13316</v>
      </c>
      <c r="AG32">
        <v>11616</v>
      </c>
      <c r="AH32">
        <v>9016</v>
      </c>
      <c r="AI32">
        <v>7166</v>
      </c>
      <c r="AJ32">
        <v>4716</v>
      </c>
      <c r="AK32">
        <v>2416</v>
      </c>
      <c r="AL32">
        <v>366</v>
      </c>
      <c r="AM32">
        <v>0</v>
      </c>
      <c r="AN32">
        <v>0</v>
      </c>
      <c r="AO32">
        <v>0</v>
      </c>
    </row>
    <row r="33" spans="1:41">
      <c r="A33" t="s">
        <v>175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t="s">
        <v>176</v>
      </c>
      <c r="B34">
        <v>6050</v>
      </c>
      <c r="C34">
        <v>11500</v>
      </c>
      <c r="D34">
        <v>24800</v>
      </c>
      <c r="E34">
        <v>39650</v>
      </c>
      <c r="F34">
        <v>44200</v>
      </c>
      <c r="G34">
        <v>45200</v>
      </c>
      <c r="H34">
        <v>45200</v>
      </c>
      <c r="I34">
        <v>45200</v>
      </c>
      <c r="J34">
        <v>45200</v>
      </c>
      <c r="K34">
        <v>45200</v>
      </c>
      <c r="L34">
        <v>45200</v>
      </c>
      <c r="M34">
        <v>45200</v>
      </c>
      <c r="N34">
        <v>45200</v>
      </c>
      <c r="O34">
        <v>45200</v>
      </c>
      <c r="P34">
        <v>45200</v>
      </c>
      <c r="Q34">
        <v>45200</v>
      </c>
      <c r="R34">
        <v>45200</v>
      </c>
      <c r="S34">
        <v>45200</v>
      </c>
      <c r="T34">
        <v>45200</v>
      </c>
      <c r="U34">
        <v>45200</v>
      </c>
      <c r="V34">
        <v>45200</v>
      </c>
      <c r="W34">
        <v>45200</v>
      </c>
      <c r="X34">
        <v>45200</v>
      </c>
      <c r="Y34">
        <v>45200</v>
      </c>
      <c r="Z34">
        <v>45200</v>
      </c>
      <c r="AA34">
        <v>45200</v>
      </c>
      <c r="AB34">
        <v>45200</v>
      </c>
      <c r="AC34">
        <v>45200</v>
      </c>
      <c r="AD34">
        <v>45200</v>
      </c>
      <c r="AE34">
        <v>45200</v>
      </c>
      <c r="AF34">
        <v>45200</v>
      </c>
      <c r="AG34">
        <v>45200</v>
      </c>
      <c r="AH34">
        <v>45200</v>
      </c>
      <c r="AI34">
        <v>45200</v>
      </c>
      <c r="AJ34">
        <v>45200</v>
      </c>
      <c r="AK34">
        <v>45200</v>
      </c>
      <c r="AL34">
        <v>45200</v>
      </c>
      <c r="AM34">
        <v>40566</v>
      </c>
      <c r="AN34">
        <v>35016</v>
      </c>
      <c r="AO34">
        <v>33316</v>
      </c>
    </row>
    <row r="35" spans="1:41">
      <c r="A35" t="s">
        <v>177</v>
      </c>
      <c r="B35">
        <v>37640</v>
      </c>
      <c r="C35">
        <v>37640</v>
      </c>
      <c r="D35">
        <v>37640</v>
      </c>
      <c r="E35">
        <v>37640</v>
      </c>
      <c r="F35">
        <v>37640</v>
      </c>
      <c r="G35">
        <v>37640</v>
      </c>
      <c r="H35">
        <v>37640</v>
      </c>
      <c r="I35">
        <v>37640</v>
      </c>
      <c r="J35">
        <v>37640</v>
      </c>
      <c r="K35">
        <v>37640</v>
      </c>
      <c r="L35">
        <v>37640</v>
      </c>
      <c r="M35">
        <v>37640</v>
      </c>
      <c r="N35">
        <v>37640</v>
      </c>
      <c r="O35">
        <v>37640</v>
      </c>
      <c r="P35">
        <v>37640</v>
      </c>
      <c r="Q35">
        <v>37640</v>
      </c>
      <c r="R35">
        <v>37640</v>
      </c>
      <c r="S35">
        <v>37640</v>
      </c>
      <c r="T35">
        <v>37640</v>
      </c>
      <c r="U35">
        <v>37640</v>
      </c>
      <c r="V35">
        <v>37640</v>
      </c>
      <c r="W35">
        <v>37640</v>
      </c>
      <c r="X35">
        <v>37640</v>
      </c>
      <c r="Y35">
        <v>37640</v>
      </c>
      <c r="Z35">
        <v>37640</v>
      </c>
      <c r="AA35">
        <v>37640</v>
      </c>
      <c r="AB35">
        <v>37640</v>
      </c>
      <c r="AC35">
        <v>37640</v>
      </c>
      <c r="AD35">
        <v>37640</v>
      </c>
      <c r="AE35">
        <v>37640</v>
      </c>
      <c r="AF35">
        <v>37640</v>
      </c>
      <c r="AG35">
        <v>37640</v>
      </c>
      <c r="AH35">
        <v>37640</v>
      </c>
      <c r="AI35">
        <v>37640</v>
      </c>
      <c r="AJ35">
        <v>37640</v>
      </c>
      <c r="AK35">
        <v>37640</v>
      </c>
      <c r="AL35">
        <v>37640</v>
      </c>
      <c r="AM35">
        <v>37640</v>
      </c>
      <c r="AN35">
        <v>37640</v>
      </c>
      <c r="AO35">
        <v>37640</v>
      </c>
    </row>
    <row r="36" spans="1:41">
      <c r="A36" t="s">
        <v>178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t="s">
        <v>179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t="s">
        <v>180</v>
      </c>
      <c r="B38">
        <v>9000</v>
      </c>
      <c r="C38">
        <v>9000</v>
      </c>
      <c r="D38">
        <v>9000</v>
      </c>
      <c r="E38">
        <v>9000</v>
      </c>
      <c r="F38">
        <v>9000</v>
      </c>
      <c r="G38">
        <v>9000</v>
      </c>
      <c r="H38">
        <v>9000</v>
      </c>
      <c r="I38">
        <v>9000</v>
      </c>
      <c r="J38">
        <v>9000</v>
      </c>
      <c r="K38">
        <v>9000</v>
      </c>
      <c r="L38">
        <v>9000</v>
      </c>
      <c r="M38">
        <v>9000</v>
      </c>
      <c r="N38">
        <v>9000</v>
      </c>
      <c r="O38">
        <v>9000</v>
      </c>
      <c r="P38">
        <v>9000</v>
      </c>
      <c r="Q38">
        <v>9000</v>
      </c>
      <c r="R38">
        <v>9000</v>
      </c>
      <c r="S38">
        <v>9000</v>
      </c>
      <c r="T38">
        <v>9000</v>
      </c>
      <c r="U38">
        <v>9000</v>
      </c>
      <c r="V38">
        <v>9000</v>
      </c>
      <c r="W38">
        <v>9000</v>
      </c>
      <c r="X38">
        <v>9000</v>
      </c>
      <c r="Y38">
        <v>9000</v>
      </c>
      <c r="Z38">
        <v>9000</v>
      </c>
      <c r="AA38">
        <v>9000</v>
      </c>
      <c r="AB38">
        <v>9000</v>
      </c>
      <c r="AC38">
        <v>9000</v>
      </c>
      <c r="AD38">
        <v>9000</v>
      </c>
      <c r="AE38">
        <v>9000</v>
      </c>
      <c r="AF38">
        <v>9000</v>
      </c>
      <c r="AG38">
        <v>9000</v>
      </c>
      <c r="AH38">
        <v>9000</v>
      </c>
      <c r="AI38">
        <v>9000</v>
      </c>
      <c r="AJ38">
        <v>9000</v>
      </c>
      <c r="AK38">
        <v>9000</v>
      </c>
      <c r="AL38">
        <v>9000</v>
      </c>
      <c r="AM38">
        <v>9000</v>
      </c>
      <c r="AN38">
        <v>9000</v>
      </c>
      <c r="AO38">
        <v>9000</v>
      </c>
    </row>
    <row r="39" spans="1:41">
      <c r="A39" t="s">
        <v>181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t="s">
        <v>182</v>
      </c>
      <c r="B40">
        <v>20020</v>
      </c>
      <c r="C40">
        <v>24130</v>
      </c>
      <c r="D40">
        <v>27690</v>
      </c>
      <c r="E40">
        <v>33150</v>
      </c>
      <c r="F40">
        <v>43930</v>
      </c>
      <c r="G40">
        <v>57985</v>
      </c>
      <c r="H40">
        <v>76955</v>
      </c>
      <c r="I40">
        <v>97975</v>
      </c>
      <c r="J40">
        <v>118935</v>
      </c>
      <c r="K40">
        <v>153250</v>
      </c>
      <c r="L40">
        <v>192340</v>
      </c>
      <c r="M40">
        <v>227495</v>
      </c>
      <c r="N40">
        <v>269130</v>
      </c>
      <c r="O40">
        <v>307925</v>
      </c>
      <c r="P40">
        <v>348880</v>
      </c>
      <c r="Q40">
        <v>388535</v>
      </c>
      <c r="R40">
        <v>440545</v>
      </c>
      <c r="S40">
        <v>481530</v>
      </c>
      <c r="T40">
        <v>524545</v>
      </c>
      <c r="U40">
        <v>583850</v>
      </c>
      <c r="V40">
        <v>665635</v>
      </c>
      <c r="W40">
        <v>671090</v>
      </c>
      <c r="X40">
        <v>674260</v>
      </c>
      <c r="Y40">
        <v>675185</v>
      </c>
      <c r="Z40">
        <v>675810</v>
      </c>
      <c r="AA40">
        <v>676420</v>
      </c>
      <c r="AB40">
        <v>677015</v>
      </c>
      <c r="AC40">
        <v>677595</v>
      </c>
      <c r="AD40">
        <v>678160</v>
      </c>
      <c r="AE40">
        <v>678715</v>
      </c>
      <c r="AF40">
        <v>679225</v>
      </c>
      <c r="AG40">
        <v>679725</v>
      </c>
      <c r="AH40">
        <v>680210</v>
      </c>
      <c r="AI40">
        <v>680685</v>
      </c>
      <c r="AJ40">
        <v>681145</v>
      </c>
      <c r="AK40">
        <v>681590</v>
      </c>
      <c r="AL40">
        <v>682020</v>
      </c>
      <c r="AM40">
        <v>682435</v>
      </c>
      <c r="AN40">
        <v>682835</v>
      </c>
      <c r="AO40">
        <v>683215</v>
      </c>
    </row>
    <row r="41" spans="1:41">
      <c r="A41" t="s">
        <v>183</v>
      </c>
      <c r="B41">
        <v>76</v>
      </c>
      <c r="C41">
        <v>76</v>
      </c>
      <c r="D41">
        <v>76</v>
      </c>
      <c r="E41">
        <v>76</v>
      </c>
      <c r="F41">
        <v>76</v>
      </c>
      <c r="G41">
        <v>76</v>
      </c>
      <c r="H41">
        <v>76</v>
      </c>
      <c r="I41">
        <v>76</v>
      </c>
      <c r="J41">
        <v>76</v>
      </c>
      <c r="K41">
        <v>76</v>
      </c>
      <c r="L41">
        <v>76</v>
      </c>
      <c r="M41">
        <v>76</v>
      </c>
      <c r="N41">
        <v>76</v>
      </c>
      <c r="O41">
        <v>76</v>
      </c>
      <c r="P41">
        <v>76</v>
      </c>
      <c r="Q41">
        <v>76</v>
      </c>
      <c r="R41">
        <v>76</v>
      </c>
      <c r="S41">
        <v>76</v>
      </c>
      <c r="T41">
        <v>76</v>
      </c>
      <c r="U41">
        <v>76</v>
      </c>
      <c r="V41">
        <v>76</v>
      </c>
      <c r="W41">
        <v>76</v>
      </c>
      <c r="X41">
        <v>76</v>
      </c>
      <c r="Y41">
        <v>76</v>
      </c>
      <c r="Z41">
        <v>76</v>
      </c>
      <c r="AA41">
        <v>76</v>
      </c>
      <c r="AB41">
        <v>76</v>
      </c>
      <c r="AC41">
        <v>76</v>
      </c>
      <c r="AD41">
        <v>76</v>
      </c>
      <c r="AE41">
        <v>76</v>
      </c>
      <c r="AF41">
        <v>76</v>
      </c>
      <c r="AG41">
        <v>76</v>
      </c>
      <c r="AH41">
        <v>76</v>
      </c>
      <c r="AI41">
        <v>76</v>
      </c>
      <c r="AJ41">
        <v>76</v>
      </c>
      <c r="AK41">
        <v>76</v>
      </c>
      <c r="AL41">
        <v>76</v>
      </c>
      <c r="AM41">
        <v>76</v>
      </c>
      <c r="AN41">
        <v>76</v>
      </c>
      <c r="AO41">
        <v>76</v>
      </c>
    </row>
    <row r="42" spans="1:41">
      <c r="A42" t="s">
        <v>184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t="s">
        <v>185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t="s">
        <v>186</v>
      </c>
      <c r="B44">
        <v>1058</v>
      </c>
      <c r="C44">
        <v>1058</v>
      </c>
      <c r="D44">
        <v>1058</v>
      </c>
      <c r="E44">
        <v>1058</v>
      </c>
      <c r="F44">
        <v>1058</v>
      </c>
      <c r="G44">
        <v>1058</v>
      </c>
      <c r="H44">
        <v>1058</v>
      </c>
      <c r="I44">
        <v>1058</v>
      </c>
      <c r="J44">
        <v>1058</v>
      </c>
      <c r="K44">
        <v>1058</v>
      </c>
      <c r="L44">
        <v>1058</v>
      </c>
      <c r="M44">
        <v>1058</v>
      </c>
      <c r="N44">
        <v>1058</v>
      </c>
      <c r="O44">
        <v>1058</v>
      </c>
      <c r="P44">
        <v>1058</v>
      </c>
      <c r="Q44">
        <v>1058</v>
      </c>
      <c r="R44">
        <v>1058</v>
      </c>
      <c r="S44">
        <v>1058</v>
      </c>
      <c r="T44">
        <v>1058</v>
      </c>
      <c r="U44">
        <v>1058</v>
      </c>
      <c r="V44">
        <v>1058</v>
      </c>
      <c r="W44">
        <v>1058</v>
      </c>
      <c r="X44">
        <v>1058</v>
      </c>
      <c r="Y44">
        <v>1058</v>
      </c>
      <c r="Z44">
        <v>1058</v>
      </c>
      <c r="AA44">
        <v>1058</v>
      </c>
      <c r="AB44">
        <v>1058</v>
      </c>
      <c r="AC44">
        <v>1058</v>
      </c>
      <c r="AD44">
        <v>1058</v>
      </c>
      <c r="AE44">
        <v>1058</v>
      </c>
      <c r="AF44">
        <v>1058</v>
      </c>
      <c r="AG44">
        <v>1058</v>
      </c>
      <c r="AH44">
        <v>1058</v>
      </c>
      <c r="AI44">
        <v>1058</v>
      </c>
      <c r="AJ44">
        <v>1058</v>
      </c>
      <c r="AK44">
        <v>1058</v>
      </c>
      <c r="AL44">
        <v>1058</v>
      </c>
      <c r="AM44">
        <v>1058</v>
      </c>
      <c r="AN44">
        <v>1058</v>
      </c>
      <c r="AO44">
        <v>1058</v>
      </c>
    </row>
    <row r="45" spans="1:41">
      <c r="A45" t="s">
        <v>187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t="s">
        <v>188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t="s">
        <v>189</v>
      </c>
      <c r="B47">
        <v>15350</v>
      </c>
      <c r="C47">
        <v>15350</v>
      </c>
      <c r="D47">
        <v>15350</v>
      </c>
      <c r="E47">
        <v>15350</v>
      </c>
      <c r="F47">
        <v>15350</v>
      </c>
      <c r="G47">
        <v>15350</v>
      </c>
      <c r="H47">
        <v>15350</v>
      </c>
      <c r="I47">
        <v>15350</v>
      </c>
      <c r="J47">
        <v>15350</v>
      </c>
      <c r="K47">
        <v>15350</v>
      </c>
      <c r="L47">
        <v>15350</v>
      </c>
      <c r="M47">
        <v>15350</v>
      </c>
      <c r="N47">
        <v>15350</v>
      </c>
      <c r="O47">
        <v>15350</v>
      </c>
      <c r="P47">
        <v>15350</v>
      </c>
      <c r="Q47">
        <v>15350</v>
      </c>
      <c r="R47">
        <v>15350</v>
      </c>
      <c r="S47">
        <v>15350</v>
      </c>
      <c r="T47">
        <v>15350</v>
      </c>
      <c r="U47">
        <v>15350</v>
      </c>
      <c r="V47">
        <v>15350</v>
      </c>
      <c r="W47">
        <v>15350</v>
      </c>
      <c r="X47">
        <v>15350</v>
      </c>
      <c r="Y47">
        <v>15350</v>
      </c>
      <c r="Z47">
        <v>15350</v>
      </c>
      <c r="AA47">
        <v>15350</v>
      </c>
      <c r="AB47">
        <v>15350</v>
      </c>
      <c r="AC47">
        <v>15350</v>
      </c>
      <c r="AD47">
        <v>15350</v>
      </c>
      <c r="AE47">
        <v>15350</v>
      </c>
      <c r="AF47">
        <v>15350</v>
      </c>
      <c r="AG47">
        <v>15350</v>
      </c>
      <c r="AH47">
        <v>15350</v>
      </c>
      <c r="AI47">
        <v>15350</v>
      </c>
      <c r="AJ47">
        <v>15336</v>
      </c>
      <c r="AK47">
        <v>15336</v>
      </c>
      <c r="AL47">
        <v>15336</v>
      </c>
      <c r="AM47">
        <v>15336</v>
      </c>
      <c r="AN47">
        <v>15336</v>
      </c>
      <c r="AO47">
        <v>15336</v>
      </c>
    </row>
    <row r="48" spans="1:41">
      <c r="A48" t="s">
        <v>190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t="s">
        <v>191</v>
      </c>
      <c r="B49">
        <v>6412</v>
      </c>
      <c r="C49">
        <v>12194</v>
      </c>
      <c r="D49">
        <v>12194</v>
      </c>
      <c r="E49">
        <v>12208</v>
      </c>
      <c r="F49">
        <v>12236</v>
      </c>
      <c r="G49">
        <v>12264</v>
      </c>
      <c r="H49">
        <v>12306</v>
      </c>
      <c r="I49">
        <v>12334</v>
      </c>
      <c r="J49">
        <v>12362</v>
      </c>
      <c r="K49">
        <v>12404</v>
      </c>
      <c r="L49">
        <v>12446</v>
      </c>
      <c r="M49">
        <v>12488</v>
      </c>
      <c r="N49">
        <v>12530</v>
      </c>
      <c r="O49">
        <v>12572</v>
      </c>
      <c r="P49">
        <v>12614</v>
      </c>
      <c r="Q49">
        <v>12656</v>
      </c>
      <c r="R49">
        <v>12698</v>
      </c>
      <c r="S49">
        <v>12726</v>
      </c>
      <c r="T49">
        <v>12768</v>
      </c>
      <c r="U49">
        <v>12824</v>
      </c>
      <c r="V49">
        <v>12894</v>
      </c>
      <c r="W49">
        <v>13006</v>
      </c>
      <c r="X49">
        <v>13118</v>
      </c>
      <c r="Y49">
        <v>13230</v>
      </c>
      <c r="Z49">
        <v>13328</v>
      </c>
      <c r="AA49">
        <v>13426</v>
      </c>
      <c r="AB49">
        <v>13510</v>
      </c>
      <c r="AC49">
        <v>13580</v>
      </c>
      <c r="AD49">
        <v>13650</v>
      </c>
      <c r="AE49">
        <v>13734</v>
      </c>
      <c r="AF49">
        <v>13790</v>
      </c>
      <c r="AG49">
        <v>13860</v>
      </c>
      <c r="AH49">
        <v>13916</v>
      </c>
      <c r="AI49">
        <v>13972</v>
      </c>
      <c r="AJ49">
        <v>14042</v>
      </c>
      <c r="AK49">
        <v>14098</v>
      </c>
      <c r="AL49">
        <v>14154</v>
      </c>
      <c r="AM49">
        <v>14210</v>
      </c>
      <c r="AN49">
        <v>14252</v>
      </c>
      <c r="AO49">
        <v>14294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9"/>
  <sheetViews>
    <sheetView workbookViewId="0">
      <selection activeCell="A35" sqref="A35"/>
    </sheetView>
  </sheetViews>
  <sheetFormatPr defaultColWidth="9" defaultRowHeight="13.85"/>
  <cols>
    <col min="1" max="1" width="89" customWidth="1"/>
  </cols>
  <sheetData>
    <row r="1" spans="1:41">
      <c r="A1" t="s">
        <v>143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</row>
    <row r="2" spans="1:41">
      <c r="A2" t="s">
        <v>192</v>
      </c>
      <c r="B2" s="1">
        <v>4757130000</v>
      </c>
      <c r="C2" s="1">
        <v>4647110000</v>
      </c>
      <c r="D2" s="1">
        <v>4618110000</v>
      </c>
      <c r="E2" s="1">
        <v>4591450000</v>
      </c>
      <c r="F2" s="1">
        <v>4548600000</v>
      </c>
      <c r="G2" s="1">
        <v>4492000000</v>
      </c>
      <c r="H2" s="1">
        <v>4435960000</v>
      </c>
      <c r="I2" s="1">
        <v>4385540000</v>
      </c>
      <c r="J2" s="1">
        <v>4338070000</v>
      </c>
      <c r="K2" s="1">
        <v>4275870000</v>
      </c>
      <c r="L2" s="1">
        <v>4199460000</v>
      </c>
      <c r="M2" s="1">
        <v>4138840000</v>
      </c>
      <c r="N2" s="1">
        <v>4060470000</v>
      </c>
      <c r="O2" s="1">
        <v>3995540000</v>
      </c>
      <c r="P2" s="1">
        <v>3928490000</v>
      </c>
      <c r="Q2" s="1">
        <v>3857730000</v>
      </c>
      <c r="R2" s="1">
        <v>3691930000</v>
      </c>
      <c r="S2" s="1">
        <v>3598540000</v>
      </c>
      <c r="T2" s="1">
        <v>3480450000</v>
      </c>
      <c r="U2" s="1">
        <v>3255310000</v>
      </c>
      <c r="V2" s="1">
        <v>2857460000</v>
      </c>
      <c r="W2" s="1">
        <v>2564240000</v>
      </c>
      <c r="X2" s="1">
        <v>2293640000</v>
      </c>
      <c r="Y2" s="1">
        <v>2011600000</v>
      </c>
      <c r="Z2" s="1">
        <v>1763670000</v>
      </c>
      <c r="AA2" s="1">
        <v>1508110000</v>
      </c>
      <c r="AB2" s="1">
        <v>1295090000</v>
      </c>
      <c r="AC2" s="1">
        <v>1133290000</v>
      </c>
      <c r="AD2" s="1">
        <v>968107000</v>
      </c>
      <c r="AE2" s="1">
        <v>716398000</v>
      </c>
      <c r="AF2" s="1">
        <v>561132000</v>
      </c>
      <c r="AG2" s="1">
        <v>391277000</v>
      </c>
      <c r="AH2" s="1">
        <v>247571000</v>
      </c>
      <c r="AI2" s="1">
        <v>71101100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193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194</v>
      </c>
      <c r="B4" s="1">
        <v>171114000</v>
      </c>
      <c r="C4" s="1">
        <v>271692000</v>
      </c>
      <c r="D4" s="1">
        <v>398164000</v>
      </c>
      <c r="E4" s="1">
        <v>515078000</v>
      </c>
      <c r="F4" s="1">
        <v>610264000</v>
      </c>
      <c r="G4" s="1">
        <v>684718000</v>
      </c>
      <c r="H4" s="1">
        <v>749920000</v>
      </c>
      <c r="I4" s="1">
        <v>803782000</v>
      </c>
      <c r="J4" s="1">
        <v>847325000</v>
      </c>
      <c r="K4" s="1">
        <v>881923000</v>
      </c>
      <c r="L4" s="1">
        <v>905123000</v>
      </c>
      <c r="M4" s="1">
        <v>916553000</v>
      </c>
      <c r="N4" s="1">
        <v>917671000</v>
      </c>
      <c r="O4" s="1">
        <v>917831000</v>
      </c>
      <c r="P4" s="1">
        <v>919050000</v>
      </c>
      <c r="Q4" s="1">
        <v>919966000</v>
      </c>
      <c r="R4" s="1">
        <v>920982000</v>
      </c>
      <c r="S4" s="1">
        <v>921685000</v>
      </c>
      <c r="T4" s="1">
        <v>921613000</v>
      </c>
      <c r="U4" s="1">
        <v>919494000</v>
      </c>
      <c r="V4" s="1">
        <v>918590000</v>
      </c>
      <c r="W4" s="1">
        <v>920960000</v>
      </c>
      <c r="X4" s="1">
        <v>926005000</v>
      </c>
      <c r="Y4" s="1">
        <v>931975000</v>
      </c>
      <c r="Z4" s="1">
        <v>936313000</v>
      </c>
      <c r="AA4" s="1">
        <v>938637000</v>
      </c>
      <c r="AB4" s="1">
        <v>943061000</v>
      </c>
      <c r="AC4" s="1">
        <v>941462000</v>
      </c>
      <c r="AD4" s="1">
        <v>939067000</v>
      </c>
      <c r="AE4" s="1">
        <v>936293000</v>
      </c>
      <c r="AF4" s="1">
        <v>949430000</v>
      </c>
      <c r="AG4" s="1">
        <v>942871000</v>
      </c>
      <c r="AH4" s="1">
        <v>940588000</v>
      </c>
      <c r="AI4" s="1">
        <v>955157000</v>
      </c>
      <c r="AJ4" s="1">
        <v>830198000</v>
      </c>
      <c r="AK4" s="1">
        <v>709790000</v>
      </c>
      <c r="AL4" s="1">
        <v>577414000</v>
      </c>
      <c r="AM4" s="1">
        <v>466918000</v>
      </c>
      <c r="AN4" s="1">
        <v>374415000</v>
      </c>
      <c r="AO4" s="1">
        <v>290823000</v>
      </c>
    </row>
    <row r="5" spans="1:41">
      <c r="A5" t="s">
        <v>195</v>
      </c>
      <c r="B5" s="1">
        <v>2154250</v>
      </c>
      <c r="C5">
        <v>261408</v>
      </c>
      <c r="D5">
        <v>750780</v>
      </c>
      <c r="E5" s="1">
        <v>1128700</v>
      </c>
      <c r="F5" s="1">
        <v>1200980</v>
      </c>
      <c r="G5" s="1">
        <v>1043680</v>
      </c>
      <c r="H5" s="1">
        <v>1136520</v>
      </c>
      <c r="I5" s="1">
        <v>1250230</v>
      </c>
      <c r="J5" s="1">
        <v>1102060</v>
      </c>
      <c r="K5" s="1">
        <v>1016060</v>
      </c>
      <c r="L5">
        <v>948457</v>
      </c>
      <c r="M5">
        <v>915212</v>
      </c>
      <c r="N5">
        <v>867626</v>
      </c>
      <c r="O5">
        <v>804664</v>
      </c>
      <c r="P5">
        <v>815222</v>
      </c>
      <c r="Q5">
        <v>811409</v>
      </c>
      <c r="R5">
        <v>800436</v>
      </c>
      <c r="S5">
        <v>808601</v>
      </c>
      <c r="T5">
        <v>826275</v>
      </c>
      <c r="U5">
        <v>813320</v>
      </c>
      <c r="V5">
        <v>786009</v>
      </c>
      <c r="W5">
        <v>754454</v>
      </c>
      <c r="X5">
        <v>741174</v>
      </c>
      <c r="Y5">
        <v>772166</v>
      </c>
      <c r="Z5">
        <v>765253</v>
      </c>
      <c r="AA5">
        <v>776032</v>
      </c>
      <c r="AB5">
        <v>787373</v>
      </c>
      <c r="AC5">
        <v>718303</v>
      </c>
      <c r="AD5">
        <v>658697</v>
      </c>
      <c r="AE5">
        <v>597000</v>
      </c>
      <c r="AF5">
        <v>732429</v>
      </c>
      <c r="AG5">
        <v>606715</v>
      </c>
      <c r="AH5">
        <v>552959</v>
      </c>
      <c r="AI5">
        <v>734755</v>
      </c>
      <c r="AJ5">
        <v>563143</v>
      </c>
      <c r="AK5">
        <v>311539</v>
      </c>
      <c r="AL5">
        <v>70279.1</v>
      </c>
      <c r="AM5">
        <v>0</v>
      </c>
      <c r="AN5">
        <v>0</v>
      </c>
      <c r="AO5">
        <v>0</v>
      </c>
    </row>
    <row r="6" spans="1:41">
      <c r="A6" t="s">
        <v>196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197</v>
      </c>
      <c r="B7">
        <v>513371</v>
      </c>
      <c r="C7">
        <v>309809</v>
      </c>
      <c r="D7" s="1">
        <v>1043610</v>
      </c>
      <c r="E7" s="1">
        <v>1842050</v>
      </c>
      <c r="F7" s="1">
        <v>1939070</v>
      </c>
      <c r="G7" s="1">
        <v>1718270</v>
      </c>
      <c r="H7" s="1">
        <v>1859190</v>
      </c>
      <c r="I7" s="1">
        <v>2055630</v>
      </c>
      <c r="J7" s="1">
        <v>1820240</v>
      </c>
      <c r="K7" s="1">
        <v>1659710</v>
      </c>
      <c r="L7" s="1">
        <v>1548480</v>
      </c>
      <c r="M7" s="1">
        <v>1499280</v>
      </c>
      <c r="N7" s="1">
        <v>1417660</v>
      </c>
      <c r="O7" s="1">
        <v>1329310</v>
      </c>
      <c r="P7" s="1">
        <v>1346410</v>
      </c>
      <c r="Q7" s="1">
        <v>1342080</v>
      </c>
      <c r="R7" s="1">
        <v>1323390</v>
      </c>
      <c r="S7" s="1">
        <v>1344150</v>
      </c>
      <c r="T7" s="1">
        <v>1395820</v>
      </c>
      <c r="U7" s="1">
        <v>1431350</v>
      </c>
      <c r="V7" s="1">
        <v>1439720</v>
      </c>
      <c r="W7" s="1">
        <v>1425160</v>
      </c>
      <c r="X7" s="1">
        <v>1393770</v>
      </c>
      <c r="Y7" s="1">
        <v>1423450</v>
      </c>
      <c r="Z7" s="1">
        <v>1395440</v>
      </c>
      <c r="AA7" s="1">
        <v>1434880</v>
      </c>
      <c r="AB7" s="1">
        <v>1438280</v>
      </c>
      <c r="AC7" s="1">
        <v>1407740</v>
      </c>
      <c r="AD7" s="1">
        <v>1407150</v>
      </c>
      <c r="AE7" s="1">
        <v>1416960</v>
      </c>
      <c r="AF7" s="1">
        <v>1459800</v>
      </c>
      <c r="AG7" s="1">
        <v>1390380</v>
      </c>
      <c r="AH7" s="1">
        <v>1377800</v>
      </c>
      <c r="AI7" s="1">
        <v>1914130</v>
      </c>
      <c r="AJ7" s="1">
        <v>2171470</v>
      </c>
      <c r="AK7" s="1">
        <v>2245290</v>
      </c>
      <c r="AL7" s="1">
        <v>2199750</v>
      </c>
      <c r="AM7">
        <v>138790</v>
      </c>
      <c r="AN7">
        <v>0</v>
      </c>
      <c r="AO7">
        <v>0</v>
      </c>
    </row>
    <row r="8" spans="1:41">
      <c r="A8" t="s">
        <v>198</v>
      </c>
      <c r="B8" s="1">
        <v>372355000</v>
      </c>
      <c r="C8" s="1">
        <v>372355000</v>
      </c>
      <c r="D8" s="1">
        <v>372355000</v>
      </c>
      <c r="E8" s="1">
        <v>372355000</v>
      </c>
      <c r="F8" s="1">
        <v>372355000</v>
      </c>
      <c r="G8" s="1">
        <v>372355000</v>
      </c>
      <c r="H8" s="1">
        <v>372355000</v>
      </c>
      <c r="I8" s="1">
        <v>372355000</v>
      </c>
      <c r="J8" s="1">
        <v>372355000</v>
      </c>
      <c r="K8" s="1">
        <v>372355000</v>
      </c>
      <c r="L8" s="1">
        <v>372355000</v>
      </c>
      <c r="M8" s="1">
        <v>372355000</v>
      </c>
      <c r="N8" s="1">
        <v>372355000</v>
      </c>
      <c r="O8" s="1">
        <v>372355000</v>
      </c>
      <c r="P8" s="1">
        <v>372355000</v>
      </c>
      <c r="Q8" s="1">
        <v>372355000</v>
      </c>
      <c r="R8" s="1">
        <v>372355000</v>
      </c>
      <c r="S8" s="1">
        <v>372355000</v>
      </c>
      <c r="T8" s="1">
        <v>372355000</v>
      </c>
      <c r="U8" s="1">
        <v>372355000</v>
      </c>
      <c r="V8" s="1">
        <v>372355000</v>
      </c>
      <c r="W8" s="1">
        <v>372355000</v>
      </c>
      <c r="X8" s="1">
        <v>372355000</v>
      </c>
      <c r="Y8" s="1">
        <v>372355000</v>
      </c>
      <c r="Z8" s="1">
        <v>372355000</v>
      </c>
      <c r="AA8" s="1">
        <v>372355000</v>
      </c>
      <c r="AB8" s="1">
        <v>372355000</v>
      </c>
      <c r="AC8" s="1">
        <v>372355000</v>
      </c>
      <c r="AD8" s="1">
        <v>372355000</v>
      </c>
      <c r="AE8" s="1">
        <v>372355000</v>
      </c>
      <c r="AF8" s="1">
        <v>372355000</v>
      </c>
      <c r="AG8" s="1">
        <v>372355000</v>
      </c>
      <c r="AH8" s="1">
        <v>372355000</v>
      </c>
      <c r="AI8" s="1">
        <v>372355000</v>
      </c>
      <c r="AJ8" s="1">
        <v>372355000</v>
      </c>
      <c r="AK8" s="1">
        <v>372355000</v>
      </c>
      <c r="AL8" s="1">
        <v>372355000</v>
      </c>
      <c r="AM8" s="1">
        <v>372355000</v>
      </c>
      <c r="AN8" s="1">
        <v>372355000</v>
      </c>
      <c r="AO8" s="1">
        <v>372355000</v>
      </c>
    </row>
    <row r="9" spans="1:41">
      <c r="A9" t="s">
        <v>199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200</v>
      </c>
      <c r="B10" s="1">
        <v>29854100</v>
      </c>
      <c r="C10" s="1">
        <v>41049400</v>
      </c>
      <c r="D10" s="1">
        <v>63439900</v>
      </c>
      <c r="E10" s="1">
        <v>74635200</v>
      </c>
      <c r="F10" s="1">
        <v>93294000</v>
      </c>
      <c r="G10" s="1">
        <v>138075000</v>
      </c>
      <c r="H10" s="1">
        <v>186588000</v>
      </c>
      <c r="I10" s="1">
        <v>227637000</v>
      </c>
      <c r="J10" s="1">
        <v>268687000</v>
      </c>
      <c r="K10" s="1">
        <v>272418000</v>
      </c>
      <c r="L10" s="1">
        <v>276150000</v>
      </c>
      <c r="M10" s="1">
        <v>279882000</v>
      </c>
      <c r="N10" s="1">
        <v>283614000</v>
      </c>
      <c r="O10" s="1">
        <v>287346000</v>
      </c>
      <c r="P10" s="1">
        <v>291077000</v>
      </c>
      <c r="Q10" s="1">
        <v>294809000</v>
      </c>
      <c r="R10" s="1">
        <v>298541000</v>
      </c>
      <c r="S10" s="1">
        <v>302273000</v>
      </c>
      <c r="T10" s="1">
        <v>306004000</v>
      </c>
      <c r="U10" s="1">
        <v>309736000</v>
      </c>
      <c r="V10" s="1">
        <v>317200000</v>
      </c>
      <c r="W10" s="1">
        <v>332127000</v>
      </c>
      <c r="X10" s="1">
        <v>343322000</v>
      </c>
      <c r="Y10" s="1">
        <v>354517000</v>
      </c>
      <c r="Z10" s="1">
        <v>365712000</v>
      </c>
      <c r="AA10" s="1">
        <v>376908000</v>
      </c>
      <c r="AB10" s="1">
        <v>388103000</v>
      </c>
      <c r="AC10" s="1">
        <v>395567000</v>
      </c>
      <c r="AD10" s="1">
        <v>403030000</v>
      </c>
      <c r="AE10" s="1">
        <v>414225000</v>
      </c>
      <c r="AF10" s="1">
        <v>421689000</v>
      </c>
      <c r="AG10" s="1">
        <v>429152000</v>
      </c>
      <c r="AH10" s="1">
        <v>436616000</v>
      </c>
      <c r="AI10" s="1">
        <v>444079000</v>
      </c>
      <c r="AJ10" s="1">
        <v>451543000</v>
      </c>
      <c r="AK10" s="1">
        <v>455275000</v>
      </c>
      <c r="AL10" s="1">
        <v>462738000</v>
      </c>
      <c r="AM10" s="1">
        <v>466470000</v>
      </c>
      <c r="AN10" s="1">
        <v>470202000</v>
      </c>
      <c r="AO10" s="1">
        <v>473934000</v>
      </c>
    </row>
    <row r="11" spans="1:41">
      <c r="A11" t="s">
        <v>201</v>
      </c>
      <c r="B11" s="1">
        <v>1270220000</v>
      </c>
      <c r="C11" s="1">
        <v>1270220000</v>
      </c>
      <c r="D11" s="1">
        <v>1270220000</v>
      </c>
      <c r="E11" s="1">
        <v>1270220000</v>
      </c>
      <c r="F11" s="1">
        <v>1270220000</v>
      </c>
      <c r="G11" s="1">
        <v>1270220000</v>
      </c>
      <c r="H11" s="1">
        <v>1270220000</v>
      </c>
      <c r="I11" s="1">
        <v>1270220000</v>
      </c>
      <c r="J11" s="1">
        <v>1270220000</v>
      </c>
      <c r="K11" s="1">
        <v>1270220000</v>
      </c>
      <c r="L11" s="1">
        <v>1270220000</v>
      </c>
      <c r="M11" s="1">
        <v>1270220000</v>
      </c>
      <c r="N11" s="1">
        <v>1270220000</v>
      </c>
      <c r="O11" s="1">
        <v>1270220000</v>
      </c>
      <c r="P11" s="1">
        <v>1270220000</v>
      </c>
      <c r="Q11" s="1">
        <v>1270220000</v>
      </c>
      <c r="R11" s="1">
        <v>1270220000</v>
      </c>
      <c r="S11" s="1">
        <v>1270220000</v>
      </c>
      <c r="T11" s="1">
        <v>1270220000</v>
      </c>
      <c r="U11" s="1">
        <v>1270220000</v>
      </c>
      <c r="V11" s="1">
        <v>1270220000</v>
      </c>
      <c r="W11" s="1">
        <v>1270220000</v>
      </c>
      <c r="X11" s="1">
        <v>1270220000</v>
      </c>
      <c r="Y11" s="1">
        <v>1270220000</v>
      </c>
      <c r="Z11" s="1">
        <v>1270220000</v>
      </c>
      <c r="AA11" s="1">
        <v>1270220000</v>
      </c>
      <c r="AB11" s="1">
        <v>1270220000</v>
      </c>
      <c r="AC11" s="1">
        <v>1270220000</v>
      </c>
      <c r="AD11" s="1">
        <v>1270220000</v>
      </c>
      <c r="AE11" s="1">
        <v>1270220000</v>
      </c>
      <c r="AF11" s="1">
        <v>1270220000</v>
      </c>
      <c r="AG11" s="1">
        <v>1270220000</v>
      </c>
      <c r="AH11" s="1">
        <v>1270220000</v>
      </c>
      <c r="AI11" s="1">
        <v>1270220000</v>
      </c>
      <c r="AJ11" s="1">
        <v>1270220000</v>
      </c>
      <c r="AK11" s="1">
        <v>1270220000</v>
      </c>
      <c r="AL11" s="1">
        <v>1270220000</v>
      </c>
      <c r="AM11" s="1">
        <v>1270220000</v>
      </c>
      <c r="AN11" s="1">
        <v>1270220000</v>
      </c>
      <c r="AO11" s="1">
        <v>1270220000</v>
      </c>
    </row>
    <row r="12" spans="1:41">
      <c r="A12" t="s">
        <v>202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203</v>
      </c>
      <c r="B13" s="1">
        <v>115804000</v>
      </c>
      <c r="C13" s="1">
        <v>175305000</v>
      </c>
      <c r="D13" s="1">
        <v>196279000</v>
      </c>
      <c r="E13" s="1">
        <v>221942000</v>
      </c>
      <c r="F13" s="1">
        <v>261194000</v>
      </c>
      <c r="G13" s="1">
        <v>301262000</v>
      </c>
      <c r="H13" s="1">
        <v>340851000</v>
      </c>
      <c r="I13" s="1">
        <v>375382000</v>
      </c>
      <c r="J13" s="1">
        <v>403029000</v>
      </c>
      <c r="K13" s="1">
        <v>440165000</v>
      </c>
      <c r="L13" s="1">
        <v>475210000</v>
      </c>
      <c r="M13" s="1">
        <v>501702000</v>
      </c>
      <c r="N13" s="1">
        <v>528731000</v>
      </c>
      <c r="O13" s="1">
        <v>550533000</v>
      </c>
      <c r="P13" s="1">
        <v>556232000</v>
      </c>
      <c r="Q13" s="1">
        <v>561158000</v>
      </c>
      <c r="R13" s="1">
        <v>565433000</v>
      </c>
      <c r="S13" s="1">
        <v>568953000</v>
      </c>
      <c r="T13" s="1">
        <v>571960000</v>
      </c>
      <c r="U13" s="1">
        <v>574495000</v>
      </c>
      <c r="V13" s="1">
        <v>576407000</v>
      </c>
      <c r="W13" s="1">
        <v>577584000</v>
      </c>
      <c r="X13" s="1">
        <v>578203000</v>
      </c>
      <c r="Y13" s="1">
        <v>578345000</v>
      </c>
      <c r="Z13" s="1">
        <v>578428000</v>
      </c>
      <c r="AA13" s="1">
        <v>578503000</v>
      </c>
      <c r="AB13" s="1">
        <v>578570000</v>
      </c>
      <c r="AC13" s="1">
        <v>578634000</v>
      </c>
      <c r="AD13" s="1">
        <v>578690000</v>
      </c>
      <c r="AE13" s="1">
        <v>578743000</v>
      </c>
      <c r="AF13" s="1">
        <v>578788000</v>
      </c>
      <c r="AG13" s="1">
        <v>578829000</v>
      </c>
      <c r="AH13" s="1">
        <v>578866000</v>
      </c>
      <c r="AI13" s="1">
        <v>578900000</v>
      </c>
      <c r="AJ13" s="1">
        <v>578930000</v>
      </c>
      <c r="AK13" s="1">
        <v>578960000</v>
      </c>
      <c r="AL13" s="1">
        <v>578986000</v>
      </c>
      <c r="AM13" s="1">
        <v>579009000</v>
      </c>
      <c r="AN13" s="1">
        <v>579031000</v>
      </c>
      <c r="AO13" s="1">
        <v>579050000</v>
      </c>
    </row>
    <row r="14" spans="1:41">
      <c r="A14" t="s">
        <v>204</v>
      </c>
      <c r="B14" s="1">
        <v>572368000</v>
      </c>
      <c r="C14" s="1">
        <v>572058000</v>
      </c>
      <c r="D14" s="1">
        <v>572053000</v>
      </c>
      <c r="E14" s="1">
        <v>572002000</v>
      </c>
      <c r="F14" s="1">
        <v>572040000</v>
      </c>
      <c r="G14" s="1">
        <v>572025000</v>
      </c>
      <c r="H14" s="1">
        <v>571980000</v>
      </c>
      <c r="I14" s="1">
        <v>571916000</v>
      </c>
      <c r="J14" s="1">
        <v>571848000</v>
      </c>
      <c r="K14" s="1">
        <v>571814000</v>
      </c>
      <c r="L14" s="1">
        <v>571738000</v>
      </c>
      <c r="M14" s="1">
        <v>571702000</v>
      </c>
      <c r="N14" s="1">
        <v>571665000</v>
      </c>
      <c r="O14" s="1">
        <v>571535000</v>
      </c>
      <c r="P14" s="1">
        <v>571434000</v>
      </c>
      <c r="Q14" s="1">
        <v>571308000</v>
      </c>
      <c r="R14" s="1">
        <v>571171000</v>
      </c>
      <c r="S14" s="1">
        <v>570961000</v>
      </c>
      <c r="T14" s="1">
        <v>570797000</v>
      </c>
      <c r="U14" s="1">
        <v>570607000</v>
      </c>
      <c r="V14" s="1">
        <v>570288000</v>
      </c>
      <c r="W14" s="1">
        <v>569757000</v>
      </c>
      <c r="X14" s="1">
        <v>569062000</v>
      </c>
      <c r="Y14" s="1">
        <v>568302000</v>
      </c>
      <c r="Z14" s="1">
        <v>567466000</v>
      </c>
      <c r="AA14" s="1">
        <v>566713000</v>
      </c>
      <c r="AB14" s="1">
        <v>565841000</v>
      </c>
      <c r="AC14" s="1">
        <v>565189000</v>
      </c>
      <c r="AD14" s="1">
        <v>564534000</v>
      </c>
      <c r="AE14" s="1">
        <v>563970000</v>
      </c>
      <c r="AF14" s="1">
        <v>562909000</v>
      </c>
      <c r="AG14" s="1">
        <v>562099000</v>
      </c>
      <c r="AH14" s="1">
        <v>561236000</v>
      </c>
      <c r="AI14" s="1">
        <v>560304000</v>
      </c>
      <c r="AJ14" s="1">
        <v>559484000</v>
      </c>
      <c r="AK14" s="1">
        <v>558298000</v>
      </c>
      <c r="AL14" s="1">
        <v>557315000</v>
      </c>
      <c r="AM14" s="1">
        <v>556279000</v>
      </c>
      <c r="AN14" s="1">
        <v>555263000</v>
      </c>
      <c r="AO14" s="1">
        <v>554320000</v>
      </c>
    </row>
    <row r="15" spans="1:41">
      <c r="A15" t="s">
        <v>205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206</v>
      </c>
      <c r="B16" s="1">
        <v>81735400</v>
      </c>
      <c r="C16" s="1">
        <v>152021000</v>
      </c>
      <c r="D16" s="1">
        <v>159090000</v>
      </c>
      <c r="E16" s="1">
        <v>169503000</v>
      </c>
      <c r="F16" s="1">
        <v>188995000</v>
      </c>
      <c r="G16" s="1">
        <v>212225000</v>
      </c>
      <c r="H16" s="1">
        <v>240918000</v>
      </c>
      <c r="I16" s="1">
        <v>270005000</v>
      </c>
      <c r="J16" s="1">
        <v>296977000</v>
      </c>
      <c r="K16" s="1">
        <v>338799000</v>
      </c>
      <c r="L16" s="1">
        <v>383494000</v>
      </c>
      <c r="M16" s="1">
        <v>421736000</v>
      </c>
      <c r="N16" s="1">
        <v>465635000</v>
      </c>
      <c r="O16" s="1">
        <v>505336000</v>
      </c>
      <c r="P16" s="1">
        <v>546535000</v>
      </c>
      <c r="Q16" s="1">
        <v>585829000</v>
      </c>
      <c r="R16" s="1">
        <v>636888000</v>
      </c>
      <c r="S16" s="1">
        <v>676567000</v>
      </c>
      <c r="T16" s="1">
        <v>718097000</v>
      </c>
      <c r="U16" s="1">
        <v>775243000</v>
      </c>
      <c r="V16" s="1">
        <v>853623000</v>
      </c>
      <c r="W16" s="1">
        <v>981711000</v>
      </c>
      <c r="X16" s="1">
        <v>1104960000</v>
      </c>
      <c r="Y16" s="1">
        <v>1231520000</v>
      </c>
      <c r="Z16" s="1">
        <v>1346980000</v>
      </c>
      <c r="AA16" s="1">
        <v>1465930000</v>
      </c>
      <c r="AB16" s="1">
        <v>1574940000</v>
      </c>
      <c r="AC16" s="1">
        <v>1670570000</v>
      </c>
      <c r="AD16" s="1">
        <v>1769020000</v>
      </c>
      <c r="AE16" s="1">
        <v>1887880000</v>
      </c>
      <c r="AF16" s="1">
        <v>1973700000</v>
      </c>
      <c r="AG16" s="1">
        <v>2066390000</v>
      </c>
      <c r="AH16" s="1">
        <v>2152910000</v>
      </c>
      <c r="AI16" s="1">
        <v>2236300000</v>
      </c>
      <c r="AJ16" s="1">
        <v>2328840000</v>
      </c>
      <c r="AK16" s="1">
        <v>2405040000</v>
      </c>
      <c r="AL16" s="1">
        <v>2484180000</v>
      </c>
      <c r="AM16" s="1">
        <v>2559050000</v>
      </c>
      <c r="AN16" s="1">
        <v>2624540000</v>
      </c>
      <c r="AO16" s="1">
        <v>2679500000</v>
      </c>
    </row>
    <row r="17" spans="1:41">
      <c r="A17" t="s">
        <v>207</v>
      </c>
      <c r="B17" s="1">
        <v>220710000</v>
      </c>
      <c r="C17" s="1">
        <v>220415000</v>
      </c>
      <c r="D17" s="1">
        <v>220324000</v>
      </c>
      <c r="E17" s="1">
        <v>220163000</v>
      </c>
      <c r="F17" s="1">
        <v>220049000</v>
      </c>
      <c r="G17" s="1">
        <v>219911000</v>
      </c>
      <c r="H17" s="1">
        <v>219762000</v>
      </c>
      <c r="I17" s="1">
        <v>219587000</v>
      </c>
      <c r="J17" s="1">
        <v>219402000</v>
      </c>
      <c r="K17" s="1">
        <v>219242000</v>
      </c>
      <c r="L17" s="1">
        <v>219021000</v>
      </c>
      <c r="M17" s="1">
        <v>218829000</v>
      </c>
      <c r="N17" s="1">
        <v>218640000</v>
      </c>
      <c r="O17" s="1">
        <v>218325000</v>
      </c>
      <c r="P17" s="1">
        <v>218035000</v>
      </c>
      <c r="Q17" s="1">
        <v>217695000</v>
      </c>
      <c r="R17" s="1">
        <v>217325000</v>
      </c>
      <c r="S17" s="1">
        <v>216800000</v>
      </c>
      <c r="T17" s="1">
        <v>216340000</v>
      </c>
      <c r="U17" s="1">
        <v>215808000</v>
      </c>
      <c r="V17" s="1">
        <v>214994000</v>
      </c>
      <c r="W17" s="1">
        <v>213664000</v>
      </c>
      <c r="X17" s="1">
        <v>211728000</v>
      </c>
      <c r="Y17" s="1">
        <v>209496000</v>
      </c>
      <c r="Z17" s="1">
        <v>207081000</v>
      </c>
      <c r="AA17" s="1">
        <v>204797000</v>
      </c>
      <c r="AB17" s="1">
        <v>202116000</v>
      </c>
      <c r="AC17" s="1">
        <v>200025000</v>
      </c>
      <c r="AD17" s="1">
        <v>197954000</v>
      </c>
      <c r="AE17" s="1">
        <v>196141000</v>
      </c>
      <c r="AF17" s="1">
        <v>192825000</v>
      </c>
      <c r="AG17" s="1">
        <v>190346000</v>
      </c>
      <c r="AH17" s="1">
        <v>187744000</v>
      </c>
      <c r="AI17" s="1">
        <v>184985000</v>
      </c>
      <c r="AJ17" s="1">
        <v>182644000</v>
      </c>
      <c r="AK17" s="1">
        <v>179253000</v>
      </c>
      <c r="AL17" s="1">
        <v>176566000</v>
      </c>
      <c r="AM17" s="1">
        <v>173819000</v>
      </c>
      <c r="AN17" s="1">
        <v>171223000</v>
      </c>
      <c r="AO17" s="1">
        <v>168884000</v>
      </c>
    </row>
    <row r="18" spans="1:41">
      <c r="A18" t="s">
        <v>208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209</v>
      </c>
      <c r="B19" s="1">
        <v>42628500</v>
      </c>
      <c r="C19" s="1">
        <v>87763800</v>
      </c>
      <c r="D19" s="1">
        <v>94386700</v>
      </c>
      <c r="E19" s="1">
        <v>104978000</v>
      </c>
      <c r="F19" s="1">
        <v>126576000</v>
      </c>
      <c r="G19" s="1">
        <v>154466000</v>
      </c>
      <c r="H19" s="1">
        <v>191403000</v>
      </c>
      <c r="I19" s="1">
        <v>231165000</v>
      </c>
      <c r="J19" s="1">
        <v>270109000</v>
      </c>
      <c r="K19" s="1">
        <v>333684000</v>
      </c>
      <c r="L19" s="1">
        <v>405430000</v>
      </c>
      <c r="M19" s="1">
        <v>470078000</v>
      </c>
      <c r="N19" s="1">
        <v>547743000</v>
      </c>
      <c r="O19" s="1">
        <v>620795000</v>
      </c>
      <c r="P19" s="1">
        <v>699513000</v>
      </c>
      <c r="Q19" s="1">
        <v>777073000</v>
      </c>
      <c r="R19" s="1">
        <v>881145000</v>
      </c>
      <c r="S19" s="1">
        <v>963762000</v>
      </c>
      <c r="T19" s="1">
        <v>1052520000</v>
      </c>
      <c r="U19" s="1">
        <v>1177560000</v>
      </c>
      <c r="V19" s="1">
        <v>1352090000</v>
      </c>
      <c r="W19" s="1">
        <v>1640610000</v>
      </c>
      <c r="X19" s="1">
        <v>1916110000</v>
      </c>
      <c r="Y19" s="1">
        <v>2194300000</v>
      </c>
      <c r="Z19" s="1">
        <v>2439480000</v>
      </c>
      <c r="AA19" s="1">
        <v>2685280000</v>
      </c>
      <c r="AB19" s="1">
        <v>2893300000</v>
      </c>
      <c r="AC19" s="1">
        <v>3070870000</v>
      </c>
      <c r="AD19" s="1">
        <v>3246440000</v>
      </c>
      <c r="AE19" s="1">
        <v>3459300000</v>
      </c>
      <c r="AF19" s="1">
        <v>3570060000</v>
      </c>
      <c r="AG19" s="1">
        <v>3696640000</v>
      </c>
      <c r="AH19" s="1">
        <v>3799840000</v>
      </c>
      <c r="AI19" s="1">
        <v>3884590000</v>
      </c>
      <c r="AJ19" s="1">
        <v>3982680000</v>
      </c>
      <c r="AK19" s="1">
        <v>4024180000</v>
      </c>
      <c r="AL19" s="1">
        <v>4075240000</v>
      </c>
      <c r="AM19" s="1">
        <v>4111260000</v>
      </c>
      <c r="AN19" s="1">
        <v>4132160000</v>
      </c>
      <c r="AO19" s="1">
        <v>4141470000</v>
      </c>
    </row>
    <row r="20" spans="1:41">
      <c r="A20" t="s">
        <v>210</v>
      </c>
      <c r="B20" s="1">
        <v>1629890</v>
      </c>
      <c r="C20" s="1">
        <v>1629890</v>
      </c>
      <c r="D20" s="1">
        <v>1629890</v>
      </c>
      <c r="E20" s="1">
        <v>1629890</v>
      </c>
      <c r="F20" s="1">
        <v>1629890</v>
      </c>
      <c r="G20" s="1">
        <v>1629890</v>
      </c>
      <c r="H20" s="1">
        <v>1629890</v>
      </c>
      <c r="I20" s="1">
        <v>1629890</v>
      </c>
      <c r="J20" s="1">
        <v>1629890</v>
      </c>
      <c r="K20" s="1">
        <v>1629890</v>
      </c>
      <c r="L20" s="1">
        <v>1629890</v>
      </c>
      <c r="M20" s="1">
        <v>1629890</v>
      </c>
      <c r="N20" s="1">
        <v>1629890</v>
      </c>
      <c r="O20" s="1">
        <v>1629890</v>
      </c>
      <c r="P20" s="1">
        <v>1629890</v>
      </c>
      <c r="Q20" s="1">
        <v>1629890</v>
      </c>
      <c r="R20" s="1">
        <v>1629890</v>
      </c>
      <c r="S20" s="1">
        <v>1629890</v>
      </c>
      <c r="T20" s="1">
        <v>1629890</v>
      </c>
      <c r="U20" s="1">
        <v>1629890</v>
      </c>
      <c r="V20" s="1">
        <v>1629890</v>
      </c>
      <c r="W20" s="1">
        <v>1629890</v>
      </c>
      <c r="X20" s="1">
        <v>1629890</v>
      </c>
      <c r="Y20" s="1">
        <v>1629890</v>
      </c>
      <c r="Z20" s="1">
        <v>1629890</v>
      </c>
      <c r="AA20" s="1">
        <v>1629890</v>
      </c>
      <c r="AB20" s="1">
        <v>1629890</v>
      </c>
      <c r="AC20" s="1">
        <v>1629890</v>
      </c>
      <c r="AD20" s="1">
        <v>1629890</v>
      </c>
      <c r="AE20" s="1">
        <v>1629890</v>
      </c>
      <c r="AF20" s="1">
        <v>1629890</v>
      </c>
      <c r="AG20" s="1">
        <v>1629890</v>
      </c>
      <c r="AH20" s="1">
        <v>1629890</v>
      </c>
      <c r="AI20" s="1">
        <v>1629890</v>
      </c>
      <c r="AJ20" s="1">
        <v>1629890</v>
      </c>
      <c r="AK20" s="1">
        <v>1629890</v>
      </c>
      <c r="AL20" s="1">
        <v>1629890</v>
      </c>
      <c r="AM20" s="1">
        <v>1629890</v>
      </c>
      <c r="AN20" s="1">
        <v>1629890</v>
      </c>
      <c r="AO20" s="1">
        <v>1629890</v>
      </c>
    </row>
    <row r="21" spans="1:41">
      <c r="A21" t="s">
        <v>211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t="s">
        <v>212</v>
      </c>
      <c r="B22">
        <v>0</v>
      </c>
      <c r="C22">
        <v>0</v>
      </c>
      <c r="D22" s="1">
        <v>1210770</v>
      </c>
      <c r="E22" s="1">
        <v>1210770</v>
      </c>
      <c r="F22" s="1">
        <v>1210770</v>
      </c>
      <c r="G22" s="1">
        <v>1210770</v>
      </c>
      <c r="H22" s="1">
        <v>1210770</v>
      </c>
      <c r="I22" s="1">
        <v>1210770</v>
      </c>
      <c r="J22" s="1">
        <v>1210770</v>
      </c>
      <c r="K22" s="1">
        <v>1816160</v>
      </c>
      <c r="L22" s="1">
        <v>3026930</v>
      </c>
      <c r="M22" s="1">
        <v>4237700</v>
      </c>
      <c r="N22" s="1">
        <v>5448470</v>
      </c>
      <c r="O22" s="1">
        <v>6659250</v>
      </c>
      <c r="P22" s="1">
        <v>8475410</v>
      </c>
      <c r="Q22" s="1">
        <v>10896900</v>
      </c>
      <c r="R22" s="1">
        <v>14529300</v>
      </c>
      <c r="S22" s="1">
        <v>17556200</v>
      </c>
      <c r="T22" s="1">
        <v>21188500</v>
      </c>
      <c r="U22" s="1">
        <v>27847800</v>
      </c>
      <c r="V22" s="1">
        <v>38139300</v>
      </c>
      <c r="W22" s="1">
        <v>58117100</v>
      </c>
      <c r="X22" s="1">
        <v>79911000</v>
      </c>
      <c r="Y22" s="1">
        <v>105337000</v>
      </c>
      <c r="Z22" s="1">
        <v>131974000</v>
      </c>
      <c r="AA22" s="1">
        <v>162849000</v>
      </c>
      <c r="AB22" s="1">
        <v>195540000</v>
      </c>
      <c r="AC22" s="1">
        <v>227625000</v>
      </c>
      <c r="AD22" s="1">
        <v>265159000</v>
      </c>
      <c r="AE22" s="1">
        <v>316012000</v>
      </c>
      <c r="AF22" s="1">
        <v>381999000</v>
      </c>
      <c r="AG22" s="1">
        <v>461910000</v>
      </c>
      <c r="AH22" s="1">
        <v>547269000</v>
      </c>
      <c r="AI22" s="1">
        <v>641104000</v>
      </c>
      <c r="AJ22" s="1">
        <v>757338000</v>
      </c>
      <c r="AK22" s="1">
        <v>868124000</v>
      </c>
      <c r="AL22" s="1">
        <v>996465000</v>
      </c>
      <c r="AM22" s="1">
        <v>1133280000</v>
      </c>
      <c r="AN22" s="1">
        <v>1268280000</v>
      </c>
      <c r="AO22" s="1">
        <v>1395410000</v>
      </c>
    </row>
    <row r="23" spans="1:41">
      <c r="A23" t="s">
        <v>213</v>
      </c>
      <c r="B23" s="1">
        <v>110024000</v>
      </c>
      <c r="C23" s="1">
        <v>110024000</v>
      </c>
      <c r="D23" s="1">
        <v>110024000</v>
      </c>
      <c r="E23" s="1">
        <v>110024000</v>
      </c>
      <c r="F23" s="1">
        <v>110024000</v>
      </c>
      <c r="G23" s="1">
        <v>110024000</v>
      </c>
      <c r="H23" s="1">
        <v>110024000</v>
      </c>
      <c r="I23" s="1">
        <v>110024000</v>
      </c>
      <c r="J23" s="1">
        <v>110024000</v>
      </c>
      <c r="K23" s="1">
        <v>110024000</v>
      </c>
      <c r="L23" s="1">
        <v>110024000</v>
      </c>
      <c r="M23" s="1">
        <v>110024000</v>
      </c>
      <c r="N23" s="1">
        <v>110024000</v>
      </c>
      <c r="O23" s="1">
        <v>110024000</v>
      </c>
      <c r="P23" s="1">
        <v>110024000</v>
      </c>
      <c r="Q23" s="1">
        <v>110024000</v>
      </c>
      <c r="R23" s="1">
        <v>110024000</v>
      </c>
      <c r="S23" s="1">
        <v>110024000</v>
      </c>
      <c r="T23" s="1">
        <v>110024000</v>
      </c>
      <c r="U23" s="1">
        <v>110024000</v>
      </c>
      <c r="V23" s="1">
        <v>110024000</v>
      </c>
      <c r="W23" s="1">
        <v>110024000</v>
      </c>
      <c r="X23" s="1">
        <v>110024000</v>
      </c>
      <c r="Y23" s="1">
        <v>110024000</v>
      </c>
      <c r="Z23" s="1">
        <v>110024000</v>
      </c>
      <c r="AA23" s="1">
        <v>110024000</v>
      </c>
      <c r="AB23" s="1">
        <v>110024000</v>
      </c>
      <c r="AC23" s="1">
        <v>110024000</v>
      </c>
      <c r="AD23" s="1">
        <v>110024000</v>
      </c>
      <c r="AE23" s="1">
        <v>110024000</v>
      </c>
      <c r="AF23" s="1">
        <v>110024000</v>
      </c>
      <c r="AG23" s="1">
        <v>110024000</v>
      </c>
      <c r="AH23" s="1">
        <v>110024000</v>
      </c>
      <c r="AI23" s="1">
        <v>110024000</v>
      </c>
      <c r="AJ23" s="1">
        <v>109887000</v>
      </c>
      <c r="AK23" s="1">
        <v>109887000</v>
      </c>
      <c r="AL23" s="1">
        <v>109887000</v>
      </c>
      <c r="AM23" s="1">
        <v>109887000</v>
      </c>
      <c r="AN23" s="1">
        <v>109887000</v>
      </c>
      <c r="AO23" s="1">
        <v>109887000</v>
      </c>
    </row>
    <row r="24" spans="1:41">
      <c r="A24" t="s">
        <v>214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t="s">
        <v>215</v>
      </c>
      <c r="B25" s="1">
        <v>15958000</v>
      </c>
      <c r="C25" s="1">
        <v>30415700</v>
      </c>
      <c r="D25" s="1">
        <v>30415700</v>
      </c>
      <c r="E25" s="1">
        <v>30415700</v>
      </c>
      <c r="F25" s="1">
        <v>30415700</v>
      </c>
      <c r="G25" s="1">
        <v>30415700</v>
      </c>
      <c r="H25" s="1">
        <v>30415700</v>
      </c>
      <c r="I25" s="1">
        <v>30415700</v>
      </c>
      <c r="J25" s="1">
        <v>30415700</v>
      </c>
      <c r="K25" s="1">
        <v>30415700</v>
      </c>
      <c r="L25" s="1">
        <v>30415700</v>
      </c>
      <c r="M25" s="1">
        <v>30415700</v>
      </c>
      <c r="N25" s="1">
        <v>30415700</v>
      </c>
      <c r="O25" s="1">
        <v>30415700</v>
      </c>
      <c r="P25" s="1">
        <v>30415700</v>
      </c>
      <c r="Q25" s="1">
        <v>30415700</v>
      </c>
      <c r="R25" s="1">
        <v>30415700</v>
      </c>
      <c r="S25" s="1">
        <v>30415700</v>
      </c>
      <c r="T25" s="1">
        <v>30415700</v>
      </c>
      <c r="U25" s="1">
        <v>30415700</v>
      </c>
      <c r="V25" s="1">
        <v>30415700</v>
      </c>
      <c r="W25" s="1">
        <v>30415700</v>
      </c>
      <c r="X25" s="1">
        <v>30415700</v>
      </c>
      <c r="Y25" s="1">
        <v>30415700</v>
      </c>
      <c r="Z25" s="1">
        <v>30415700</v>
      </c>
      <c r="AA25" s="1">
        <v>30415700</v>
      </c>
      <c r="AB25" s="1">
        <v>30415700</v>
      </c>
      <c r="AC25" s="1">
        <v>30415700</v>
      </c>
      <c r="AD25" s="1">
        <v>30415700</v>
      </c>
      <c r="AE25" s="1">
        <v>30415700</v>
      </c>
      <c r="AF25" s="1">
        <v>30415700</v>
      </c>
      <c r="AG25" s="1">
        <v>30415700</v>
      </c>
      <c r="AH25" s="1">
        <v>30415700</v>
      </c>
      <c r="AI25" s="1">
        <v>30415700</v>
      </c>
      <c r="AJ25" s="1">
        <v>30415700</v>
      </c>
      <c r="AK25" s="1">
        <v>30415700</v>
      </c>
      <c r="AL25" s="1">
        <v>30415700</v>
      </c>
      <c r="AM25" s="1">
        <v>30415700</v>
      </c>
      <c r="AN25" s="1">
        <v>30415700</v>
      </c>
      <c r="AO25" s="1">
        <v>30415700</v>
      </c>
    </row>
    <row r="26" spans="1:41">
      <c r="A26" t="s">
        <v>216</v>
      </c>
      <c r="B26" s="1">
        <v>3213100</v>
      </c>
      <c r="C26" s="1">
        <v>3213100</v>
      </c>
      <c r="D26" s="1">
        <v>3213100</v>
      </c>
      <c r="E26" s="1">
        <v>3213100</v>
      </c>
      <c r="F26" s="1">
        <v>3213100</v>
      </c>
      <c r="G26" s="1">
        <v>3213100</v>
      </c>
      <c r="H26" s="1">
        <v>3213100</v>
      </c>
      <c r="I26" s="1">
        <v>3213100</v>
      </c>
      <c r="J26" s="1">
        <v>3213100</v>
      </c>
      <c r="K26" s="1">
        <v>3213100</v>
      </c>
      <c r="L26" s="1">
        <v>3213100</v>
      </c>
      <c r="M26" s="1">
        <v>3213100</v>
      </c>
      <c r="N26" s="1">
        <v>3213100</v>
      </c>
      <c r="O26" s="1">
        <v>3213100</v>
      </c>
      <c r="P26" s="1">
        <v>3213100</v>
      </c>
      <c r="Q26" s="1">
        <v>3213100</v>
      </c>
      <c r="R26" s="1">
        <v>3213100</v>
      </c>
      <c r="S26" s="1">
        <v>3213100</v>
      </c>
      <c r="T26" s="1">
        <v>3213100</v>
      </c>
      <c r="U26" s="1">
        <v>3213100</v>
      </c>
      <c r="V26" s="1">
        <v>3213100</v>
      </c>
      <c r="W26" s="1">
        <v>3213100</v>
      </c>
      <c r="X26" s="1">
        <v>3213100</v>
      </c>
      <c r="Y26" s="1">
        <v>3213100</v>
      </c>
      <c r="Z26" s="1">
        <v>3213100</v>
      </c>
      <c r="AA26" s="1">
        <v>3213100</v>
      </c>
      <c r="AB26" s="1">
        <v>3213100</v>
      </c>
      <c r="AC26" s="1">
        <v>3213100</v>
      </c>
      <c r="AD26" s="1">
        <v>3213100</v>
      </c>
      <c r="AE26" s="1">
        <v>3213100</v>
      </c>
      <c r="AF26" s="1">
        <v>3213100</v>
      </c>
      <c r="AG26" s="1">
        <v>3213100</v>
      </c>
      <c r="AH26" s="1">
        <v>3213100</v>
      </c>
      <c r="AI26" s="1">
        <v>3213100</v>
      </c>
      <c r="AJ26" s="1">
        <v>3213100</v>
      </c>
      <c r="AK26" s="1">
        <v>3213100</v>
      </c>
      <c r="AL26" s="1">
        <v>3213100</v>
      </c>
      <c r="AM26" s="1">
        <v>3213100</v>
      </c>
      <c r="AN26" s="1">
        <v>3213100</v>
      </c>
      <c r="AO26" s="1">
        <v>3213100</v>
      </c>
    </row>
    <row r="27" spans="1:41">
      <c r="A27" t="s">
        <v>217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t="s">
        <v>218</v>
      </c>
      <c r="B28" s="1">
        <v>4328840</v>
      </c>
      <c r="C28" s="1">
        <v>4328840</v>
      </c>
      <c r="D28" s="1">
        <v>4633690</v>
      </c>
      <c r="E28" s="1">
        <v>5060480</v>
      </c>
      <c r="F28" s="1">
        <v>5975020</v>
      </c>
      <c r="G28" s="1">
        <v>7072470</v>
      </c>
      <c r="H28" s="1">
        <v>7377320</v>
      </c>
      <c r="I28" s="1">
        <v>7743140</v>
      </c>
      <c r="J28" s="1">
        <v>8108960</v>
      </c>
      <c r="K28" s="1">
        <v>8779620</v>
      </c>
      <c r="L28" s="1">
        <v>9450290</v>
      </c>
      <c r="M28" s="1">
        <v>10121000</v>
      </c>
      <c r="N28" s="1">
        <v>10791600</v>
      </c>
      <c r="O28" s="1">
        <v>11462300</v>
      </c>
      <c r="P28" s="1">
        <v>12133000</v>
      </c>
      <c r="Q28" s="1">
        <v>12803600</v>
      </c>
      <c r="R28" s="1">
        <v>13474300</v>
      </c>
      <c r="S28" s="1">
        <v>14084000</v>
      </c>
      <c r="T28" s="1">
        <v>14693700</v>
      </c>
      <c r="U28" s="1">
        <v>15242400</v>
      </c>
      <c r="V28" s="1">
        <v>15730200</v>
      </c>
      <c r="W28" s="1">
        <v>16035000</v>
      </c>
      <c r="X28" s="1">
        <v>16217900</v>
      </c>
      <c r="Y28" s="1">
        <v>16217900</v>
      </c>
      <c r="Z28" s="1">
        <v>16217900</v>
      </c>
      <c r="AA28" s="1">
        <v>16217900</v>
      </c>
      <c r="AB28" s="1">
        <v>16217900</v>
      </c>
      <c r="AC28" s="1">
        <v>16217900</v>
      </c>
      <c r="AD28" s="1">
        <v>16217900</v>
      </c>
      <c r="AE28" s="1">
        <v>16217900</v>
      </c>
      <c r="AF28" s="1">
        <v>16217900</v>
      </c>
      <c r="AG28" s="1">
        <v>16217900</v>
      </c>
      <c r="AH28" s="1">
        <v>16217900</v>
      </c>
      <c r="AI28" s="1">
        <v>16217900</v>
      </c>
      <c r="AJ28" s="1">
        <v>16217900</v>
      </c>
      <c r="AK28" s="1">
        <v>16217900</v>
      </c>
      <c r="AL28" s="1">
        <v>16217900</v>
      </c>
      <c r="AM28" s="1">
        <v>16217900</v>
      </c>
      <c r="AN28" s="1">
        <v>16217900</v>
      </c>
      <c r="AO28" s="1">
        <v>16217900</v>
      </c>
    </row>
    <row r="29" spans="1:41">
      <c r="A29" t="s">
        <v>219</v>
      </c>
      <c r="B29">
        <v>290525</v>
      </c>
      <c r="C29">
        <v>290525</v>
      </c>
      <c r="D29">
        <v>290525</v>
      </c>
      <c r="E29">
        <v>290525</v>
      </c>
      <c r="F29">
        <v>290525</v>
      </c>
      <c r="G29">
        <v>290525</v>
      </c>
      <c r="H29">
        <v>290525</v>
      </c>
      <c r="I29">
        <v>290525</v>
      </c>
      <c r="J29">
        <v>290525</v>
      </c>
      <c r="K29">
        <v>290525</v>
      </c>
      <c r="L29">
        <v>290525</v>
      </c>
      <c r="M29">
        <v>290525</v>
      </c>
      <c r="N29">
        <v>290525</v>
      </c>
      <c r="O29">
        <v>290525</v>
      </c>
      <c r="P29">
        <v>290525</v>
      </c>
      <c r="Q29">
        <v>290525</v>
      </c>
      <c r="R29">
        <v>290525</v>
      </c>
      <c r="S29">
        <v>290525</v>
      </c>
      <c r="T29">
        <v>290525</v>
      </c>
      <c r="U29">
        <v>290525</v>
      </c>
      <c r="V29">
        <v>290525</v>
      </c>
      <c r="W29">
        <v>290525</v>
      </c>
      <c r="X29">
        <v>290525</v>
      </c>
      <c r="Y29">
        <v>290525</v>
      </c>
      <c r="Z29">
        <v>290525</v>
      </c>
      <c r="AA29">
        <v>290525</v>
      </c>
      <c r="AB29">
        <v>290525</v>
      </c>
      <c r="AC29">
        <v>290525</v>
      </c>
      <c r="AD29">
        <v>290525</v>
      </c>
      <c r="AE29">
        <v>290525</v>
      </c>
      <c r="AF29">
        <v>290525</v>
      </c>
      <c r="AG29">
        <v>290525</v>
      </c>
      <c r="AH29">
        <v>290525</v>
      </c>
      <c r="AI29">
        <v>290525</v>
      </c>
      <c r="AJ29">
        <v>290525</v>
      </c>
      <c r="AK29">
        <v>290525</v>
      </c>
      <c r="AL29">
        <v>290525</v>
      </c>
      <c r="AM29">
        <v>290525</v>
      </c>
      <c r="AN29">
        <v>290525</v>
      </c>
      <c r="AO29">
        <v>290525</v>
      </c>
    </row>
    <row r="30" spans="1:41">
      <c r="A30" t="s">
        <v>220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t="s">
        <v>221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t="s">
        <v>222</v>
      </c>
      <c r="B32" s="1">
        <v>82812300</v>
      </c>
      <c r="C32" s="1">
        <v>82812300</v>
      </c>
      <c r="D32" s="1">
        <v>82812300</v>
      </c>
      <c r="E32" s="1">
        <v>82812300</v>
      </c>
      <c r="F32" s="1">
        <v>82812300</v>
      </c>
      <c r="G32" s="1">
        <v>82812300</v>
      </c>
      <c r="H32" s="1">
        <v>82812300</v>
      </c>
      <c r="I32" s="1">
        <v>82812300</v>
      </c>
      <c r="J32" s="1">
        <v>82812300</v>
      </c>
      <c r="K32" s="1">
        <v>82812300</v>
      </c>
      <c r="L32" s="1">
        <v>82812300</v>
      </c>
      <c r="M32" s="1">
        <v>82673900</v>
      </c>
      <c r="N32" s="1">
        <v>82673900</v>
      </c>
      <c r="O32" s="1">
        <v>81428200</v>
      </c>
      <c r="P32" s="1">
        <v>81428200</v>
      </c>
      <c r="Q32" s="1">
        <v>81428200</v>
      </c>
      <c r="R32" s="1">
        <v>80320900</v>
      </c>
      <c r="S32" s="1">
        <v>79905700</v>
      </c>
      <c r="T32" s="1">
        <v>78383200</v>
      </c>
      <c r="U32" s="1">
        <v>73262100</v>
      </c>
      <c r="V32" s="1">
        <v>68694700</v>
      </c>
      <c r="W32" s="1">
        <v>63988800</v>
      </c>
      <c r="X32" s="1">
        <v>61359000</v>
      </c>
      <c r="Y32" s="1">
        <v>60390200</v>
      </c>
      <c r="Z32" s="1">
        <v>59421300</v>
      </c>
      <c r="AA32" s="1">
        <v>57483600</v>
      </c>
      <c r="AB32" s="1">
        <v>55545900</v>
      </c>
      <c r="AC32" s="1">
        <v>51947300</v>
      </c>
      <c r="AD32" s="1">
        <v>44196400</v>
      </c>
      <c r="AE32" s="1">
        <v>38521700</v>
      </c>
      <c r="AF32" s="1">
        <v>36860800</v>
      </c>
      <c r="AG32" s="1">
        <v>32154900</v>
      </c>
      <c r="AH32" s="1">
        <v>24957700</v>
      </c>
      <c r="AI32" s="1">
        <v>19836600</v>
      </c>
      <c r="AJ32" s="1">
        <v>13054600</v>
      </c>
      <c r="AK32" s="1">
        <v>6687870</v>
      </c>
      <c r="AL32" s="1">
        <v>1013150</v>
      </c>
      <c r="AM32">
        <v>0</v>
      </c>
      <c r="AN32">
        <v>0</v>
      </c>
      <c r="AO32">
        <v>0</v>
      </c>
    </row>
    <row r="33" spans="1:41">
      <c r="A33" t="s">
        <v>223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t="s">
        <v>224</v>
      </c>
      <c r="B34" s="1">
        <v>16747400</v>
      </c>
      <c r="C34" s="1">
        <v>31833800</v>
      </c>
      <c r="D34" s="1">
        <v>68650400</v>
      </c>
      <c r="E34" s="1">
        <v>109758000</v>
      </c>
      <c r="F34" s="1">
        <v>122353000</v>
      </c>
      <c r="G34" s="1">
        <v>125121000</v>
      </c>
      <c r="H34" s="1">
        <v>125121000</v>
      </c>
      <c r="I34" s="1">
        <v>125121000</v>
      </c>
      <c r="J34" s="1">
        <v>125121000</v>
      </c>
      <c r="K34" s="1">
        <v>125121000</v>
      </c>
      <c r="L34" s="1">
        <v>125121000</v>
      </c>
      <c r="M34" s="1">
        <v>125121000</v>
      </c>
      <c r="N34" s="1">
        <v>125121000</v>
      </c>
      <c r="O34" s="1">
        <v>125121000</v>
      </c>
      <c r="P34" s="1">
        <v>125121000</v>
      </c>
      <c r="Q34" s="1">
        <v>125121000</v>
      </c>
      <c r="R34" s="1">
        <v>125121000</v>
      </c>
      <c r="S34" s="1">
        <v>125121000</v>
      </c>
      <c r="T34" s="1">
        <v>125121000</v>
      </c>
      <c r="U34" s="1">
        <v>125121000</v>
      </c>
      <c r="V34" s="1">
        <v>125121000</v>
      </c>
      <c r="W34" s="1">
        <v>125121000</v>
      </c>
      <c r="X34" s="1">
        <v>125121000</v>
      </c>
      <c r="Y34" s="1">
        <v>125121000</v>
      </c>
      <c r="Z34" s="1">
        <v>125121000</v>
      </c>
      <c r="AA34" s="1">
        <v>125121000</v>
      </c>
      <c r="AB34" s="1">
        <v>125121000</v>
      </c>
      <c r="AC34" s="1">
        <v>125121000</v>
      </c>
      <c r="AD34" s="1">
        <v>125121000</v>
      </c>
      <c r="AE34" s="1">
        <v>125121000</v>
      </c>
      <c r="AF34" s="1">
        <v>125121000</v>
      </c>
      <c r="AG34" s="1">
        <v>125121000</v>
      </c>
      <c r="AH34" s="1">
        <v>125121000</v>
      </c>
      <c r="AI34" s="1">
        <v>125121000</v>
      </c>
      <c r="AJ34" s="1">
        <v>125121000</v>
      </c>
      <c r="AK34" s="1">
        <v>125121000</v>
      </c>
      <c r="AL34" s="1">
        <v>125121000</v>
      </c>
      <c r="AM34" s="1">
        <v>112293000</v>
      </c>
      <c r="AN34" s="1">
        <v>96929900</v>
      </c>
      <c r="AO34" s="1">
        <v>92224000</v>
      </c>
    </row>
    <row r="35" spans="1:41">
      <c r="A35" t="s">
        <v>225</v>
      </c>
      <c r="B35" s="1">
        <v>229215000</v>
      </c>
      <c r="C35" s="1">
        <v>196510000</v>
      </c>
      <c r="D35" s="1">
        <v>216695000</v>
      </c>
      <c r="E35" s="1">
        <v>221284000</v>
      </c>
      <c r="F35" s="1">
        <v>223007000</v>
      </c>
      <c r="G35" s="1">
        <v>222942000</v>
      </c>
      <c r="H35" s="1">
        <v>223064000</v>
      </c>
      <c r="I35" s="1">
        <v>222750000</v>
      </c>
      <c r="J35" s="1">
        <v>222579000</v>
      </c>
      <c r="K35" s="1">
        <v>222825000</v>
      </c>
      <c r="L35" s="1">
        <v>223029000</v>
      </c>
      <c r="M35" s="1">
        <v>222851000</v>
      </c>
      <c r="N35" s="1">
        <v>223147000</v>
      </c>
      <c r="O35" s="1">
        <v>222983000</v>
      </c>
      <c r="P35" s="1">
        <v>222746000</v>
      </c>
      <c r="Q35" s="1">
        <v>222696000</v>
      </c>
      <c r="R35" s="1">
        <v>222960000</v>
      </c>
      <c r="S35" s="1">
        <v>222809000</v>
      </c>
      <c r="T35" s="1">
        <v>222535000</v>
      </c>
      <c r="U35" s="1">
        <v>221784000</v>
      </c>
      <c r="V35" s="1">
        <v>221542000</v>
      </c>
      <c r="W35" s="1">
        <v>221061000</v>
      </c>
      <c r="X35" s="1">
        <v>220890000</v>
      </c>
      <c r="Y35" s="1">
        <v>221444000</v>
      </c>
      <c r="Z35" s="1">
        <v>221492000</v>
      </c>
      <c r="AA35" s="1">
        <v>221410000</v>
      </c>
      <c r="AB35" s="1">
        <v>221439000</v>
      </c>
      <c r="AC35" s="1">
        <v>220377000</v>
      </c>
      <c r="AD35" s="1">
        <v>219275000</v>
      </c>
      <c r="AE35" s="1">
        <v>217553000</v>
      </c>
      <c r="AF35" s="1">
        <v>220148000</v>
      </c>
      <c r="AG35" s="1">
        <v>218236000</v>
      </c>
      <c r="AH35" s="1">
        <v>216759000</v>
      </c>
      <c r="AI35" s="1">
        <v>234624000</v>
      </c>
      <c r="AJ35" s="1">
        <v>237960000</v>
      </c>
      <c r="AK35" s="1">
        <v>245096000</v>
      </c>
      <c r="AL35" s="1">
        <v>228143000</v>
      </c>
      <c r="AM35" s="1">
        <v>214876000</v>
      </c>
      <c r="AN35" s="1">
        <v>211786000</v>
      </c>
      <c r="AO35" s="1">
        <v>208616000</v>
      </c>
    </row>
    <row r="36" spans="1:41">
      <c r="A36" t="s">
        <v>226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t="s">
        <v>227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t="s">
        <v>228</v>
      </c>
      <c r="B38" s="1">
        <v>34058900</v>
      </c>
      <c r="C38" s="1">
        <v>34058900</v>
      </c>
      <c r="D38" s="1">
        <v>34058900</v>
      </c>
      <c r="E38" s="1">
        <v>34058900</v>
      </c>
      <c r="F38" s="1">
        <v>34058900</v>
      </c>
      <c r="G38" s="1">
        <v>34058900</v>
      </c>
      <c r="H38" s="1">
        <v>34058900</v>
      </c>
      <c r="I38" s="1">
        <v>34058900</v>
      </c>
      <c r="J38" s="1">
        <v>34058900</v>
      </c>
      <c r="K38" s="1">
        <v>34058900</v>
      </c>
      <c r="L38" s="1">
        <v>34058900</v>
      </c>
      <c r="M38" s="1">
        <v>34058900</v>
      </c>
      <c r="N38" s="1">
        <v>34058900</v>
      </c>
      <c r="O38" s="1">
        <v>34048100</v>
      </c>
      <c r="P38" s="1">
        <v>34034300</v>
      </c>
      <c r="Q38" s="1">
        <v>34019000</v>
      </c>
      <c r="R38" s="1">
        <v>34003200</v>
      </c>
      <c r="S38" s="1">
        <v>33980600</v>
      </c>
      <c r="T38" s="1">
        <v>33962300</v>
      </c>
      <c r="U38" s="1">
        <v>33941700</v>
      </c>
      <c r="V38" s="1">
        <v>33909200</v>
      </c>
      <c r="W38" s="1">
        <v>33856400</v>
      </c>
      <c r="X38" s="1">
        <v>33846400</v>
      </c>
      <c r="Y38" s="1">
        <v>33835900</v>
      </c>
      <c r="Z38" s="1">
        <v>33826800</v>
      </c>
      <c r="AA38" s="1">
        <v>33821200</v>
      </c>
      <c r="AB38" s="1">
        <v>33813700</v>
      </c>
      <c r="AC38" s="1">
        <v>33813400</v>
      </c>
      <c r="AD38" s="1">
        <v>33811000</v>
      </c>
      <c r="AE38" s="1">
        <v>33812300</v>
      </c>
      <c r="AF38" s="1">
        <v>33804200</v>
      </c>
      <c r="AG38" s="1">
        <v>33798500</v>
      </c>
      <c r="AH38" s="1">
        <v>33793600</v>
      </c>
      <c r="AI38" s="1">
        <v>33787000</v>
      </c>
      <c r="AJ38" s="1">
        <v>33783300</v>
      </c>
      <c r="AK38" s="1">
        <v>33774200</v>
      </c>
      <c r="AL38" s="1">
        <v>33767800</v>
      </c>
      <c r="AM38" s="1">
        <v>33761600</v>
      </c>
      <c r="AN38" s="1">
        <v>33755900</v>
      </c>
      <c r="AO38" s="1">
        <v>33750600</v>
      </c>
    </row>
    <row r="39" spans="1:41">
      <c r="A39" t="s">
        <v>229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t="s">
        <v>230</v>
      </c>
      <c r="B40" s="1">
        <v>75762100</v>
      </c>
      <c r="C40" s="1">
        <v>91315600</v>
      </c>
      <c r="D40" s="1">
        <v>104788000</v>
      </c>
      <c r="E40" s="1">
        <v>125450000</v>
      </c>
      <c r="F40" s="1">
        <v>166245000</v>
      </c>
      <c r="G40" s="1">
        <v>219434000</v>
      </c>
      <c r="H40" s="1">
        <v>291222000</v>
      </c>
      <c r="I40" s="1">
        <v>370769000</v>
      </c>
      <c r="J40" s="1">
        <v>450088000</v>
      </c>
      <c r="K40" s="1">
        <v>579947000</v>
      </c>
      <c r="L40" s="1">
        <v>727876000</v>
      </c>
      <c r="M40" s="1">
        <v>860914000</v>
      </c>
      <c r="N40" s="1">
        <v>1018470000</v>
      </c>
      <c r="O40" s="1">
        <v>1164920000</v>
      </c>
      <c r="P40" s="1">
        <v>1319320000</v>
      </c>
      <c r="Q40" s="1">
        <v>1468620000</v>
      </c>
      <c r="R40" s="1">
        <v>1664440000</v>
      </c>
      <c r="S40" s="1">
        <v>1818080000</v>
      </c>
      <c r="T40" s="1">
        <v>1979420000</v>
      </c>
      <c r="U40" s="1">
        <v>2201870000</v>
      </c>
      <c r="V40" s="1">
        <v>2507900000</v>
      </c>
      <c r="W40" s="1">
        <v>2524520000</v>
      </c>
      <c r="X40" s="1">
        <v>2535700000</v>
      </c>
      <c r="Y40" s="1">
        <v>2538390000</v>
      </c>
      <c r="Z40" s="1">
        <v>2540050000</v>
      </c>
      <c r="AA40" s="1">
        <v>2541930000</v>
      </c>
      <c r="AB40" s="1">
        <v>2543600000</v>
      </c>
      <c r="AC40" s="1">
        <v>2545750000</v>
      </c>
      <c r="AD40" s="1">
        <v>2547690000</v>
      </c>
      <c r="AE40" s="1">
        <v>2549880000</v>
      </c>
      <c r="AF40" s="1">
        <v>2551180000</v>
      </c>
      <c r="AG40" s="1">
        <v>2552640000</v>
      </c>
      <c r="AH40" s="1">
        <v>2554080000</v>
      </c>
      <c r="AI40" s="1">
        <v>2555370000</v>
      </c>
      <c r="AJ40" s="1">
        <v>2556810000</v>
      </c>
      <c r="AK40" s="1">
        <v>2557790000</v>
      </c>
      <c r="AL40" s="1">
        <v>2558930000</v>
      </c>
      <c r="AM40" s="1">
        <v>2560010000</v>
      </c>
      <c r="AN40" s="1">
        <v>2561080000</v>
      </c>
      <c r="AO40" s="1">
        <v>2562110000</v>
      </c>
    </row>
    <row r="41" spans="1:41">
      <c r="A41" t="s">
        <v>231</v>
      </c>
      <c r="B41">
        <v>65910.2</v>
      </c>
      <c r="C41">
        <v>65910.2</v>
      </c>
      <c r="D41">
        <v>65910.2</v>
      </c>
      <c r="E41">
        <v>65910.2</v>
      </c>
      <c r="F41">
        <v>65910.2</v>
      </c>
      <c r="G41">
        <v>65910.2</v>
      </c>
      <c r="H41">
        <v>65910.2</v>
      </c>
      <c r="I41">
        <v>65910.2</v>
      </c>
      <c r="J41">
        <v>65910.2</v>
      </c>
      <c r="K41">
        <v>65910.2</v>
      </c>
      <c r="L41">
        <v>65910.2</v>
      </c>
      <c r="M41">
        <v>65910.2</v>
      </c>
      <c r="N41">
        <v>65910.2</v>
      </c>
      <c r="O41">
        <v>65910.2</v>
      </c>
      <c r="P41">
        <v>65910.2</v>
      </c>
      <c r="Q41">
        <v>65910.2</v>
      </c>
      <c r="R41">
        <v>65910.2</v>
      </c>
      <c r="S41">
        <v>65910.2</v>
      </c>
      <c r="T41">
        <v>65910.2</v>
      </c>
      <c r="U41">
        <v>65910.2</v>
      </c>
      <c r="V41">
        <v>65910.2</v>
      </c>
      <c r="W41">
        <v>65910.2</v>
      </c>
      <c r="X41">
        <v>65910.2</v>
      </c>
      <c r="Y41">
        <v>65910.2</v>
      </c>
      <c r="Z41">
        <v>65910.2</v>
      </c>
      <c r="AA41">
        <v>65910.2</v>
      </c>
      <c r="AB41">
        <v>65910.2</v>
      </c>
      <c r="AC41">
        <v>65910.2</v>
      </c>
      <c r="AD41">
        <v>65910.2</v>
      </c>
      <c r="AE41">
        <v>65910.2</v>
      </c>
      <c r="AF41">
        <v>65910.2</v>
      </c>
      <c r="AG41">
        <v>65910.2</v>
      </c>
      <c r="AH41">
        <v>65910.2</v>
      </c>
      <c r="AI41">
        <v>65910.2</v>
      </c>
      <c r="AJ41">
        <v>65910.2</v>
      </c>
      <c r="AK41">
        <v>65910.2</v>
      </c>
      <c r="AL41">
        <v>65910.2</v>
      </c>
      <c r="AM41">
        <v>65910.2</v>
      </c>
      <c r="AN41">
        <v>65910.2</v>
      </c>
      <c r="AO41">
        <v>65910.2</v>
      </c>
    </row>
    <row r="42" spans="1:41">
      <c r="A42" t="s">
        <v>232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t="s">
        <v>234</v>
      </c>
      <c r="B44">
        <v>917540</v>
      </c>
      <c r="C44">
        <v>917540</v>
      </c>
      <c r="D44">
        <v>917540</v>
      </c>
      <c r="E44">
        <v>917540</v>
      </c>
      <c r="F44">
        <v>917540</v>
      </c>
      <c r="G44">
        <v>917540</v>
      </c>
      <c r="H44">
        <v>917540</v>
      </c>
      <c r="I44">
        <v>917540</v>
      </c>
      <c r="J44">
        <v>917540</v>
      </c>
      <c r="K44">
        <v>917540</v>
      </c>
      <c r="L44">
        <v>917540</v>
      </c>
      <c r="M44">
        <v>917540</v>
      </c>
      <c r="N44">
        <v>917540</v>
      </c>
      <c r="O44">
        <v>917540</v>
      </c>
      <c r="P44">
        <v>917540</v>
      </c>
      <c r="Q44">
        <v>917540</v>
      </c>
      <c r="R44">
        <v>917540</v>
      </c>
      <c r="S44">
        <v>917540</v>
      </c>
      <c r="T44">
        <v>917540</v>
      </c>
      <c r="U44">
        <v>917540</v>
      </c>
      <c r="V44">
        <v>917540</v>
      </c>
      <c r="W44">
        <v>917540</v>
      </c>
      <c r="X44">
        <v>917540</v>
      </c>
      <c r="Y44">
        <v>917540</v>
      </c>
      <c r="Z44">
        <v>917540</v>
      </c>
      <c r="AA44">
        <v>917540</v>
      </c>
      <c r="AB44">
        <v>917540</v>
      </c>
      <c r="AC44">
        <v>917540</v>
      </c>
      <c r="AD44">
        <v>917540</v>
      </c>
      <c r="AE44">
        <v>917540</v>
      </c>
      <c r="AF44">
        <v>917540</v>
      </c>
      <c r="AG44">
        <v>917540</v>
      </c>
      <c r="AH44">
        <v>917540</v>
      </c>
      <c r="AI44">
        <v>917540</v>
      </c>
      <c r="AJ44">
        <v>917540</v>
      </c>
      <c r="AK44">
        <v>917540</v>
      </c>
      <c r="AL44">
        <v>917540</v>
      </c>
      <c r="AM44">
        <v>917540</v>
      </c>
      <c r="AN44">
        <v>917540</v>
      </c>
      <c r="AO44">
        <v>917540</v>
      </c>
    </row>
    <row r="45" spans="1:41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t="s">
        <v>236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t="s">
        <v>237</v>
      </c>
      <c r="B47" s="1">
        <v>127743000</v>
      </c>
      <c r="C47" s="1">
        <v>127743000</v>
      </c>
      <c r="D47" s="1">
        <v>127743000</v>
      </c>
      <c r="E47" s="1">
        <v>127743000</v>
      </c>
      <c r="F47" s="1">
        <v>127743000</v>
      </c>
      <c r="G47" s="1">
        <v>127743000</v>
      </c>
      <c r="H47" s="1">
        <v>127743000</v>
      </c>
      <c r="I47" s="1">
        <v>127743000</v>
      </c>
      <c r="J47" s="1">
        <v>127743000</v>
      </c>
      <c r="K47" s="1">
        <v>127743000</v>
      </c>
      <c r="L47" s="1">
        <v>127743000</v>
      </c>
      <c r="M47" s="1">
        <v>127743000</v>
      </c>
      <c r="N47" s="1">
        <v>127743000</v>
      </c>
      <c r="O47" s="1">
        <v>127743000</v>
      </c>
      <c r="P47" s="1">
        <v>127743000</v>
      </c>
      <c r="Q47" s="1">
        <v>127743000</v>
      </c>
      <c r="R47" s="1">
        <v>127743000</v>
      </c>
      <c r="S47" s="1">
        <v>127743000</v>
      </c>
      <c r="T47" s="1">
        <v>127743000</v>
      </c>
      <c r="U47" s="1">
        <v>127743000</v>
      </c>
      <c r="V47" s="1">
        <v>127743000</v>
      </c>
      <c r="W47" s="1">
        <v>127743000</v>
      </c>
      <c r="X47" s="1">
        <v>127743000</v>
      </c>
      <c r="Y47" s="1">
        <v>127743000</v>
      </c>
      <c r="Z47" s="1">
        <v>127743000</v>
      </c>
      <c r="AA47" s="1">
        <v>127743000</v>
      </c>
      <c r="AB47" s="1">
        <v>127743000</v>
      </c>
      <c r="AC47" s="1">
        <v>127743000</v>
      </c>
      <c r="AD47" s="1">
        <v>127743000</v>
      </c>
      <c r="AE47" s="1">
        <v>127743000</v>
      </c>
      <c r="AF47" s="1">
        <v>127743000</v>
      </c>
      <c r="AG47" s="1">
        <v>127743000</v>
      </c>
      <c r="AH47" s="1">
        <v>127743000</v>
      </c>
      <c r="AI47" s="1">
        <v>127743000</v>
      </c>
      <c r="AJ47" s="1">
        <v>127626000</v>
      </c>
      <c r="AK47" s="1">
        <v>127626000</v>
      </c>
      <c r="AL47" s="1">
        <v>127626000</v>
      </c>
      <c r="AM47" s="1">
        <v>127626000</v>
      </c>
      <c r="AN47" s="1">
        <v>127626000</v>
      </c>
      <c r="AO47" s="1">
        <v>127626000</v>
      </c>
    </row>
    <row r="48" spans="1:41">
      <c r="A48" t="s">
        <v>238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t="s">
        <v>239</v>
      </c>
      <c r="B49" s="1">
        <v>53360700</v>
      </c>
      <c r="C49" s="1">
        <v>101478000</v>
      </c>
      <c r="D49" s="1">
        <v>101478000</v>
      </c>
      <c r="E49" s="1">
        <v>101595000</v>
      </c>
      <c r="F49" s="1">
        <v>101828000</v>
      </c>
      <c r="G49" s="1">
        <v>102061000</v>
      </c>
      <c r="H49" s="1">
        <v>102411000</v>
      </c>
      <c r="I49" s="1">
        <v>102644000</v>
      </c>
      <c r="J49" s="1">
        <v>102877000</v>
      </c>
      <c r="K49" s="1">
        <v>103226000</v>
      </c>
      <c r="L49" s="1">
        <v>103576000</v>
      </c>
      <c r="M49" s="1">
        <v>103925000</v>
      </c>
      <c r="N49" s="1">
        <v>104275000</v>
      </c>
      <c r="O49" s="1">
        <v>104624000</v>
      </c>
      <c r="P49" s="1">
        <v>104974000</v>
      </c>
      <c r="Q49" s="1">
        <v>105323000</v>
      </c>
      <c r="R49" s="1">
        <v>105673000</v>
      </c>
      <c r="S49" s="1">
        <v>105906000</v>
      </c>
      <c r="T49" s="1">
        <v>106255000</v>
      </c>
      <c r="U49" s="1">
        <v>106721000</v>
      </c>
      <c r="V49" s="1">
        <v>107304000</v>
      </c>
      <c r="W49" s="1">
        <v>108236000</v>
      </c>
      <c r="X49" s="1">
        <v>109168000</v>
      </c>
      <c r="Y49" s="1">
        <v>110100000</v>
      </c>
      <c r="Z49" s="1">
        <v>110916000</v>
      </c>
      <c r="AA49" s="1">
        <v>111731000</v>
      </c>
      <c r="AB49" s="1">
        <v>112430000</v>
      </c>
      <c r="AC49" s="1">
        <v>113013000</v>
      </c>
      <c r="AD49" s="1">
        <v>113595000</v>
      </c>
      <c r="AE49" s="1">
        <v>114294000</v>
      </c>
      <c r="AF49" s="1">
        <v>114760000</v>
      </c>
      <c r="AG49" s="1">
        <v>115343000</v>
      </c>
      <c r="AH49" s="1">
        <v>115809000</v>
      </c>
      <c r="AI49" s="1">
        <v>116275000</v>
      </c>
      <c r="AJ49" s="1">
        <v>116858000</v>
      </c>
      <c r="AK49" s="1">
        <v>117324000</v>
      </c>
      <c r="AL49" s="1">
        <v>117790000</v>
      </c>
      <c r="AM49" s="1">
        <v>118256000</v>
      </c>
      <c r="AN49" s="1">
        <v>118605000</v>
      </c>
      <c r="AO49" s="1">
        <v>118955000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499984740745262"/>
  </sheetPr>
  <dimension ref="A1:AU2"/>
  <sheetViews>
    <sheetView topLeftCell="S1" workbookViewId="0">
      <selection activeCell="AU2" sqref="AU2"/>
    </sheetView>
  </sheetViews>
  <sheetFormatPr defaultColWidth="9" defaultRowHeight="13.85" outlineLevelRow="1"/>
  <cols>
    <col min="2" max="47" width="8.50442477876106" customWidth="1"/>
  </cols>
  <sheetData>
    <row r="1" spans="1:47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</row>
    <row r="2" s="1" customFormat="1" spans="1:47">
      <c r="A2" t="s">
        <v>240</v>
      </c>
      <c r="B2" s="1">
        <f>Calculation!B$47</f>
        <v>5071893.05065931</v>
      </c>
      <c r="C2" s="1">
        <f>Calculation!C$47</f>
        <v>5301387.32387645</v>
      </c>
      <c r="D2" s="1">
        <f>Calculation!D$47</f>
        <v>5566069.59451967</v>
      </c>
      <c r="E2" s="1">
        <f>Calculation!E$47</f>
        <v>5812569.87596729</v>
      </c>
      <c r="F2" s="1">
        <f>Calculation!F$47</f>
        <v>6060543.95408066</v>
      </c>
      <c r="G2" s="1">
        <f>Calculation!G$47</f>
        <v>6576241.07566936</v>
      </c>
      <c r="H2" s="1">
        <f>Calculation!H$48</f>
        <v>6940593.95344679</v>
      </c>
      <c r="I2" s="1">
        <f>Calculation!I$48</f>
        <v>7107494.34790914</v>
      </c>
      <c r="J2" s="1">
        <f>Calculation!J$48</f>
        <v>7269527.24468314</v>
      </c>
      <c r="K2" s="1">
        <f>Calculation!K$48</f>
        <v>7423259.49527125</v>
      </c>
      <c r="L2" s="1">
        <f>Calculation!L$48</f>
        <v>7571089.17525947</v>
      </c>
      <c r="M2" s="1">
        <f>Calculation!M$48</f>
        <v>7720928.71060603</v>
      </c>
      <c r="N2" s="1">
        <f>Calculation!N$48</f>
        <v>7888551.49877776</v>
      </c>
      <c r="O2" s="1">
        <f>Calculation!O$48</f>
        <v>8050676.05621929</v>
      </c>
      <c r="P2" s="1">
        <f>Calculation!P$48</f>
        <v>8200004.47072331</v>
      </c>
      <c r="Q2" s="1">
        <f>Calculation!Q$48</f>
        <v>8377914.52586191</v>
      </c>
      <c r="R2" s="1">
        <f>Calculation!R$48</f>
        <v>8557209.05161872</v>
      </c>
      <c r="S2" s="1">
        <f>Calculation!S$48</f>
        <v>8712779.3165015</v>
      </c>
      <c r="T2" s="1">
        <f>Calculation!T$48</f>
        <v>8879905.67778086</v>
      </c>
      <c r="U2" s="1">
        <f>Calculation!U$48</f>
        <v>9036625.4880238</v>
      </c>
      <c r="V2" s="1">
        <f>Calculation!V$48</f>
        <v>9193315.4391692</v>
      </c>
      <c r="W2" s="1">
        <f>Calculation!W$48</f>
        <v>9341272.53244637</v>
      </c>
      <c r="X2" s="1">
        <f>Calculation!X$48</f>
        <v>9481799.86371347</v>
      </c>
      <c r="Y2" s="1">
        <f>Calculation!Y$48</f>
        <v>9619226.96509967</v>
      </c>
      <c r="Z2" s="1">
        <f>Calculation!Z$48</f>
        <v>9749073.4993065</v>
      </c>
      <c r="AA2" s="1">
        <f>Calculation!AA$48</f>
        <v>9880557.35908369</v>
      </c>
      <c r="AB2" s="1">
        <f>Calculation!AB$48</f>
        <v>10005069.0548162</v>
      </c>
      <c r="AC2" s="1">
        <f>Calculation!AC$48</f>
        <v>10127886.2385784</v>
      </c>
      <c r="AD2" s="1">
        <f>Calculation!AD$48</f>
        <v>10251458.2952034</v>
      </c>
      <c r="AE2" s="1">
        <f>Calculation!AE$48</f>
        <v>10369405.9100026</v>
      </c>
      <c r="AF2" s="1">
        <f>Calculation!AF$48</f>
        <v>10478466.7633936</v>
      </c>
      <c r="AG2" s="1">
        <f>Calculation!AG$48</f>
        <v>10586189.3612163</v>
      </c>
      <c r="AH2" s="1">
        <f>Calculation!AH$48</f>
        <v>10692458.9505814</v>
      </c>
      <c r="AI2" s="1">
        <f>Calculation!AI$48</f>
        <v>10795413.0405639</v>
      </c>
      <c r="AJ2" s="1">
        <f>Calculation!AJ$48</f>
        <v>10896752.8274435</v>
      </c>
      <c r="AK2" s="1">
        <f>Calculation!AK$48</f>
        <v>10990994.1986115</v>
      </c>
      <c r="AL2" s="1">
        <f>Calculation!AL$48</f>
        <v>11080991.6318319</v>
      </c>
      <c r="AM2" s="1">
        <f>Calculation!AM$48</f>
        <v>11167975.3938123</v>
      </c>
      <c r="AN2" s="1">
        <f>Calculation!AN$48</f>
        <v>11257863.423157</v>
      </c>
      <c r="AO2" s="1">
        <f>Calculation!AO$48</f>
        <v>11342630.1809555</v>
      </c>
      <c r="AP2" s="1">
        <f>Calculation!AP$48</f>
        <v>11423446.8556091</v>
      </c>
      <c r="AQ2" s="1">
        <f>Calculation!AQ$48</f>
        <v>11501238.0869224</v>
      </c>
      <c r="AR2" s="1">
        <f>Calculation!AR$48</f>
        <v>11578586.3744322</v>
      </c>
      <c r="AS2" s="1">
        <f>Calculation!AS$48</f>
        <v>11656512.861336</v>
      </c>
      <c r="AT2" s="1">
        <f>Calculation!AT$48</f>
        <v>11736125.5502701</v>
      </c>
      <c r="AU2" s="1">
        <f>Calculation!AU$48</f>
        <v>11808567.3509432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2015-20线路长度</vt:lpstr>
      <vt:lpstr>Capacity by Linetype</vt:lpstr>
      <vt:lpstr>Calculation</vt:lpstr>
      <vt:lpstr>BAU Capacity</vt:lpstr>
      <vt:lpstr>BAU Generation</vt:lpstr>
      <vt:lpstr>BTC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仰望星空✨✨</cp:lastModifiedBy>
  <dcterms:created xsi:type="dcterms:W3CDTF">2022-01-13T07:03:00Z</dcterms:created>
  <dcterms:modified xsi:type="dcterms:W3CDTF">2026-04-01T07:20:50Z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79D6623574864193A9E0671AF268AA00_12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