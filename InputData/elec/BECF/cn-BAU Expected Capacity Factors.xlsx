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0" windowHeight="12400" tabRatio="816" activeTab="11"/>
  </bookViews>
  <sheets>
    <sheet name="About" sheetId="37" r:id="rId1"/>
    <sheet name="Province Selector" sheetId="38" r:id="rId2"/>
    <sheet name="Renewable" sheetId="33" r:id="rId3"/>
    <sheet name="Biomass" sheetId="26" r:id="rId4"/>
    <sheet name="Thermal" sheetId="27" r:id="rId5"/>
    <sheet name="Solar" sheetId="32" r:id="rId6"/>
    <sheet name="Offshore" sheetId="34" r:id="rId7"/>
    <sheet name="Geothermal" sheetId="39" r:id="rId8"/>
    <sheet name="Solar Thermal" sheetId="36" r:id="rId9"/>
    <sheet name="BECF-pre-ret" sheetId="28" r:id="rId10"/>
    <sheet name="BECF-pre-nonret" sheetId="29" r:id="rId11"/>
    <sheet name="BECF-new" sheetId="30" r:id="rId12"/>
  </sheets>
  <externalReferences>
    <externalReference r:id="rId13"/>
  </externalReferences>
  <definedNames>
    <definedName name="cpi_2019_to_2012">[1]About!$A$97</definedName>
    <definedName name="cpi_2020_to_2012">[1]About!$A$99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<sst xmlns="http://schemas.openxmlformats.org/spreadsheetml/2006/main" count="1627" uniqueCount="426">
  <si>
    <t>BAU Expected Capacity Factors</t>
  </si>
  <si>
    <t>Source:</t>
  </si>
  <si>
    <t>Capacity, Generation and Operation Hours</t>
  </si>
  <si>
    <t>Thermal, Hydro, Nuclear, Onshore Wind, Solar, Biomass, MSW</t>
  </si>
  <si>
    <t>China Electricity Council</t>
  </si>
  <si>
    <t>中国电力工业统计资料汇编 （Compilation of China Power Sector Statistics)</t>
  </si>
  <si>
    <t>2016, 2017, 2018, 2019, 2020,2021,2022</t>
  </si>
  <si>
    <t>Chapter 2 (Power Generation)</t>
  </si>
  <si>
    <t>Distributed Solar &amp; Solar Stations</t>
  </si>
  <si>
    <t>National Energy Administration</t>
  </si>
  <si>
    <t>光伏发电建设运行情况 （Construction and Operation Status of Solar Power)</t>
  </si>
  <si>
    <t>2016-2022</t>
  </si>
  <si>
    <r>
      <rPr>
        <u/>
        <sz val="10"/>
        <color rgb="FF800080"/>
        <rFont val="Arial"/>
        <charset val="134"/>
      </rPr>
      <t>2022</t>
    </r>
    <r>
      <rPr>
        <u/>
        <sz val="10"/>
        <color rgb="FF800080"/>
        <rFont val="宋体"/>
        <charset val="134"/>
      </rPr>
      <t>年光伏发电建设运行情况</t>
    </r>
    <r>
      <rPr>
        <u/>
        <sz val="10"/>
        <color rgb="FF800080"/>
        <rFont val="Arial"/>
        <charset val="134"/>
      </rPr>
      <t>---</t>
    </r>
    <r>
      <rPr>
        <u/>
        <sz val="10"/>
        <color rgb="FF800080"/>
        <rFont val="宋体"/>
        <charset val="134"/>
      </rPr>
      <t>国家能源局</t>
    </r>
    <r>
      <rPr>
        <u/>
        <sz val="10"/>
        <color rgb="FF800080"/>
        <rFont val="Arial"/>
        <charset val="134"/>
      </rPr>
      <t xml:space="preserve"> (nea.gov.cn)</t>
    </r>
  </si>
  <si>
    <t>2021年光伏发电建设运行情况---国家能源局 (nea.gov.cn)</t>
  </si>
  <si>
    <t>国家能源局公布2020年可再生能源发展情况_中国电力网 (chinapower.com.cn)</t>
  </si>
  <si>
    <t>2019年光伏发电并网运行情况---国家能源局 (nea.gov.cn)</t>
  </si>
  <si>
    <t>2018年光伏发电统计信息---国家能源局 (nea.gov.cn)</t>
  </si>
  <si>
    <t>2017年全国光伏发电装机1.30亿千瓦，光伏发电量1182亿千瓦时-国际能源网能源资讯中心 (in-en.com)</t>
  </si>
  <si>
    <t>2016年光伏发电统计信息---国家能源局 (nea.gov.cn)</t>
  </si>
  <si>
    <t>Solar Thermal</t>
  </si>
  <si>
    <t>China Solar Thermal Allaince (CNSTE)</t>
  </si>
  <si>
    <t>Blue Book of Concentrating Solar Power Industry (Chinese)</t>
  </si>
  <si>
    <r>
      <rPr>
        <u/>
        <sz val="10"/>
        <color rgb="FF800080"/>
        <rFont val="Arial"/>
        <charset val="134"/>
      </rPr>
      <t>2022</t>
    </r>
    <r>
      <rPr>
        <u/>
        <sz val="10"/>
        <color rgb="FF800080"/>
        <rFont val="宋体"/>
        <charset val="134"/>
      </rPr>
      <t>中国太阳能热发电行业蓝皮书</t>
    </r>
    <r>
      <rPr>
        <u/>
        <sz val="10"/>
        <color rgb="FF800080"/>
        <rFont val="Arial"/>
        <charset val="134"/>
      </rPr>
      <t>.pdf</t>
    </r>
  </si>
  <si>
    <r>
      <rPr>
        <u/>
        <sz val="10"/>
        <color theme="10"/>
        <rFont val="Arial"/>
        <charset val="134"/>
      </rPr>
      <t>2021</t>
    </r>
    <r>
      <rPr>
        <u/>
        <sz val="10"/>
        <color theme="10"/>
        <rFont val="微软雅黑"/>
        <charset val="134"/>
      </rPr>
      <t>中国太阳能热发电行业蓝皮书</t>
    </r>
    <r>
      <rPr>
        <u/>
        <sz val="10"/>
        <color theme="10"/>
        <rFont val="Arial"/>
        <charset val="134"/>
      </rPr>
      <t>.pdf</t>
    </r>
  </si>
  <si>
    <t>Offshore Wind</t>
  </si>
  <si>
    <t>Ministry of Finance</t>
  </si>
  <si>
    <t xml:space="preserve">Additional Announcement re: Several Opinions on Promoting the Healthy Development of non-Hydro Renewable </t>
  </si>
  <si>
    <t>关于《关于促进非水可再生能源发电健康发展的若干意见》有关事项的补充通知</t>
  </si>
  <si>
    <t>Wikipedia: List of offshore wind farms in China</t>
  </si>
  <si>
    <t>Geothermal</t>
  </si>
  <si>
    <r>
      <rPr>
        <sz val="10"/>
        <rFont val="Arial"/>
        <charset val="134"/>
      </rPr>
      <t>Gutiérrez-Negrín, L.C.A. Evolution of worldwide geothermal power 2020–2023.</t>
    </r>
    <r>
      <rPr>
        <sz val="10"/>
        <color rgb="FF333333"/>
        <rFont val="Arial"/>
        <charset val="134"/>
      </rPr>
      <t> </t>
    </r>
    <r>
      <rPr>
        <i/>
        <sz val="10"/>
        <color rgb="FF333333"/>
        <rFont val="Arial"/>
        <charset val="134"/>
      </rPr>
      <t>Geotherm Energy</t>
    </r>
    <r>
      <rPr>
        <sz val="10"/>
        <color rgb="FF333333"/>
        <rFont val="Arial"/>
        <charset val="134"/>
      </rPr>
      <t> </t>
    </r>
    <r>
      <rPr>
        <b/>
        <sz val="10"/>
        <color rgb="FF333333"/>
        <rFont val="Arial"/>
        <charset val="134"/>
      </rPr>
      <t>12</t>
    </r>
    <r>
      <rPr>
        <sz val="10"/>
        <color rgb="FF333333"/>
        <rFont val="Arial"/>
        <charset val="134"/>
      </rPr>
      <t>, 14 (2024). https://doi.org/10.1186/s40517-024-00290-w</t>
    </r>
  </si>
  <si>
    <t>Notes:</t>
  </si>
  <si>
    <t>We do not distinguish between the expected CF for pre-exisint retiring, nonretiring and new facilities</t>
  </si>
  <si>
    <t>For 2019-2021, the exact CF is used</t>
  </si>
  <si>
    <t xml:space="preserve">For year beyond 2021, the median CF of 2016-2021 is used for incumben technology, and </t>
  </si>
  <si>
    <t>maximum CF is used for emerging technology</t>
  </si>
  <si>
    <t>Region Selector</t>
  </si>
  <si>
    <t>This excel file includes data required for all Chinese provinces (excluding Taiwan, Hong Kong, Macau,</t>
  </si>
  <si>
    <t xml:space="preserve">and sometimes Tibet). You can use the selector below to choose which province/region you would </t>
  </si>
  <si>
    <t>like to calculate for:</t>
  </si>
  <si>
    <t>Province Selector</t>
  </si>
  <si>
    <t>全国 National</t>
  </si>
  <si>
    <t>Provincial Capacity Factors:</t>
  </si>
  <si>
    <t>Coal &amp; Gangue (Lignite), Natural Gas (Peaker &amp; Non-peaker), Biomass, PV, Onshore Wind, Hydro</t>
  </si>
  <si>
    <t>National Capacity Factors</t>
  </si>
  <si>
    <t>Nulcear, Solar Thermal, Geothermal, Oil (Petroleum, Crude &amp; Fuel Oil)， Offshore Wind</t>
  </si>
  <si>
    <t>Code</t>
  </si>
  <si>
    <t>地区名称</t>
  </si>
  <si>
    <t>地区全称</t>
  </si>
  <si>
    <t>地区简称</t>
  </si>
  <si>
    <t>Name</t>
  </si>
  <si>
    <t>缩写</t>
  </si>
  <si>
    <t>00</t>
  </si>
  <si>
    <t>全国</t>
  </si>
  <si>
    <t>National</t>
  </si>
  <si>
    <t>CN</t>
  </si>
  <si>
    <t>北京市 Beijing</t>
  </si>
  <si>
    <t>北京市</t>
  </si>
  <si>
    <t>北京</t>
  </si>
  <si>
    <t>Beijing</t>
  </si>
  <si>
    <t>BJ</t>
  </si>
  <si>
    <t>天津市 Tianjin</t>
  </si>
  <si>
    <t>天津市</t>
  </si>
  <si>
    <t>天津</t>
  </si>
  <si>
    <t>Tianjin</t>
  </si>
  <si>
    <t>TJ</t>
  </si>
  <si>
    <t>河北省 Hebei</t>
  </si>
  <si>
    <t>河北省</t>
  </si>
  <si>
    <t>河北</t>
  </si>
  <si>
    <t>Hebei</t>
  </si>
  <si>
    <t>HE</t>
  </si>
  <si>
    <t>山西省 Shanxi</t>
  </si>
  <si>
    <t>山西省</t>
  </si>
  <si>
    <t>山西</t>
  </si>
  <si>
    <t>Shanxi</t>
  </si>
  <si>
    <t>SX</t>
  </si>
  <si>
    <t>内蒙古自治区 Inner Mongolia</t>
  </si>
  <si>
    <t>内蒙古自治区</t>
  </si>
  <si>
    <t>内蒙古</t>
  </si>
  <si>
    <t>Inner Mongolia</t>
  </si>
  <si>
    <t>NM</t>
  </si>
  <si>
    <t>辽宁省 Liaoning</t>
  </si>
  <si>
    <t>辽宁省</t>
  </si>
  <si>
    <t>辽宁</t>
  </si>
  <si>
    <t>Liaoning</t>
  </si>
  <si>
    <t>LN</t>
  </si>
  <si>
    <t>吉林省 Jilin</t>
  </si>
  <si>
    <t>吉林省</t>
  </si>
  <si>
    <t>吉林</t>
  </si>
  <si>
    <t>Jilin</t>
  </si>
  <si>
    <t>JL</t>
  </si>
  <si>
    <t>黑龙江省 Heilongjiang</t>
  </si>
  <si>
    <t>黑龙江省</t>
  </si>
  <si>
    <t>黑龙江</t>
  </si>
  <si>
    <t>Heilongjiang</t>
  </si>
  <si>
    <t>HL</t>
  </si>
  <si>
    <t>上海市 Shanghai</t>
  </si>
  <si>
    <t>上海市</t>
  </si>
  <si>
    <t>上海</t>
  </si>
  <si>
    <t>Shanghai</t>
  </si>
  <si>
    <t>SH</t>
  </si>
  <si>
    <t>江苏省 Jiangsu</t>
  </si>
  <si>
    <t>江苏省</t>
  </si>
  <si>
    <t>江苏</t>
  </si>
  <si>
    <t>Jiangsu</t>
  </si>
  <si>
    <t>JS</t>
  </si>
  <si>
    <t>浙江省 Zhejiang</t>
  </si>
  <si>
    <t>浙江省</t>
  </si>
  <si>
    <t>浙江</t>
  </si>
  <si>
    <t>Zhejiang</t>
  </si>
  <si>
    <t>ZJ</t>
  </si>
  <si>
    <t>安徽省 Anhui</t>
  </si>
  <si>
    <t>安徽省</t>
  </si>
  <si>
    <t>安徽</t>
  </si>
  <si>
    <t>Anhui</t>
  </si>
  <si>
    <t>AH</t>
  </si>
  <si>
    <t>福建省 Fujian</t>
  </si>
  <si>
    <t>福建省</t>
  </si>
  <si>
    <t>福建</t>
  </si>
  <si>
    <t>Fujian</t>
  </si>
  <si>
    <t>FJ</t>
  </si>
  <si>
    <t>江西省 Jiangxi</t>
  </si>
  <si>
    <t>江西省</t>
  </si>
  <si>
    <t>江西</t>
  </si>
  <si>
    <t>Jiangxi</t>
  </si>
  <si>
    <t>JX</t>
  </si>
  <si>
    <t>山东省 Shandong</t>
  </si>
  <si>
    <t>山东省</t>
  </si>
  <si>
    <t>山东</t>
  </si>
  <si>
    <t>Shandong</t>
  </si>
  <si>
    <t>SD</t>
  </si>
  <si>
    <t>河南省 Henan</t>
  </si>
  <si>
    <t>河南省</t>
  </si>
  <si>
    <t>河南</t>
  </si>
  <si>
    <t>Henan</t>
  </si>
  <si>
    <t>HA</t>
  </si>
  <si>
    <t>湖北省 Hubei</t>
  </si>
  <si>
    <t>湖北省</t>
  </si>
  <si>
    <t>湖北</t>
  </si>
  <si>
    <t>Hubei</t>
  </si>
  <si>
    <t>HB</t>
  </si>
  <si>
    <t>湖南省 Hunan</t>
  </si>
  <si>
    <t>湖南省</t>
  </si>
  <si>
    <t>湖南</t>
  </si>
  <si>
    <t>Hunan</t>
  </si>
  <si>
    <t>HN</t>
  </si>
  <si>
    <t>广东省 Guangdong</t>
  </si>
  <si>
    <t>广东省</t>
  </si>
  <si>
    <t>广东</t>
  </si>
  <si>
    <t>Guangdong</t>
  </si>
  <si>
    <t>GD</t>
  </si>
  <si>
    <t>广西壮族自治区 Guangxi</t>
  </si>
  <si>
    <t>广西壮族自治区</t>
  </si>
  <si>
    <t>广西</t>
  </si>
  <si>
    <t>Guangxi</t>
  </si>
  <si>
    <t>GX</t>
  </si>
  <si>
    <t>海南省 Hainan</t>
  </si>
  <si>
    <t>海南省</t>
  </si>
  <si>
    <t>海南</t>
  </si>
  <si>
    <t>Hainan</t>
  </si>
  <si>
    <t>HI</t>
  </si>
  <si>
    <t>重庆市 Chongqing</t>
  </si>
  <si>
    <t>重庆市</t>
  </si>
  <si>
    <t>重庆</t>
  </si>
  <si>
    <t>Chongqing</t>
  </si>
  <si>
    <t>CQ</t>
  </si>
  <si>
    <t>四川省 Sichuan</t>
  </si>
  <si>
    <t>四川省</t>
  </si>
  <si>
    <t>四川</t>
  </si>
  <si>
    <t>Sichuan</t>
  </si>
  <si>
    <t>SC</t>
  </si>
  <si>
    <t>贵州省 Guizhou</t>
  </si>
  <si>
    <t>贵州省</t>
  </si>
  <si>
    <t>贵州</t>
  </si>
  <si>
    <t>Guizhou</t>
  </si>
  <si>
    <t>GZ</t>
  </si>
  <si>
    <t>云南省 Yunnan</t>
  </si>
  <si>
    <t>云南省</t>
  </si>
  <si>
    <t>云南</t>
  </si>
  <si>
    <t>Yunnan</t>
  </si>
  <si>
    <t>YN</t>
  </si>
  <si>
    <t>西藏自治区 Tibet</t>
  </si>
  <si>
    <t>西藏自治区</t>
  </si>
  <si>
    <t>西藏</t>
  </si>
  <si>
    <t>Tibet</t>
  </si>
  <si>
    <t>XZ</t>
  </si>
  <si>
    <t>陕西省 Shaanxi</t>
  </si>
  <si>
    <t>陕西省</t>
  </si>
  <si>
    <t>陕西</t>
  </si>
  <si>
    <t>Shaanxi</t>
  </si>
  <si>
    <t>SN</t>
  </si>
  <si>
    <t>甘肃省 Gansu</t>
  </si>
  <si>
    <t>甘肃省</t>
  </si>
  <si>
    <t>甘肃</t>
  </si>
  <si>
    <t>Gansu</t>
  </si>
  <si>
    <t>GS</t>
  </si>
  <si>
    <t>青海省 Qinghai</t>
  </si>
  <si>
    <t>青海省</t>
  </si>
  <si>
    <t>青海</t>
  </si>
  <si>
    <t>Qinghai</t>
  </si>
  <si>
    <t>QH</t>
  </si>
  <si>
    <t>宁夏回族自治区 Ningxia</t>
  </si>
  <si>
    <t>宁夏回族自治区</t>
  </si>
  <si>
    <t>宁夏</t>
  </si>
  <si>
    <t>Ningxia</t>
  </si>
  <si>
    <t>NX</t>
  </si>
  <si>
    <t>新疆维吾尔自治区 Xijiang</t>
  </si>
  <si>
    <t>新疆维吾尔自治区</t>
  </si>
  <si>
    <t>新疆</t>
  </si>
  <si>
    <t>Xijiang</t>
  </si>
  <si>
    <t>XJ</t>
  </si>
  <si>
    <t>年末装机量（万千瓦）  Year End Total Capacity (10MW)</t>
  </si>
  <si>
    <r>
      <rPr>
        <sz val="10"/>
        <rFont val="宋体"/>
        <charset val="134"/>
      </rPr>
      <t>地区</t>
    </r>
  </si>
  <si>
    <r>
      <rPr>
        <sz val="10"/>
        <rFont val="SimSun"/>
        <charset val="134"/>
      </rPr>
      <t>合计</t>
    </r>
  </si>
  <si>
    <r>
      <rPr>
        <sz val="10"/>
        <rFont val="SimSun"/>
        <charset val="134"/>
      </rPr>
      <t>水电</t>
    </r>
  </si>
  <si>
    <r>
      <rPr>
        <sz val="10"/>
        <rFont val="SimSun"/>
        <charset val="134"/>
      </rPr>
      <t>火电</t>
    </r>
  </si>
  <si>
    <r>
      <rPr>
        <sz val="10"/>
        <rFont val="SimSun"/>
        <charset val="134"/>
      </rPr>
      <t>核电</t>
    </r>
  </si>
  <si>
    <r>
      <rPr>
        <sz val="10"/>
        <rFont val="SimSun"/>
        <charset val="134"/>
      </rPr>
      <t>风电</t>
    </r>
  </si>
  <si>
    <r>
      <rPr>
        <sz val="10"/>
        <rFont val="SimSun"/>
        <charset val="134"/>
      </rPr>
      <t>太阳能发电</t>
    </r>
  </si>
  <si>
    <r>
      <rPr>
        <sz val="10"/>
        <rFont val="SimSun"/>
        <charset val="134"/>
      </rPr>
      <t>其他</t>
    </r>
  </si>
  <si>
    <t>核电容量因子</t>
  </si>
  <si>
    <t>风电容量因子</t>
  </si>
  <si>
    <t>水电容量因子</t>
  </si>
  <si>
    <r>
      <rPr>
        <sz val="10"/>
        <rFont val="Arial"/>
        <charset val="134"/>
      </rPr>
      <t>2016</t>
    </r>
    <r>
      <rPr>
        <sz val="10"/>
        <rFont val="MS Gothic"/>
        <charset val="128"/>
      </rPr>
      <t>年</t>
    </r>
  </si>
  <si>
    <r>
      <rPr>
        <sz val="10"/>
        <rFont val="Arial"/>
        <charset val="134"/>
      </rPr>
      <t>2017</t>
    </r>
    <r>
      <rPr>
        <sz val="10"/>
        <rFont val="MS Gothic"/>
        <charset val="128"/>
      </rPr>
      <t>年</t>
    </r>
  </si>
  <si>
    <t>2018年</t>
  </si>
  <si>
    <r>
      <rPr>
        <sz val="10"/>
        <rFont val="Arial"/>
        <charset val="134"/>
      </rPr>
      <t>2019</t>
    </r>
    <r>
      <rPr>
        <sz val="10"/>
        <rFont val="宋体"/>
        <charset val="134"/>
      </rPr>
      <t>年</t>
    </r>
  </si>
  <si>
    <r>
      <rPr>
        <sz val="10"/>
        <rFont val="Arial"/>
        <charset val="134"/>
      </rPr>
      <t>2020</t>
    </r>
    <r>
      <rPr>
        <sz val="10"/>
        <rFont val="宋体"/>
        <charset val="134"/>
      </rPr>
      <t>年</t>
    </r>
  </si>
  <si>
    <r>
      <rPr>
        <sz val="10"/>
        <rFont val="Arial"/>
        <charset val="134"/>
      </rPr>
      <t>2021</t>
    </r>
    <r>
      <rPr>
        <sz val="10"/>
        <rFont val="宋体"/>
        <charset val="134"/>
      </rPr>
      <t>年</t>
    </r>
  </si>
  <si>
    <r>
      <rPr>
        <sz val="10"/>
        <rFont val="Arial"/>
        <charset val="134"/>
      </rPr>
      <t>2022</t>
    </r>
    <r>
      <rPr>
        <sz val="10"/>
        <rFont val="宋体"/>
        <charset val="134"/>
      </rPr>
      <t>年</t>
    </r>
  </si>
  <si>
    <t>2016年</t>
  </si>
  <si>
    <r>
      <rPr>
        <sz val="10"/>
        <rFont val="Arial"/>
        <charset val="134"/>
      </rPr>
      <t>2017</t>
    </r>
    <r>
      <rPr>
        <sz val="10"/>
        <rFont val="微软雅黑"/>
        <charset val="134"/>
      </rPr>
      <t>年</t>
    </r>
  </si>
  <si>
    <r>
      <rPr>
        <sz val="10"/>
        <rFont val="Arial"/>
        <charset val="134"/>
      </rPr>
      <t>2018</t>
    </r>
    <r>
      <rPr>
        <sz val="10"/>
        <rFont val="MS Gothic"/>
        <charset val="128"/>
      </rPr>
      <t>年</t>
    </r>
  </si>
  <si>
    <t>2019年</t>
  </si>
  <si>
    <r>
      <rPr>
        <sz val="10"/>
        <rFont val="宋体"/>
        <charset val="134"/>
      </rPr>
      <t>全国</t>
    </r>
  </si>
  <si>
    <r>
      <rPr>
        <sz val="10"/>
        <rFont val="宋体"/>
        <charset val="134"/>
      </rPr>
      <t>北京</t>
    </r>
  </si>
  <si>
    <r>
      <rPr>
        <sz val="10"/>
        <rFont val="宋体"/>
        <charset val="134"/>
      </rPr>
      <t>天津</t>
    </r>
  </si>
  <si>
    <r>
      <rPr>
        <sz val="10"/>
        <rFont val="宋体"/>
        <charset val="134"/>
      </rPr>
      <t>河北</t>
    </r>
  </si>
  <si>
    <r>
      <rPr>
        <sz val="10"/>
        <rFont val="宋体"/>
        <charset val="134"/>
      </rPr>
      <t>山西</t>
    </r>
  </si>
  <si>
    <r>
      <rPr>
        <sz val="10"/>
        <rFont val="宋体"/>
        <charset val="134"/>
      </rPr>
      <t>内蒙古</t>
    </r>
  </si>
  <si>
    <r>
      <rPr>
        <sz val="10"/>
        <rFont val="宋体"/>
        <charset val="134"/>
      </rPr>
      <t>辽宁</t>
    </r>
  </si>
  <si>
    <r>
      <rPr>
        <sz val="10"/>
        <rFont val="宋体"/>
        <charset val="134"/>
      </rPr>
      <t>吉林</t>
    </r>
  </si>
  <si>
    <r>
      <rPr>
        <sz val="10"/>
        <rFont val="宋体"/>
        <charset val="134"/>
      </rPr>
      <t>黑龙江</t>
    </r>
  </si>
  <si>
    <r>
      <rPr>
        <sz val="10"/>
        <rFont val="宋体"/>
        <charset val="134"/>
      </rPr>
      <t>上海</t>
    </r>
  </si>
  <si>
    <r>
      <rPr>
        <sz val="10"/>
        <rFont val="宋体"/>
        <charset val="134"/>
      </rPr>
      <t>江苏</t>
    </r>
  </si>
  <si>
    <r>
      <rPr>
        <sz val="10"/>
        <rFont val="宋体"/>
        <charset val="134"/>
      </rPr>
      <t>浙江</t>
    </r>
  </si>
  <si>
    <r>
      <rPr>
        <sz val="10"/>
        <rFont val="宋体"/>
        <charset val="134"/>
      </rPr>
      <t>安徽</t>
    </r>
  </si>
  <si>
    <r>
      <rPr>
        <sz val="10"/>
        <rFont val="宋体"/>
        <charset val="134"/>
      </rPr>
      <t>福建</t>
    </r>
  </si>
  <si>
    <r>
      <rPr>
        <sz val="10"/>
        <rFont val="宋体"/>
        <charset val="134"/>
      </rPr>
      <t>江西</t>
    </r>
  </si>
  <si>
    <r>
      <rPr>
        <sz val="10"/>
        <rFont val="宋体"/>
        <charset val="134"/>
      </rPr>
      <t>山东</t>
    </r>
  </si>
  <si>
    <r>
      <rPr>
        <sz val="10"/>
        <rFont val="宋体"/>
        <charset val="134"/>
      </rPr>
      <t>河南</t>
    </r>
  </si>
  <si>
    <r>
      <rPr>
        <sz val="10"/>
        <rFont val="宋体"/>
        <charset val="134"/>
      </rPr>
      <t>湖北</t>
    </r>
  </si>
  <si>
    <r>
      <rPr>
        <sz val="10"/>
        <rFont val="宋体"/>
        <charset val="134"/>
      </rPr>
      <t>湖南</t>
    </r>
  </si>
  <si>
    <r>
      <rPr>
        <sz val="10"/>
        <rFont val="宋体"/>
        <charset val="134"/>
      </rPr>
      <t>广东</t>
    </r>
  </si>
  <si>
    <r>
      <rPr>
        <sz val="10"/>
        <rFont val="宋体"/>
        <charset val="134"/>
      </rPr>
      <t>广西</t>
    </r>
  </si>
  <si>
    <r>
      <rPr>
        <sz val="10"/>
        <rFont val="宋体"/>
        <charset val="134"/>
      </rPr>
      <t>海南</t>
    </r>
  </si>
  <si>
    <r>
      <rPr>
        <sz val="10"/>
        <rFont val="宋体"/>
        <charset val="134"/>
      </rPr>
      <t>重庆</t>
    </r>
  </si>
  <si>
    <t>0. 46</t>
  </si>
  <si>
    <r>
      <rPr>
        <sz val="10"/>
        <rFont val="宋体"/>
        <charset val="134"/>
      </rPr>
      <t>四川</t>
    </r>
  </si>
  <si>
    <r>
      <rPr>
        <sz val="10"/>
        <rFont val="宋体"/>
        <charset val="134"/>
      </rPr>
      <t>贵州</t>
    </r>
  </si>
  <si>
    <r>
      <rPr>
        <sz val="10"/>
        <rFont val="宋体"/>
        <charset val="134"/>
      </rPr>
      <t>云南</t>
    </r>
  </si>
  <si>
    <r>
      <rPr>
        <sz val="10"/>
        <rFont val="宋体"/>
        <charset val="134"/>
      </rPr>
      <t>西藏</t>
    </r>
  </si>
  <si>
    <r>
      <rPr>
        <sz val="10"/>
        <rFont val="宋体"/>
        <charset val="134"/>
      </rPr>
      <t>陕西</t>
    </r>
  </si>
  <si>
    <r>
      <rPr>
        <sz val="10"/>
        <rFont val="宋体"/>
        <charset val="134"/>
      </rPr>
      <t>甘肃</t>
    </r>
  </si>
  <si>
    <r>
      <rPr>
        <sz val="10"/>
        <rFont val="宋体"/>
        <charset val="134"/>
      </rPr>
      <t>青海</t>
    </r>
  </si>
  <si>
    <r>
      <rPr>
        <sz val="10"/>
        <rFont val="宋体"/>
        <charset val="134"/>
      </rPr>
      <t>宁夏</t>
    </r>
  </si>
  <si>
    <r>
      <rPr>
        <sz val="10"/>
        <rFont val="宋体"/>
        <charset val="134"/>
      </rPr>
      <t>新疆</t>
    </r>
  </si>
  <si>
    <t>年末发电量（亿千瓦时）  Year End Total Capacity (10MW)</t>
  </si>
  <si>
    <t xml:space="preserve">抽水蓄能装机容量 </t>
  </si>
  <si>
    <r>
      <rPr>
        <sz val="10"/>
        <rFont val="Arial"/>
        <charset val="134"/>
      </rPr>
      <t>2016年</t>
    </r>
  </si>
  <si>
    <r>
      <rPr>
        <sz val="10"/>
        <rFont val="Arial"/>
        <charset val="134"/>
      </rPr>
      <t>2021年</t>
    </r>
  </si>
  <si>
    <t>发电量</t>
  </si>
  <si>
    <t>水电</t>
  </si>
  <si>
    <t>13021</t>
  </si>
  <si>
    <t>抽蓄</t>
  </si>
  <si>
    <t>319</t>
  </si>
  <si>
    <t>装机容量</t>
  </si>
  <si>
    <t>35804</t>
  </si>
  <si>
    <t>3029</t>
  </si>
  <si>
    <t>传统水电</t>
  </si>
  <si>
    <t>容量因子</t>
  </si>
  <si>
    <t>*See Start Year Capacity for Calculation</t>
  </si>
  <si>
    <t>年份</t>
  </si>
  <si>
    <r>
      <rPr>
        <sz val="10"/>
        <rFont val="宋体"/>
        <charset val="134"/>
      </rPr>
      <t>装机容量（万千瓦）</t>
    </r>
  </si>
  <si>
    <r>
      <rPr>
        <sz val="10"/>
        <color rgb="FF000000"/>
        <rFont val="宋体"/>
        <charset val="134"/>
      </rPr>
      <t>发电量（亿千瓦时）</t>
    </r>
  </si>
  <si>
    <r>
      <rPr>
        <sz val="10"/>
        <color rgb="FF000000"/>
        <rFont val="宋体"/>
        <charset val="134"/>
      </rPr>
      <t>利用小时数</t>
    </r>
  </si>
  <si>
    <t>地区</t>
  </si>
  <si>
    <t>机组类型</t>
  </si>
  <si>
    <t>利用小时数折合容量因子</t>
  </si>
  <si>
    <r>
      <rPr>
        <sz val="10"/>
        <rFont val="宋体"/>
        <charset val="134"/>
      </rPr>
      <t>合计</t>
    </r>
  </si>
  <si>
    <r>
      <rPr>
        <sz val="10"/>
        <rFont val="宋体"/>
        <charset val="134"/>
      </rPr>
      <t>沼气发电</t>
    </r>
  </si>
  <si>
    <r>
      <rPr>
        <sz val="10"/>
        <rFont val="宋体"/>
        <charset val="134"/>
      </rPr>
      <t>垃圾焚烧发电</t>
    </r>
  </si>
  <si>
    <r>
      <rPr>
        <sz val="10"/>
        <rFont val="宋体"/>
        <charset val="134"/>
      </rPr>
      <t>秸秆、蔗渣、林木质发电</t>
    </r>
  </si>
  <si>
    <t>合计</t>
  </si>
  <si>
    <t>除垃圾外生物质</t>
  </si>
  <si>
    <t>生物质</t>
  </si>
  <si>
    <t>垃圾焚烧</t>
  </si>
  <si>
    <t>0. 04</t>
  </si>
  <si>
    <r>
      <rPr>
        <sz val="10"/>
        <rFont val="宋体"/>
        <charset val="134"/>
      </rPr>
      <t>燃煤</t>
    </r>
  </si>
  <si>
    <r>
      <rPr>
        <sz val="10"/>
        <rFont val="宋体"/>
        <charset val="134"/>
      </rPr>
      <t>燃气</t>
    </r>
  </si>
  <si>
    <r>
      <rPr>
        <sz val="10"/>
        <rFont val="宋体"/>
        <charset val="134"/>
      </rPr>
      <t>燃油</t>
    </r>
  </si>
  <si>
    <r>
      <rPr>
        <sz val="10"/>
        <rFont val="宋体"/>
        <charset val="134"/>
      </rPr>
      <t>其他</t>
    </r>
  </si>
  <si>
    <t>燃煤</t>
  </si>
  <si>
    <t>燃气</t>
  </si>
  <si>
    <t>0. 1</t>
  </si>
  <si>
    <t>0. 02</t>
  </si>
  <si>
    <t>燃油</t>
  </si>
  <si>
    <r>
      <rPr>
        <sz val="10"/>
        <rFont val="MS Gothic"/>
        <charset val="128"/>
      </rPr>
      <t>光伏</t>
    </r>
    <r>
      <rPr>
        <sz val="10"/>
        <rFont val="Microsoft JhengHei"/>
        <charset val="136"/>
      </rPr>
      <t>电站</t>
    </r>
    <r>
      <rPr>
        <sz val="10"/>
        <rFont val="宋体"/>
        <charset val="134"/>
      </rPr>
      <t>装机容量（万千瓦）</t>
    </r>
  </si>
  <si>
    <r>
      <rPr>
        <sz val="10"/>
        <rFont val="MS Gothic"/>
        <charset val="128"/>
      </rPr>
      <t>分布式光伏</t>
    </r>
    <r>
      <rPr>
        <sz val="10"/>
        <rFont val="宋体"/>
        <charset val="134"/>
      </rPr>
      <t>（万千瓦）</t>
    </r>
  </si>
  <si>
    <r>
      <rPr>
        <sz val="10"/>
        <rFont val="SimSun"/>
        <charset val="134"/>
      </rPr>
      <t>太阳能发电</t>
    </r>
    <r>
      <rPr>
        <sz val="10"/>
        <rFont val="宋体"/>
        <charset val="134"/>
      </rPr>
      <t>量</t>
    </r>
  </si>
  <si>
    <t>分布式发电量（亿千瓦时）</t>
  </si>
  <si>
    <t>光伏电站发电量（亿千瓦时）</t>
  </si>
  <si>
    <t>光伏电站容量因子</t>
  </si>
  <si>
    <r>
      <rPr>
        <sz val="10"/>
        <rFont val="Arial"/>
        <charset val="134"/>
      </rPr>
      <t>2017</t>
    </r>
    <r>
      <rPr>
        <sz val="10"/>
        <rFont val="宋体"/>
        <charset val="134"/>
      </rPr>
      <t>年</t>
    </r>
  </si>
  <si>
    <r>
      <rPr>
        <sz val="10"/>
        <rFont val="Arial"/>
        <charset val="134"/>
      </rPr>
      <t xml:space="preserve">2018 </t>
    </r>
    <r>
      <rPr>
        <sz val="10"/>
        <rFont val="宋体"/>
        <charset val="134"/>
      </rPr>
      <t>年</t>
    </r>
  </si>
  <si>
    <r>
      <rPr>
        <sz val="10"/>
        <rFont val="Arial"/>
        <charset val="134"/>
      </rPr>
      <t xml:space="preserve">2019 </t>
    </r>
    <r>
      <rPr>
        <sz val="10"/>
        <rFont val="宋体"/>
        <charset val="134"/>
      </rPr>
      <t>年</t>
    </r>
  </si>
  <si>
    <t>新疆建设兵团</t>
  </si>
  <si>
    <t>4号文明确，按合理利用小时数核定可再生能源发电项目中央财政补贴资金额度。为确保存量项目合理收益，基于核定电价时全生命周期发电小时数等因素，现确定各类项目全生命周期合理利用小时数如下：</t>
  </si>
  <si>
    <t>（一）风电一类、二类、三类、四类资源区项目全生命周期合理利用小时数分别为48000小时、44000小时、40000小时和36000小时。海上风电全生命周期合理利用小时数为52000小时。</t>
  </si>
  <si>
    <t>（二）光伏发电一类、二类、三类资源区项目全生命周期合理利用小时数为32000小时、26000小时和22000小时。国家确定的光伏领跑者基地项目和2019、2020年竞价项目全生命周期合理利用小时数在所在资源区小时数基础上增加10%。</t>
  </si>
  <si>
    <t>（三）生物质发电项目，包括农林生物质发电、垃圾焚烧发电和沼气发电项目，全生命周期合理利用小时数为82500小时。</t>
  </si>
  <si>
    <t>Shandong Onshore Wind is categorized in the 4 tier and the expected hours of operation is less than 2000 hour/yr</t>
  </si>
  <si>
    <t>The Expected hours of operation for Offshore Wind</t>
  </si>
  <si>
    <t>52000/20</t>
  </si>
  <si>
    <t>= 2600</t>
  </si>
  <si>
    <t>hours</t>
  </si>
  <si>
    <t>=</t>
  </si>
  <si>
    <t>2600/8760</t>
  </si>
  <si>
    <t>Capacity (MW)</t>
  </si>
  <si>
    <t>Capacity Factor</t>
  </si>
  <si>
    <t>Commissioned</t>
  </si>
  <si>
    <t>Cost</t>
  </si>
  <si>
    <t>Shanwei Jiazi I+II</t>
  </si>
  <si>
    <t>unsubsidized</t>
  </si>
  <si>
    <t>Shanwei Houhu</t>
  </si>
  <si>
    <t>SPIC Binhai North H2</t>
  </si>
  <si>
    <t>Yangxi Shapa III</t>
  </si>
  <si>
    <t>400 (+5.5 MW floating)</t>
  </si>
  <si>
    <t>Huaneng Rudong H6</t>
  </si>
  <si>
    <t>Yangjiang Shapa Phase 2</t>
  </si>
  <si>
    <t>Yangjiang Shapa Phase 1</t>
  </si>
  <si>
    <t>Dongtai IV</t>
  </si>
  <si>
    <t>CNY 8b ($1.25b)</t>
  </si>
  <si>
    <t>Jiangsu Dafeng H8-2</t>
  </si>
  <si>
    <t>Xiangshui demonstration</t>
  </si>
  <si>
    <t>2014-2016</t>
  </si>
  <si>
    <t>Rudong</t>
  </si>
  <si>
    <t>Dongtai V</t>
  </si>
  <si>
    <t>CGN Rudong demonstration</t>
  </si>
  <si>
    <t>Longyuan Rudong Intertidal</t>
  </si>
  <si>
    <t>US$ 75 million</t>
  </si>
  <si>
    <t>Donghai Bridge</t>
  </si>
  <si>
    <t>US$ 102 million</t>
  </si>
  <si>
    <t>Guishan</t>
  </si>
  <si>
    <t>Shanghai Lingang Demonstration - 2</t>
  </si>
  <si>
    <t>SPIC Binhai North H1</t>
  </si>
  <si>
    <t>2021 Capacity Factor:</t>
  </si>
  <si>
    <t>项目名称</t>
  </si>
  <si>
    <t>装机容量（MW）</t>
  </si>
  <si>
    <t>年设计发电量（亿千瓦时）</t>
  </si>
  <si>
    <t>塔/线/槽式</t>
  </si>
  <si>
    <t>建成时间（预计）</t>
  </si>
  <si>
    <t>建设状态</t>
  </si>
  <si>
    <t>开工时间</t>
  </si>
  <si>
    <t>Expected Output (MWh)</t>
  </si>
  <si>
    <t>中广核太阳能德令哈有限公司导热油槽式5万千瓦光热发电项目</t>
  </si>
  <si>
    <t>槽式</t>
  </si>
  <si>
    <t>2018年6月30日并网</t>
  </si>
  <si>
    <t>建成投运</t>
  </si>
  <si>
    <t>首航高科能源技术股份有限公司（原北京首航艾启威节能技术股份有限公司）敦煌熔盐塔式10万千瓦光热发电示范项目</t>
  </si>
  <si>
    <t>塔式</t>
  </si>
  <si>
    <t>2019 年 6 月</t>
  </si>
  <si>
    <t>青海中控太阳能发电有限公司德令哈熔盐塔式5万千万光热发电项目</t>
  </si>
  <si>
    <t>2018 年 12 月 30 日并网发电，2019 年 4 月 17 日实现了满
负荷运行</t>
  </si>
  <si>
    <t>中国电建西北勘测设计研究院有限公司共和熔盐塔式5万千瓦光热发电项目（中电建青海共和 50MW 塔式项目）</t>
  </si>
  <si>
    <t>2020 年 11 月 6 日实现满负荷运行 2021 年 4 月通过国家光热
发电项目示范性验收</t>
  </si>
  <si>
    <t>中国电力工程顾问集团西北电力设计院有限公司哈密熔盐塔式5万千瓦光热发电项目（中能建哈密 50MW 塔式项目）</t>
  </si>
  <si>
    <t>2019 年 12 月 29 日实现首次并网。2021 年 6 月 18 日凌
晨 01 时 26 分并网发电，9 月 6 日实现全容量发电。</t>
  </si>
  <si>
    <t>2017 年 10 月 19 日</t>
  </si>
  <si>
    <t>兰州大成科技股份有限公司敦煌熔盐线性菲涅尔式5万千瓦光热发电示范项目（兰州大成敦煌 50MW 线菲项目）</t>
  </si>
  <si>
    <t>线性
菲涅耳式</t>
  </si>
  <si>
    <t>2019 年 12 月 31 日实现并网发电。2020年 6 月 18 日太阳能集热场系统整体并网发电投运 [17</t>
  </si>
  <si>
    <t>内蒙古中核龙腾新能源有限公司乌拉特中旗导热油槽式10万千瓦光热发电项目（乌拉特中旗 100MW 槽式项目）</t>
  </si>
  <si>
    <t>2020 年 1 月 8 日首次
实现并网发电，2020 年 12 月 16 日实现满负荷发电，2021 年 10 月 20 日通过国家示范性验收。</t>
  </si>
  <si>
    <t>2018 年 6 月</t>
  </si>
  <si>
    <t>鲁能格尔木多能互补 50MW 塔式项目</t>
  </si>
  <si>
    <t xml:space="preserve"> 2019年 9 月 19 日成功一次并网， 2020 年 8 月 27 日完成了 120 小时可靠性运行， 2021 年 5 月 14 日，光热电站完成涉网联合试验。</t>
  </si>
  <si>
    <t>玉门鑫能光热第一电力有限公司熔盐塔式5万千瓦光热发电项目</t>
  </si>
  <si>
    <t>2017年8月31 日，常规动力岛正式开工建设</t>
  </si>
  <si>
    <t>深圳市金钒能源科技有限公司阿克塞5万千瓦熔盐槽式光热发电项目</t>
  </si>
  <si>
    <t>在建</t>
  </si>
  <si>
    <t>主体工程2017年6月份开工建设</t>
  </si>
  <si>
    <t>国电投黄河上游水电开发有限责任公司德令哈水工质塔式13.5万千瓦光热发电项目（现由中控太阳能接续开发）</t>
  </si>
  <si>
    <t>2021年3月25日项目正式开建。</t>
  </si>
  <si>
    <t>中国三峡新能源有限公司金塔熔盐塔式10万千瓦光热发电项目（现由中控太阳能接续开发）</t>
  </si>
  <si>
    <t>计划于2023年底实现全容量并网发电</t>
  </si>
  <si>
    <t>达华工程管理（集团）有限公司尚义水工质塔式5万千瓦光热发电项目</t>
  </si>
  <si>
    <t>　　北京国华电力有限责任公司玉门熔盐塔式10万千瓦光热发电项目（现由首航高科接续开发）</t>
  </si>
  <si>
    <t>退出首批</t>
  </si>
  <si>
    <t>　　常州龙腾太阳能热电设备有限公司玉门东镇导热油槽式5万千瓦光热发电项目</t>
  </si>
  <si>
    <t>2018年6月19日奠基</t>
  </si>
  <si>
    <t>中海阳能源集团股份有限公司玉门东镇导热油槽式5万千瓦光热发电项目</t>
  </si>
  <si>
    <t>2017年8月12日，前期场平工程正式启动，项目正式进入全面建设阶段。</t>
  </si>
  <si>
    <t>　中节能甘肃武威太阳能发电有限公司古浪导热油槽式10万千瓦光热发电项目</t>
  </si>
  <si>
    <t>中阳张家口察北能源有限公司熔盐槽式6.4万千瓦光热发电项目</t>
  </si>
  <si>
    <t>2017年4月17日（2014年7月举行开工仪式。）</t>
  </si>
  <si>
    <t>北方联合电力有限责任公司乌拉特旗导热油菲涅尔式5万千瓦光热发电项目</t>
  </si>
  <si>
    <t>　　中信张北新能源开发有限公司水工质类菲涅尔式5万千瓦光热发电项目</t>
  </si>
  <si>
    <t>　　张北华强兆阳能源有限公司张家口水工质类菲涅尔式5万千瓦太阳能热发电项目</t>
  </si>
  <si>
    <t>Expected Capacity Factor (dimensionless)</t>
  </si>
  <si>
    <t>hard coal</t>
  </si>
  <si>
    <t>natural gas nonpeaker</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</si>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</sst>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_ "/>
    <numFmt numFmtId="178" formatCode="0_ "/>
    <numFmt numFmtId="179" formatCode="0.0"/>
    <numFmt numFmtId="180" formatCode="0.0_);[Red]\(0.0\)"/>
    <numFmt numFmtId="181" formatCode="0.00_);[Red]\(0.00\)"/>
  </numFmts>
  <fonts count="44">
    <font>
      <sz val="10"/>
      <name val="Arial"/>
      <charset val="134"/>
    </font>
    <font>
      <sz val="11"/>
      <color theme="1"/>
      <name val="等线"/>
      <charset val="134"/>
      <scheme val="minor"/>
    </font>
    <font>
      <b/>
      <sz val="11"/>
      <color theme="1"/>
      <name val="等线"/>
      <charset val="134"/>
      <scheme val="minor"/>
    </font>
    <font>
      <sz val="11"/>
      <color rgb="FFFF0000"/>
      <name val="等线"/>
      <charset val="134"/>
      <scheme val="minor"/>
    </font>
    <font>
      <sz val="11"/>
      <name val="等线"/>
      <charset val="134"/>
      <scheme val="minor"/>
    </font>
    <font>
      <sz val="12"/>
      <color theme="1"/>
      <name val="等线"/>
      <charset val="134"/>
      <scheme val="minor"/>
    </font>
    <font>
      <sz val="10.5"/>
      <color rgb="FF231F20"/>
      <name val="SimSun"/>
      <charset val="134"/>
    </font>
    <font>
      <sz val="12"/>
      <color rgb="FF333333"/>
      <name val="等线"/>
      <charset val="134"/>
      <scheme val="minor"/>
    </font>
    <font>
      <sz val="12"/>
      <color rgb="FF333333"/>
      <name val="宋体"/>
      <charset val="134"/>
    </font>
    <font>
      <sz val="10"/>
      <name val="Arial"/>
      <charset val="128"/>
    </font>
    <font>
      <sz val="10"/>
      <name val="宋体"/>
      <charset val="134"/>
    </font>
    <font>
      <sz val="10"/>
      <color rgb="FF000000"/>
      <name val="Arial"/>
      <charset val="134"/>
    </font>
    <font>
      <b/>
      <sz val="10"/>
      <color theme="1"/>
      <name val="Arial"/>
      <charset val="134"/>
    </font>
    <font>
      <sz val="10"/>
      <name val="SimSun"/>
      <charset val="134"/>
    </font>
    <font>
      <b/>
      <sz val="10"/>
      <name val="Arial"/>
      <charset val="134"/>
    </font>
    <font>
      <u/>
      <sz val="10"/>
      <color rgb="FF800080"/>
      <name val="Arial"/>
      <charset val="134"/>
    </font>
    <font>
      <u/>
      <sz val="10"/>
      <color theme="10"/>
      <name val="Arial"/>
      <charset val="134"/>
    </font>
    <font>
      <u/>
      <sz val="10"/>
      <color theme="10"/>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宋体"/>
      <charset val="134"/>
    </font>
    <font>
      <sz val="10"/>
      <name val="MS Gothic"/>
      <charset val="128"/>
    </font>
    <font>
      <u/>
      <sz val="10"/>
      <color rgb="FF800080"/>
      <name val="宋体"/>
      <charset val="134"/>
    </font>
    <font>
      <sz val="10"/>
      <color rgb="FF333333"/>
      <name val="Arial"/>
      <charset val="134"/>
    </font>
    <font>
      <i/>
      <sz val="10"/>
      <color rgb="FF333333"/>
      <name val="Arial"/>
      <charset val="134"/>
    </font>
    <font>
      <b/>
      <sz val="10"/>
      <color rgb="FF333333"/>
      <name val="Arial"/>
      <charset val="134"/>
    </font>
    <font>
      <sz val="10"/>
      <name val="微软雅黑"/>
      <charset val="134"/>
    </font>
    <font>
      <sz val="10"/>
      <name val="Microsoft JhengHei"/>
      <charset val="136"/>
    </font>
  </fonts>
  <fills count="35">
    <fill>
      <patternFill patternType="none"/>
    </fill>
    <fill>
      <patternFill patternType="gray125"/>
    </fill>
    <fill>
      <patternFill patternType="solid">
        <fgColor rgb="FFFFFF00"/>
        <bgColor indexed="64"/>
      </patternFill>
    </fill>
    <fill>
      <patternFill patternType="solid">
        <fgColor theme="9" tint="0.8"/>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1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 fillId="5" borderId="2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9" applyNumberFormat="0" applyFill="0" applyAlignment="0" applyProtection="0">
      <alignment vertical="center"/>
    </xf>
    <xf numFmtId="0" fontId="23" fillId="0" borderId="29" applyNumberFormat="0" applyFill="0" applyAlignment="0" applyProtection="0">
      <alignment vertical="center"/>
    </xf>
    <xf numFmtId="0" fontId="24" fillId="0" borderId="30" applyNumberFormat="0" applyFill="0" applyAlignment="0" applyProtection="0">
      <alignment vertical="center"/>
    </xf>
    <xf numFmtId="0" fontId="24" fillId="0" borderId="0" applyNumberFormat="0" applyFill="0" applyBorder="0" applyAlignment="0" applyProtection="0">
      <alignment vertical="center"/>
    </xf>
    <xf numFmtId="0" fontId="25" fillId="6" borderId="31" applyNumberFormat="0" applyAlignment="0" applyProtection="0">
      <alignment vertical="center"/>
    </xf>
    <xf numFmtId="0" fontId="26" fillId="7" borderId="32" applyNumberFormat="0" applyAlignment="0" applyProtection="0">
      <alignment vertical="center"/>
    </xf>
    <xf numFmtId="0" fontId="27" fillId="7" borderId="31" applyNumberFormat="0" applyAlignment="0" applyProtection="0">
      <alignment vertical="center"/>
    </xf>
    <xf numFmtId="0" fontId="28" fillId="8" borderId="33" applyNumberFormat="0" applyAlignment="0" applyProtection="0">
      <alignment vertical="center"/>
    </xf>
    <xf numFmtId="0" fontId="29" fillId="0" borderId="34" applyNumberFormat="0" applyFill="0" applyAlignment="0" applyProtection="0">
      <alignment vertical="center"/>
    </xf>
    <xf numFmtId="0" fontId="30" fillId="0" borderId="35"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4"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1" fillId="0" borderId="0">
      <alignment vertical="center"/>
    </xf>
    <xf numFmtId="0" fontId="0" fillId="0" borderId="0">
      <alignment vertical="center"/>
    </xf>
    <xf numFmtId="0" fontId="1" fillId="0" borderId="0">
      <alignment vertical="center"/>
    </xf>
    <xf numFmtId="0" fontId="1" fillId="0" borderId="0"/>
    <xf numFmtId="0" fontId="5" fillId="0" borderId="0">
      <alignment vertical="center"/>
    </xf>
    <xf numFmtId="0" fontId="5" fillId="0" borderId="0">
      <alignment vertical="center"/>
    </xf>
  </cellStyleXfs>
  <cellXfs count="165">
    <xf numFmtId="0" fontId="0" fillId="0" borderId="0" xfId="0">
      <alignment vertical="center"/>
    </xf>
    <xf numFmtId="0" fontId="1" fillId="0" borderId="0" xfId="52"/>
    <xf numFmtId="0" fontId="2" fillId="0" borderId="0" xfId="52" applyFont="1" applyAlignment="1">
      <alignment wrapText="1"/>
    </xf>
    <xf numFmtId="0" fontId="1" fillId="0" borderId="0" xfId="52" applyAlignment="1">
      <alignment wrapText="1"/>
    </xf>
    <xf numFmtId="176" fontId="1" fillId="0" borderId="0" xfId="52" applyNumberFormat="1"/>
    <xf numFmtId="0" fontId="1" fillId="2" borderId="0" xfId="52" applyFill="1"/>
    <xf numFmtId="0" fontId="1" fillId="0" borderId="0" xfId="52" applyFill="1"/>
    <xf numFmtId="176" fontId="1" fillId="0" borderId="0" xfId="52" applyNumberFormat="1" applyFill="1"/>
    <xf numFmtId="176" fontId="1" fillId="0" borderId="0" xfId="52" applyNumberFormat="1" applyFont="1" applyFill="1" applyAlignment="1"/>
    <xf numFmtId="176" fontId="3" fillId="3" borderId="0" xfId="52" applyNumberFormat="1" applyFont="1" applyFill="1" applyAlignment="1"/>
    <xf numFmtId="176" fontId="3" fillId="0" borderId="0" xfId="52" applyNumberFormat="1" applyFont="1" applyFill="1"/>
    <xf numFmtId="176" fontId="4" fillId="0" borderId="0" xfId="52" applyNumberFormat="1" applyFont="1" applyFill="1"/>
    <xf numFmtId="0" fontId="5" fillId="0" borderId="0" xfId="53">
      <alignment vertical="center"/>
    </xf>
    <xf numFmtId="0" fontId="5" fillId="0" borderId="0" xfId="53" applyAlignment="1">
      <alignment horizontal="left" vertical="center"/>
    </xf>
    <xf numFmtId="0" fontId="5" fillId="0" borderId="0" xfId="53" applyAlignment="1">
      <alignment horizontal="center" vertical="center"/>
    </xf>
    <xf numFmtId="0" fontId="6" fillId="0" borderId="0" xfId="53" applyFont="1" applyAlignment="1">
      <alignment horizontal="left" vertical="center" wrapText="1"/>
    </xf>
    <xf numFmtId="0" fontId="5" fillId="0" borderId="0" xfId="53" applyAlignment="1">
      <alignment horizontal="left" vertical="center" wrapText="1"/>
    </xf>
    <xf numFmtId="0" fontId="5" fillId="0" borderId="0" xfId="53" applyAlignment="1">
      <alignment horizontal="center" vertical="center" wrapText="1"/>
    </xf>
    <xf numFmtId="0" fontId="5" fillId="0" borderId="0" xfId="53" applyAlignment="1">
      <alignment vertical="center" wrapText="1"/>
    </xf>
    <xf numFmtId="0" fontId="5" fillId="0" borderId="0" xfId="53" applyFont="1" applyAlignment="1">
      <alignment horizontal="center" vertical="center" wrapText="1"/>
    </xf>
    <xf numFmtId="0" fontId="5" fillId="0" borderId="0" xfId="53" applyFont="1">
      <alignment vertical="center"/>
    </xf>
    <xf numFmtId="14" fontId="5" fillId="0" borderId="0" xfId="53" applyNumberFormat="1" applyAlignment="1">
      <alignment horizontal="left" vertical="center"/>
    </xf>
    <xf numFmtId="0" fontId="7" fillId="0" borderId="0" xfId="53" applyFont="1" applyAlignment="1">
      <alignment horizontal="center" vertical="center" wrapText="1"/>
    </xf>
    <xf numFmtId="0" fontId="7" fillId="0" borderId="0" xfId="53" applyFont="1">
      <alignment vertical="center"/>
    </xf>
    <xf numFmtId="177" fontId="5" fillId="0" borderId="0" xfId="53" applyNumberFormat="1">
      <alignment vertical="center"/>
    </xf>
    <xf numFmtId="0" fontId="0" fillId="0" borderId="0" xfId="0" applyAlignment="1">
      <alignment horizontal="center" vertical="center"/>
    </xf>
    <xf numFmtId="0" fontId="8" fillId="0" borderId="0" xfId="0" applyFont="1">
      <alignment vertical="center"/>
    </xf>
    <xf numFmtId="0" fontId="0" fillId="0" borderId="0" xfId="0" applyFont="1">
      <alignment vertical="center"/>
    </xf>
    <xf numFmtId="0" fontId="0" fillId="2" borderId="0" xfId="0" applyFill="1">
      <alignment vertical="center"/>
    </xf>
    <xf numFmtId="0" fontId="0" fillId="0" borderId="1" xfId="0" applyBorder="1">
      <alignmen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178" fontId="0" fillId="0" borderId="1" xfId="0" applyNumberFormat="1" applyBorder="1">
      <alignment vertical="center"/>
    </xf>
    <xf numFmtId="0" fontId="9"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ont="1" applyBorder="1">
      <alignment vertical="center"/>
    </xf>
    <xf numFmtId="0" fontId="0" fillId="0" borderId="1" xfId="0" applyFont="1" applyBorder="1" applyAlignment="1">
      <alignment horizontal="center" vertical="center"/>
    </xf>
    <xf numFmtId="0" fontId="0" fillId="0" borderId="2" xfId="0" applyFont="1" applyBorder="1" applyAlignment="1">
      <alignment horizontal="center"/>
    </xf>
    <xf numFmtId="0" fontId="0" fillId="0" borderId="3" xfId="0" applyFont="1" applyBorder="1" applyAlignment="1">
      <alignment horizontal="center"/>
    </xf>
    <xf numFmtId="0" fontId="10" fillId="0" borderId="2" xfId="0" applyFont="1" applyBorder="1" applyAlignment="1">
      <alignment horizontal="center" vertical="center"/>
    </xf>
    <xf numFmtId="0" fontId="0" fillId="0" borderId="1" xfId="0" applyFont="1" applyBorder="1" applyAlignment="1">
      <alignment horizontal="center"/>
    </xf>
    <xf numFmtId="0" fontId="0" fillId="0" borderId="1" xfId="0" applyFont="1" applyBorder="1" applyAlignment="1">
      <alignment horizontal="center" vertical="top" wrapText="1"/>
    </xf>
    <xf numFmtId="0" fontId="0" fillId="0" borderId="1" xfId="0" applyNumberFormat="1" applyBorder="1" applyAlignment="1">
      <alignment horizontal="center" vertical="center"/>
    </xf>
    <xf numFmtId="0" fontId="11" fillId="0" borderId="1" xfId="0" applyFont="1" applyBorder="1" applyAlignment="1">
      <alignment horizontal="center" vertical="top" shrinkToFit="1"/>
    </xf>
    <xf numFmtId="0" fontId="0" fillId="0" borderId="1" xfId="0" applyBorder="1" applyAlignment="1">
      <alignment horizontal="center"/>
    </xf>
    <xf numFmtId="1" fontId="11" fillId="0" borderId="1" xfId="0" applyNumberFormat="1" applyFont="1" applyBorder="1" applyAlignment="1">
      <alignment horizontal="center" vertical="top" shrinkToFit="1"/>
    </xf>
    <xf numFmtId="0" fontId="0" fillId="0" borderId="1" xfId="0" applyFont="1" applyBorder="1" applyAlignment="1">
      <alignment horizont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0" fillId="0" borderId="5" xfId="0" applyFont="1" applyBorder="1" applyAlignment="1">
      <alignment horizontal="center" vertical="top" wrapText="1"/>
    </xf>
    <xf numFmtId="177" fontId="0" fillId="0" borderId="1" xfId="0" applyNumberFormat="1" applyBorder="1">
      <alignment vertical="center"/>
    </xf>
    <xf numFmtId="0" fontId="0" fillId="0" borderId="6" xfId="0" applyFont="1" applyBorder="1" applyAlignment="1">
      <alignment horizontal="center" vertical="top" wrapText="1"/>
    </xf>
    <xf numFmtId="0" fontId="10" fillId="0" borderId="7" xfId="0" applyFont="1" applyBorder="1" applyAlignment="1">
      <alignment horizontal="center" vertical="top" wrapText="1"/>
    </xf>
    <xf numFmtId="0" fontId="0" fillId="0" borderId="8" xfId="0" applyFont="1" applyBorder="1" applyAlignment="1">
      <alignment horizontal="center" wrapText="1"/>
    </xf>
    <xf numFmtId="0" fontId="11" fillId="0" borderId="8" xfId="0" applyFont="1" applyBorder="1" applyAlignment="1">
      <alignment horizontal="center" vertical="top" wrapText="1"/>
    </xf>
    <xf numFmtId="0" fontId="0" fillId="0" borderId="9" xfId="0" applyFont="1" applyBorder="1" applyAlignment="1">
      <alignment horizontal="center" vertical="top" wrapText="1"/>
    </xf>
    <xf numFmtId="0" fontId="0" fillId="0" borderId="10" xfId="0" applyFont="1" applyBorder="1" applyAlignment="1">
      <alignment horizontal="center" vertical="top" wrapText="1"/>
    </xf>
    <xf numFmtId="0" fontId="0" fillId="0" borderId="11" xfId="0" applyFont="1" applyBorder="1" applyAlignment="1">
      <alignment horizontal="left" vertical="center" wrapText="1"/>
    </xf>
    <xf numFmtId="0" fontId="0" fillId="0" borderId="6" xfId="0" applyFont="1" applyBorder="1">
      <alignment vertical="center"/>
    </xf>
    <xf numFmtId="0" fontId="0" fillId="0" borderId="8" xfId="0" applyFont="1" applyBorder="1">
      <alignment vertical="center"/>
    </xf>
    <xf numFmtId="0" fontId="11" fillId="0" borderId="8" xfId="0" applyFont="1" applyBorder="1" applyAlignment="1">
      <alignment horizontal="center" vertical="top" shrinkToFit="1"/>
    </xf>
    <xf numFmtId="0" fontId="0" fillId="0" borderId="8" xfId="0" applyFont="1" applyBorder="1" applyAlignment="1">
      <alignment horizontal="center" vertical="center"/>
    </xf>
    <xf numFmtId="0" fontId="0" fillId="0" borderId="12" xfId="0" applyFont="1" applyBorder="1">
      <alignment vertical="center"/>
    </xf>
    <xf numFmtId="0" fontId="0" fillId="0" borderId="1" xfId="0" applyFont="1" applyBorder="1" applyAlignment="1">
      <alignment horizontal="center" vertical="top"/>
    </xf>
    <xf numFmtId="0" fontId="0" fillId="0" borderId="9" xfId="0" applyFont="1" applyBorder="1">
      <alignment vertical="center"/>
    </xf>
    <xf numFmtId="0" fontId="0" fillId="0" borderId="11" xfId="0" applyFont="1" applyBorder="1">
      <alignment vertical="center"/>
    </xf>
    <xf numFmtId="0" fontId="11" fillId="0" borderId="11" xfId="0" applyFont="1" applyBorder="1" applyAlignment="1">
      <alignment horizontal="center" vertical="top" shrinkToFit="1"/>
    </xf>
    <xf numFmtId="0" fontId="0" fillId="0" borderId="11" xfId="0" applyFont="1" applyBorder="1" applyAlignment="1">
      <alignment horizontal="center"/>
    </xf>
    <xf numFmtId="0" fontId="0" fillId="0" borderId="11" xfId="0" applyFont="1" applyBorder="1" applyAlignment="1">
      <alignment horizontal="center" vertical="top"/>
    </xf>
    <xf numFmtId="0" fontId="11" fillId="0" borderId="1" xfId="0" applyFont="1" applyBorder="1" applyAlignment="1">
      <alignment horizontal="center" wrapText="1"/>
    </xf>
    <xf numFmtId="0" fontId="11" fillId="0" borderId="8" xfId="0" applyFont="1" applyBorder="1" applyAlignment="1">
      <alignment horizontal="center" vertical="top"/>
    </xf>
    <xf numFmtId="0" fontId="10" fillId="0" borderId="8" xfId="0" applyFont="1" applyBorder="1" applyAlignment="1">
      <alignment horizontal="center" vertical="center"/>
    </xf>
    <xf numFmtId="0" fontId="10" fillId="0" borderId="13" xfId="0" applyFont="1" applyBorder="1" applyAlignment="1">
      <alignment horizontal="center" vertical="center"/>
    </xf>
    <xf numFmtId="0" fontId="0" fillId="0" borderId="14" xfId="0" applyFont="1" applyBorder="1" applyAlignment="1">
      <alignment horizontal="left" vertical="center" wrapText="1"/>
    </xf>
    <xf numFmtId="0" fontId="0" fillId="0" borderId="0" xfId="0" applyAlignment="1">
      <alignment vertical="center" wrapText="1"/>
    </xf>
    <xf numFmtId="177" fontId="0" fillId="0" borderId="8" xfId="0" applyNumberFormat="1" applyBorder="1">
      <alignment vertical="center"/>
    </xf>
    <xf numFmtId="177" fontId="0" fillId="0" borderId="13" xfId="0" applyNumberFormat="1" applyBorder="1">
      <alignment vertical="center"/>
    </xf>
    <xf numFmtId="177" fontId="0" fillId="0" borderId="15" xfId="0" applyNumberFormat="1" applyBorder="1">
      <alignment vertical="center"/>
    </xf>
    <xf numFmtId="177" fontId="0" fillId="0" borderId="11" xfId="0" applyNumberFormat="1" applyBorder="1">
      <alignment vertical="center"/>
    </xf>
    <xf numFmtId="177" fontId="0" fillId="0" borderId="14" xfId="0" applyNumberFormat="1" applyBorder="1">
      <alignment vertical="center"/>
    </xf>
    <xf numFmtId="0" fontId="10" fillId="0" borderId="16" xfId="0" applyFont="1" applyBorder="1" applyAlignment="1">
      <alignment horizontal="center" vertical="center" wrapText="1"/>
    </xf>
    <xf numFmtId="0" fontId="10" fillId="0" borderId="0" xfId="0" applyFont="1" applyAlignment="1">
      <alignment horizontal="center" vertical="center" wrapText="1"/>
    </xf>
    <xf numFmtId="0" fontId="0" fillId="0" borderId="5" xfId="0" applyBorder="1">
      <alignment vertical="center"/>
    </xf>
    <xf numFmtId="0" fontId="11" fillId="0" borderId="11" xfId="0" applyFont="1" applyBorder="1" applyAlignment="1">
      <alignment horizontal="center" vertical="top" wrapText="1"/>
    </xf>
    <xf numFmtId="1" fontId="11" fillId="0" borderId="8" xfId="0" applyNumberFormat="1" applyFont="1" applyBorder="1" applyAlignment="1">
      <alignment horizontal="center" vertical="top" shrinkToFit="1"/>
    </xf>
    <xf numFmtId="179" fontId="11" fillId="0" borderId="1" xfId="0" applyNumberFormat="1" applyFont="1" applyBorder="1" applyAlignment="1">
      <alignment horizontal="center" vertical="top" shrinkToFit="1"/>
    </xf>
    <xf numFmtId="2" fontId="11" fillId="0" borderId="1" xfId="0" applyNumberFormat="1" applyFont="1" applyBorder="1" applyAlignment="1">
      <alignment horizontal="center" vertical="top" shrinkToFit="1"/>
    </xf>
    <xf numFmtId="1" fontId="11" fillId="0" borderId="11" xfId="0" applyNumberFormat="1" applyFont="1" applyBorder="1" applyAlignment="1">
      <alignment horizontal="center" vertical="top" shrinkToFit="1"/>
    </xf>
    <xf numFmtId="0" fontId="11" fillId="0" borderId="1" xfId="0" applyNumberFormat="1" applyFont="1" applyBorder="1" applyAlignment="1">
      <alignment horizontal="center" vertical="top" shrinkToFit="1"/>
    </xf>
    <xf numFmtId="0" fontId="10" fillId="0" borderId="17" xfId="0" applyFont="1" applyBorder="1" applyAlignment="1">
      <alignment horizontal="center" vertical="top" wrapText="1"/>
    </xf>
    <xf numFmtId="0" fontId="11" fillId="0" borderId="1" xfId="0" applyFont="1" applyBorder="1" applyAlignment="1">
      <alignment horizontal="center" vertical="top" wrapText="1"/>
    </xf>
    <xf numFmtId="0" fontId="0" fillId="0" borderId="17" xfId="0" applyFont="1" applyBorder="1" applyAlignment="1">
      <alignment horizontal="center" vertical="top" wrapText="1"/>
    </xf>
    <xf numFmtId="0" fontId="0" fillId="0" borderId="18" xfId="0" applyFont="1" applyBorder="1" applyAlignment="1">
      <alignment horizontal="center" vertical="top" wrapText="1"/>
    </xf>
    <xf numFmtId="0" fontId="0" fillId="0" borderId="17" xfId="0" applyFont="1" applyBorder="1" applyAlignment="1">
      <alignment horizontal="center" vertical="center" wrapText="1"/>
    </xf>
    <xf numFmtId="0" fontId="0" fillId="0" borderId="8" xfId="50" applyBorder="1" applyAlignment="1">
      <alignment horizontal="center" vertical="center"/>
    </xf>
    <xf numFmtId="0" fontId="0" fillId="0" borderId="1" xfId="50" applyBorder="1" applyAlignment="1">
      <alignment horizontal="center" vertical="center"/>
    </xf>
    <xf numFmtId="0" fontId="0" fillId="0" borderId="1" xfId="50" applyBorder="1" applyAlignment="1">
      <alignment horizontal="center" vertical="top"/>
    </xf>
    <xf numFmtId="0" fontId="0" fillId="0" borderId="1" xfId="50" applyBorder="1" applyAlignment="1">
      <alignment horizontal="center"/>
    </xf>
    <xf numFmtId="0" fontId="0" fillId="0" borderId="11" xfId="50" applyBorder="1" applyAlignment="1">
      <alignment horizontal="center"/>
    </xf>
    <xf numFmtId="0" fontId="0" fillId="0" borderId="11" xfId="50" applyBorder="1" applyAlignment="1">
      <alignment horizontal="center" vertical="top"/>
    </xf>
    <xf numFmtId="0" fontId="0" fillId="0" borderId="19" xfId="0" applyFont="1" applyBorder="1">
      <alignment vertical="center"/>
    </xf>
    <xf numFmtId="0" fontId="0" fillId="0" borderId="5" xfId="0" applyFont="1" applyBorder="1">
      <alignment vertical="center"/>
    </xf>
    <xf numFmtId="0" fontId="11" fillId="0" borderId="5" xfId="0" applyFont="1" applyBorder="1" applyAlignment="1">
      <alignment horizontal="center" vertical="top" shrinkToFit="1"/>
    </xf>
    <xf numFmtId="180" fontId="11" fillId="0" borderId="1" xfId="0" applyNumberFormat="1" applyFont="1" applyBorder="1" applyAlignment="1">
      <alignment horizontal="center" vertical="top" shrinkToFit="1"/>
    </xf>
    <xf numFmtId="180" fontId="11" fillId="0" borderId="1" xfId="0" applyNumberFormat="1" applyFont="1" applyBorder="1" applyAlignment="1">
      <alignment horizontal="center" wrapText="1"/>
    </xf>
    <xf numFmtId="0" fontId="11" fillId="0" borderId="1" xfId="0" applyFont="1" applyBorder="1" applyAlignment="1">
      <alignment horizontal="center" vertical="top"/>
    </xf>
    <xf numFmtId="0" fontId="10" fillId="0" borderId="1" xfId="0" applyFont="1" applyBorder="1" applyAlignment="1">
      <alignment horizontal="center" vertical="center"/>
    </xf>
    <xf numFmtId="0" fontId="10" fillId="0" borderId="17" xfId="0" applyFont="1" applyBorder="1" applyAlignment="1">
      <alignment horizontal="center" vertical="center" wrapText="1"/>
    </xf>
    <xf numFmtId="0" fontId="11" fillId="0" borderId="20" xfId="0" applyFont="1" applyBorder="1" applyAlignment="1">
      <alignment horizontal="center" vertical="top" shrinkToFit="1"/>
    </xf>
    <xf numFmtId="177" fontId="0" fillId="0" borderId="5" xfId="0" applyNumberFormat="1" applyBorder="1">
      <alignment vertical="center"/>
    </xf>
    <xf numFmtId="1" fontId="11" fillId="0" borderId="2" xfId="0" applyNumberFormat="1" applyFont="1" applyBorder="1" applyAlignment="1">
      <alignment horizontal="center" vertical="top" shrinkToFit="1"/>
    </xf>
    <xf numFmtId="0" fontId="11" fillId="0" borderId="2" xfId="0" applyFont="1" applyBorder="1" applyAlignment="1">
      <alignment horizontal="center" wrapText="1"/>
    </xf>
    <xf numFmtId="0" fontId="11" fillId="0" borderId="2" xfId="0" applyFont="1" applyBorder="1" applyAlignment="1">
      <alignment horizontal="center" vertical="top" shrinkToFit="1"/>
    </xf>
    <xf numFmtId="0" fontId="10" fillId="0" borderId="17" xfId="0" applyFont="1" applyBorder="1" applyAlignment="1">
      <alignment vertical="center" wrapText="1"/>
    </xf>
    <xf numFmtId="177" fontId="0" fillId="0" borderId="21" xfId="0" applyNumberFormat="1" applyBorder="1">
      <alignment vertical="center"/>
    </xf>
    <xf numFmtId="180" fontId="11" fillId="0" borderId="11" xfId="0" applyNumberFormat="1" applyFont="1" applyBorder="1" applyAlignment="1">
      <alignment horizontal="center" vertical="top" shrinkToFit="1"/>
    </xf>
    <xf numFmtId="180" fontId="11" fillId="0" borderId="8" xfId="0" applyNumberFormat="1" applyFont="1" applyBorder="1" applyAlignment="1">
      <alignment horizontal="center" vertical="top" shrinkToFit="1"/>
    </xf>
    <xf numFmtId="181" fontId="11" fillId="0" borderId="1" xfId="0" applyNumberFormat="1" applyFont="1" applyBorder="1" applyAlignment="1">
      <alignment horizontal="center" vertical="top" shrinkToFit="1"/>
    </xf>
    <xf numFmtId="0" fontId="11" fillId="0" borderId="22" xfId="0" applyFont="1" applyBorder="1" applyAlignment="1">
      <alignment horizontal="center" vertical="top" wrapText="1"/>
    </xf>
    <xf numFmtId="0" fontId="11" fillId="0" borderId="23" xfId="0" applyFont="1" applyBorder="1" applyAlignment="1">
      <alignment horizontal="center" vertical="top" shrinkToFit="1"/>
    </xf>
    <xf numFmtId="1" fontId="11" fillId="0" borderId="23" xfId="0" applyNumberFormat="1" applyFont="1" applyBorder="1" applyAlignment="1">
      <alignment horizontal="center" vertical="top" shrinkToFit="1"/>
    </xf>
    <xf numFmtId="0" fontId="0" fillId="0" borderId="24" xfId="0" applyFont="1" applyBorder="1">
      <alignment vertical="center"/>
    </xf>
    <xf numFmtId="0" fontId="0" fillId="0" borderId="17" xfId="0" applyFont="1" applyBorder="1">
      <alignment vertical="center"/>
    </xf>
    <xf numFmtId="1" fontId="11" fillId="0" borderId="17" xfId="0" applyNumberFormat="1" applyFont="1" applyBorder="1" applyAlignment="1">
      <alignment horizontal="center" vertical="top" shrinkToFit="1"/>
    </xf>
    <xf numFmtId="180" fontId="11" fillId="0" borderId="17" xfId="0" applyNumberFormat="1" applyFont="1" applyBorder="1" applyAlignment="1">
      <alignment horizontal="center" vertical="top" shrinkToFit="1"/>
    </xf>
    <xf numFmtId="0" fontId="11" fillId="0" borderId="17" xfId="0" applyFont="1" applyBorder="1" applyAlignment="1">
      <alignment horizontal="center" vertical="top" wrapText="1"/>
    </xf>
    <xf numFmtId="0" fontId="11" fillId="0" borderId="25" xfId="0" applyFont="1" applyBorder="1" applyAlignment="1">
      <alignment horizontal="center" vertical="top" wrapText="1"/>
    </xf>
    <xf numFmtId="177" fontId="0" fillId="0" borderId="17" xfId="0" applyNumberFormat="1" applyBorder="1">
      <alignment vertical="center"/>
    </xf>
    <xf numFmtId="0" fontId="11" fillId="0" borderId="11" xfId="0" applyFont="1" applyBorder="1" applyAlignment="1">
      <alignment horizontal="center" wrapText="1"/>
    </xf>
    <xf numFmtId="177" fontId="0" fillId="0" borderId="26" xfId="0" applyNumberFormat="1" applyBorder="1">
      <alignment vertical="center"/>
    </xf>
    <xf numFmtId="0" fontId="11" fillId="0" borderId="1" xfId="0" applyNumberFormat="1" applyFont="1" applyBorder="1" applyAlignment="1">
      <alignment horizontal="center" wrapText="1"/>
    </xf>
    <xf numFmtId="0" fontId="12" fillId="2" borderId="27" xfId="0" applyFont="1" applyFill="1" applyBorder="1" applyAlignment="1">
      <alignment horizontal="center" vertical="center"/>
    </xf>
    <xf numFmtId="0" fontId="0" fillId="0" borderId="4" xfId="0" applyFont="1" applyBorder="1" applyAlignment="1">
      <alignment horizontal="center"/>
    </xf>
    <xf numFmtId="0" fontId="0" fillId="0" borderId="1" xfId="0" applyNumberFormat="1" applyFont="1" applyBorder="1" applyAlignment="1">
      <alignment horizontal="center" vertical="center"/>
    </xf>
    <xf numFmtId="0" fontId="0" fillId="0" borderId="0" xfId="0" applyFont="1" applyAlignment="1">
      <alignment horizontal="center" vertical="center"/>
    </xf>
    <xf numFmtId="0" fontId="0" fillId="0" borderId="1" xfId="0" applyBorder="1" applyAlignment="1">
      <alignment horizontal="center" vertical="top"/>
    </xf>
    <xf numFmtId="0" fontId="0" fillId="0" borderId="0" xfId="0" applyFont="1" applyAlignment="1">
      <alignment horizontal="center" vertical="top"/>
    </xf>
    <xf numFmtId="0" fontId="0" fillId="0" borderId="5" xfId="0" applyFont="1" applyBorder="1" applyAlignment="1">
      <alignment horizontal="center" vertical="center"/>
    </xf>
    <xf numFmtId="0" fontId="0" fillId="0" borderId="5" xfId="0" applyFont="1" applyBorder="1" applyAlignment="1">
      <alignment horizontal="center"/>
    </xf>
    <xf numFmtId="0" fontId="0" fillId="0" borderId="0" xfId="0" applyFont="1" applyAlignment="1">
      <alignment horizontal="center"/>
    </xf>
    <xf numFmtId="0" fontId="13" fillId="0" borderId="1" xfId="0" applyFont="1" applyBorder="1" applyAlignment="1">
      <alignment horizontal="center"/>
    </xf>
    <xf numFmtId="177" fontId="0" fillId="0" borderId="0" xfId="0" applyNumberFormat="1">
      <alignment vertical="center"/>
    </xf>
    <xf numFmtId="0" fontId="0"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0" fillId="0" borderId="1" xfId="0" applyFont="1" applyBorder="1">
      <alignment vertical="center"/>
    </xf>
    <xf numFmtId="0" fontId="10" fillId="0" borderId="1" xfId="0" applyFont="1" applyBorder="1" applyAlignment="1">
      <alignment horizontal="right" vertical="center" wrapText="1"/>
    </xf>
    <xf numFmtId="0" fontId="0" fillId="0" borderId="18" xfId="0" applyFont="1" applyBorder="1" applyAlignment="1">
      <alignment horizontal="left" vertical="center"/>
    </xf>
    <xf numFmtId="0" fontId="1" fillId="0" borderId="0" xfId="49">
      <alignment vertical="center"/>
    </xf>
    <xf numFmtId="0" fontId="2" fillId="0" borderId="0" xfId="51" applyFont="1" applyAlignment="1">
      <alignment horizontal="center"/>
    </xf>
    <xf numFmtId="0" fontId="2" fillId="0" borderId="0" xfId="49" applyFont="1">
      <alignment vertical="center"/>
    </xf>
    <xf numFmtId="0" fontId="1" fillId="0" borderId="0" xfId="51" applyAlignment="1">
      <alignment horizontal="center"/>
    </xf>
    <xf numFmtId="0" fontId="1" fillId="0" borderId="0" xfId="51" applyAlignment="1"/>
    <xf numFmtId="0" fontId="2" fillId="0" borderId="0" xfId="0" applyFont="1" applyAlignment="1"/>
    <xf numFmtId="0" fontId="0" fillId="0" borderId="0" xfId="0" applyAlignment="1"/>
    <xf numFmtId="0" fontId="14" fillId="4" borderId="0" xfId="0" applyFont="1" applyFill="1">
      <alignment vertical="center"/>
    </xf>
    <xf numFmtId="0" fontId="10" fillId="0" borderId="0" xfId="0" applyFont="1">
      <alignment vertical="center"/>
    </xf>
    <xf numFmtId="0" fontId="15" fillId="0" borderId="0" xfId="6" applyFont="1">
      <alignment vertical="center"/>
    </xf>
    <xf numFmtId="0" fontId="16" fillId="0" borderId="0" xfId="6">
      <alignment vertical="center"/>
    </xf>
    <xf numFmtId="0" fontId="17" fillId="0" borderId="0" xfId="6" applyFont="1">
      <alignment vertical="center"/>
    </xf>
    <xf numFmtId="0" fontId="2" fillId="0" borderId="0" xfId="50" applyFont="1" applyAlignment="1"/>
    <xf numFmtId="0" fontId="0" fillId="0" borderId="0" xfId="50" applyAlignment="1"/>
    <xf numFmtId="0" fontId="2" fillId="0" borderId="1" xfId="50" applyFont="1" applyBorder="1" applyAlignment="1">
      <alignment horizontal="center"/>
    </xf>
    <xf numFmtId="0" fontId="0" fillId="2" borderId="1" xfId="50" applyFill="1" applyBorder="1" applyAlignment="1">
      <alignment horizontal="center"/>
    </xf>
    <xf numFmtId="0" fontId="1" fillId="0" borderId="0" xfId="51" applyAlignment="1" quotePrefix="1">
      <alignment horizontal="center"/>
    </xf>
    <xf numFmtId="0" fontId="0" fillId="0" borderId="0" xfId="0" applyFont="1" quotePrefix="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常规 2 2" xfId="51"/>
    <cellStyle name="常规 3" xfId="52"/>
    <cellStyle name="常规 3 2" xfId="53"/>
    <cellStyle name="常规 4" xfId="54"/>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eetMetadata" Target="metadata.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6</xdr:row>
      <xdr:rowOff>0</xdr:rowOff>
    </xdr:from>
    <xdr:to>
      <xdr:col>5</xdr:col>
      <xdr:colOff>132186</xdr:colOff>
      <xdr:row>27</xdr:row>
      <xdr:rowOff>123825</xdr:rowOff>
    </xdr:to>
    <xdr:pic>
      <xdr:nvPicPr>
        <xdr:cNvPr id="3" name="图片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628650" y="1079500"/>
          <a:ext cx="5910580" cy="3457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4</xdr:row>
      <xdr:rowOff>0</xdr:rowOff>
    </xdr:from>
    <xdr:to>
      <xdr:col>14</xdr:col>
      <xdr:colOff>433705</xdr:colOff>
      <xdr:row>19</xdr:row>
      <xdr:rowOff>139065</xdr:rowOff>
    </xdr:to>
    <xdr:pic>
      <xdr:nvPicPr>
        <xdr:cNvPr id="2" name="图片 1"/>
        <xdr:cNvPicPr>
          <a:picLocks noChangeAspect="1"/>
        </xdr:cNvPicPr>
      </xdr:nvPicPr>
      <xdr:blipFill>
        <a:blip r:embed="rId1"/>
        <a:stretch>
          <a:fillRect/>
        </a:stretch>
      </xdr:blipFill>
      <xdr:spPr>
        <a:xfrm>
          <a:off x="609600" y="635000"/>
          <a:ext cx="8498205" cy="252031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esktop\EPS%20Models\EPS%20China%203.3.1\InputData\elec\CCaMC\Capacity%20Construction%20and%20Maint%20Cost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bout"/>
      <sheetName val="Exchange Rate"/>
      <sheetName val="IRENA Historic Cost"/>
      <sheetName val="LCOE China - IEA"/>
      <sheetName val="Start Year Wind and Solar"/>
      <sheetName val="Start Year Soft Cost Data"/>
      <sheetName val="中国光伏行业协会"/>
      <sheetName val="Solar Thermal"/>
      <sheetName val="LBNL Data"/>
      <sheetName val="S&amp;L"/>
      <sheetName val="Existing Plants"/>
      <sheetName val="Existing O&amp;M Costs"/>
      <sheetName val="New O&amp;M Costs"/>
      <sheetName val="All Other Capital and O&amp;M Costs"/>
      <sheetName val="All Other Capital and O&amp;M C 22"/>
      <sheetName val="CCaMC-AFOaMCpUC-pre-ret"/>
      <sheetName val="CCaMC-AFOaMCpUC-pre-nonret"/>
      <sheetName val="CCaMC-AFOaMCpUC-new"/>
      <sheetName val="CCaMC-VOaMCpUC-pre-ret"/>
      <sheetName val="CCaMC-VOaMCpUC-pre-nonret"/>
      <sheetName val="CCaMC-VOaMCpUC-new"/>
      <sheetName val="CCaMC-BCCpUC"/>
      <sheetName val="CCaMC-BSCpU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mediacdn.mengliaoba.cn/download/2021%E4%B8%AD%E5%9B%BD%E5%A4%AA%E9%98%B3%E8%83%BD%E7%83%AD%E5%8F%91%E7%94%B5%E8%A1%8C%E4%B8%9A%E8%93%9D%E7%9A%AE%E4%B9%A6.pdf" TargetMode="External"/><Relationship Id="rId8" Type="http://schemas.openxmlformats.org/officeDocument/2006/relationships/hyperlink" Target="http://www.cnste.org/uploads/soft/230131/1_0841264311.pdf" TargetMode="External"/><Relationship Id="rId7" Type="http://schemas.openxmlformats.org/officeDocument/2006/relationships/hyperlink" Target="http://www.chinapower.com.cn/flfd/hyyw/20210203/50102.html" TargetMode="External"/><Relationship Id="rId6" Type="http://schemas.openxmlformats.org/officeDocument/2006/relationships/hyperlink" Target="https://www.in-en.com/article/html/energy-2268801.shtml" TargetMode="External"/><Relationship Id="rId5" Type="http://schemas.openxmlformats.org/officeDocument/2006/relationships/hyperlink" Target="http://www.nea.gov.cn/2017-02/04/c_136030860.htm" TargetMode="External"/><Relationship Id="rId4" Type="http://schemas.openxmlformats.org/officeDocument/2006/relationships/hyperlink" Target="http://www.nea.gov.cn/2019-03/19/c_137907428.htm" TargetMode="External"/><Relationship Id="rId3" Type="http://schemas.openxmlformats.org/officeDocument/2006/relationships/hyperlink" Target="http://www.nea.gov.cn/2020-02/28/c_138827923.htm" TargetMode="External"/><Relationship Id="rId2" Type="http://schemas.openxmlformats.org/officeDocument/2006/relationships/hyperlink" Target="http://www.nea.gov.cn/2022-03/09/c_1310508114.htm" TargetMode="External"/><Relationship Id="rId11" Type="http://schemas.openxmlformats.org/officeDocument/2006/relationships/hyperlink" Target="https://en.wikipedia.org/wiki/List_of_offshore_wind_farms_in_China" TargetMode="External"/><Relationship Id="rId10" Type="http://schemas.openxmlformats.org/officeDocument/2006/relationships/hyperlink" Target="https://www.gov.cn/zhengce/zhengceku/2020-10/21/content_5552978.htm" TargetMode="External"/><Relationship Id="rId1" Type="http://schemas.openxmlformats.org/officeDocument/2006/relationships/hyperlink" Target="http://www.nea.gov.cn/2023-02/17/c_1310698128.ht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3"/>
  <sheetViews>
    <sheetView topLeftCell="A22" workbookViewId="0">
      <selection activeCell="B57" sqref="B57"/>
    </sheetView>
  </sheetViews>
  <sheetFormatPr defaultColWidth="9" defaultRowHeight="12.5" outlineLevelCol="1"/>
  <cols>
    <col min="2" max="2" width="79.5545454545454" customWidth="1"/>
  </cols>
  <sheetData>
    <row r="1" ht="14" spans="1:2">
      <c r="A1" s="154" t="s">
        <v>0</v>
      </c>
      <c r="B1" s="155"/>
    </row>
    <row r="2" spans="1:2">
      <c r="A2" s="155"/>
      <c r="B2" s="155"/>
    </row>
    <row r="3" ht="14" spans="1:2">
      <c r="A3" s="154" t="s">
        <v>1</v>
      </c>
      <c r="B3" s="27" t="s">
        <v>2</v>
      </c>
    </row>
    <row r="4" ht="13" spans="2:2">
      <c r="B4" s="156" t="s">
        <v>3</v>
      </c>
    </row>
    <row r="5" spans="2:2">
      <c r="B5" s="155" t="s">
        <v>4</v>
      </c>
    </row>
    <row r="6" ht="13" spans="2:2">
      <c r="B6" s="157" t="s">
        <v>5</v>
      </c>
    </row>
    <row r="7" spans="2:2">
      <c r="B7" s="27" t="s">
        <v>6</v>
      </c>
    </row>
    <row r="8" spans="2:2">
      <c r="B8" s="27" t="s">
        <v>7</v>
      </c>
    </row>
    <row r="10" ht="13" spans="2:2">
      <c r="B10" s="156" t="s">
        <v>8</v>
      </c>
    </row>
    <row r="11" spans="2:2">
      <c r="B11" s="27" t="s">
        <v>9</v>
      </c>
    </row>
    <row r="12" ht="13" spans="2:2">
      <c r="B12" s="157" t="s">
        <v>10</v>
      </c>
    </row>
    <row r="13" spans="2:2">
      <c r="B13" s="27" t="s">
        <v>11</v>
      </c>
    </row>
    <row r="14" ht="13" spans="2:2">
      <c r="B14" s="158" t="s">
        <v>12</v>
      </c>
    </row>
    <row r="15" spans="2:2">
      <c r="B15" s="159" t="s">
        <v>13</v>
      </c>
    </row>
    <row r="16" spans="2:2">
      <c r="B16" s="159" t="s">
        <v>14</v>
      </c>
    </row>
    <row r="17" spans="2:2">
      <c r="B17" s="159" t="s">
        <v>15</v>
      </c>
    </row>
    <row r="18" spans="2:2">
      <c r="B18" s="159" t="s">
        <v>16</v>
      </c>
    </row>
    <row r="19" spans="2:2">
      <c r="B19" s="159" t="s">
        <v>17</v>
      </c>
    </row>
    <row r="20" spans="2:2">
      <c r="B20" s="159" t="s">
        <v>18</v>
      </c>
    </row>
    <row r="22" ht="13" spans="2:2">
      <c r="B22" s="156" t="s">
        <v>19</v>
      </c>
    </row>
    <row r="23" spans="2:2">
      <c r="B23" s="27" t="s">
        <v>20</v>
      </c>
    </row>
    <row r="24" spans="2:2">
      <c r="B24" s="27" t="s">
        <v>21</v>
      </c>
    </row>
    <row r="25" ht="13" spans="2:2">
      <c r="B25" s="158" t="s">
        <v>22</v>
      </c>
    </row>
    <row r="26" ht="14.5" spans="2:2">
      <c r="B26" s="159" t="s">
        <v>23</v>
      </c>
    </row>
    <row r="28" ht="13" spans="2:2">
      <c r="B28" s="156" t="s">
        <v>24</v>
      </c>
    </row>
    <row r="29" spans="2:2">
      <c r="B29" s="27" t="s">
        <v>25</v>
      </c>
    </row>
    <row r="30" spans="2:2">
      <c r="B30" s="27" t="s">
        <v>26</v>
      </c>
    </row>
    <row r="31" ht="14.5" spans="2:2">
      <c r="B31" s="160" t="s">
        <v>27</v>
      </c>
    </row>
    <row r="32" spans="2:2">
      <c r="B32" s="159" t="s">
        <v>28</v>
      </c>
    </row>
    <row r="33" spans="2:2">
      <c r="B33" s="159"/>
    </row>
    <row r="34" ht="13" spans="2:2">
      <c r="B34" s="156" t="s">
        <v>29</v>
      </c>
    </row>
    <row r="35" ht="13" spans="2:2">
      <c r="B35" s="27" t="s">
        <v>30</v>
      </c>
    </row>
    <row r="36" spans="2:2">
      <c r="B36" s="27"/>
    </row>
    <row r="38" ht="14" spans="1:2">
      <c r="A38" s="154" t="s">
        <v>31</v>
      </c>
      <c r="B38" s="27" t="s">
        <v>32</v>
      </c>
    </row>
    <row r="39" spans="2:2">
      <c r="B39" s="27" t="s">
        <v>33</v>
      </c>
    </row>
    <row r="40" spans="2:2">
      <c r="B40" s="27" t="s">
        <v>34</v>
      </c>
    </row>
    <row r="41" spans="2:2">
      <c r="B41" s="27" t="s">
        <v>35</v>
      </c>
    </row>
    <row r="42" ht="13.2" customHeight="1" spans="1:2">
      <c r="A42" s="161" t="s">
        <v>36</v>
      </c>
      <c r="B42" s="162"/>
    </row>
    <row r="43" ht="13.5" customHeight="1" spans="1:2">
      <c r="A43" s="162" t="s">
        <v>37</v>
      </c>
      <c r="B43" s="162"/>
    </row>
    <row r="44" ht="13.5" customHeight="1" spans="1:2">
      <c r="A44" s="162" t="s">
        <v>38</v>
      </c>
      <c r="B44" s="162"/>
    </row>
    <row r="45" ht="13.5" customHeight="1" spans="1:2">
      <c r="A45" s="162" t="s">
        <v>39</v>
      </c>
      <c r="B45" s="162"/>
    </row>
    <row r="46" ht="13.5" customHeight="1" spans="1:2">
      <c r="A46" s="162"/>
      <c r="B46" s="163" t="s">
        <v>40</v>
      </c>
    </row>
    <row r="47" ht="13.5" customHeight="1" spans="1:2">
      <c r="A47" s="162"/>
      <c r="B47" s="164" t="s">
        <v>41</v>
      </c>
    </row>
    <row r="49" spans="2:2">
      <c r="B49" t="s">
        <v>42</v>
      </c>
    </row>
    <row r="50" spans="2:2">
      <c r="B50" s="27" t="s">
        <v>43</v>
      </c>
    </row>
    <row r="52" spans="2:2">
      <c r="B52" t="s">
        <v>44</v>
      </c>
    </row>
    <row r="53" spans="2:2">
      <c r="B53" s="27" t="s">
        <v>45</v>
      </c>
    </row>
  </sheetData>
  <dataValidations count="1">
    <dataValidation type="list" allowBlank="1" showInputMessage="1" showErrorMessage="1" sqref="B47">
      <formula1>'Province Selector'!$B$2:$B$33</formula1>
    </dataValidation>
  </dataValidations>
  <hyperlinks>
    <hyperlink ref="B14" r:id="rId1" display="2022年光伏发电建设运行情况---国家能源局 (nea.gov.cn)"/>
    <hyperlink ref="B15" r:id="rId2" display="2021年光伏发电建设运行情况---国家能源局 (nea.gov.cn)"/>
    <hyperlink ref="B17" r:id="rId3" display="2019年光伏发电并网运行情况---国家能源局 (nea.gov.cn)"/>
    <hyperlink ref="B18" r:id="rId4" display="2018年光伏发电统计信息---国家能源局 (nea.gov.cn)"/>
    <hyperlink ref="B20" r:id="rId5" display="2016年光伏发电统计信息---国家能源局 (nea.gov.cn)"/>
    <hyperlink ref="B19" r:id="rId6" display="2017年全国光伏发电装机1.30亿千瓦，光伏发电量1182亿千瓦时-国际能源网能源资讯中心 (in-en.com)"/>
    <hyperlink ref="B16" r:id="rId7" display="国家能源局公布2020年可再生能源发展情况_中国电力网 (chinapower.com.cn)"/>
    <hyperlink ref="B25" r:id="rId8" display="2022中国太阳能热发电行业蓝皮书.pdf"/>
    <hyperlink ref="B26" r:id="rId9" display="2021中国太阳能热发电行业蓝皮书.pdf"/>
    <hyperlink ref="B31" r:id="rId10" location=":~:text=%E5%85%B3%E4%BA%8E%E3%80%8A%E5%85%B3%E4%BA%8E%E4%BF%83%E8%BF%9B%E9%9D%9E%E6%B0%B4%E5%8F%AF%E5%86%8D%E7%94%9F%E8%83%BD%E6%BA%90%E5%8F%91%E7%94%B5%E5%81%A5%E5%BA%B7%E5%8F%91%E5%B1%95%E7%9A%84%E8%8B%A5%E5%B9%B2%E6%84%8F%E8%A7%81%E3%80%8B%E6%9C%89%E5%85%B3%E4%BA%8B%E9%A1%B9%E7%9A%84%E8%A1%A5%E5%85%85%E9%80%9A%E7%9F%A5%20%E8%B4%A2%E5%BB%BA%E3%80%942020%E3%80%95426%E5%8F%B7,%E5%90%84%E7%9C%81%E3%80%81%E8%87%AA%E6%B2%BB%E5%8C%BA%E3%80%81%E7%9B%B4%E8%BE%96%E5%B8%82%E8%B4%A2%E6%94%BF%E5%8E%85%EF%BC%88%E5%B1%80%EF%BC%89%E3%80%81%E5%8F%91%E5%B1%95%E6%94%B9%E9%9D%A9%E5%A7%94%E3%80%81%E8%83%BD%E6%BA%90%E5%B1%80%EF%BC%8C%E6%96%B0%E7%96%86%E7%94%9F%E4%BA%A7%E5%BB%BA%E8%AE%BE%E5%85%B5%E5%9B%A2%E8%B4%A2%E6%94%BF%E5%B1%80%E3%80%81%E5%8F%91%E5%B1%95%E6%94%B9%E9%9D%A9%E5%A7%94%EF%BC%8C%E5%9B%BD%E5%AE%B6%E7%94%B5%E7%BD%91%E6%9C%89%E9%99%90%E5%85%AC%E5%8F%B8%EF%BC%8C%E4%B8%AD%E5%9B%BD%E5%8D%97%E6%96%B9%E7%94%B5%E7%BD%91%E6%9C%89%E9%99%90%E8%B4%A3%E4%BB%BB%E5%85%AC%E5%8F%B8%EF%BC%9A%20%E4%B8%BA%E4%BF" display="关于《关于促进非水可再生能源发电健康发展的若干意见》有关事项的补充通知"/>
    <hyperlink ref="B32" r:id="rId11" display="Wikipedia: List of offshore wind farms in China"/>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B31" sqref="B31"/>
    </sheetView>
  </sheetViews>
  <sheetFormatPr defaultColWidth="9" defaultRowHeight="14" outlineLevelCol="5"/>
  <cols>
    <col min="1" max="1" width="5.89090909090909" style="149" customWidth="1"/>
    <col min="2" max="2" width="27.3363636363636" style="149" customWidth="1"/>
    <col min="3" max="3" width="17.2181818181818" style="149" customWidth="1"/>
    <col min="4" max="16384" width="8.89090909090909" style="149"/>
  </cols>
  <sheetData>
    <row r="1" spans="1:6">
      <c r="A1" s="150" t="s">
        <v>46</v>
      </c>
      <c r="B1" s="151" t="s">
        <v>47</v>
      </c>
      <c r="C1" s="151" t="s">
        <v>48</v>
      </c>
      <c r="D1" s="151" t="s">
        <v>49</v>
      </c>
      <c r="E1" s="151" t="s">
        <v>50</v>
      </c>
      <c r="F1" s="151" t="s">
        <v>51</v>
      </c>
    </row>
    <row r="2" spans="1:6">
      <c r="A2" s="165" t="s">
        <v>52</v>
      </c>
      <c r="B2" s="153" t="s">
        <v>41</v>
      </c>
      <c r="C2" s="149" t="s">
        <v>53</v>
      </c>
      <c r="D2" s="149" t="s">
        <v>53</v>
      </c>
      <c r="E2" s="149" t="s">
        <v>54</v>
      </c>
      <c r="F2" s="149" t="s">
        <v>55</v>
      </c>
    </row>
    <row r="3" spans="1:6">
      <c r="A3" s="152">
        <v>11</v>
      </c>
      <c r="B3" s="153" t="s">
        <v>56</v>
      </c>
      <c r="C3" s="149" t="s">
        <v>57</v>
      </c>
      <c r="D3" s="149" t="s">
        <v>58</v>
      </c>
      <c r="E3" s="149" t="s">
        <v>59</v>
      </c>
      <c r="F3" s="149" t="s">
        <v>60</v>
      </c>
    </row>
    <row r="4" spans="1:6">
      <c r="A4" s="152">
        <v>12</v>
      </c>
      <c r="B4" s="153" t="s">
        <v>61</v>
      </c>
      <c r="C4" s="149" t="s">
        <v>62</v>
      </c>
      <c r="D4" s="149" t="s">
        <v>63</v>
      </c>
      <c r="E4" s="149" t="s">
        <v>64</v>
      </c>
      <c r="F4" s="149" t="s">
        <v>65</v>
      </c>
    </row>
    <row r="5" spans="1:6">
      <c r="A5" s="152">
        <v>13</v>
      </c>
      <c r="B5" s="153" t="s">
        <v>66</v>
      </c>
      <c r="C5" s="149" t="s">
        <v>67</v>
      </c>
      <c r="D5" s="149" t="s">
        <v>68</v>
      </c>
      <c r="E5" s="149" t="s">
        <v>69</v>
      </c>
      <c r="F5" s="149" t="s">
        <v>70</v>
      </c>
    </row>
    <row r="6" spans="1:6">
      <c r="A6" s="152">
        <v>14</v>
      </c>
      <c r="B6" s="153" t="s">
        <v>71</v>
      </c>
      <c r="C6" s="149" t="s">
        <v>72</v>
      </c>
      <c r="D6" s="149" t="s">
        <v>73</v>
      </c>
      <c r="E6" s="149" t="s">
        <v>74</v>
      </c>
      <c r="F6" s="149" t="s">
        <v>75</v>
      </c>
    </row>
    <row r="7" spans="1:6">
      <c r="A7" s="152">
        <v>15</v>
      </c>
      <c r="B7" s="153" t="s">
        <v>76</v>
      </c>
      <c r="C7" s="149" t="s">
        <v>77</v>
      </c>
      <c r="D7" s="149" t="s">
        <v>78</v>
      </c>
      <c r="E7" s="149" t="s">
        <v>79</v>
      </c>
      <c r="F7" s="149" t="s">
        <v>80</v>
      </c>
    </row>
    <row r="8" spans="1:6">
      <c r="A8" s="152">
        <v>21</v>
      </c>
      <c r="B8" s="153" t="s">
        <v>81</v>
      </c>
      <c r="C8" s="149" t="s">
        <v>82</v>
      </c>
      <c r="D8" s="149" t="s">
        <v>83</v>
      </c>
      <c r="E8" s="149" t="s">
        <v>84</v>
      </c>
      <c r="F8" s="149" t="s">
        <v>85</v>
      </c>
    </row>
    <row r="9" spans="1:6">
      <c r="A9" s="152">
        <v>22</v>
      </c>
      <c r="B9" s="153" t="s">
        <v>86</v>
      </c>
      <c r="C9" s="149" t="s">
        <v>87</v>
      </c>
      <c r="D9" s="149" t="s">
        <v>88</v>
      </c>
      <c r="E9" s="149" t="s">
        <v>89</v>
      </c>
      <c r="F9" s="149" t="s">
        <v>90</v>
      </c>
    </row>
    <row r="10" spans="1:6">
      <c r="A10" s="152">
        <v>23</v>
      </c>
      <c r="B10" s="153" t="s">
        <v>91</v>
      </c>
      <c r="C10" s="149" t="s">
        <v>92</v>
      </c>
      <c r="D10" s="149" t="s">
        <v>93</v>
      </c>
      <c r="E10" s="149" t="s">
        <v>94</v>
      </c>
      <c r="F10" s="149" t="s">
        <v>95</v>
      </c>
    </row>
    <row r="11" spans="1:6">
      <c r="A11" s="152">
        <v>31</v>
      </c>
      <c r="B11" s="153" t="s">
        <v>96</v>
      </c>
      <c r="C11" s="149" t="s">
        <v>97</v>
      </c>
      <c r="D11" s="149" t="s">
        <v>98</v>
      </c>
      <c r="E11" s="149" t="s">
        <v>99</v>
      </c>
      <c r="F11" s="149" t="s">
        <v>100</v>
      </c>
    </row>
    <row r="12" spans="1:6">
      <c r="A12" s="152">
        <v>32</v>
      </c>
      <c r="B12" s="153" t="s">
        <v>101</v>
      </c>
      <c r="C12" s="149" t="s">
        <v>102</v>
      </c>
      <c r="D12" s="149" t="s">
        <v>103</v>
      </c>
      <c r="E12" s="149" t="s">
        <v>104</v>
      </c>
      <c r="F12" s="149" t="s">
        <v>105</v>
      </c>
    </row>
    <row r="13" spans="1:6">
      <c r="A13" s="152">
        <v>33</v>
      </c>
      <c r="B13" s="153" t="s">
        <v>106</v>
      </c>
      <c r="C13" s="149" t="s">
        <v>107</v>
      </c>
      <c r="D13" s="149" t="s">
        <v>108</v>
      </c>
      <c r="E13" s="149" t="s">
        <v>109</v>
      </c>
      <c r="F13" s="149" t="s">
        <v>110</v>
      </c>
    </row>
    <row r="14" spans="1:6">
      <c r="A14" s="152">
        <v>34</v>
      </c>
      <c r="B14" s="153" t="s">
        <v>111</v>
      </c>
      <c r="C14" s="149" t="s">
        <v>112</v>
      </c>
      <c r="D14" s="149" t="s">
        <v>113</v>
      </c>
      <c r="E14" s="149" t="s">
        <v>114</v>
      </c>
      <c r="F14" s="149" t="s">
        <v>115</v>
      </c>
    </row>
    <row r="15" spans="1:6">
      <c r="A15" s="152">
        <v>35</v>
      </c>
      <c r="B15" s="153" t="s">
        <v>116</v>
      </c>
      <c r="C15" s="149" t="s">
        <v>117</v>
      </c>
      <c r="D15" s="149" t="s">
        <v>118</v>
      </c>
      <c r="E15" s="149" t="s">
        <v>119</v>
      </c>
      <c r="F15" s="149" t="s">
        <v>120</v>
      </c>
    </row>
    <row r="16" spans="1:6">
      <c r="A16" s="152">
        <v>36</v>
      </c>
      <c r="B16" s="153" t="s">
        <v>121</v>
      </c>
      <c r="C16" s="149" t="s">
        <v>122</v>
      </c>
      <c r="D16" s="149" t="s">
        <v>123</v>
      </c>
      <c r="E16" s="149" t="s">
        <v>124</v>
      </c>
      <c r="F16" s="149" t="s">
        <v>125</v>
      </c>
    </row>
    <row r="17" spans="1:6">
      <c r="A17" s="152">
        <v>37</v>
      </c>
      <c r="B17" s="153" t="s">
        <v>126</v>
      </c>
      <c r="C17" s="149" t="s">
        <v>127</v>
      </c>
      <c r="D17" s="149" t="s">
        <v>128</v>
      </c>
      <c r="E17" s="149" t="s">
        <v>129</v>
      </c>
      <c r="F17" s="149" t="s">
        <v>130</v>
      </c>
    </row>
    <row r="18" spans="1:6">
      <c r="A18" s="152">
        <v>41</v>
      </c>
      <c r="B18" s="153" t="s">
        <v>131</v>
      </c>
      <c r="C18" s="149" t="s">
        <v>132</v>
      </c>
      <c r="D18" s="149" t="s">
        <v>133</v>
      </c>
      <c r="E18" s="149" t="s">
        <v>134</v>
      </c>
      <c r="F18" s="149" t="s">
        <v>135</v>
      </c>
    </row>
    <row r="19" spans="1:6">
      <c r="A19" s="152">
        <v>42</v>
      </c>
      <c r="B19" s="153" t="s">
        <v>136</v>
      </c>
      <c r="C19" s="149" t="s">
        <v>137</v>
      </c>
      <c r="D19" s="149" t="s">
        <v>138</v>
      </c>
      <c r="E19" s="149" t="s">
        <v>139</v>
      </c>
      <c r="F19" s="149" t="s">
        <v>140</v>
      </c>
    </row>
    <row r="20" spans="1:6">
      <c r="A20" s="152">
        <v>43</v>
      </c>
      <c r="B20" s="153" t="s">
        <v>141</v>
      </c>
      <c r="C20" s="149" t="s">
        <v>142</v>
      </c>
      <c r="D20" s="149" t="s">
        <v>143</v>
      </c>
      <c r="E20" s="149" t="s">
        <v>144</v>
      </c>
      <c r="F20" s="149" t="s">
        <v>145</v>
      </c>
    </row>
    <row r="21" spans="1:6">
      <c r="A21" s="152">
        <v>44</v>
      </c>
      <c r="B21" s="153" t="s">
        <v>146</v>
      </c>
      <c r="C21" s="149" t="s">
        <v>147</v>
      </c>
      <c r="D21" s="149" t="s">
        <v>148</v>
      </c>
      <c r="E21" s="149" t="s">
        <v>149</v>
      </c>
      <c r="F21" s="149" t="s">
        <v>150</v>
      </c>
    </row>
    <row r="22" spans="1:6">
      <c r="A22" s="152">
        <v>45</v>
      </c>
      <c r="B22" s="153" t="s">
        <v>151</v>
      </c>
      <c r="C22" s="149" t="s">
        <v>152</v>
      </c>
      <c r="D22" s="149" t="s">
        <v>153</v>
      </c>
      <c r="E22" s="149" t="s">
        <v>154</v>
      </c>
      <c r="F22" s="149" t="s">
        <v>155</v>
      </c>
    </row>
    <row r="23" spans="1:6">
      <c r="A23" s="152">
        <v>46</v>
      </c>
      <c r="B23" s="153" t="s">
        <v>156</v>
      </c>
      <c r="C23" s="149" t="s">
        <v>157</v>
      </c>
      <c r="D23" s="149" t="s">
        <v>158</v>
      </c>
      <c r="E23" s="149" t="s">
        <v>159</v>
      </c>
      <c r="F23" s="149" t="s">
        <v>160</v>
      </c>
    </row>
    <row r="24" spans="1:6">
      <c r="A24" s="152">
        <v>50</v>
      </c>
      <c r="B24" s="153" t="s">
        <v>161</v>
      </c>
      <c r="C24" s="149" t="s">
        <v>162</v>
      </c>
      <c r="D24" s="149" t="s">
        <v>163</v>
      </c>
      <c r="E24" s="149" t="s">
        <v>164</v>
      </c>
      <c r="F24" s="149" t="s">
        <v>165</v>
      </c>
    </row>
    <row r="25" spans="1:6">
      <c r="A25" s="152">
        <v>51</v>
      </c>
      <c r="B25" s="153" t="s">
        <v>166</v>
      </c>
      <c r="C25" s="149" t="s">
        <v>167</v>
      </c>
      <c r="D25" s="149" t="s">
        <v>168</v>
      </c>
      <c r="E25" s="149" t="s">
        <v>169</v>
      </c>
      <c r="F25" s="149" t="s">
        <v>170</v>
      </c>
    </row>
    <row r="26" spans="1:6">
      <c r="A26" s="152">
        <v>52</v>
      </c>
      <c r="B26" s="153" t="s">
        <v>171</v>
      </c>
      <c r="C26" s="149" t="s">
        <v>172</v>
      </c>
      <c r="D26" s="149" t="s">
        <v>173</v>
      </c>
      <c r="E26" s="149" t="s">
        <v>174</v>
      </c>
      <c r="F26" s="149" t="s">
        <v>175</v>
      </c>
    </row>
    <row r="27" spans="1:6">
      <c r="A27" s="152">
        <v>53</v>
      </c>
      <c r="B27" s="153" t="s">
        <v>176</v>
      </c>
      <c r="C27" s="149" t="s">
        <v>177</v>
      </c>
      <c r="D27" s="149" t="s">
        <v>178</v>
      </c>
      <c r="E27" s="149" t="s">
        <v>179</v>
      </c>
      <c r="F27" s="149" t="s">
        <v>180</v>
      </c>
    </row>
    <row r="28" spans="1:6">
      <c r="A28" s="152">
        <v>54</v>
      </c>
      <c r="B28" s="153" t="s">
        <v>181</v>
      </c>
      <c r="C28" s="149" t="s">
        <v>182</v>
      </c>
      <c r="D28" s="149" t="s">
        <v>183</v>
      </c>
      <c r="E28" s="149" t="s">
        <v>184</v>
      </c>
      <c r="F28" s="149" t="s">
        <v>185</v>
      </c>
    </row>
    <row r="29" spans="1:6">
      <c r="A29" s="152">
        <v>61</v>
      </c>
      <c r="B29" s="153" t="s">
        <v>186</v>
      </c>
      <c r="C29" s="149" t="s">
        <v>187</v>
      </c>
      <c r="D29" s="149" t="s">
        <v>188</v>
      </c>
      <c r="E29" s="149" t="s">
        <v>189</v>
      </c>
      <c r="F29" s="149" t="s">
        <v>190</v>
      </c>
    </row>
    <row r="30" spans="1:6">
      <c r="A30" s="152">
        <v>62</v>
      </c>
      <c r="B30" s="153" t="s">
        <v>191</v>
      </c>
      <c r="C30" s="149" t="s">
        <v>192</v>
      </c>
      <c r="D30" s="149" t="s">
        <v>193</v>
      </c>
      <c r="E30" s="149" t="s">
        <v>194</v>
      </c>
      <c r="F30" s="149" t="s">
        <v>195</v>
      </c>
    </row>
    <row r="31" spans="1:6">
      <c r="A31" s="152">
        <v>63</v>
      </c>
      <c r="B31" s="153" t="s">
        <v>196</v>
      </c>
      <c r="C31" s="149" t="s">
        <v>197</v>
      </c>
      <c r="D31" s="149" t="s">
        <v>198</v>
      </c>
      <c r="E31" s="149" t="s">
        <v>199</v>
      </c>
      <c r="F31" s="149" t="s">
        <v>200</v>
      </c>
    </row>
    <row r="32" spans="1:6">
      <c r="A32" s="152">
        <v>64</v>
      </c>
      <c r="B32" s="153" t="s">
        <v>201</v>
      </c>
      <c r="C32" s="149" t="s">
        <v>202</v>
      </c>
      <c r="D32" s="149" t="s">
        <v>203</v>
      </c>
      <c r="E32" s="149" t="s">
        <v>204</v>
      </c>
      <c r="F32" s="149" t="s">
        <v>205</v>
      </c>
    </row>
    <row r="33" spans="1:6">
      <c r="A33" s="152">
        <v>65</v>
      </c>
      <c r="B33" s="153" t="s">
        <v>206</v>
      </c>
      <c r="C33" s="149" t="s">
        <v>207</v>
      </c>
      <c r="D33" s="149" t="s">
        <v>208</v>
      </c>
      <c r="E33" s="149" t="s">
        <v>209</v>
      </c>
      <c r="F33" s="149" t="s">
        <v>210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72"/>
  <sheetViews>
    <sheetView zoomScale="85" zoomScaleNormal="85" topLeftCell="AN1" workbookViewId="0">
      <selection activeCell="BM7" sqref="BM7"/>
    </sheetView>
  </sheetViews>
  <sheetFormatPr defaultColWidth="9" defaultRowHeight="12.5"/>
  <cols>
    <col min="52" max="70" width="9.44545454545455" customWidth="1"/>
  </cols>
  <sheetData>
    <row r="1" ht="13" spans="1:6">
      <c r="A1" s="132" t="s">
        <v>211</v>
      </c>
      <c r="B1" s="132"/>
      <c r="C1" s="132"/>
      <c r="D1" s="132"/>
      <c r="E1" s="132"/>
      <c r="F1" s="132"/>
    </row>
    <row r="2" ht="13" spans="1:70">
      <c r="A2" s="37" t="s">
        <v>212</v>
      </c>
      <c r="B2" s="38" t="s">
        <v>213</v>
      </c>
      <c r="C2" s="39"/>
      <c r="D2" s="39"/>
      <c r="E2" s="39"/>
      <c r="F2" s="39"/>
      <c r="G2" s="39"/>
      <c r="H2" s="133"/>
      <c r="I2" s="38" t="s">
        <v>214</v>
      </c>
      <c r="J2" s="39"/>
      <c r="K2" s="39"/>
      <c r="L2" s="39"/>
      <c r="M2" s="39"/>
      <c r="N2" s="39"/>
      <c r="O2" s="133"/>
      <c r="P2" s="38" t="s">
        <v>215</v>
      </c>
      <c r="Q2" s="39"/>
      <c r="R2" s="39"/>
      <c r="S2" s="39"/>
      <c r="T2" s="39"/>
      <c r="U2" s="39"/>
      <c r="V2" s="133"/>
      <c r="W2" s="38" t="s">
        <v>216</v>
      </c>
      <c r="X2" s="39"/>
      <c r="Y2" s="39"/>
      <c r="Z2" s="39"/>
      <c r="AA2" s="39"/>
      <c r="AB2" s="39"/>
      <c r="AC2" s="133"/>
      <c r="AD2" s="38" t="s">
        <v>217</v>
      </c>
      <c r="AE2" s="39"/>
      <c r="AF2" s="39"/>
      <c r="AG2" s="39"/>
      <c r="AH2" s="39"/>
      <c r="AI2" s="39"/>
      <c r="AJ2" s="133"/>
      <c r="AK2" s="38" t="s">
        <v>218</v>
      </c>
      <c r="AL2" s="39"/>
      <c r="AM2" s="39"/>
      <c r="AN2" s="39"/>
      <c r="AO2" s="39"/>
      <c r="AP2" s="39"/>
      <c r="AQ2" s="133"/>
      <c r="AR2" s="38" t="s">
        <v>219</v>
      </c>
      <c r="AS2" s="39"/>
      <c r="AT2" s="39"/>
      <c r="AU2" s="39"/>
      <c r="AV2" s="39"/>
      <c r="AW2" s="39"/>
      <c r="AX2" s="133"/>
      <c r="AY2" s="140"/>
      <c r="AZ2" s="37" t="s">
        <v>212</v>
      </c>
      <c r="BA2" s="141" t="s">
        <v>220</v>
      </c>
      <c r="BB2" s="141"/>
      <c r="BC2" s="141"/>
      <c r="BD2" s="141"/>
      <c r="BE2" s="141"/>
      <c r="BF2" s="141"/>
      <c r="BG2" s="141" t="s">
        <v>221</v>
      </c>
      <c r="BH2" s="141"/>
      <c r="BI2" s="141"/>
      <c r="BJ2" s="141"/>
      <c r="BK2" s="141"/>
      <c r="BL2" s="141"/>
      <c r="BM2" s="141" t="s">
        <v>222</v>
      </c>
      <c r="BN2" s="141"/>
      <c r="BO2" s="141"/>
      <c r="BP2" s="141"/>
      <c r="BQ2" s="141"/>
      <c r="BR2" s="141"/>
    </row>
    <row r="3" ht="14.5" spans="1:70">
      <c r="A3" s="37"/>
      <c r="B3" s="41" t="s">
        <v>223</v>
      </c>
      <c r="C3" s="41" t="s">
        <v>224</v>
      </c>
      <c r="D3" s="41" t="s">
        <v>225</v>
      </c>
      <c r="E3" s="41" t="s">
        <v>226</v>
      </c>
      <c r="F3" s="41" t="s">
        <v>227</v>
      </c>
      <c r="G3" s="37" t="s">
        <v>228</v>
      </c>
      <c r="H3" s="37" t="s">
        <v>229</v>
      </c>
      <c r="I3" s="41" t="s">
        <v>223</v>
      </c>
      <c r="J3" s="41" t="s">
        <v>224</v>
      </c>
      <c r="K3" s="41" t="s">
        <v>225</v>
      </c>
      <c r="L3" s="41" t="s">
        <v>226</v>
      </c>
      <c r="M3" s="41" t="s">
        <v>227</v>
      </c>
      <c r="N3" s="37" t="s">
        <v>228</v>
      </c>
      <c r="O3" s="37" t="s">
        <v>229</v>
      </c>
      <c r="P3" s="41" t="s">
        <v>223</v>
      </c>
      <c r="Q3" s="41" t="s">
        <v>224</v>
      </c>
      <c r="R3" s="41" t="s">
        <v>225</v>
      </c>
      <c r="S3" s="41" t="s">
        <v>226</v>
      </c>
      <c r="T3" s="41" t="s">
        <v>227</v>
      </c>
      <c r="U3" s="37" t="s">
        <v>228</v>
      </c>
      <c r="V3" s="37" t="s">
        <v>229</v>
      </c>
      <c r="W3" s="41" t="s">
        <v>223</v>
      </c>
      <c r="X3" s="41" t="s">
        <v>224</v>
      </c>
      <c r="Y3" s="41" t="s">
        <v>225</v>
      </c>
      <c r="Z3" s="41" t="s">
        <v>226</v>
      </c>
      <c r="AA3" s="41" t="s">
        <v>227</v>
      </c>
      <c r="AB3" s="37" t="s">
        <v>228</v>
      </c>
      <c r="AC3" s="37" t="s">
        <v>229</v>
      </c>
      <c r="AD3" s="41" t="s">
        <v>223</v>
      </c>
      <c r="AE3" s="41" t="s">
        <v>224</v>
      </c>
      <c r="AF3" s="41" t="s">
        <v>225</v>
      </c>
      <c r="AG3" s="41" t="s">
        <v>226</v>
      </c>
      <c r="AH3" s="41" t="s">
        <v>227</v>
      </c>
      <c r="AI3" s="37" t="s">
        <v>228</v>
      </c>
      <c r="AJ3" s="37" t="s">
        <v>229</v>
      </c>
      <c r="AK3" s="41" t="s">
        <v>223</v>
      </c>
      <c r="AL3" s="41" t="s">
        <v>224</v>
      </c>
      <c r="AM3" s="41" t="s">
        <v>225</v>
      </c>
      <c r="AN3" s="41" t="s">
        <v>226</v>
      </c>
      <c r="AO3" s="41" t="s">
        <v>227</v>
      </c>
      <c r="AP3" s="37" t="s">
        <v>228</v>
      </c>
      <c r="AQ3" s="37" t="s">
        <v>229</v>
      </c>
      <c r="AR3" s="138" t="s">
        <v>230</v>
      </c>
      <c r="AS3" s="139" t="s">
        <v>231</v>
      </c>
      <c r="AT3" s="139" t="s">
        <v>232</v>
      </c>
      <c r="AU3" s="139" t="s">
        <v>233</v>
      </c>
      <c r="AV3" s="139" t="s">
        <v>227</v>
      </c>
      <c r="AW3" s="138" t="s">
        <v>228</v>
      </c>
      <c r="AX3" s="138" t="s">
        <v>229</v>
      </c>
      <c r="AY3" s="135"/>
      <c r="AZ3" s="37"/>
      <c r="BA3" s="41">
        <v>2017</v>
      </c>
      <c r="BB3" s="41">
        <v>2018</v>
      </c>
      <c r="BC3" s="41">
        <v>2019</v>
      </c>
      <c r="BD3" s="41">
        <v>2020</v>
      </c>
      <c r="BE3" s="41">
        <v>2021</v>
      </c>
      <c r="BF3" s="41">
        <v>2022</v>
      </c>
      <c r="BG3" s="41">
        <v>2017</v>
      </c>
      <c r="BH3" s="41">
        <v>2018</v>
      </c>
      <c r="BI3" s="41">
        <v>2019</v>
      </c>
      <c r="BJ3" s="41">
        <v>2020</v>
      </c>
      <c r="BK3" s="41">
        <v>2021</v>
      </c>
      <c r="BL3" s="41">
        <v>2022</v>
      </c>
      <c r="BM3" s="41">
        <v>2017</v>
      </c>
      <c r="BN3" s="41">
        <v>2018</v>
      </c>
      <c r="BO3" s="41">
        <v>2019</v>
      </c>
      <c r="BP3" s="41">
        <v>2020</v>
      </c>
      <c r="BQ3" s="41">
        <v>2021</v>
      </c>
      <c r="BR3" s="41">
        <v>2022</v>
      </c>
    </row>
    <row r="4" ht="13" spans="1:70">
      <c r="A4" s="37" t="s">
        <v>234</v>
      </c>
      <c r="B4" s="37">
        <v>165051</v>
      </c>
      <c r="C4" s="37">
        <v>178451</v>
      </c>
      <c r="D4" s="37">
        <v>190012</v>
      </c>
      <c r="E4" s="37">
        <v>201006</v>
      </c>
      <c r="F4" s="37">
        <v>220540</v>
      </c>
      <c r="G4" s="37">
        <v>237777</v>
      </c>
      <c r="H4" s="134">
        <v>256798</v>
      </c>
      <c r="I4" s="37">
        <v>33207</v>
      </c>
      <c r="J4" s="37">
        <v>34411</v>
      </c>
      <c r="K4" s="37">
        <v>35259</v>
      </c>
      <c r="L4" s="37">
        <v>35804</v>
      </c>
      <c r="M4" s="37">
        <v>37028</v>
      </c>
      <c r="N4" s="37">
        <v>39094</v>
      </c>
      <c r="O4" s="134">
        <v>41406</v>
      </c>
      <c r="P4" s="37">
        <v>106094</v>
      </c>
      <c r="Q4" s="37">
        <v>111009</v>
      </c>
      <c r="R4" s="37">
        <v>114408</v>
      </c>
      <c r="S4" s="37">
        <v>118957</v>
      </c>
      <c r="T4" s="37">
        <v>124960</v>
      </c>
      <c r="U4" s="37">
        <v>129739</v>
      </c>
      <c r="V4" s="134">
        <v>133329</v>
      </c>
      <c r="W4" s="37">
        <v>3364</v>
      </c>
      <c r="X4" s="37">
        <v>3582</v>
      </c>
      <c r="Y4" s="37">
        <v>4466</v>
      </c>
      <c r="Z4" s="37">
        <v>4874</v>
      </c>
      <c r="AA4" s="37">
        <v>4989</v>
      </c>
      <c r="AB4" s="37">
        <v>5326</v>
      </c>
      <c r="AC4" s="134">
        <v>5557</v>
      </c>
      <c r="AD4" s="37">
        <v>14747</v>
      </c>
      <c r="AE4" s="37">
        <v>16400</v>
      </c>
      <c r="AF4" s="37">
        <v>18427</v>
      </c>
      <c r="AG4" s="37">
        <v>20915</v>
      </c>
      <c r="AH4" s="37">
        <v>28165</v>
      </c>
      <c r="AI4" s="37">
        <v>32871</v>
      </c>
      <c r="AJ4" s="134">
        <v>36564</v>
      </c>
      <c r="AK4" s="37">
        <v>7631</v>
      </c>
      <c r="AL4" s="37">
        <v>13042</v>
      </c>
      <c r="AM4" s="37">
        <v>17433</v>
      </c>
      <c r="AN4" s="37">
        <v>20429</v>
      </c>
      <c r="AO4" s="37">
        <v>25356</v>
      </c>
      <c r="AP4" s="37">
        <v>30654</v>
      </c>
      <c r="AQ4" s="134">
        <v>39268</v>
      </c>
      <c r="AR4" s="37"/>
      <c r="AS4" s="37">
        <v>7</v>
      </c>
      <c r="AT4" s="37">
        <v>20</v>
      </c>
      <c r="AU4" s="37">
        <v>37</v>
      </c>
      <c r="AV4" s="37">
        <v>41</v>
      </c>
      <c r="AW4" s="37">
        <v>94</v>
      </c>
      <c r="AX4" s="134">
        <v>675</v>
      </c>
      <c r="AY4" s="135"/>
      <c r="AZ4" s="37" t="s">
        <v>234</v>
      </c>
      <c r="BA4" s="51">
        <f t="shared" ref="BA4:BF4" si="0">IFERROR(X40/AVERAGE(W4:X4)*10000/8760,"")</f>
        <v>0.815488563438502</v>
      </c>
      <c r="BB4" s="51">
        <f t="shared" si="0"/>
        <v>0.836873734760387</v>
      </c>
      <c r="BC4" s="51">
        <f t="shared" si="0"/>
        <v>0.852375504776432</v>
      </c>
      <c r="BD4" s="51">
        <f t="shared" si="0"/>
        <v>0.847686362527355</v>
      </c>
      <c r="BE4" s="51">
        <f t="shared" si="0"/>
        <v>0.901953753566314</v>
      </c>
      <c r="BF4" s="51">
        <f t="shared" si="0"/>
        <v>0.876487437782608</v>
      </c>
      <c r="BG4" s="51">
        <f t="shared" ref="BG4:BL4" si="1">IFERROR(AE40/AVERAGE(AD4:AE4)*10000/8760,"")</f>
        <v>0.223274726283218</v>
      </c>
      <c r="BH4" s="51">
        <f t="shared" si="1"/>
        <v>0.239802399675998</v>
      </c>
      <c r="BI4" s="51">
        <f t="shared" si="1"/>
        <v>0.235204734317885</v>
      </c>
      <c r="BJ4" s="51">
        <f t="shared" si="1"/>
        <v>0.21700662044635</v>
      </c>
      <c r="BK4" s="51">
        <f t="shared" si="1"/>
        <v>0.245307732153582</v>
      </c>
      <c r="BL4" s="51">
        <f t="shared" si="1"/>
        <v>0.250686148110664</v>
      </c>
      <c r="BM4" s="51">
        <f>IFERROR(J40/((I4+J4)/2)*10000/8760,"")</f>
        <v>0.403387496047836</v>
      </c>
      <c r="BN4" s="51">
        <f t="shared" ref="BN4:BR4" si="2">IFERROR(K40/((J4+K4)/2)*10000/8760,"")</f>
        <v>0.403762551834382</v>
      </c>
      <c r="BO4" s="51">
        <f t="shared" si="2"/>
        <v>0.418337397834078</v>
      </c>
      <c r="BP4" s="51">
        <f t="shared" si="2"/>
        <v>0.424853393761385</v>
      </c>
      <c r="BQ4" s="51">
        <f t="shared" si="2"/>
        <v>0.401872312878186</v>
      </c>
      <c r="BR4" s="51">
        <f t="shared" si="2"/>
        <v>0.383363112964066</v>
      </c>
    </row>
    <row r="5" ht="13" spans="1:70">
      <c r="A5" s="37" t="s">
        <v>235</v>
      </c>
      <c r="B5" s="37">
        <v>1103</v>
      </c>
      <c r="C5" s="37">
        <v>1219</v>
      </c>
      <c r="D5" s="37">
        <v>1276</v>
      </c>
      <c r="E5" s="37">
        <v>1304</v>
      </c>
      <c r="F5" s="37">
        <v>1316</v>
      </c>
      <c r="G5" s="37">
        <v>1340</v>
      </c>
      <c r="H5" s="134">
        <v>1361</v>
      </c>
      <c r="I5" s="37">
        <v>98</v>
      </c>
      <c r="J5" s="37">
        <v>98</v>
      </c>
      <c r="K5" s="37">
        <v>98</v>
      </c>
      <c r="L5" s="37">
        <v>99</v>
      </c>
      <c r="M5" s="37">
        <v>99</v>
      </c>
      <c r="N5" s="37">
        <v>99</v>
      </c>
      <c r="O5" s="134">
        <v>102</v>
      </c>
      <c r="P5" s="37">
        <v>971</v>
      </c>
      <c r="Q5" s="37">
        <v>1077</v>
      </c>
      <c r="R5" s="37">
        <v>1119</v>
      </c>
      <c r="S5" s="37">
        <v>1135</v>
      </c>
      <c r="T5" s="37">
        <v>1136</v>
      </c>
      <c r="U5" s="37">
        <v>1137</v>
      </c>
      <c r="V5" s="134">
        <v>1137</v>
      </c>
      <c r="W5" s="64"/>
      <c r="X5" s="64"/>
      <c r="Y5" s="64"/>
      <c r="Z5" s="64"/>
      <c r="AA5" s="64"/>
      <c r="AB5" s="37"/>
      <c r="AC5" s="134"/>
      <c r="AD5" s="37">
        <v>19</v>
      </c>
      <c r="AE5" s="37">
        <v>19</v>
      </c>
      <c r="AF5" s="37">
        <v>19</v>
      </c>
      <c r="AG5" s="37">
        <v>19</v>
      </c>
      <c r="AH5" s="37">
        <v>19</v>
      </c>
      <c r="AI5" s="64">
        <v>24</v>
      </c>
      <c r="AJ5" s="134">
        <v>24</v>
      </c>
      <c r="AK5" s="37">
        <v>15</v>
      </c>
      <c r="AL5" s="37">
        <v>25</v>
      </c>
      <c r="AM5" s="37">
        <v>40</v>
      </c>
      <c r="AN5" s="37">
        <v>51</v>
      </c>
      <c r="AO5" s="37">
        <v>62</v>
      </c>
      <c r="AP5" s="37">
        <v>80</v>
      </c>
      <c r="AQ5" s="134">
        <v>95</v>
      </c>
      <c r="AR5" s="37"/>
      <c r="AS5" s="64"/>
      <c r="AT5" s="64"/>
      <c r="AU5" s="64"/>
      <c r="AV5" s="64"/>
      <c r="AW5" s="37"/>
      <c r="AX5" s="134">
        <v>3</v>
      </c>
      <c r="AY5" s="135"/>
      <c r="AZ5" s="37" t="s">
        <v>235</v>
      </c>
      <c r="BA5" s="51" t="str">
        <f t="shared" ref="BA5:BA35" si="3">IFERROR(X41/AVERAGE(W5:X5)*10000/8760,"")</f>
        <v/>
      </c>
      <c r="BB5" s="51" t="str">
        <f t="shared" ref="BB5:BB35" si="4">IFERROR(Y41/AVERAGE(X5:Y5)*10000/8760,"")</f>
        <v/>
      </c>
      <c r="BC5" s="51" t="str">
        <f t="shared" ref="BC5:BC35" si="5">IFERROR(Z41/AVERAGE(Y5:Z5)*10000/8760,"")</f>
        <v/>
      </c>
      <c r="BD5" s="51" t="str">
        <f t="shared" ref="BD5:BD35" si="6">IFERROR(AA41/AVERAGE(Z5:AA5)*10000/8760,"")</f>
        <v/>
      </c>
      <c r="BE5" s="51" t="str">
        <f t="shared" ref="BE5:BE35" si="7">IFERROR(AB41/AVERAGE(AA5:AB5)*10000/8760,"")</f>
        <v/>
      </c>
      <c r="BF5" s="51" t="str">
        <f t="shared" ref="BF5:BF35" si="8">IFERROR(AC41/AVERAGE(AB5:AC5)*10000/8760,"")</f>
        <v/>
      </c>
      <c r="BG5" s="51">
        <f t="shared" ref="BG5:BG35" si="9">IFERROR(AE41/AVERAGE(AD5:AE5)*10000/8760,"")</f>
        <v>0.180245133381399</v>
      </c>
      <c r="BH5" s="51">
        <f t="shared" ref="BH5:BH35" si="10">IFERROR(AF41/AVERAGE(AE5:AF5)*10000/8760,"")</f>
        <v>0.180245133381399</v>
      </c>
      <c r="BI5" s="51">
        <f t="shared" ref="BI5:BI35" si="11">IFERROR(AG41/AVERAGE(AF5:AG5)*10000/8760,"")</f>
        <v>0.180245133381399</v>
      </c>
      <c r="BJ5" s="51">
        <f t="shared" ref="BJ5:BJ35" si="12">IFERROR(AH41/AVERAGE(AG5:AH5)*10000/8760,"")</f>
        <v>0.240326844508532</v>
      </c>
      <c r="BK5" s="51">
        <f t="shared" ref="BK5:BK35" si="13">IFERROR(AI41/AVERAGE(AH5:AI5)*10000/8760,"")</f>
        <v>0.212381862588935</v>
      </c>
      <c r="BL5" s="51">
        <f t="shared" ref="BL5:BL35" si="14">IFERROR(AJ41/AVERAGE(AI5:AJ5)*10000/8760,"")</f>
        <v>0.237823439878234</v>
      </c>
      <c r="BM5" s="51">
        <f t="shared" ref="BM5:BM22" si="15">IFERROR(J41/((I5+J5)/2)*10000/8760,"")</f>
        <v>0.128133445158885</v>
      </c>
      <c r="BN5" s="51">
        <f t="shared" ref="BN5:BN22" si="16">IFERROR(K41/((J5+K5)/2)*10000/8760,"")</f>
        <v>0.116484950144441</v>
      </c>
      <c r="BO5" s="51">
        <f t="shared" ref="BO5:BO22" si="17">IFERROR(L41/((K5+L5)/2)*10000/8760,"")</f>
        <v>0.115893655981272</v>
      </c>
      <c r="BP5" s="51">
        <f t="shared" ref="BP5:BP22" si="18">IFERROR(M41/((L5+M5)/2)*10000/8760,"")</f>
        <v>0.126839167935058</v>
      </c>
      <c r="BQ5" s="51">
        <f t="shared" ref="BQ5:BQ22" si="19">IFERROR(N41/((M5+N5)/2)*10000/8760,"")</f>
        <v>0.161431668280983</v>
      </c>
      <c r="BR5" s="51">
        <f t="shared" ref="BR5:BR35" si="20">IFERROR(O41/((N5+O5)/2)*10000/8760,"")</f>
        <v>0.102228583111838</v>
      </c>
    </row>
    <row r="6" ht="13" spans="1:70">
      <c r="A6" s="37" t="s">
        <v>236</v>
      </c>
      <c r="B6" s="37">
        <v>1467</v>
      </c>
      <c r="C6" s="37">
        <v>1499</v>
      </c>
      <c r="D6" s="37">
        <v>1709</v>
      </c>
      <c r="E6" s="37">
        <v>1842</v>
      </c>
      <c r="F6" s="37">
        <v>1917</v>
      </c>
      <c r="G6" s="37">
        <v>2192</v>
      </c>
      <c r="H6" s="134">
        <v>2262</v>
      </c>
      <c r="I6" s="37">
        <v>1</v>
      </c>
      <c r="J6" s="37">
        <v>1</v>
      </c>
      <c r="K6" s="37">
        <v>1</v>
      </c>
      <c r="L6" s="37">
        <v>1</v>
      </c>
      <c r="M6" s="37">
        <v>1</v>
      </c>
      <c r="N6" s="37">
        <v>1</v>
      </c>
      <c r="O6" s="134">
        <v>1</v>
      </c>
      <c r="P6" s="37">
        <v>1378</v>
      </c>
      <c r="Q6" s="37">
        <v>1402</v>
      </c>
      <c r="R6" s="37">
        <v>1529</v>
      </c>
      <c r="S6" s="37">
        <v>1639</v>
      </c>
      <c r="T6" s="37">
        <v>1668</v>
      </c>
      <c r="U6" s="37">
        <v>1884</v>
      </c>
      <c r="V6" s="134">
        <v>1896</v>
      </c>
      <c r="W6" s="64"/>
      <c r="X6" s="64"/>
      <c r="Y6" s="64"/>
      <c r="Z6" s="64"/>
      <c r="AA6" s="64"/>
      <c r="AB6" s="37"/>
      <c r="AC6" s="134"/>
      <c r="AD6" s="37">
        <v>29</v>
      </c>
      <c r="AE6" s="37">
        <v>29</v>
      </c>
      <c r="AF6" s="37">
        <v>52</v>
      </c>
      <c r="AG6" s="37">
        <v>60</v>
      </c>
      <c r="AH6" s="37">
        <v>85</v>
      </c>
      <c r="AI6" s="64">
        <v>130</v>
      </c>
      <c r="AJ6" s="134">
        <v>145</v>
      </c>
      <c r="AK6" s="37">
        <v>60</v>
      </c>
      <c r="AL6" s="37">
        <v>68</v>
      </c>
      <c r="AM6" s="37">
        <v>128</v>
      </c>
      <c r="AN6" s="37">
        <v>143</v>
      </c>
      <c r="AO6" s="37">
        <v>164</v>
      </c>
      <c r="AP6" s="37">
        <v>178</v>
      </c>
      <c r="AQ6" s="134">
        <v>221</v>
      </c>
      <c r="AR6" s="37"/>
      <c r="AS6" s="64"/>
      <c r="AT6" s="64"/>
      <c r="AU6" s="64"/>
      <c r="AV6" s="64"/>
      <c r="AW6" s="37"/>
      <c r="AX6" s="134">
        <v>0.001</v>
      </c>
      <c r="AY6" s="135"/>
      <c r="AZ6" s="37" t="s">
        <v>236</v>
      </c>
      <c r="BA6" s="51" t="str">
        <f t="shared" si="3"/>
        <v/>
      </c>
      <c r="BB6" s="51" t="str">
        <f t="shared" si="4"/>
        <v/>
      </c>
      <c r="BC6" s="51" t="str">
        <f t="shared" si="5"/>
        <v/>
      </c>
      <c r="BD6" s="51" t="str">
        <f t="shared" si="6"/>
        <v/>
      </c>
      <c r="BE6" s="51" t="str">
        <f t="shared" si="7"/>
        <v/>
      </c>
      <c r="BF6" s="51" t="str">
        <f t="shared" si="8"/>
        <v/>
      </c>
      <c r="BG6" s="51">
        <f t="shared" si="9"/>
        <v>0.236183278223902</v>
      </c>
      <c r="BH6" s="51">
        <f t="shared" si="10"/>
        <v>0.22549185410677</v>
      </c>
      <c r="BI6" s="51">
        <f t="shared" si="11"/>
        <v>0.22423352902805</v>
      </c>
      <c r="BJ6" s="51">
        <f t="shared" si="12"/>
        <v>0.188946622579121</v>
      </c>
      <c r="BK6" s="51">
        <f t="shared" si="13"/>
        <v>0.191143676330041</v>
      </c>
      <c r="BL6" s="51">
        <f t="shared" si="14"/>
        <v>0.215857202158572</v>
      </c>
      <c r="BM6" s="51">
        <f t="shared" si="15"/>
        <v>0.0799086757990868</v>
      </c>
      <c r="BN6" s="51">
        <f t="shared" si="16"/>
        <v>0.171232876712329</v>
      </c>
      <c r="BO6" s="51">
        <f t="shared" si="17"/>
        <v>0.136986301369863</v>
      </c>
      <c r="BP6" s="51">
        <f t="shared" si="18"/>
        <v>0.114155251141553</v>
      </c>
      <c r="BQ6" s="51">
        <f t="shared" si="19"/>
        <v>0.228310502283105</v>
      </c>
      <c r="BR6" s="51">
        <f t="shared" si="20"/>
        <v>0.114155251141553</v>
      </c>
    </row>
    <row r="7" ht="13" spans="1:70">
      <c r="A7" s="37" t="s">
        <v>237</v>
      </c>
      <c r="B7" s="37">
        <v>6275</v>
      </c>
      <c r="C7" s="37">
        <v>6807</v>
      </c>
      <c r="D7" s="37">
        <v>7427</v>
      </c>
      <c r="E7" s="37">
        <v>8319</v>
      </c>
      <c r="F7" s="37">
        <v>10042</v>
      </c>
      <c r="G7" s="37">
        <v>11078</v>
      </c>
      <c r="H7" s="134">
        <v>12459</v>
      </c>
      <c r="I7" s="37">
        <v>182</v>
      </c>
      <c r="J7" s="37">
        <v>182</v>
      </c>
      <c r="K7" s="37">
        <v>182</v>
      </c>
      <c r="L7" s="37">
        <v>182</v>
      </c>
      <c r="M7" s="37">
        <v>182</v>
      </c>
      <c r="N7" s="37">
        <v>182</v>
      </c>
      <c r="O7" s="134">
        <v>393</v>
      </c>
      <c r="P7" s="37">
        <v>4510</v>
      </c>
      <c r="Q7" s="37">
        <v>4574</v>
      </c>
      <c r="R7" s="37">
        <v>4617</v>
      </c>
      <c r="S7" s="37">
        <v>5021</v>
      </c>
      <c r="T7" s="37">
        <v>5391</v>
      </c>
      <c r="U7" s="37">
        <v>5424</v>
      </c>
      <c r="V7" s="134">
        <v>5383</v>
      </c>
      <c r="W7" s="64"/>
      <c r="X7" s="64"/>
      <c r="Y7" s="64"/>
      <c r="Z7" s="64"/>
      <c r="AA7" s="64"/>
      <c r="AB7" s="37"/>
      <c r="AC7" s="134"/>
      <c r="AD7" s="37">
        <v>1138</v>
      </c>
      <c r="AE7" s="37">
        <v>1181</v>
      </c>
      <c r="AF7" s="37">
        <v>1391</v>
      </c>
      <c r="AG7" s="37">
        <v>1639</v>
      </c>
      <c r="AH7" s="37">
        <v>2274</v>
      </c>
      <c r="AI7" s="64">
        <v>2546</v>
      </c>
      <c r="AJ7" s="134">
        <v>2797</v>
      </c>
      <c r="AK7" s="37">
        <v>443</v>
      </c>
      <c r="AL7" s="37">
        <v>868</v>
      </c>
      <c r="AM7" s="37">
        <v>1234</v>
      </c>
      <c r="AN7" s="37">
        <v>1474</v>
      </c>
      <c r="AO7" s="37">
        <v>2190</v>
      </c>
      <c r="AP7" s="37">
        <v>2921</v>
      </c>
      <c r="AQ7" s="134">
        <v>3855</v>
      </c>
      <c r="AR7" s="37"/>
      <c r="AS7" s="37">
        <v>2</v>
      </c>
      <c r="AT7" s="37">
        <v>3</v>
      </c>
      <c r="AU7" s="37">
        <v>3</v>
      </c>
      <c r="AV7" s="37">
        <v>4</v>
      </c>
      <c r="AW7" s="37">
        <v>4</v>
      </c>
      <c r="AX7" s="134">
        <v>31</v>
      </c>
      <c r="AY7" s="135"/>
      <c r="AZ7" s="37" t="s">
        <v>237</v>
      </c>
      <c r="BA7" s="51" t="str">
        <f t="shared" si="3"/>
        <v/>
      </c>
      <c r="BB7" s="51" t="str">
        <f t="shared" si="4"/>
        <v/>
      </c>
      <c r="BC7" s="51" t="str">
        <f t="shared" si="5"/>
        <v/>
      </c>
      <c r="BD7" s="51" t="str">
        <f t="shared" si="6"/>
        <v/>
      </c>
      <c r="BE7" s="51" t="str">
        <f t="shared" si="7"/>
        <v/>
      </c>
      <c r="BF7" s="51" t="str">
        <f t="shared" si="8"/>
        <v/>
      </c>
      <c r="BG7" s="51">
        <f t="shared" si="9"/>
        <v>0.258929116431464</v>
      </c>
      <c r="BH7" s="51">
        <f t="shared" si="10"/>
        <v>0.251212566664536</v>
      </c>
      <c r="BI7" s="51">
        <f t="shared" si="11"/>
        <v>0.23961300239613</v>
      </c>
      <c r="BJ7" s="51">
        <f t="shared" si="12"/>
        <v>0.214715729210791</v>
      </c>
      <c r="BK7" s="51">
        <f t="shared" si="13"/>
        <v>0.242047026279391</v>
      </c>
      <c r="BL7" s="51">
        <f t="shared" si="14"/>
        <v>0.250829617892912</v>
      </c>
      <c r="BM7" s="51">
        <f t="shared" si="15"/>
        <v>0.125445330924783</v>
      </c>
      <c r="BN7" s="51">
        <f t="shared" si="16"/>
        <v>0.106628531286066</v>
      </c>
      <c r="BO7" s="51">
        <f t="shared" si="17"/>
        <v>0.100356264739826</v>
      </c>
      <c r="BP7" s="51">
        <f t="shared" si="18"/>
        <v>0.0940839981935872</v>
      </c>
      <c r="BQ7" s="51">
        <f t="shared" si="19"/>
        <v>0.15053439710974</v>
      </c>
      <c r="BR7" s="51">
        <f t="shared" si="20"/>
        <v>0.146912844947389</v>
      </c>
    </row>
    <row r="8" ht="13" spans="1:70">
      <c r="A8" s="37" t="s">
        <v>238</v>
      </c>
      <c r="B8" s="37">
        <v>7640</v>
      </c>
      <c r="C8" s="37">
        <v>8073</v>
      </c>
      <c r="D8" s="37">
        <v>8758</v>
      </c>
      <c r="E8" s="37">
        <v>9249</v>
      </c>
      <c r="F8" s="37">
        <v>10383</v>
      </c>
      <c r="G8" s="37">
        <v>11338</v>
      </c>
      <c r="H8" s="134">
        <v>12091</v>
      </c>
      <c r="I8" s="37">
        <v>244</v>
      </c>
      <c r="J8" s="37">
        <v>244</v>
      </c>
      <c r="K8" s="37">
        <v>223</v>
      </c>
      <c r="L8" s="37">
        <v>223</v>
      </c>
      <c r="M8" s="37">
        <v>223</v>
      </c>
      <c r="N8" s="37">
        <v>224</v>
      </c>
      <c r="O8" s="134">
        <v>224</v>
      </c>
      <c r="P8" s="37">
        <v>6329</v>
      </c>
      <c r="Q8" s="37">
        <v>6366</v>
      </c>
      <c r="R8" s="37">
        <v>6628</v>
      </c>
      <c r="S8" s="37">
        <v>6687</v>
      </c>
      <c r="T8" s="37">
        <v>6878</v>
      </c>
      <c r="U8" s="37">
        <v>7533</v>
      </c>
      <c r="V8" s="134">
        <v>7842</v>
      </c>
      <c r="W8" s="64"/>
      <c r="X8" s="64"/>
      <c r="Y8" s="64"/>
      <c r="Z8" s="64"/>
      <c r="AA8" s="64"/>
      <c r="AB8" s="37"/>
      <c r="AC8" s="134"/>
      <c r="AD8" s="37">
        <v>771</v>
      </c>
      <c r="AE8" s="37">
        <v>872</v>
      </c>
      <c r="AF8" s="37">
        <v>1043</v>
      </c>
      <c r="AG8" s="37">
        <v>1251</v>
      </c>
      <c r="AH8" s="37">
        <v>1974</v>
      </c>
      <c r="AI8" s="64">
        <v>2123</v>
      </c>
      <c r="AJ8" s="134">
        <v>2318</v>
      </c>
      <c r="AK8" s="37">
        <v>297</v>
      </c>
      <c r="AL8" s="37">
        <v>590</v>
      </c>
      <c r="AM8" s="37">
        <v>864</v>
      </c>
      <c r="AN8" s="37">
        <v>1088</v>
      </c>
      <c r="AO8" s="37">
        <v>1309</v>
      </c>
      <c r="AP8" s="37">
        <v>1458</v>
      </c>
      <c r="AQ8" s="134">
        <v>1696</v>
      </c>
      <c r="AR8" s="37"/>
      <c r="AS8" s="64"/>
      <c r="AT8" s="64"/>
      <c r="AU8" s="64"/>
      <c r="AV8" s="64"/>
      <c r="AW8" s="37"/>
      <c r="AX8" s="134">
        <v>11</v>
      </c>
      <c r="AY8" s="135"/>
      <c r="AZ8" s="37" t="s">
        <v>238</v>
      </c>
      <c r="BA8" s="51" t="str">
        <f t="shared" si="3"/>
        <v/>
      </c>
      <c r="BB8" s="51" t="str">
        <f t="shared" si="4"/>
        <v/>
      </c>
      <c r="BC8" s="51" t="str">
        <f t="shared" si="5"/>
        <v/>
      </c>
      <c r="BD8" s="51" t="str">
        <f t="shared" si="6"/>
        <v/>
      </c>
      <c r="BE8" s="51" t="str">
        <f t="shared" si="7"/>
        <v/>
      </c>
      <c r="BF8" s="51" t="str">
        <f t="shared" si="8"/>
        <v/>
      </c>
      <c r="BG8" s="51">
        <f t="shared" si="9"/>
        <v>0.229283218969643</v>
      </c>
      <c r="BH8" s="51">
        <f t="shared" si="10"/>
        <v>0.252751052135866</v>
      </c>
      <c r="BI8" s="51">
        <f t="shared" si="11"/>
        <v>0.222936148698411</v>
      </c>
      <c r="BJ8" s="51">
        <f t="shared" si="12"/>
        <v>0.188311918162189</v>
      </c>
      <c r="BK8" s="51">
        <f t="shared" si="13"/>
        <v>0.26135617664334</v>
      </c>
      <c r="BL8" s="51">
        <f t="shared" si="14"/>
        <v>0.239569227795377</v>
      </c>
      <c r="BM8" s="51">
        <f t="shared" si="15"/>
        <v>0.196496743768246</v>
      </c>
      <c r="BN8" s="51">
        <f t="shared" si="16"/>
        <v>0.210221661631125</v>
      </c>
      <c r="BO8" s="51">
        <f t="shared" si="17"/>
        <v>0.250834408337941</v>
      </c>
      <c r="BP8" s="51">
        <f t="shared" si="18"/>
        <v>0.240596269222106</v>
      </c>
      <c r="BQ8" s="51">
        <f t="shared" si="19"/>
        <v>0.199197082528884</v>
      </c>
      <c r="BR8" s="51">
        <f t="shared" si="20"/>
        <v>0.183463796477495</v>
      </c>
    </row>
    <row r="9" ht="13" spans="1:70">
      <c r="A9" s="37" t="s">
        <v>239</v>
      </c>
      <c r="B9" s="37">
        <v>11045</v>
      </c>
      <c r="C9" s="37">
        <v>11826</v>
      </c>
      <c r="D9" s="37">
        <v>12285</v>
      </c>
      <c r="E9" s="37">
        <v>12931</v>
      </c>
      <c r="F9" s="37">
        <v>14639</v>
      </c>
      <c r="G9" s="37">
        <v>15487</v>
      </c>
      <c r="H9" s="134">
        <v>16915</v>
      </c>
      <c r="I9" s="37">
        <v>241</v>
      </c>
      <c r="J9" s="37">
        <v>242</v>
      </c>
      <c r="K9" s="37">
        <v>242</v>
      </c>
      <c r="L9" s="37">
        <v>239</v>
      </c>
      <c r="M9" s="37">
        <v>242</v>
      </c>
      <c r="N9" s="37">
        <v>241</v>
      </c>
      <c r="O9" s="134">
        <v>241</v>
      </c>
      <c r="P9" s="37">
        <v>7609</v>
      </c>
      <c r="Q9" s="37">
        <v>8170</v>
      </c>
      <c r="R9" s="37">
        <v>8229</v>
      </c>
      <c r="S9" s="37">
        <v>8721</v>
      </c>
      <c r="T9" s="37">
        <v>9374</v>
      </c>
      <c r="U9" s="37">
        <v>9834</v>
      </c>
      <c r="V9" s="134">
        <v>10503</v>
      </c>
      <c r="W9" s="64"/>
      <c r="X9" s="64"/>
      <c r="Y9" s="64"/>
      <c r="Z9" s="64"/>
      <c r="AA9" s="64"/>
      <c r="AB9" s="37"/>
      <c r="AC9" s="134"/>
      <c r="AD9" s="37">
        <v>2557</v>
      </c>
      <c r="AE9" s="37">
        <v>2670</v>
      </c>
      <c r="AF9" s="37">
        <v>2868</v>
      </c>
      <c r="AG9" s="37">
        <v>2920</v>
      </c>
      <c r="AH9" s="37">
        <v>3786</v>
      </c>
      <c r="AI9" s="64">
        <v>3996</v>
      </c>
      <c r="AJ9" s="134">
        <v>4568</v>
      </c>
      <c r="AK9" s="37">
        <v>638</v>
      </c>
      <c r="AL9" s="37">
        <v>743</v>
      </c>
      <c r="AM9" s="37">
        <v>946</v>
      </c>
      <c r="AN9" s="37">
        <v>1051</v>
      </c>
      <c r="AO9" s="37">
        <v>1237</v>
      </c>
      <c r="AP9" s="37">
        <v>1412</v>
      </c>
      <c r="AQ9" s="134">
        <v>1568</v>
      </c>
      <c r="AR9" s="37"/>
      <c r="AS9" s="64"/>
      <c r="AT9" s="64"/>
      <c r="AU9" s="64"/>
      <c r="AV9" s="64"/>
      <c r="AW9" s="37">
        <v>3</v>
      </c>
      <c r="AX9" s="134">
        <v>35</v>
      </c>
      <c r="AY9" s="135"/>
      <c r="AZ9" s="37" t="s">
        <v>239</v>
      </c>
      <c r="BA9" s="51" t="str">
        <f t="shared" si="3"/>
        <v/>
      </c>
      <c r="BB9" s="51" t="str">
        <f t="shared" si="4"/>
        <v/>
      </c>
      <c r="BC9" s="51" t="str">
        <f t="shared" si="5"/>
        <v/>
      </c>
      <c r="BD9" s="51" t="str">
        <f t="shared" si="6"/>
        <v/>
      </c>
      <c r="BE9" s="51" t="str">
        <f t="shared" si="7"/>
        <v/>
      </c>
      <c r="BF9" s="51" t="str">
        <f t="shared" si="8"/>
        <v/>
      </c>
      <c r="BG9" s="51">
        <f t="shared" si="9"/>
        <v>0.240671679276814</v>
      </c>
      <c r="BH9" s="51">
        <f t="shared" si="10"/>
        <v>0.260549363385559</v>
      </c>
      <c r="BI9" s="51">
        <f t="shared" si="11"/>
        <v>0.262706970491617</v>
      </c>
      <c r="BJ9" s="51">
        <f t="shared" si="12"/>
        <v>0.247171823229249</v>
      </c>
      <c r="BK9" s="51">
        <f t="shared" si="13"/>
        <v>0.283701176699772</v>
      </c>
      <c r="BL9" s="51">
        <f t="shared" si="14"/>
        <v>0.287120984305119</v>
      </c>
      <c r="BM9" s="51">
        <f t="shared" si="15"/>
        <v>0.113446212314586</v>
      </c>
      <c r="BN9" s="51">
        <f t="shared" si="16"/>
        <v>0.212272161213631</v>
      </c>
      <c r="BO9" s="51">
        <f t="shared" si="17"/>
        <v>0.275301645164659</v>
      </c>
      <c r="BP9" s="51">
        <f t="shared" si="18"/>
        <v>0.270555065075613</v>
      </c>
      <c r="BQ9" s="51">
        <f t="shared" si="19"/>
        <v>0.293069381812681</v>
      </c>
      <c r="BR9" s="51">
        <f t="shared" si="20"/>
        <v>0.20367949373804</v>
      </c>
    </row>
    <row r="10" ht="13" spans="1:70">
      <c r="A10" s="37" t="s">
        <v>240</v>
      </c>
      <c r="B10" s="37">
        <v>4601</v>
      </c>
      <c r="C10" s="37">
        <v>4869</v>
      </c>
      <c r="D10" s="37">
        <v>5192</v>
      </c>
      <c r="E10" s="37">
        <v>5370</v>
      </c>
      <c r="F10" s="37">
        <v>5776</v>
      </c>
      <c r="G10" s="37">
        <v>6164</v>
      </c>
      <c r="H10" s="134">
        <v>6595</v>
      </c>
      <c r="I10" s="37">
        <v>293</v>
      </c>
      <c r="J10" s="37">
        <v>295</v>
      </c>
      <c r="K10" s="37">
        <v>299</v>
      </c>
      <c r="L10" s="37">
        <v>302</v>
      </c>
      <c r="M10" s="37">
        <v>305</v>
      </c>
      <c r="N10" s="37">
        <v>305</v>
      </c>
      <c r="O10" s="134">
        <v>305</v>
      </c>
      <c r="P10" s="37">
        <v>3114</v>
      </c>
      <c r="Q10" s="37">
        <v>3193</v>
      </c>
      <c r="R10" s="37">
        <v>3383</v>
      </c>
      <c r="S10" s="37">
        <v>3446</v>
      </c>
      <c r="T10" s="37">
        <v>3643</v>
      </c>
      <c r="U10" s="37">
        <v>3737</v>
      </c>
      <c r="V10" s="134">
        <v>3835</v>
      </c>
      <c r="W10" s="37">
        <v>448</v>
      </c>
      <c r="X10" s="37">
        <v>448</v>
      </c>
      <c r="Y10" s="37">
        <v>448</v>
      </c>
      <c r="Z10" s="37">
        <v>448</v>
      </c>
      <c r="AA10" s="37">
        <v>448</v>
      </c>
      <c r="AB10" s="37">
        <v>558</v>
      </c>
      <c r="AC10" s="134">
        <v>668</v>
      </c>
      <c r="AD10" s="37">
        <v>695</v>
      </c>
      <c r="AE10" s="37">
        <v>711</v>
      </c>
      <c r="AF10" s="37">
        <v>761</v>
      </c>
      <c r="AG10" s="37">
        <v>832</v>
      </c>
      <c r="AH10" s="37">
        <v>981</v>
      </c>
      <c r="AI10" s="37">
        <v>1087</v>
      </c>
      <c r="AJ10" s="134">
        <v>1173</v>
      </c>
      <c r="AK10" s="37">
        <v>52</v>
      </c>
      <c r="AL10" s="37">
        <v>223</v>
      </c>
      <c r="AM10" s="37">
        <v>302</v>
      </c>
      <c r="AN10" s="37">
        <v>343</v>
      </c>
      <c r="AO10" s="37">
        <v>400</v>
      </c>
      <c r="AP10" s="37">
        <v>478</v>
      </c>
      <c r="AQ10" s="134">
        <v>601</v>
      </c>
      <c r="AR10" s="37"/>
      <c r="AS10" s="64"/>
      <c r="AT10" s="64"/>
      <c r="AU10" s="64"/>
      <c r="AV10" s="64"/>
      <c r="AW10" s="37"/>
      <c r="AX10" s="134">
        <v>15</v>
      </c>
      <c r="AY10" s="135"/>
      <c r="AZ10" s="37" t="s">
        <v>240</v>
      </c>
      <c r="BA10" s="51">
        <f t="shared" si="3"/>
        <v>0.601353555120678</v>
      </c>
      <c r="BB10" s="51">
        <f t="shared" si="4"/>
        <v>0.769528701891716</v>
      </c>
      <c r="BC10" s="51">
        <f t="shared" si="5"/>
        <v>0.833231409001957</v>
      </c>
      <c r="BD10" s="51">
        <f t="shared" si="6"/>
        <v>0.833231409001957</v>
      </c>
      <c r="BE10" s="51">
        <f t="shared" si="7"/>
        <v>0.907795237706183</v>
      </c>
      <c r="BF10" s="51">
        <f t="shared" si="8"/>
        <v>0.84173203125582</v>
      </c>
      <c r="BG10" s="51">
        <f t="shared" si="9"/>
        <v>0.243574504569458</v>
      </c>
      <c r="BH10" s="51">
        <f t="shared" si="10"/>
        <v>0.2559187016081</v>
      </c>
      <c r="BI10" s="51">
        <f t="shared" si="11"/>
        <v>0.262277601492833</v>
      </c>
      <c r="BJ10" s="51">
        <f t="shared" si="12"/>
        <v>0.244303571113747</v>
      </c>
      <c r="BK10" s="51">
        <f t="shared" si="13"/>
        <v>0.250611624846542</v>
      </c>
      <c r="BL10" s="51">
        <f t="shared" si="14"/>
        <v>0.257606982664565</v>
      </c>
      <c r="BM10" s="51">
        <f t="shared" si="15"/>
        <v>0.174727425216662</v>
      </c>
      <c r="BN10" s="51">
        <f t="shared" si="16"/>
        <v>0.176806112879172</v>
      </c>
      <c r="BO10" s="51">
        <f t="shared" si="17"/>
        <v>0.16714911980793</v>
      </c>
      <c r="BP10" s="51">
        <f t="shared" si="18"/>
        <v>0.2143937171357</v>
      </c>
      <c r="BQ10" s="51">
        <f t="shared" si="19"/>
        <v>0.291938019312823</v>
      </c>
      <c r="BR10" s="51">
        <f t="shared" si="20"/>
        <v>0.299423609551613</v>
      </c>
    </row>
    <row r="11" ht="13" spans="1:70">
      <c r="A11" s="37" t="s">
        <v>241</v>
      </c>
      <c r="B11" s="37">
        <v>2716</v>
      </c>
      <c r="C11" s="37">
        <v>2864</v>
      </c>
      <c r="D11" s="37">
        <v>3055</v>
      </c>
      <c r="E11" s="37">
        <v>3122</v>
      </c>
      <c r="F11" s="37">
        <v>3278</v>
      </c>
      <c r="G11" s="37">
        <v>3485</v>
      </c>
      <c r="H11" s="134">
        <v>4030</v>
      </c>
      <c r="I11" s="37">
        <v>378</v>
      </c>
      <c r="J11" s="37">
        <v>380</v>
      </c>
      <c r="K11" s="37">
        <v>385</v>
      </c>
      <c r="L11" s="37">
        <v>445</v>
      </c>
      <c r="M11" s="37">
        <v>510</v>
      </c>
      <c r="N11" s="37">
        <v>619</v>
      </c>
      <c r="O11" s="134">
        <v>646</v>
      </c>
      <c r="P11" s="37">
        <v>1777</v>
      </c>
      <c r="Q11" s="37">
        <v>1820</v>
      </c>
      <c r="R11" s="37">
        <v>1892</v>
      </c>
      <c r="S11" s="37">
        <v>1845</v>
      </c>
      <c r="T11" s="37">
        <v>1852</v>
      </c>
      <c r="U11" s="37">
        <v>1855</v>
      </c>
      <c r="V11" s="134">
        <v>1855</v>
      </c>
      <c r="W11" s="64"/>
      <c r="X11" s="64"/>
      <c r="Y11" s="64"/>
      <c r="Z11" s="64"/>
      <c r="AA11" s="64"/>
      <c r="AB11" s="37"/>
      <c r="AC11" s="134"/>
      <c r="AD11" s="37">
        <v>505</v>
      </c>
      <c r="AE11" s="37">
        <v>505</v>
      </c>
      <c r="AF11" s="37">
        <v>514</v>
      </c>
      <c r="AG11" s="37">
        <v>557</v>
      </c>
      <c r="AH11" s="37">
        <v>577</v>
      </c>
      <c r="AI11" s="64">
        <v>665</v>
      </c>
      <c r="AJ11" s="134">
        <v>1143</v>
      </c>
      <c r="AK11" s="37">
        <v>56</v>
      </c>
      <c r="AL11" s="37">
        <v>159</v>
      </c>
      <c r="AM11" s="37">
        <v>265</v>
      </c>
      <c r="AN11" s="37">
        <v>274</v>
      </c>
      <c r="AO11" s="37">
        <v>338</v>
      </c>
      <c r="AP11" s="37">
        <v>346</v>
      </c>
      <c r="AQ11" s="134">
        <v>387</v>
      </c>
      <c r="AR11" s="37"/>
      <c r="AS11" s="64"/>
      <c r="AT11" s="64"/>
      <c r="AU11" s="64"/>
      <c r="AV11" s="64"/>
      <c r="AW11" s="37"/>
      <c r="AX11" s="134"/>
      <c r="AY11" s="135"/>
      <c r="AZ11" s="37" t="s">
        <v>241</v>
      </c>
      <c r="BA11" s="51" t="str">
        <f t="shared" si="3"/>
        <v/>
      </c>
      <c r="BB11" s="51" t="str">
        <f t="shared" si="4"/>
        <v/>
      </c>
      <c r="BC11" s="51" t="str">
        <f t="shared" si="5"/>
        <v/>
      </c>
      <c r="BD11" s="51" t="str">
        <f t="shared" si="6"/>
        <v/>
      </c>
      <c r="BE11" s="51" t="str">
        <f t="shared" si="7"/>
        <v/>
      </c>
      <c r="BF11" s="51" t="str">
        <f t="shared" si="8"/>
        <v/>
      </c>
      <c r="BG11" s="51">
        <f t="shared" si="9"/>
        <v>0.196663501966635</v>
      </c>
      <c r="BH11" s="51">
        <f t="shared" si="10"/>
        <v>0.235256160350599</v>
      </c>
      <c r="BI11" s="51">
        <f t="shared" si="11"/>
        <v>0.245151332983726</v>
      </c>
      <c r="BJ11" s="51">
        <f t="shared" si="12"/>
        <v>0.26173161637393</v>
      </c>
      <c r="BK11" s="51">
        <f t="shared" si="13"/>
        <v>0.253678335870117</v>
      </c>
      <c r="BL11" s="51">
        <f t="shared" si="14"/>
        <v>0.253818644684204</v>
      </c>
      <c r="BM11" s="51">
        <f t="shared" si="15"/>
        <v>0.23192491656727</v>
      </c>
      <c r="BN11" s="51">
        <f t="shared" si="16"/>
        <v>0.235771629808697</v>
      </c>
      <c r="BO11" s="51">
        <f t="shared" si="17"/>
        <v>0.184298839192386</v>
      </c>
      <c r="BP11" s="51">
        <f t="shared" si="18"/>
        <v>0.224724473451433</v>
      </c>
      <c r="BQ11" s="51">
        <f t="shared" si="19"/>
        <v>0.212334833832826</v>
      </c>
      <c r="BR11" s="51">
        <f t="shared" si="20"/>
        <v>0.212969480390564</v>
      </c>
    </row>
    <row r="12" ht="13" spans="1:70">
      <c r="A12" s="37" t="s">
        <v>242</v>
      </c>
      <c r="B12" s="37">
        <v>2783</v>
      </c>
      <c r="C12" s="37">
        <v>2969</v>
      </c>
      <c r="D12" s="37">
        <v>3129</v>
      </c>
      <c r="E12" s="37">
        <v>3246</v>
      </c>
      <c r="F12" s="37">
        <v>3536</v>
      </c>
      <c r="G12" s="37">
        <v>3955</v>
      </c>
      <c r="H12" s="134">
        <v>4180</v>
      </c>
      <c r="I12" s="37">
        <v>102</v>
      </c>
      <c r="J12" s="37">
        <v>103</v>
      </c>
      <c r="K12" s="37">
        <v>104</v>
      </c>
      <c r="L12" s="37">
        <v>108</v>
      </c>
      <c r="M12" s="37">
        <v>109</v>
      </c>
      <c r="N12" s="37">
        <v>169</v>
      </c>
      <c r="O12" s="134">
        <v>230</v>
      </c>
      <c r="P12" s="37">
        <v>2104</v>
      </c>
      <c r="Q12" s="37">
        <v>2201</v>
      </c>
      <c r="R12" s="37">
        <v>2212</v>
      </c>
      <c r="S12" s="37">
        <v>2253</v>
      </c>
      <c r="T12" s="37">
        <v>2423</v>
      </c>
      <c r="U12" s="37">
        <v>2531</v>
      </c>
      <c r="V12" s="134">
        <v>2531</v>
      </c>
      <c r="W12" s="64"/>
      <c r="X12" s="64"/>
      <c r="Y12" s="64"/>
      <c r="Z12" s="64"/>
      <c r="AA12" s="64"/>
      <c r="AB12" s="37"/>
      <c r="AC12" s="134"/>
      <c r="AD12" s="37">
        <v>561</v>
      </c>
      <c r="AE12" s="37">
        <v>570</v>
      </c>
      <c r="AF12" s="37">
        <v>598</v>
      </c>
      <c r="AG12" s="37">
        <v>611</v>
      </c>
      <c r="AH12" s="37">
        <v>686</v>
      </c>
      <c r="AI12" s="64">
        <v>835</v>
      </c>
      <c r="AJ12" s="134">
        <v>943</v>
      </c>
      <c r="AK12" s="37">
        <v>17</v>
      </c>
      <c r="AL12" s="37">
        <v>94</v>
      </c>
      <c r="AM12" s="37">
        <v>215</v>
      </c>
      <c r="AN12" s="37">
        <v>274</v>
      </c>
      <c r="AO12" s="37">
        <v>318</v>
      </c>
      <c r="AP12" s="37">
        <v>420</v>
      </c>
      <c r="AQ12" s="134">
        <v>475</v>
      </c>
      <c r="AR12" s="37"/>
      <c r="AS12" s="64"/>
      <c r="AT12" s="64"/>
      <c r="AU12" s="64"/>
      <c r="AV12" s="64"/>
      <c r="AW12" s="37"/>
      <c r="AX12" s="134"/>
      <c r="AY12" s="135"/>
      <c r="AZ12" s="37" t="s">
        <v>242</v>
      </c>
      <c r="BA12" s="51" t="str">
        <f t="shared" si="3"/>
        <v/>
      </c>
      <c r="BB12" s="51" t="str">
        <f t="shared" si="4"/>
        <v/>
      </c>
      <c r="BC12" s="51" t="str">
        <f t="shared" si="5"/>
        <v/>
      </c>
      <c r="BD12" s="51" t="str">
        <f t="shared" si="6"/>
        <v/>
      </c>
      <c r="BE12" s="51" t="str">
        <f t="shared" si="7"/>
        <v/>
      </c>
      <c r="BF12" s="51" t="str">
        <f t="shared" si="8"/>
        <v/>
      </c>
      <c r="BG12" s="51">
        <f t="shared" si="9"/>
        <v>0.21801533374514</v>
      </c>
      <c r="BH12" s="51">
        <f t="shared" si="10"/>
        <v>0.24433915055983</v>
      </c>
      <c r="BI12" s="51">
        <f t="shared" si="11"/>
        <v>0.264379407110295</v>
      </c>
      <c r="BJ12" s="51">
        <f t="shared" si="12"/>
        <v>0.248201856761124</v>
      </c>
      <c r="BK12" s="51">
        <f t="shared" si="13"/>
        <v>0.243170949177272</v>
      </c>
      <c r="BL12" s="51">
        <f t="shared" si="14"/>
        <v>0.292771622725242</v>
      </c>
      <c r="BM12" s="51">
        <f t="shared" si="15"/>
        <v>0.278427441808665</v>
      </c>
      <c r="BN12" s="51">
        <f t="shared" si="16"/>
        <v>0.286766814461871</v>
      </c>
      <c r="BO12" s="51">
        <f t="shared" si="17"/>
        <v>0.301542172826743</v>
      </c>
      <c r="BP12" s="51">
        <f t="shared" si="18"/>
        <v>0.336679081707805</v>
      </c>
      <c r="BQ12" s="51">
        <f t="shared" si="19"/>
        <v>0.221740415886469</v>
      </c>
      <c r="BR12" s="51">
        <f t="shared" si="20"/>
        <v>0.228882709055744</v>
      </c>
    </row>
    <row r="13" ht="13" spans="1:70">
      <c r="A13" s="37" t="s">
        <v>243</v>
      </c>
      <c r="B13" s="37">
        <v>2371</v>
      </c>
      <c r="C13" s="37">
        <v>2400</v>
      </c>
      <c r="D13" s="37">
        <v>2525</v>
      </c>
      <c r="E13" s="37">
        <v>2664</v>
      </c>
      <c r="F13" s="37">
        <v>2669</v>
      </c>
      <c r="G13" s="37">
        <v>2786</v>
      </c>
      <c r="H13" s="134">
        <v>2830</v>
      </c>
      <c r="I13" s="64"/>
      <c r="J13" s="64"/>
      <c r="K13" s="64"/>
      <c r="L13" s="64"/>
      <c r="M13" s="64"/>
      <c r="N13" s="37"/>
      <c r="O13" s="134"/>
      <c r="P13" s="37">
        <v>2264</v>
      </c>
      <c r="Q13" s="37">
        <v>2271</v>
      </c>
      <c r="R13" s="37">
        <v>2365</v>
      </c>
      <c r="S13" s="37">
        <v>2475</v>
      </c>
      <c r="T13" s="37">
        <v>2450</v>
      </c>
      <c r="U13" s="64">
        <v>2510</v>
      </c>
      <c r="V13" s="134">
        <v>2528</v>
      </c>
      <c r="W13" s="64"/>
      <c r="X13" s="64"/>
      <c r="Y13" s="64"/>
      <c r="Z13" s="64"/>
      <c r="AA13" s="64"/>
      <c r="AB13" s="37"/>
      <c r="AC13" s="134"/>
      <c r="AD13" s="37">
        <v>71</v>
      </c>
      <c r="AE13" s="37">
        <v>71</v>
      </c>
      <c r="AF13" s="37">
        <v>71</v>
      </c>
      <c r="AG13" s="37">
        <v>81</v>
      </c>
      <c r="AH13" s="37">
        <v>82</v>
      </c>
      <c r="AI13" s="64">
        <v>107</v>
      </c>
      <c r="AJ13" s="134">
        <v>107</v>
      </c>
      <c r="AK13" s="37">
        <v>35</v>
      </c>
      <c r="AL13" s="37">
        <v>58</v>
      </c>
      <c r="AM13" s="37">
        <v>89</v>
      </c>
      <c r="AN13" s="37">
        <v>109</v>
      </c>
      <c r="AO13" s="37">
        <v>137</v>
      </c>
      <c r="AP13" s="37">
        <v>168</v>
      </c>
      <c r="AQ13" s="134">
        <v>195</v>
      </c>
      <c r="AR13" s="37"/>
      <c r="AS13" s="64"/>
      <c r="AT13" s="64"/>
      <c r="AU13" s="64"/>
      <c r="AV13" s="64"/>
      <c r="AW13" s="37"/>
      <c r="AX13" s="134"/>
      <c r="AY13" s="135"/>
      <c r="AZ13" s="37" t="s">
        <v>243</v>
      </c>
      <c r="BA13" s="51" t="str">
        <f t="shared" si="3"/>
        <v/>
      </c>
      <c r="BB13" s="51" t="str">
        <f t="shared" si="4"/>
        <v/>
      </c>
      <c r="BC13" s="51" t="str">
        <f t="shared" si="5"/>
        <v/>
      </c>
      <c r="BD13" s="51" t="str">
        <f t="shared" si="6"/>
        <v/>
      </c>
      <c r="BE13" s="51" t="str">
        <f t="shared" si="7"/>
        <v/>
      </c>
      <c r="BF13" s="51" t="str">
        <f t="shared" si="8"/>
        <v/>
      </c>
      <c r="BG13" s="51">
        <f t="shared" si="9"/>
        <v>0.273329474564281</v>
      </c>
      <c r="BH13" s="51">
        <f t="shared" si="10"/>
        <v>0.289407678950415</v>
      </c>
      <c r="BI13" s="51">
        <f t="shared" si="11"/>
        <v>0.255347272290315</v>
      </c>
      <c r="BJ13" s="51">
        <f t="shared" si="12"/>
        <v>0.26612880634227</v>
      </c>
      <c r="BK13" s="51">
        <f t="shared" si="13"/>
        <v>0.217438573602957</v>
      </c>
      <c r="BL13" s="51">
        <f t="shared" si="14"/>
        <v>0.266717876498954</v>
      </c>
      <c r="BM13" s="51" t="str">
        <f t="shared" si="15"/>
        <v/>
      </c>
      <c r="BN13" s="51" t="str">
        <f t="shared" si="16"/>
        <v/>
      </c>
      <c r="BO13" s="51" t="str">
        <f t="shared" si="17"/>
        <v/>
      </c>
      <c r="BP13" s="51" t="str">
        <f t="shared" si="18"/>
        <v/>
      </c>
      <c r="BQ13" s="51" t="str">
        <f t="shared" si="19"/>
        <v/>
      </c>
      <c r="BR13" s="51" t="str">
        <f t="shared" si="20"/>
        <v/>
      </c>
    </row>
    <row r="14" ht="13" spans="1:70">
      <c r="A14" s="37" t="s">
        <v>244</v>
      </c>
      <c r="B14" s="37">
        <v>10160</v>
      </c>
      <c r="C14" s="37">
        <v>11469</v>
      </c>
      <c r="D14" s="37">
        <v>12657</v>
      </c>
      <c r="E14" s="37">
        <v>13288</v>
      </c>
      <c r="F14" s="37">
        <v>14146</v>
      </c>
      <c r="G14" s="37">
        <v>15420</v>
      </c>
      <c r="H14" s="134">
        <v>16156</v>
      </c>
      <c r="I14" s="37">
        <v>115</v>
      </c>
      <c r="J14" s="37">
        <v>265</v>
      </c>
      <c r="K14" s="37">
        <v>265</v>
      </c>
      <c r="L14" s="37">
        <v>265</v>
      </c>
      <c r="M14" s="37">
        <v>265</v>
      </c>
      <c r="N14" s="37">
        <v>265</v>
      </c>
      <c r="O14" s="134">
        <v>265</v>
      </c>
      <c r="P14" s="37">
        <v>8727</v>
      </c>
      <c r="Q14" s="37">
        <v>9430</v>
      </c>
      <c r="R14" s="37">
        <v>9749</v>
      </c>
      <c r="S14" s="37">
        <v>10050</v>
      </c>
      <c r="T14" s="37">
        <v>10079</v>
      </c>
      <c r="U14" s="37">
        <v>10322</v>
      </c>
      <c r="V14" s="134">
        <v>10437</v>
      </c>
      <c r="W14" s="37">
        <v>212</v>
      </c>
      <c r="X14" s="37">
        <v>212</v>
      </c>
      <c r="Y14" s="37">
        <v>437</v>
      </c>
      <c r="Z14" s="37">
        <v>437</v>
      </c>
      <c r="AA14" s="37">
        <v>549</v>
      </c>
      <c r="AB14" s="37">
        <v>661</v>
      </c>
      <c r="AC14" s="134">
        <v>661</v>
      </c>
      <c r="AD14" s="37">
        <v>561</v>
      </c>
      <c r="AE14" s="37">
        <v>656</v>
      </c>
      <c r="AF14" s="37">
        <v>865</v>
      </c>
      <c r="AG14" s="37">
        <v>1041</v>
      </c>
      <c r="AH14" s="37">
        <v>1547</v>
      </c>
      <c r="AI14" s="37">
        <v>2234</v>
      </c>
      <c r="AJ14" s="134">
        <v>2254</v>
      </c>
      <c r="AK14" s="37">
        <v>546</v>
      </c>
      <c r="AL14" s="37">
        <v>907</v>
      </c>
      <c r="AM14" s="37">
        <v>1332</v>
      </c>
      <c r="AN14" s="37">
        <v>1486</v>
      </c>
      <c r="AO14" s="37">
        <v>1684</v>
      </c>
      <c r="AP14" s="37">
        <v>1916</v>
      </c>
      <c r="AQ14" s="134">
        <v>2508</v>
      </c>
      <c r="AR14" s="37"/>
      <c r="AS14" s="37"/>
      <c r="AT14" s="37">
        <v>10</v>
      </c>
      <c r="AU14" s="37">
        <v>10</v>
      </c>
      <c r="AV14" s="37">
        <v>23</v>
      </c>
      <c r="AW14" s="37">
        <v>23</v>
      </c>
      <c r="AX14" s="134">
        <v>30</v>
      </c>
      <c r="AY14" s="135"/>
      <c r="AZ14" s="37" t="s">
        <v>244</v>
      </c>
      <c r="BA14" s="51">
        <f t="shared" si="3"/>
        <v>0.931549926768329</v>
      </c>
      <c r="BB14" s="51">
        <f t="shared" si="4"/>
        <v>0.851327296648866</v>
      </c>
      <c r="BC14" s="51">
        <f t="shared" si="5"/>
        <v>0.859429693948988</v>
      </c>
      <c r="BD14" s="51">
        <f t="shared" si="6"/>
        <v>0.822010429112599</v>
      </c>
      <c r="BE14" s="51">
        <f t="shared" si="7"/>
        <v>0.915128872787652</v>
      </c>
      <c r="BF14" s="51">
        <f t="shared" si="8"/>
        <v>0.908406385786031</v>
      </c>
      <c r="BG14" s="51">
        <f t="shared" si="9"/>
        <v>0.225121284091804</v>
      </c>
      <c r="BH14" s="51">
        <f t="shared" si="10"/>
        <v>0.259682556837457</v>
      </c>
      <c r="BI14" s="51">
        <f t="shared" si="11"/>
        <v>0.220404682162074</v>
      </c>
      <c r="BJ14" s="51">
        <f t="shared" si="12"/>
        <v>0.202021271340151</v>
      </c>
      <c r="BK14" s="51">
        <f t="shared" si="13"/>
        <v>0.251195897777762</v>
      </c>
      <c r="BL14" s="51">
        <f t="shared" si="14"/>
        <v>0.260969892315581</v>
      </c>
      <c r="BM14" s="51">
        <f t="shared" si="15"/>
        <v>0.174236962268685</v>
      </c>
      <c r="BN14" s="51">
        <f t="shared" si="16"/>
        <v>0.146463341087275</v>
      </c>
      <c r="BO14" s="51">
        <f t="shared" si="17"/>
        <v>0.133540105108986</v>
      </c>
      <c r="BP14" s="51">
        <f t="shared" si="18"/>
        <v>0.137847850435082</v>
      </c>
      <c r="BQ14" s="51">
        <f t="shared" si="19"/>
        <v>0.133540105108986</v>
      </c>
      <c r="BR14" s="51">
        <f t="shared" si="20"/>
        <v>0.133540105108986</v>
      </c>
    </row>
    <row r="15" ht="13" spans="1:70">
      <c r="A15" s="37" t="s">
        <v>245</v>
      </c>
      <c r="B15" s="37">
        <v>8331</v>
      </c>
      <c r="C15" s="37">
        <v>8899</v>
      </c>
      <c r="D15" s="37">
        <v>9565</v>
      </c>
      <c r="E15" s="37">
        <v>9789</v>
      </c>
      <c r="F15" s="37">
        <v>10142</v>
      </c>
      <c r="G15" s="37">
        <v>10857</v>
      </c>
      <c r="H15" s="134">
        <v>11810</v>
      </c>
      <c r="I15" s="37">
        <v>1154</v>
      </c>
      <c r="J15" s="37">
        <v>1160</v>
      </c>
      <c r="K15" s="37">
        <v>1161</v>
      </c>
      <c r="L15" s="37">
        <v>1170</v>
      </c>
      <c r="M15" s="37">
        <v>1171</v>
      </c>
      <c r="N15" s="37">
        <v>1278</v>
      </c>
      <c r="O15" s="134">
        <v>1384</v>
      </c>
      <c r="P15" s="37">
        <v>6062</v>
      </c>
      <c r="Q15" s="37">
        <v>6134</v>
      </c>
      <c r="R15" s="37">
        <v>6209</v>
      </c>
      <c r="S15" s="37">
        <v>6212</v>
      </c>
      <c r="T15" s="37">
        <v>6358</v>
      </c>
      <c r="U15" s="37">
        <v>6462</v>
      </c>
      <c r="V15" s="134">
        <v>6534</v>
      </c>
      <c r="W15" s="37">
        <v>657</v>
      </c>
      <c r="X15" s="37">
        <v>657</v>
      </c>
      <c r="Y15" s="37">
        <v>908</v>
      </c>
      <c r="Z15" s="37">
        <v>908</v>
      </c>
      <c r="AA15" s="37">
        <v>911</v>
      </c>
      <c r="AB15" s="37">
        <v>911</v>
      </c>
      <c r="AC15" s="134">
        <v>917</v>
      </c>
      <c r="AD15" s="37">
        <v>119</v>
      </c>
      <c r="AE15" s="37">
        <v>133</v>
      </c>
      <c r="AF15" s="37">
        <v>148</v>
      </c>
      <c r="AG15" s="37">
        <v>160</v>
      </c>
      <c r="AH15" s="37">
        <v>186</v>
      </c>
      <c r="AI15" s="37">
        <v>364</v>
      </c>
      <c r="AJ15" s="134">
        <v>423</v>
      </c>
      <c r="AK15" s="37">
        <v>338</v>
      </c>
      <c r="AL15" s="37">
        <v>814</v>
      </c>
      <c r="AM15" s="37">
        <v>1138</v>
      </c>
      <c r="AN15" s="37">
        <v>1339</v>
      </c>
      <c r="AO15" s="37">
        <v>1517</v>
      </c>
      <c r="AP15" s="37">
        <v>1842</v>
      </c>
      <c r="AQ15" s="134">
        <v>2539</v>
      </c>
      <c r="AR15" s="37"/>
      <c r="AS15" s="37">
        <v>0.4</v>
      </c>
      <c r="AT15" s="37">
        <v>0.4</v>
      </c>
      <c r="AU15" s="37">
        <v>1</v>
      </c>
      <c r="AV15" s="37">
        <v>1</v>
      </c>
      <c r="AW15" s="37">
        <v>1</v>
      </c>
      <c r="AX15" s="134">
        <v>14</v>
      </c>
      <c r="AY15" s="135"/>
      <c r="AZ15" s="37" t="s">
        <v>245</v>
      </c>
      <c r="BA15" s="51">
        <f t="shared" si="3"/>
        <v>0.887874175545408</v>
      </c>
      <c r="BB15" s="51">
        <f t="shared" si="4"/>
        <v>0.85634674019286</v>
      </c>
      <c r="BC15" s="51">
        <f t="shared" si="5"/>
        <v>0.790789129603926</v>
      </c>
      <c r="BD15" s="51">
        <f t="shared" si="6"/>
        <v>0.893661779140026</v>
      </c>
      <c r="BE15" s="51">
        <f t="shared" si="7"/>
        <v>0.918504929602173</v>
      </c>
      <c r="BF15" s="51">
        <f t="shared" si="8"/>
        <v>0.912992216460338</v>
      </c>
      <c r="BG15" s="51">
        <f t="shared" si="9"/>
        <v>0.226498514169747</v>
      </c>
      <c r="BH15" s="51">
        <f t="shared" si="10"/>
        <v>0.251872796113034</v>
      </c>
      <c r="BI15" s="51">
        <f t="shared" si="11"/>
        <v>0.244618395303327</v>
      </c>
      <c r="BJ15" s="51">
        <f t="shared" si="12"/>
        <v>0.237548499485312</v>
      </c>
      <c r="BK15" s="51">
        <f t="shared" si="13"/>
        <v>0.203403902034039</v>
      </c>
      <c r="BL15" s="51">
        <f t="shared" si="14"/>
        <v>0.275597175564104</v>
      </c>
      <c r="BM15" s="51">
        <f t="shared" si="15"/>
        <v>0.209169518081324</v>
      </c>
      <c r="BN15" s="51">
        <f t="shared" si="16"/>
        <v>0.188865215158794</v>
      </c>
      <c r="BO15" s="51">
        <f t="shared" si="17"/>
        <v>0.251719429801622</v>
      </c>
      <c r="BP15" s="51">
        <f t="shared" si="18"/>
        <v>0.203831247232674</v>
      </c>
      <c r="BQ15" s="51">
        <f t="shared" si="19"/>
        <v>0.221877907486235</v>
      </c>
      <c r="BR15" s="51">
        <f t="shared" si="20"/>
        <v>0.210985663266881</v>
      </c>
    </row>
    <row r="16" ht="13" spans="1:70">
      <c r="A16" s="37" t="s">
        <v>246</v>
      </c>
      <c r="B16" s="37">
        <v>5733</v>
      </c>
      <c r="C16" s="37">
        <v>6468</v>
      </c>
      <c r="D16" s="37">
        <v>7089</v>
      </c>
      <c r="E16" s="37">
        <v>7394</v>
      </c>
      <c r="F16" s="37">
        <v>7816</v>
      </c>
      <c r="G16" s="37">
        <v>8466</v>
      </c>
      <c r="H16" s="134">
        <v>9254</v>
      </c>
      <c r="I16" s="37">
        <v>295</v>
      </c>
      <c r="J16" s="37">
        <v>310</v>
      </c>
      <c r="K16" s="37">
        <v>312</v>
      </c>
      <c r="L16" s="37">
        <v>345</v>
      </c>
      <c r="M16" s="37">
        <v>474</v>
      </c>
      <c r="N16" s="37">
        <v>507</v>
      </c>
      <c r="O16" s="134">
        <v>622</v>
      </c>
      <c r="P16" s="37">
        <v>4915</v>
      </c>
      <c r="Q16" s="37">
        <v>5053</v>
      </c>
      <c r="R16" s="37">
        <v>5413</v>
      </c>
      <c r="S16" s="37">
        <v>5521</v>
      </c>
      <c r="T16" s="37">
        <v>5561</v>
      </c>
      <c r="U16" s="37">
        <v>5740</v>
      </c>
      <c r="V16" s="134">
        <v>5853</v>
      </c>
      <c r="W16" s="64"/>
      <c r="X16" s="64"/>
      <c r="Y16" s="64"/>
      <c r="Z16" s="64"/>
      <c r="AA16" s="64"/>
      <c r="AB16" s="37"/>
      <c r="AC16" s="134"/>
      <c r="AD16" s="37">
        <v>177</v>
      </c>
      <c r="AE16" s="37">
        <v>217</v>
      </c>
      <c r="AF16" s="37">
        <v>246</v>
      </c>
      <c r="AG16" s="37">
        <v>274</v>
      </c>
      <c r="AH16" s="37">
        <v>412</v>
      </c>
      <c r="AI16" s="64">
        <v>511</v>
      </c>
      <c r="AJ16" s="134">
        <v>590</v>
      </c>
      <c r="AK16" s="37">
        <v>345</v>
      </c>
      <c r="AL16" s="37">
        <v>888</v>
      </c>
      <c r="AM16" s="37">
        <v>1118</v>
      </c>
      <c r="AN16" s="37">
        <v>1254</v>
      </c>
      <c r="AO16" s="37">
        <v>1370</v>
      </c>
      <c r="AP16" s="37">
        <v>1707</v>
      </c>
      <c r="AQ16" s="134">
        <v>2154</v>
      </c>
      <c r="AR16" s="37"/>
      <c r="AS16" s="64"/>
      <c r="AT16" s="64"/>
      <c r="AU16" s="64"/>
      <c r="AV16" s="64"/>
      <c r="AW16" s="37"/>
      <c r="AX16" s="134">
        <v>35</v>
      </c>
      <c r="AY16" s="135"/>
      <c r="AZ16" s="37" t="s">
        <v>246</v>
      </c>
      <c r="BA16" s="51" t="str">
        <f t="shared" si="3"/>
        <v/>
      </c>
      <c r="BB16" s="51" t="str">
        <f t="shared" si="4"/>
        <v/>
      </c>
      <c r="BC16" s="51" t="str">
        <f t="shared" si="5"/>
        <v/>
      </c>
      <c r="BD16" s="51" t="str">
        <f t="shared" si="6"/>
        <v/>
      </c>
      <c r="BE16" s="51" t="str">
        <f t="shared" si="7"/>
        <v/>
      </c>
      <c r="BF16" s="51" t="str">
        <f t="shared" si="8"/>
        <v/>
      </c>
      <c r="BG16" s="51">
        <f t="shared" si="9"/>
        <v>0.237581994761607</v>
      </c>
      <c r="BH16" s="51">
        <f t="shared" si="10"/>
        <v>0.246555618016312</v>
      </c>
      <c r="BI16" s="51">
        <f t="shared" si="11"/>
        <v>0.206357569371268</v>
      </c>
      <c r="BJ16" s="51">
        <f t="shared" si="12"/>
        <v>0.189704061663804</v>
      </c>
      <c r="BK16" s="51">
        <f t="shared" si="13"/>
        <v>0.264671979894824</v>
      </c>
      <c r="BL16" s="51">
        <f t="shared" si="14"/>
        <v>0.242618789892128</v>
      </c>
      <c r="BM16" s="51">
        <f t="shared" si="15"/>
        <v>0.215102456696479</v>
      </c>
      <c r="BN16" s="51">
        <f t="shared" si="16"/>
        <v>0.194541103231585</v>
      </c>
      <c r="BO16" s="51">
        <f t="shared" si="17"/>
        <v>0.177227330539397</v>
      </c>
      <c r="BP16" s="51">
        <f t="shared" si="18"/>
        <v>0.183986485356348</v>
      </c>
      <c r="BQ16" s="51">
        <f t="shared" si="19"/>
        <v>0.188513258765867</v>
      </c>
      <c r="BR16" s="51">
        <f t="shared" si="20"/>
        <v>0.145601028913938</v>
      </c>
    </row>
    <row r="17" ht="13" spans="1:70">
      <c r="A17" s="37" t="s">
        <v>247</v>
      </c>
      <c r="B17" s="37">
        <v>5210</v>
      </c>
      <c r="C17" s="37">
        <v>5597</v>
      </c>
      <c r="D17" s="37">
        <v>5770</v>
      </c>
      <c r="E17" s="37">
        <v>5909</v>
      </c>
      <c r="F17" s="37">
        <v>6372</v>
      </c>
      <c r="G17" s="37">
        <v>6983</v>
      </c>
      <c r="H17" s="134">
        <v>7531</v>
      </c>
      <c r="I17" s="37">
        <v>1304</v>
      </c>
      <c r="J17" s="37">
        <v>1307</v>
      </c>
      <c r="K17" s="37">
        <v>1322</v>
      </c>
      <c r="L17" s="37">
        <v>1321</v>
      </c>
      <c r="M17" s="37">
        <v>1331</v>
      </c>
      <c r="N17" s="37">
        <v>1386</v>
      </c>
      <c r="O17" s="134">
        <v>1538</v>
      </c>
      <c r="P17" s="37">
        <v>2902</v>
      </c>
      <c r="Q17" s="37">
        <v>3074</v>
      </c>
      <c r="R17" s="37">
        <v>3128</v>
      </c>
      <c r="S17" s="37">
        <v>3172</v>
      </c>
      <c r="T17" s="37">
        <v>3478</v>
      </c>
      <c r="U17" s="37">
        <v>3596</v>
      </c>
      <c r="V17" s="134">
        <v>3681</v>
      </c>
      <c r="W17" s="37">
        <v>762</v>
      </c>
      <c r="X17" s="37">
        <v>871</v>
      </c>
      <c r="Y17" s="37">
        <v>871</v>
      </c>
      <c r="Z17" s="37">
        <v>871</v>
      </c>
      <c r="AA17" s="37">
        <v>871</v>
      </c>
      <c r="AB17" s="37">
        <v>986</v>
      </c>
      <c r="AC17" s="134">
        <v>1101</v>
      </c>
      <c r="AD17" s="37">
        <v>214</v>
      </c>
      <c r="AE17" s="37">
        <v>252</v>
      </c>
      <c r="AF17" s="37">
        <v>300</v>
      </c>
      <c r="AG17" s="37">
        <v>376</v>
      </c>
      <c r="AH17" s="37">
        <v>486</v>
      </c>
      <c r="AI17" s="37">
        <v>735</v>
      </c>
      <c r="AJ17" s="134">
        <v>742</v>
      </c>
      <c r="AK17" s="37">
        <v>27</v>
      </c>
      <c r="AL17" s="37">
        <v>92</v>
      </c>
      <c r="AM17" s="37">
        <v>148</v>
      </c>
      <c r="AN17" s="37">
        <v>169</v>
      </c>
      <c r="AO17" s="37">
        <v>202</v>
      </c>
      <c r="AP17" s="37">
        <v>277</v>
      </c>
      <c r="AQ17" s="134">
        <v>465</v>
      </c>
      <c r="AR17" s="37"/>
      <c r="AS17" s="64"/>
      <c r="AT17" s="64"/>
      <c r="AU17" s="64"/>
      <c r="AV17" s="64">
        <v>3</v>
      </c>
      <c r="AW17" s="37">
        <v>3</v>
      </c>
      <c r="AX17" s="134">
        <v>3</v>
      </c>
      <c r="AY17" s="135"/>
      <c r="AZ17" s="37" t="s">
        <v>247</v>
      </c>
      <c r="BA17" s="51">
        <f t="shared" si="3"/>
        <v>0.782938648368272</v>
      </c>
      <c r="BB17" s="51">
        <f t="shared" si="4"/>
        <v>0.846662367823685</v>
      </c>
      <c r="BC17" s="51">
        <f t="shared" si="5"/>
        <v>0.81389679631348</v>
      </c>
      <c r="BD17" s="51">
        <f t="shared" si="6"/>
        <v>0.854526104986134</v>
      </c>
      <c r="BE17" s="51">
        <f t="shared" si="7"/>
        <v>0.955289500667596</v>
      </c>
      <c r="BF17" s="51">
        <f t="shared" si="8"/>
        <v>0.910178907041415</v>
      </c>
      <c r="BG17" s="51">
        <f t="shared" si="9"/>
        <v>0.318458855115919</v>
      </c>
      <c r="BH17" s="51">
        <f t="shared" si="10"/>
        <v>0.297796307325789</v>
      </c>
      <c r="BI17" s="51">
        <f t="shared" si="11"/>
        <v>0.293831563589203</v>
      </c>
      <c r="BJ17" s="51">
        <f t="shared" si="12"/>
        <v>0.323130873300914</v>
      </c>
      <c r="BK17" s="51">
        <f t="shared" si="13"/>
        <v>0.284219462301654</v>
      </c>
      <c r="BL17" s="51">
        <f t="shared" si="14"/>
        <v>0.357073297409596</v>
      </c>
      <c r="BM17" s="51">
        <f t="shared" si="15"/>
        <v>0.363757828225859</v>
      </c>
      <c r="BN17" s="51">
        <f t="shared" si="16"/>
        <v>0.282240065583907</v>
      </c>
      <c r="BO17" s="51">
        <f t="shared" si="17"/>
        <v>0.381813250129143</v>
      </c>
      <c r="BP17" s="51">
        <f t="shared" si="18"/>
        <v>0.251382604323781</v>
      </c>
      <c r="BQ17" s="51">
        <f t="shared" si="19"/>
        <v>0.230243200682999</v>
      </c>
      <c r="BR17" s="51">
        <f t="shared" si="20"/>
        <v>0.302175664786463</v>
      </c>
    </row>
    <row r="18" ht="13" spans="1:70">
      <c r="A18" s="37" t="s">
        <v>248</v>
      </c>
      <c r="B18" s="37">
        <v>2866</v>
      </c>
      <c r="C18" s="37">
        <v>3167</v>
      </c>
      <c r="D18" s="37">
        <v>3554</v>
      </c>
      <c r="E18" s="37">
        <v>3782</v>
      </c>
      <c r="F18" s="37">
        <v>4401</v>
      </c>
      <c r="G18" s="37">
        <v>4847</v>
      </c>
      <c r="H18" s="134">
        <v>5490</v>
      </c>
      <c r="I18" s="37">
        <v>613</v>
      </c>
      <c r="J18" s="37">
        <v>615</v>
      </c>
      <c r="K18" s="37">
        <v>627</v>
      </c>
      <c r="L18" s="37">
        <v>661</v>
      </c>
      <c r="M18" s="37">
        <v>660</v>
      </c>
      <c r="N18" s="37">
        <v>677</v>
      </c>
      <c r="O18" s="134">
        <v>686</v>
      </c>
      <c r="P18" s="37">
        <v>1918</v>
      </c>
      <c r="Q18" s="37">
        <v>1934</v>
      </c>
      <c r="R18" s="37">
        <v>2165</v>
      </c>
      <c r="S18" s="37">
        <v>2205</v>
      </c>
      <c r="T18" s="37">
        <v>2455</v>
      </c>
      <c r="U18" s="37">
        <v>2711</v>
      </c>
      <c r="V18" s="134">
        <v>3026</v>
      </c>
      <c r="W18" s="64"/>
      <c r="X18" s="64"/>
      <c r="Y18" s="64"/>
      <c r="Z18" s="64"/>
      <c r="AA18" s="64"/>
      <c r="AB18" s="37"/>
      <c r="AC18" s="134"/>
      <c r="AD18" s="37">
        <v>108</v>
      </c>
      <c r="AE18" s="37">
        <v>169</v>
      </c>
      <c r="AF18" s="37">
        <v>225</v>
      </c>
      <c r="AG18" s="37">
        <v>286</v>
      </c>
      <c r="AH18" s="37">
        <v>510</v>
      </c>
      <c r="AI18" s="64">
        <v>547</v>
      </c>
      <c r="AJ18" s="134">
        <v>555</v>
      </c>
      <c r="AK18" s="37">
        <v>228</v>
      </c>
      <c r="AL18" s="37">
        <v>449</v>
      </c>
      <c r="AM18" s="37">
        <v>536</v>
      </c>
      <c r="AN18" s="37">
        <v>630</v>
      </c>
      <c r="AO18" s="37">
        <v>776</v>
      </c>
      <c r="AP18" s="37">
        <v>911</v>
      </c>
      <c r="AQ18" s="134">
        <v>1202</v>
      </c>
      <c r="AR18" s="37"/>
      <c r="AS18" s="64"/>
      <c r="AT18" s="64"/>
      <c r="AU18" s="64"/>
      <c r="AV18" s="64"/>
      <c r="AW18" s="37"/>
      <c r="AX18" s="134">
        <v>21</v>
      </c>
      <c r="AY18" s="135"/>
      <c r="AZ18" s="37" t="s">
        <v>248</v>
      </c>
      <c r="BA18" s="51" t="str">
        <f t="shared" si="3"/>
        <v/>
      </c>
      <c r="BB18" s="51" t="str">
        <f t="shared" si="4"/>
        <v/>
      </c>
      <c r="BC18" s="51" t="str">
        <f t="shared" si="5"/>
        <v/>
      </c>
      <c r="BD18" s="51" t="str">
        <f t="shared" si="6"/>
        <v/>
      </c>
      <c r="BE18" s="51" t="str">
        <f t="shared" si="7"/>
        <v/>
      </c>
      <c r="BF18" s="51" t="str">
        <f t="shared" si="8"/>
        <v/>
      </c>
      <c r="BG18" s="51">
        <f t="shared" si="9"/>
        <v>0.255509948403475</v>
      </c>
      <c r="BH18" s="51">
        <f t="shared" si="10"/>
        <v>0.237581994761607</v>
      </c>
      <c r="BI18" s="51">
        <f t="shared" si="11"/>
        <v>0.22786371069351</v>
      </c>
      <c r="BJ18" s="51">
        <f t="shared" si="12"/>
        <v>0.20364378972488</v>
      </c>
      <c r="BK18" s="51">
        <f t="shared" si="13"/>
        <v>0.224638526371267</v>
      </c>
      <c r="BL18" s="51">
        <f t="shared" si="14"/>
        <v>0.265188242216311</v>
      </c>
      <c r="BM18" s="51">
        <f t="shared" si="15"/>
        <v>0.291895349010159</v>
      </c>
      <c r="BN18" s="51">
        <f t="shared" si="16"/>
        <v>0.21323686203575</v>
      </c>
      <c r="BO18" s="51">
        <f t="shared" si="17"/>
        <v>0.297796307325789</v>
      </c>
      <c r="BP18" s="51">
        <f t="shared" si="18"/>
        <v>0.250605774648374</v>
      </c>
      <c r="BQ18" s="51">
        <f t="shared" si="19"/>
        <v>0.232238057670174</v>
      </c>
      <c r="BR18" s="51">
        <f t="shared" si="20"/>
        <v>0.271359511150866</v>
      </c>
    </row>
    <row r="19" ht="13" spans="1:70">
      <c r="A19" s="37" t="s">
        <v>249</v>
      </c>
      <c r="B19" s="37">
        <v>10942</v>
      </c>
      <c r="C19" s="37">
        <v>12556</v>
      </c>
      <c r="D19" s="37">
        <v>13107</v>
      </c>
      <c r="E19" s="37">
        <v>14044</v>
      </c>
      <c r="F19" s="37">
        <v>15896</v>
      </c>
      <c r="G19" s="37">
        <v>17334</v>
      </c>
      <c r="H19" s="134">
        <v>18958</v>
      </c>
      <c r="I19" s="37">
        <v>108</v>
      </c>
      <c r="J19" s="37">
        <v>108</v>
      </c>
      <c r="K19" s="37">
        <v>108</v>
      </c>
      <c r="L19" s="37">
        <v>108</v>
      </c>
      <c r="M19" s="37">
        <v>108</v>
      </c>
      <c r="N19" s="37">
        <v>168</v>
      </c>
      <c r="O19" s="134">
        <v>228</v>
      </c>
      <c r="P19" s="37">
        <v>9540</v>
      </c>
      <c r="Q19" s="37">
        <v>10335</v>
      </c>
      <c r="R19" s="37">
        <v>10367</v>
      </c>
      <c r="S19" s="37">
        <v>10713</v>
      </c>
      <c r="T19" s="37">
        <v>11471</v>
      </c>
      <c r="U19" s="37">
        <v>11599</v>
      </c>
      <c r="V19" s="134">
        <v>11753</v>
      </c>
      <c r="W19" s="37"/>
      <c r="X19" s="37">
        <v>0</v>
      </c>
      <c r="Y19" s="37">
        <v>125</v>
      </c>
      <c r="Z19" s="37">
        <v>250</v>
      </c>
      <c r="AA19" s="37">
        <v>250</v>
      </c>
      <c r="AB19" s="37">
        <v>250</v>
      </c>
      <c r="AC19" s="134">
        <v>250</v>
      </c>
      <c r="AD19" s="37">
        <v>839</v>
      </c>
      <c r="AE19" s="37">
        <v>1061</v>
      </c>
      <c r="AF19" s="37">
        <v>1146</v>
      </c>
      <c r="AG19" s="37">
        <v>1354</v>
      </c>
      <c r="AH19" s="37">
        <v>1795</v>
      </c>
      <c r="AI19" s="37">
        <v>1942</v>
      </c>
      <c r="AJ19" s="134">
        <v>2302</v>
      </c>
      <c r="AK19" s="37">
        <v>455</v>
      </c>
      <c r="AL19" s="37">
        <v>1052</v>
      </c>
      <c r="AM19" s="37">
        <v>1361</v>
      </c>
      <c r="AN19" s="37">
        <v>1619</v>
      </c>
      <c r="AO19" s="37">
        <v>2272</v>
      </c>
      <c r="AP19" s="37">
        <v>3343</v>
      </c>
      <c r="AQ19" s="134">
        <v>4270</v>
      </c>
      <c r="AR19" s="37"/>
      <c r="AS19" s="64"/>
      <c r="AT19" s="64"/>
      <c r="AU19" s="64"/>
      <c r="AV19" s="64"/>
      <c r="AW19" s="37">
        <v>31</v>
      </c>
      <c r="AX19" s="134">
        <v>155</v>
      </c>
      <c r="AY19" s="135"/>
      <c r="AZ19" s="37" t="s">
        <v>249</v>
      </c>
      <c r="BA19" s="51" t="str">
        <f t="shared" si="3"/>
        <v/>
      </c>
      <c r="BB19" s="51">
        <f t="shared" si="4"/>
        <v>0.712328767123288</v>
      </c>
      <c r="BC19" s="51">
        <f t="shared" si="5"/>
        <v>1.26027397260274</v>
      </c>
      <c r="BD19" s="51">
        <f t="shared" si="6"/>
        <v>0.872146118721461</v>
      </c>
      <c r="BE19" s="51">
        <f t="shared" si="7"/>
        <v>0.899543378995434</v>
      </c>
      <c r="BF19" s="51">
        <f t="shared" si="8"/>
        <v>0.945205479452055</v>
      </c>
      <c r="BG19" s="51">
        <f t="shared" si="9"/>
        <v>0.199471280942081</v>
      </c>
      <c r="BH19" s="51">
        <f t="shared" si="10"/>
        <v>0.221379463020319</v>
      </c>
      <c r="BI19" s="51">
        <f t="shared" si="11"/>
        <v>0.205479452054795</v>
      </c>
      <c r="BJ19" s="51">
        <f t="shared" si="12"/>
        <v>0.18778158174444</v>
      </c>
      <c r="BK19" s="51">
        <f t="shared" si="13"/>
        <v>0.249876894390661</v>
      </c>
      <c r="BL19" s="51">
        <f t="shared" si="14"/>
        <v>0.223253672119436</v>
      </c>
      <c r="BM19" s="51">
        <f t="shared" si="15"/>
        <v>0.073989514628784</v>
      </c>
      <c r="BN19" s="51">
        <f t="shared" si="16"/>
        <v>0.0528496533062743</v>
      </c>
      <c r="BO19" s="51">
        <f t="shared" si="17"/>
        <v>0.0528496533062743</v>
      </c>
      <c r="BP19" s="51">
        <f t="shared" si="18"/>
        <v>0.0951293759512938</v>
      </c>
      <c r="BQ19" s="51">
        <f t="shared" si="19"/>
        <v>0.0992654357752631</v>
      </c>
      <c r="BR19" s="51">
        <f t="shared" si="20"/>
        <v>0.161431668280983</v>
      </c>
    </row>
    <row r="20" ht="13" spans="1:70">
      <c r="A20" s="37" t="s">
        <v>250</v>
      </c>
      <c r="B20" s="37">
        <v>7218</v>
      </c>
      <c r="C20" s="37">
        <v>7880</v>
      </c>
      <c r="D20" s="37">
        <v>8680</v>
      </c>
      <c r="E20" s="37">
        <v>9306</v>
      </c>
      <c r="F20" s="37">
        <v>10169</v>
      </c>
      <c r="G20" s="37">
        <v>11114</v>
      </c>
      <c r="H20" s="134">
        <v>11959</v>
      </c>
      <c r="I20" s="37">
        <v>399</v>
      </c>
      <c r="J20" s="37">
        <v>399</v>
      </c>
      <c r="K20" s="37">
        <v>401</v>
      </c>
      <c r="L20" s="37">
        <v>408</v>
      </c>
      <c r="M20" s="37">
        <v>408</v>
      </c>
      <c r="N20" s="37">
        <v>407</v>
      </c>
      <c r="O20" s="134">
        <v>439</v>
      </c>
      <c r="P20" s="37">
        <v>6431</v>
      </c>
      <c r="Q20" s="37">
        <v>6544</v>
      </c>
      <c r="R20" s="37">
        <v>6821</v>
      </c>
      <c r="S20" s="37">
        <v>7050</v>
      </c>
      <c r="T20" s="37">
        <v>7068</v>
      </c>
      <c r="U20" s="37">
        <v>7301</v>
      </c>
      <c r="V20" s="134">
        <v>7272</v>
      </c>
      <c r="W20" s="64"/>
      <c r="X20" s="64"/>
      <c r="Y20" s="64"/>
      <c r="Z20" s="64"/>
      <c r="AA20" s="64"/>
      <c r="AB20" s="37"/>
      <c r="AC20" s="134"/>
      <c r="AD20" s="37">
        <v>104</v>
      </c>
      <c r="AE20" s="37">
        <v>233</v>
      </c>
      <c r="AF20" s="37">
        <v>468</v>
      </c>
      <c r="AG20" s="37">
        <v>794</v>
      </c>
      <c r="AH20" s="37">
        <v>1518</v>
      </c>
      <c r="AI20" s="64">
        <v>1850</v>
      </c>
      <c r="AJ20" s="134">
        <v>1903</v>
      </c>
      <c r="AK20" s="37">
        <v>284</v>
      </c>
      <c r="AL20" s="37">
        <v>703</v>
      </c>
      <c r="AM20" s="37">
        <v>991</v>
      </c>
      <c r="AN20" s="37">
        <v>1054</v>
      </c>
      <c r="AO20" s="37">
        <v>1175</v>
      </c>
      <c r="AP20" s="37">
        <v>1556</v>
      </c>
      <c r="AQ20" s="134">
        <v>2333</v>
      </c>
      <c r="AR20" s="37"/>
      <c r="AS20" s="64"/>
      <c r="AT20" s="64"/>
      <c r="AU20" s="64"/>
      <c r="AV20" s="64"/>
      <c r="AW20" s="37"/>
      <c r="AX20" s="134">
        <v>13</v>
      </c>
      <c r="AY20" s="135"/>
      <c r="AZ20" s="37" t="s">
        <v>250</v>
      </c>
      <c r="BA20" s="51" t="str">
        <f t="shared" si="3"/>
        <v/>
      </c>
      <c r="BB20" s="51" t="str">
        <f t="shared" si="4"/>
        <v/>
      </c>
      <c r="BC20" s="51" t="str">
        <f t="shared" si="5"/>
        <v/>
      </c>
      <c r="BD20" s="51" t="str">
        <f t="shared" si="6"/>
        <v/>
      </c>
      <c r="BE20" s="51" t="str">
        <f t="shared" si="7"/>
        <v/>
      </c>
      <c r="BF20" s="51" t="str">
        <f t="shared" si="8"/>
        <v/>
      </c>
      <c r="BG20" s="51">
        <f t="shared" si="9"/>
        <v>0.203243770578432</v>
      </c>
      <c r="BH20" s="51">
        <f t="shared" si="10"/>
        <v>0.185644773611084</v>
      </c>
      <c r="BI20" s="51">
        <f t="shared" si="11"/>
        <v>0.159202251988219</v>
      </c>
      <c r="BJ20" s="51">
        <f t="shared" si="12"/>
        <v>0.137262801978164</v>
      </c>
      <c r="BK20" s="51">
        <f t="shared" si="13"/>
        <v>0.222345144741266</v>
      </c>
      <c r="BL20" s="51">
        <f t="shared" si="14"/>
        <v>0.232386389214352</v>
      </c>
      <c r="BM20" s="51">
        <f t="shared" si="15"/>
        <v>0.28610338631968</v>
      </c>
      <c r="BN20" s="51">
        <f t="shared" si="16"/>
        <v>0.410958904109589</v>
      </c>
      <c r="BO20" s="51">
        <f t="shared" si="17"/>
        <v>0.40920918208962</v>
      </c>
      <c r="BP20" s="51">
        <f t="shared" si="18"/>
        <v>0.391709195093563</v>
      </c>
      <c r="BQ20" s="51">
        <f t="shared" si="19"/>
        <v>0.324957279323192</v>
      </c>
      <c r="BR20" s="51">
        <f t="shared" si="20"/>
        <v>0.329242095491003</v>
      </c>
    </row>
    <row r="21" ht="13" spans="1:70">
      <c r="A21" s="37" t="s">
        <v>251</v>
      </c>
      <c r="B21" s="37">
        <v>6745</v>
      </c>
      <c r="C21" s="37">
        <v>7124</v>
      </c>
      <c r="D21" s="37">
        <v>7401</v>
      </c>
      <c r="E21" s="37">
        <v>7862</v>
      </c>
      <c r="F21" s="37">
        <v>8273</v>
      </c>
      <c r="G21" s="37">
        <v>8816</v>
      </c>
      <c r="H21" s="134">
        <v>9438</v>
      </c>
      <c r="I21" s="37">
        <v>3663</v>
      </c>
      <c r="J21" s="37">
        <v>3671</v>
      </c>
      <c r="K21" s="37">
        <v>3675</v>
      </c>
      <c r="L21" s="37">
        <v>3679</v>
      </c>
      <c r="M21" s="37">
        <v>3757</v>
      </c>
      <c r="N21" s="37">
        <v>3771</v>
      </c>
      <c r="O21" s="134">
        <v>3780</v>
      </c>
      <c r="P21" s="37">
        <v>2694</v>
      </c>
      <c r="Q21" s="37">
        <v>2787</v>
      </c>
      <c r="R21" s="37">
        <v>2884</v>
      </c>
      <c r="S21" s="37">
        <v>3157</v>
      </c>
      <c r="T21" s="37">
        <v>3316</v>
      </c>
      <c r="U21" s="37">
        <v>3372</v>
      </c>
      <c r="V21" s="134">
        <v>3563</v>
      </c>
      <c r="W21" s="64"/>
      <c r="X21" s="64"/>
      <c r="Y21" s="64"/>
      <c r="Z21" s="64"/>
      <c r="AA21" s="64"/>
      <c r="AB21" s="37"/>
      <c r="AC21" s="134"/>
      <c r="AD21" s="37">
        <v>201</v>
      </c>
      <c r="AE21" s="37">
        <v>253</v>
      </c>
      <c r="AF21" s="37">
        <v>331</v>
      </c>
      <c r="AG21" s="37">
        <v>405</v>
      </c>
      <c r="AH21" s="37">
        <v>502</v>
      </c>
      <c r="AI21" s="64">
        <v>720</v>
      </c>
      <c r="AJ21" s="134">
        <v>778</v>
      </c>
      <c r="AK21" s="37">
        <v>187</v>
      </c>
      <c r="AL21" s="37">
        <v>413</v>
      </c>
      <c r="AM21" s="37">
        <v>510</v>
      </c>
      <c r="AN21" s="37">
        <v>621</v>
      </c>
      <c r="AO21" s="37">
        <v>698</v>
      </c>
      <c r="AP21" s="37">
        <v>953</v>
      </c>
      <c r="AQ21" s="134">
        <v>1316</v>
      </c>
      <c r="AR21" s="37"/>
      <c r="AS21" s="64"/>
      <c r="AT21" s="64"/>
      <c r="AU21" s="64"/>
      <c r="AV21" s="64"/>
      <c r="AW21" s="37"/>
      <c r="AX21" s="134">
        <v>1</v>
      </c>
      <c r="AY21" s="135"/>
      <c r="AZ21" s="37" t="s">
        <v>251</v>
      </c>
      <c r="BA21" s="51" t="str">
        <f t="shared" si="3"/>
        <v/>
      </c>
      <c r="BB21" s="51" t="str">
        <f t="shared" si="4"/>
        <v/>
      </c>
      <c r="BC21" s="51" t="str">
        <f t="shared" si="5"/>
        <v/>
      </c>
      <c r="BD21" s="51" t="str">
        <f t="shared" si="6"/>
        <v/>
      </c>
      <c r="BE21" s="51" t="str">
        <f t="shared" si="7"/>
        <v/>
      </c>
      <c r="BF21" s="51" t="str">
        <f t="shared" si="8"/>
        <v/>
      </c>
      <c r="BG21" s="51">
        <f t="shared" si="9"/>
        <v>0.241385553074648</v>
      </c>
      <c r="BH21" s="51">
        <f t="shared" si="10"/>
        <v>0.250203290173266</v>
      </c>
      <c r="BI21" s="51">
        <f t="shared" si="11"/>
        <v>0.229551320230296</v>
      </c>
      <c r="BJ21" s="51">
        <f t="shared" si="12"/>
        <v>0.206410817940624</v>
      </c>
      <c r="BK21" s="51">
        <f t="shared" si="13"/>
        <v>0.250356851930737</v>
      </c>
      <c r="BL21" s="51">
        <f t="shared" si="14"/>
        <v>0.249952752833306</v>
      </c>
      <c r="BM21" s="51">
        <f t="shared" si="15"/>
        <v>0.4650884788805</v>
      </c>
      <c r="BN21" s="51">
        <f t="shared" si="16"/>
        <v>0.457180436779809</v>
      </c>
      <c r="BO21" s="51">
        <f t="shared" si="17"/>
        <v>0.421290932279268</v>
      </c>
      <c r="BP21" s="51">
        <f t="shared" si="18"/>
        <v>0.505685042039099</v>
      </c>
      <c r="BQ21" s="51">
        <f t="shared" si="19"/>
        <v>0.484947520125777</v>
      </c>
      <c r="BR21" s="51">
        <f t="shared" si="20"/>
        <v>0.368876722004222</v>
      </c>
    </row>
    <row r="22" ht="13" spans="1:70">
      <c r="A22" s="37" t="s">
        <v>252</v>
      </c>
      <c r="B22" s="37">
        <v>4121</v>
      </c>
      <c r="C22" s="37">
        <v>4277</v>
      </c>
      <c r="D22" s="37">
        <v>4522</v>
      </c>
      <c r="E22" s="37">
        <v>4669</v>
      </c>
      <c r="F22" s="37">
        <v>4915</v>
      </c>
      <c r="G22" s="37">
        <v>5344</v>
      </c>
      <c r="H22" s="134">
        <v>5774</v>
      </c>
      <c r="I22" s="37">
        <v>1553</v>
      </c>
      <c r="J22" s="37">
        <v>1570</v>
      </c>
      <c r="K22" s="37">
        <v>1598</v>
      </c>
      <c r="L22" s="37">
        <v>1612</v>
      </c>
      <c r="M22" s="37">
        <v>1581</v>
      </c>
      <c r="N22" s="37">
        <v>1578</v>
      </c>
      <c r="O22" s="134">
        <v>1587</v>
      </c>
      <c r="P22" s="37">
        <v>2322</v>
      </c>
      <c r="Q22" s="37">
        <v>2267</v>
      </c>
      <c r="R22" s="37">
        <v>2284</v>
      </c>
      <c r="S22" s="37">
        <v>2280</v>
      </c>
      <c r="T22" s="37">
        <v>2269</v>
      </c>
      <c r="U22" s="37">
        <v>2502</v>
      </c>
      <c r="V22" s="134">
        <v>2588</v>
      </c>
      <c r="W22" s="64"/>
      <c r="X22" s="64"/>
      <c r="Y22" s="64"/>
      <c r="Z22" s="64"/>
      <c r="AA22" s="64"/>
      <c r="AB22" s="37"/>
      <c r="AC22" s="134"/>
      <c r="AD22" s="37">
        <v>217</v>
      </c>
      <c r="AE22" s="37">
        <v>263</v>
      </c>
      <c r="AF22" s="37">
        <v>348</v>
      </c>
      <c r="AG22" s="37">
        <v>427</v>
      </c>
      <c r="AH22" s="37">
        <v>669</v>
      </c>
      <c r="AI22" s="64">
        <v>803</v>
      </c>
      <c r="AJ22" s="134">
        <v>900</v>
      </c>
      <c r="AK22" s="37">
        <v>30</v>
      </c>
      <c r="AL22" s="37">
        <v>176</v>
      </c>
      <c r="AM22" s="37">
        <v>292</v>
      </c>
      <c r="AN22" s="37">
        <v>344</v>
      </c>
      <c r="AO22" s="37">
        <v>391</v>
      </c>
      <c r="AP22" s="37">
        <v>450</v>
      </c>
      <c r="AQ22" s="134">
        <v>636</v>
      </c>
      <c r="AR22" s="37"/>
      <c r="AS22" s="37"/>
      <c r="AT22" s="37"/>
      <c r="AU22" s="37">
        <v>6</v>
      </c>
      <c r="AV22" s="37">
        <v>6</v>
      </c>
      <c r="AW22" s="37">
        <v>12</v>
      </c>
      <c r="AX22" s="134">
        <v>63</v>
      </c>
      <c r="AY22" s="135"/>
      <c r="AZ22" s="37" t="s">
        <v>252</v>
      </c>
      <c r="BA22" s="51" t="str">
        <f t="shared" si="3"/>
        <v/>
      </c>
      <c r="BB22" s="51" t="str">
        <f t="shared" si="4"/>
        <v/>
      </c>
      <c r="BC22" s="51" t="str">
        <f t="shared" si="5"/>
        <v/>
      </c>
      <c r="BD22" s="51" t="str">
        <f t="shared" si="6"/>
        <v/>
      </c>
      <c r="BE22" s="51" t="str">
        <f t="shared" si="7"/>
        <v/>
      </c>
      <c r="BF22" s="51" t="str">
        <f t="shared" si="8"/>
        <v/>
      </c>
      <c r="BG22" s="51">
        <f t="shared" si="9"/>
        <v>0.237823439878234</v>
      </c>
      <c r="BH22" s="51">
        <f t="shared" si="10"/>
        <v>0.224200165908123</v>
      </c>
      <c r="BI22" s="51">
        <f t="shared" si="11"/>
        <v>0.220945647370747</v>
      </c>
      <c r="BJ22" s="51">
        <f t="shared" si="12"/>
        <v>0.206229377062294</v>
      </c>
      <c r="BK22" s="51">
        <f t="shared" si="13"/>
        <v>0.232653365098273</v>
      </c>
      <c r="BL22" s="51">
        <f t="shared" si="14"/>
        <v>0.243995956638433</v>
      </c>
      <c r="BM22" s="51">
        <f t="shared" si="15"/>
        <v>0.364068620355384</v>
      </c>
      <c r="BN22" s="51">
        <f t="shared" si="16"/>
        <v>0.311332503113325</v>
      </c>
      <c r="BO22" s="51">
        <f t="shared" si="17"/>
        <v>0.38691873284115</v>
      </c>
      <c r="BP22" s="51">
        <f t="shared" si="18"/>
        <v>0.410429778611031</v>
      </c>
      <c r="BQ22" s="51">
        <f t="shared" si="19"/>
        <v>0.388828902273854</v>
      </c>
      <c r="BR22" s="51">
        <f t="shared" si="20"/>
        <v>0.365008259574253</v>
      </c>
    </row>
    <row r="23" ht="13" spans="1:70">
      <c r="A23" s="37" t="s">
        <v>253</v>
      </c>
      <c r="B23" s="37">
        <v>10457</v>
      </c>
      <c r="C23" s="37">
        <v>10968</v>
      </c>
      <c r="D23" s="37">
        <v>11929</v>
      </c>
      <c r="E23" s="37">
        <v>12870</v>
      </c>
      <c r="F23" s="37">
        <v>14224</v>
      </c>
      <c r="G23" s="37">
        <v>15821</v>
      </c>
      <c r="H23" s="134">
        <v>17212</v>
      </c>
      <c r="I23" s="37">
        <v>1411</v>
      </c>
      <c r="J23" s="37">
        <v>1486</v>
      </c>
      <c r="K23" s="37">
        <v>1576</v>
      </c>
      <c r="L23" s="37">
        <v>1576</v>
      </c>
      <c r="M23" s="37">
        <v>1666</v>
      </c>
      <c r="N23" s="37">
        <v>1736</v>
      </c>
      <c r="O23" s="134">
        <v>1912</v>
      </c>
      <c r="P23" s="37">
        <v>7721</v>
      </c>
      <c r="Q23" s="37">
        <v>7768</v>
      </c>
      <c r="R23" s="37">
        <v>8137</v>
      </c>
      <c r="S23" s="37">
        <v>8628</v>
      </c>
      <c r="T23" s="37">
        <v>9582</v>
      </c>
      <c r="U23" s="37">
        <v>10256</v>
      </c>
      <c r="V23" s="134">
        <v>10741</v>
      </c>
      <c r="W23" s="37">
        <v>938</v>
      </c>
      <c r="X23" s="37">
        <v>1046</v>
      </c>
      <c r="Y23" s="37">
        <v>1330</v>
      </c>
      <c r="Z23" s="37">
        <v>1614</v>
      </c>
      <c r="AA23" s="37">
        <v>1614</v>
      </c>
      <c r="AB23" s="37">
        <v>1614</v>
      </c>
      <c r="AC23" s="134">
        <v>1614</v>
      </c>
      <c r="AD23" s="37">
        <v>268</v>
      </c>
      <c r="AE23" s="37">
        <v>335</v>
      </c>
      <c r="AF23" s="37">
        <v>357</v>
      </c>
      <c r="AG23" s="37">
        <v>441</v>
      </c>
      <c r="AH23" s="37">
        <v>565</v>
      </c>
      <c r="AI23" s="37">
        <v>1195</v>
      </c>
      <c r="AJ23" s="134">
        <v>1357</v>
      </c>
      <c r="AK23" s="37">
        <v>117</v>
      </c>
      <c r="AL23" s="37">
        <v>332</v>
      </c>
      <c r="AM23" s="37">
        <v>527</v>
      </c>
      <c r="AN23" s="37">
        <v>610</v>
      </c>
      <c r="AO23" s="37">
        <v>797</v>
      </c>
      <c r="AP23" s="37">
        <v>1020</v>
      </c>
      <c r="AQ23" s="134">
        <v>1590</v>
      </c>
      <c r="AR23" s="37"/>
      <c r="AS23" s="37">
        <v>2</v>
      </c>
      <c r="AT23" s="37">
        <v>2</v>
      </c>
      <c r="AU23" s="37">
        <v>2</v>
      </c>
      <c r="AV23" s="37"/>
      <c r="AW23" s="37"/>
      <c r="AX23" s="134"/>
      <c r="AY23" s="135"/>
      <c r="AZ23" s="37" t="s">
        <v>253</v>
      </c>
      <c r="BA23" s="51">
        <f t="shared" si="3"/>
        <v>0.920606864044778</v>
      </c>
      <c r="BB23" s="51">
        <f t="shared" si="4"/>
        <v>0.860968897498578</v>
      </c>
      <c r="BC23" s="51">
        <f t="shared" si="5"/>
        <v>0.857715405995632</v>
      </c>
      <c r="BD23" s="51">
        <f t="shared" si="6"/>
        <v>0.821153944085145</v>
      </c>
      <c r="BE23" s="51">
        <f t="shared" si="7"/>
        <v>0.851567053125336</v>
      </c>
      <c r="BF23" s="51">
        <f t="shared" si="8"/>
        <v>0.812666564818115</v>
      </c>
      <c r="BG23" s="51">
        <f t="shared" si="9"/>
        <v>0.234747116775332</v>
      </c>
      <c r="BH23" s="51">
        <f t="shared" si="10"/>
        <v>0.207854937049648</v>
      </c>
      <c r="BI23" s="51">
        <f t="shared" si="11"/>
        <v>0.211716505876564</v>
      </c>
      <c r="BJ23" s="51">
        <f t="shared" si="12"/>
        <v>0.233757273709342</v>
      </c>
      <c r="BK23" s="51">
        <f t="shared" si="13"/>
        <v>0.17771897052719</v>
      </c>
      <c r="BL23" s="51">
        <f t="shared" si="14"/>
        <v>0.240656446372082</v>
      </c>
      <c r="BM23" s="51">
        <f t="shared" ref="BM23:BM35" si="21">IFERROR(J59/((I23+J23)/2)*10000/8760,"")</f>
        <v>0.237215951630012</v>
      </c>
      <c r="BN23" s="51">
        <f t="shared" ref="BN23:BN35" si="22">IFERROR(K59/((J23+K23)/2)*10000/8760,"")</f>
        <v>0.217722621380361</v>
      </c>
      <c r="BO23" s="51">
        <f t="shared" ref="BO23:BO35" si="23">IFERROR(L59/((K23+L23)/2)*10000/8760,"")</f>
        <v>0.28756113390353</v>
      </c>
      <c r="BP23" s="51">
        <f t="shared" ref="BP23:BP35" si="24">IFERROR(M59/((L23+M23)/2)*10000/8760,"")</f>
        <v>0.201409018053572</v>
      </c>
      <c r="BQ23" s="51">
        <f t="shared" ref="BQ23:BQ35" si="25">IFERROR(N59/((M23+N23)/2)*10000/8760,"")</f>
        <v>0.149656796029196</v>
      </c>
      <c r="BR23" s="51">
        <f t="shared" si="20"/>
        <v>0.214666947047985</v>
      </c>
    </row>
    <row r="24" ht="13" spans="1:70">
      <c r="A24" s="37" t="s">
        <v>254</v>
      </c>
      <c r="B24" s="64">
        <v>4152</v>
      </c>
      <c r="C24" s="64">
        <v>4332</v>
      </c>
      <c r="D24" s="64">
        <v>4513</v>
      </c>
      <c r="E24" s="64">
        <v>4615</v>
      </c>
      <c r="F24" s="64">
        <v>5178</v>
      </c>
      <c r="G24" s="37">
        <v>5533</v>
      </c>
      <c r="H24" s="134">
        <v>6277</v>
      </c>
      <c r="I24" s="64">
        <v>1665</v>
      </c>
      <c r="J24" s="64">
        <v>1669</v>
      </c>
      <c r="K24" s="64">
        <v>1677</v>
      </c>
      <c r="L24" s="64">
        <v>1681</v>
      </c>
      <c r="M24" s="64">
        <v>1759</v>
      </c>
      <c r="N24" s="64">
        <v>1768</v>
      </c>
      <c r="O24" s="134">
        <v>1832</v>
      </c>
      <c r="P24" s="64">
        <v>2185</v>
      </c>
      <c r="Q24" s="64">
        <v>2217</v>
      </c>
      <c r="R24" s="64">
        <v>2288</v>
      </c>
      <c r="S24" s="64">
        <v>2294</v>
      </c>
      <c r="T24" s="64">
        <v>2344</v>
      </c>
      <c r="U24" s="64">
        <v>2481</v>
      </c>
      <c r="V24" s="134">
        <v>2757</v>
      </c>
      <c r="W24" s="37">
        <v>217</v>
      </c>
      <c r="X24" s="37">
        <v>217</v>
      </c>
      <c r="Y24" s="37">
        <v>217</v>
      </c>
      <c r="Z24" s="37">
        <v>217</v>
      </c>
      <c r="AA24" s="37">
        <v>217</v>
      </c>
      <c r="AB24" s="64">
        <v>217</v>
      </c>
      <c r="AC24" s="134">
        <v>217</v>
      </c>
      <c r="AD24" s="37">
        <v>70</v>
      </c>
      <c r="AE24" s="37">
        <v>150</v>
      </c>
      <c r="AF24" s="37">
        <v>208</v>
      </c>
      <c r="AG24" s="37">
        <v>287</v>
      </c>
      <c r="AH24" s="37">
        <v>653</v>
      </c>
      <c r="AI24" s="37">
        <v>755</v>
      </c>
      <c r="AJ24" s="134">
        <v>946</v>
      </c>
      <c r="AK24" s="37">
        <v>16</v>
      </c>
      <c r="AL24" s="37">
        <v>78</v>
      </c>
      <c r="AM24" s="37">
        <v>124</v>
      </c>
      <c r="AN24" s="37">
        <v>135</v>
      </c>
      <c r="AO24" s="37">
        <v>205</v>
      </c>
      <c r="AP24" s="37">
        <v>312</v>
      </c>
      <c r="AQ24" s="134">
        <v>520</v>
      </c>
      <c r="AR24" s="37"/>
      <c r="AS24" s="64"/>
      <c r="AT24" s="64"/>
      <c r="AU24" s="64"/>
      <c r="AV24" s="64"/>
      <c r="AW24" s="37"/>
      <c r="AX24" s="134">
        <v>5</v>
      </c>
      <c r="AY24" s="135"/>
      <c r="AZ24" s="37" t="s">
        <v>254</v>
      </c>
      <c r="BA24" s="51">
        <f t="shared" si="3"/>
        <v>0.668097552763925</v>
      </c>
      <c r="BB24" s="51">
        <f t="shared" si="4"/>
        <v>0.846958314921196</v>
      </c>
      <c r="BC24" s="51">
        <f t="shared" si="5"/>
        <v>0.904825032089725</v>
      </c>
      <c r="BD24" s="51">
        <f t="shared" si="6"/>
        <v>0.883782589482987</v>
      </c>
      <c r="BE24" s="51">
        <f t="shared" si="7"/>
        <v>0.952170527954885</v>
      </c>
      <c r="BF24" s="51">
        <f t="shared" si="8"/>
        <v>0.936388695999832</v>
      </c>
      <c r="BG24" s="51">
        <f t="shared" si="9"/>
        <v>0.259443752594438</v>
      </c>
      <c r="BH24" s="51">
        <f t="shared" si="10"/>
        <v>0.267850309941073</v>
      </c>
      <c r="BI24" s="51">
        <f t="shared" si="11"/>
        <v>0.281352336146857</v>
      </c>
      <c r="BJ24" s="51">
        <f t="shared" si="12"/>
        <v>0.257456523851161</v>
      </c>
      <c r="BK24" s="51">
        <f t="shared" si="13"/>
        <v>0.261065276048153</v>
      </c>
      <c r="BL24" s="51">
        <f t="shared" si="14"/>
        <v>0.267100470043139</v>
      </c>
      <c r="BM24" s="51">
        <f t="shared" si="21"/>
        <v>0.420463852434992</v>
      </c>
      <c r="BN24" s="51">
        <f t="shared" si="22"/>
        <v>0.415544219636614</v>
      </c>
      <c r="BO24" s="51">
        <f t="shared" si="23"/>
        <v>0.403180845306377</v>
      </c>
      <c r="BP24" s="51">
        <f t="shared" si="24"/>
        <v>0.408171392163109</v>
      </c>
      <c r="BQ24" s="51">
        <f t="shared" si="25"/>
        <v>0.334665522201206</v>
      </c>
      <c r="BR24" s="51">
        <f t="shared" si="20"/>
        <v>0.388127853881279</v>
      </c>
    </row>
    <row r="25" ht="13" spans="1:70">
      <c r="A25" s="37" t="s">
        <v>255</v>
      </c>
      <c r="B25" s="37">
        <v>745</v>
      </c>
      <c r="C25" s="37">
        <v>786</v>
      </c>
      <c r="D25" s="37">
        <v>919</v>
      </c>
      <c r="E25" s="37">
        <v>918</v>
      </c>
      <c r="F25" s="37">
        <v>999</v>
      </c>
      <c r="G25" s="37">
        <v>1056</v>
      </c>
      <c r="H25" s="134">
        <v>1307</v>
      </c>
      <c r="I25" s="37">
        <v>91</v>
      </c>
      <c r="J25" s="37">
        <v>114</v>
      </c>
      <c r="K25" s="37">
        <v>154</v>
      </c>
      <c r="L25" s="37">
        <v>154</v>
      </c>
      <c r="M25" s="37">
        <v>151</v>
      </c>
      <c r="N25" s="37">
        <v>153</v>
      </c>
      <c r="O25" s="134">
        <v>153</v>
      </c>
      <c r="P25" s="37">
        <v>464</v>
      </c>
      <c r="Q25" s="37">
        <v>465</v>
      </c>
      <c r="R25" s="37">
        <v>465</v>
      </c>
      <c r="S25" s="37">
        <v>465</v>
      </c>
      <c r="T25" s="37">
        <v>546</v>
      </c>
      <c r="U25" s="37">
        <v>598</v>
      </c>
      <c r="V25" s="134">
        <v>750</v>
      </c>
      <c r="W25" s="37">
        <v>130</v>
      </c>
      <c r="X25" s="37">
        <v>130</v>
      </c>
      <c r="Y25" s="37">
        <v>130</v>
      </c>
      <c r="Z25" s="37">
        <v>130</v>
      </c>
      <c r="AA25" s="37">
        <v>130</v>
      </c>
      <c r="AB25" s="37">
        <v>130</v>
      </c>
      <c r="AC25" s="134">
        <v>130</v>
      </c>
      <c r="AD25" s="37">
        <v>31</v>
      </c>
      <c r="AE25" s="37">
        <v>34</v>
      </c>
      <c r="AF25" s="37">
        <v>34</v>
      </c>
      <c r="AG25" s="37">
        <v>29</v>
      </c>
      <c r="AH25" s="37">
        <v>29</v>
      </c>
      <c r="AI25" s="37">
        <v>29</v>
      </c>
      <c r="AJ25" s="134">
        <v>29</v>
      </c>
      <c r="AK25" s="37">
        <v>29</v>
      </c>
      <c r="AL25" s="37">
        <v>43</v>
      </c>
      <c r="AM25" s="37">
        <v>136</v>
      </c>
      <c r="AN25" s="37">
        <v>140</v>
      </c>
      <c r="AO25" s="37">
        <v>143</v>
      </c>
      <c r="AP25" s="37">
        <v>147</v>
      </c>
      <c r="AQ25" s="134">
        <v>246</v>
      </c>
      <c r="AR25" s="37"/>
      <c r="AS25" s="37"/>
      <c r="AT25" s="37"/>
      <c r="AU25" s="37">
        <v>11</v>
      </c>
      <c r="AV25" s="37"/>
      <c r="AW25" s="37"/>
      <c r="AX25" s="134"/>
      <c r="AY25" s="135"/>
      <c r="AZ25" s="37" t="s">
        <v>255</v>
      </c>
      <c r="BA25" s="51">
        <f t="shared" si="3"/>
        <v>0.658587987355111</v>
      </c>
      <c r="BB25" s="51">
        <f t="shared" si="4"/>
        <v>0.67615033368458</v>
      </c>
      <c r="BC25" s="51">
        <f t="shared" si="5"/>
        <v>0.851773796979276</v>
      </c>
      <c r="BD25" s="51">
        <f t="shared" si="6"/>
        <v>0.842992623814542</v>
      </c>
      <c r="BE25" s="51">
        <f t="shared" si="7"/>
        <v>0.860554970144011</v>
      </c>
      <c r="BF25" s="51">
        <f t="shared" si="8"/>
        <v>0.922023182297155</v>
      </c>
      <c r="BG25" s="51">
        <f t="shared" si="9"/>
        <v>0.210748155953635</v>
      </c>
      <c r="BH25" s="51">
        <f t="shared" si="10"/>
        <v>0.167875369325813</v>
      </c>
      <c r="BI25" s="51">
        <f t="shared" si="11"/>
        <v>0.181198811335798</v>
      </c>
      <c r="BJ25" s="51">
        <f t="shared" si="12"/>
        <v>0.236183278223902</v>
      </c>
      <c r="BK25" s="51">
        <f t="shared" si="13"/>
        <v>0.196819398519918</v>
      </c>
      <c r="BL25" s="51">
        <f t="shared" si="14"/>
        <v>0.196819398519918</v>
      </c>
      <c r="BM25" s="51">
        <f t="shared" si="21"/>
        <v>0.289564539481011</v>
      </c>
      <c r="BN25" s="51">
        <f t="shared" si="22"/>
        <v>0.230014312001636</v>
      </c>
      <c r="BO25" s="51">
        <f t="shared" si="23"/>
        <v>0.126015536974441</v>
      </c>
      <c r="BP25" s="51">
        <f t="shared" si="24"/>
        <v>0.127255034059436</v>
      </c>
      <c r="BQ25" s="51">
        <f t="shared" si="25"/>
        <v>0.135183850036049</v>
      </c>
      <c r="BR25" s="51">
        <f t="shared" si="20"/>
        <v>0.208911570716567</v>
      </c>
    </row>
    <row r="26" ht="13" spans="1:70">
      <c r="A26" s="37" t="s">
        <v>256</v>
      </c>
      <c r="B26" s="37">
        <v>2178</v>
      </c>
      <c r="C26" s="37">
        <v>2326</v>
      </c>
      <c r="D26" s="37">
        <v>2386</v>
      </c>
      <c r="E26" s="37">
        <v>2448</v>
      </c>
      <c r="F26" s="37">
        <v>2488</v>
      </c>
      <c r="G26" s="37">
        <v>2574</v>
      </c>
      <c r="H26" s="134">
        <v>2685</v>
      </c>
      <c r="I26" s="37">
        <v>688</v>
      </c>
      <c r="J26" s="37">
        <v>736</v>
      </c>
      <c r="K26" s="37">
        <v>756</v>
      </c>
      <c r="L26" s="37">
        <v>772</v>
      </c>
      <c r="M26" s="37">
        <v>779</v>
      </c>
      <c r="N26" s="37">
        <v>789</v>
      </c>
      <c r="O26" s="134">
        <v>790</v>
      </c>
      <c r="P26" s="37">
        <v>1462</v>
      </c>
      <c r="Q26" s="37">
        <v>1544</v>
      </c>
      <c r="R26" s="37">
        <v>1537</v>
      </c>
      <c r="S26" s="37">
        <v>1548</v>
      </c>
      <c r="T26" s="37">
        <v>1545</v>
      </c>
      <c r="U26" s="37">
        <v>1553</v>
      </c>
      <c r="V26" s="134">
        <v>1644</v>
      </c>
      <c r="W26" s="64"/>
      <c r="X26" s="64"/>
      <c r="Y26" s="64"/>
      <c r="Z26" s="64"/>
      <c r="AA26" s="64"/>
      <c r="AB26" s="37"/>
      <c r="AC26" s="134"/>
      <c r="AD26" s="37">
        <v>28</v>
      </c>
      <c r="AE26" s="37">
        <v>33</v>
      </c>
      <c r="AF26" s="37">
        <v>50</v>
      </c>
      <c r="AG26" s="37">
        <v>64</v>
      </c>
      <c r="AH26" s="37">
        <v>97</v>
      </c>
      <c r="AI26" s="64">
        <v>169</v>
      </c>
      <c r="AJ26" s="134">
        <v>182</v>
      </c>
      <c r="AK26" s="37" t="s">
        <v>257</v>
      </c>
      <c r="AL26" s="37">
        <v>12</v>
      </c>
      <c r="AM26" s="37">
        <v>43</v>
      </c>
      <c r="AN26" s="37">
        <v>65</v>
      </c>
      <c r="AO26" s="37">
        <v>67</v>
      </c>
      <c r="AP26" s="37">
        <v>63</v>
      </c>
      <c r="AQ26" s="134">
        <v>69</v>
      </c>
      <c r="AR26" s="37"/>
      <c r="AS26" s="64"/>
      <c r="AT26" s="64"/>
      <c r="AU26" s="64"/>
      <c r="AV26" s="64"/>
      <c r="AW26" s="37"/>
      <c r="AX26" s="134"/>
      <c r="AY26" s="135"/>
      <c r="AZ26" s="37" t="s">
        <v>256</v>
      </c>
      <c r="BA26" s="51" t="str">
        <f t="shared" si="3"/>
        <v/>
      </c>
      <c r="BB26" s="51" t="str">
        <f t="shared" si="4"/>
        <v/>
      </c>
      <c r="BC26" s="51" t="str">
        <f t="shared" si="5"/>
        <v/>
      </c>
      <c r="BD26" s="51" t="str">
        <f t="shared" si="6"/>
        <v/>
      </c>
      <c r="BE26" s="51" t="str">
        <f t="shared" si="7"/>
        <v/>
      </c>
      <c r="BF26" s="51" t="str">
        <f t="shared" si="8"/>
        <v/>
      </c>
      <c r="BG26" s="51">
        <f t="shared" si="9"/>
        <v>0.261995658357661</v>
      </c>
      <c r="BH26" s="51">
        <f t="shared" si="10"/>
        <v>0.220058315453595</v>
      </c>
      <c r="BI26" s="51">
        <f t="shared" si="11"/>
        <v>0.220299607466154</v>
      </c>
      <c r="BJ26" s="51">
        <f t="shared" si="12"/>
        <v>0.198530871550526</v>
      </c>
      <c r="BK26" s="51">
        <f t="shared" si="13"/>
        <v>0.19741133656058</v>
      </c>
      <c r="BL26" s="51">
        <f t="shared" si="14"/>
        <v>0.221155472297025</v>
      </c>
      <c r="BM26" s="51">
        <f t="shared" si="21"/>
        <v>0.405635934533887</v>
      </c>
      <c r="BN26" s="51">
        <f t="shared" si="22"/>
        <v>0.3703159621482</v>
      </c>
      <c r="BO26" s="51">
        <f t="shared" si="23"/>
        <v>0.36308541920677</v>
      </c>
      <c r="BP26" s="51">
        <f t="shared" si="24"/>
        <v>0.413637982859784</v>
      </c>
      <c r="BQ26" s="51">
        <f t="shared" si="25"/>
        <v>0.412065511135961</v>
      </c>
      <c r="BR26" s="51">
        <f t="shared" si="20"/>
        <v>0.29207550007085</v>
      </c>
    </row>
    <row r="27" ht="13" spans="1:70">
      <c r="A27" s="37" t="s">
        <v>258</v>
      </c>
      <c r="B27" s="37">
        <v>9108</v>
      </c>
      <c r="C27" s="37">
        <v>9721</v>
      </c>
      <c r="D27" s="37">
        <v>9833</v>
      </c>
      <c r="E27" s="37">
        <v>9929</v>
      </c>
      <c r="F27" s="37">
        <v>10105</v>
      </c>
      <c r="G27" s="37">
        <v>11435</v>
      </c>
      <c r="H27" s="134">
        <v>12390</v>
      </c>
      <c r="I27" s="37">
        <v>7246</v>
      </c>
      <c r="J27" s="37">
        <v>7714</v>
      </c>
      <c r="K27" s="37">
        <v>7824</v>
      </c>
      <c r="L27" s="37">
        <v>7846</v>
      </c>
      <c r="M27" s="37">
        <v>7892</v>
      </c>
      <c r="N27" s="37">
        <v>8887</v>
      </c>
      <c r="O27" s="134">
        <v>9746</v>
      </c>
      <c r="P27" s="37">
        <v>1642</v>
      </c>
      <c r="Q27" s="37">
        <v>1662</v>
      </c>
      <c r="R27" s="37">
        <v>1575</v>
      </c>
      <c r="S27" s="37">
        <v>1570</v>
      </c>
      <c r="T27" s="37">
        <v>1596</v>
      </c>
      <c r="U27" s="37">
        <v>1825</v>
      </c>
      <c r="V27" s="134">
        <v>1840</v>
      </c>
      <c r="W27" s="64"/>
      <c r="X27" s="64"/>
      <c r="Y27" s="64"/>
      <c r="Z27" s="64"/>
      <c r="AA27" s="64"/>
      <c r="AB27" s="37"/>
      <c r="AC27" s="134"/>
      <c r="AD27" s="37">
        <v>125</v>
      </c>
      <c r="AE27" s="37">
        <v>210</v>
      </c>
      <c r="AF27" s="37">
        <v>253</v>
      </c>
      <c r="AG27" s="37">
        <v>325</v>
      </c>
      <c r="AH27" s="37">
        <v>426</v>
      </c>
      <c r="AI27" s="64">
        <v>527</v>
      </c>
      <c r="AJ27" s="134">
        <v>598</v>
      </c>
      <c r="AK27" s="37">
        <v>96</v>
      </c>
      <c r="AL27" s="37">
        <v>135</v>
      </c>
      <c r="AM27" s="37">
        <v>181</v>
      </c>
      <c r="AN27" s="37">
        <v>188</v>
      </c>
      <c r="AO27" s="37">
        <v>191</v>
      </c>
      <c r="AP27" s="37">
        <v>196</v>
      </c>
      <c r="AQ27" s="134">
        <v>206</v>
      </c>
      <c r="AR27" s="37"/>
      <c r="AS27" s="64"/>
      <c r="AT27" s="64"/>
      <c r="AU27" s="64"/>
      <c r="AV27" s="64"/>
      <c r="AW27" s="37"/>
      <c r="AX27" s="134">
        <v>0.1</v>
      </c>
      <c r="AY27" s="135"/>
      <c r="AZ27" s="37" t="s">
        <v>258</v>
      </c>
      <c r="BA27" s="51" t="str">
        <f t="shared" si="3"/>
        <v/>
      </c>
      <c r="BB27" s="51" t="str">
        <f t="shared" si="4"/>
        <v/>
      </c>
      <c r="BC27" s="51" t="str">
        <f t="shared" si="5"/>
        <v/>
      </c>
      <c r="BD27" s="51" t="str">
        <f t="shared" si="6"/>
        <v/>
      </c>
      <c r="BE27" s="51" t="str">
        <f t="shared" si="7"/>
        <v/>
      </c>
      <c r="BF27" s="51" t="str">
        <f t="shared" si="8"/>
        <v/>
      </c>
      <c r="BG27" s="51">
        <f t="shared" si="9"/>
        <v>0.238533360594289</v>
      </c>
      <c r="BH27" s="51">
        <f t="shared" si="10"/>
        <v>0.271211179817943</v>
      </c>
      <c r="BI27" s="51">
        <f t="shared" si="11"/>
        <v>0.280450616991357</v>
      </c>
      <c r="BJ27" s="51">
        <f t="shared" si="12"/>
        <v>0.261447446023263</v>
      </c>
      <c r="BK27" s="51">
        <f t="shared" si="13"/>
        <v>0.261131634300718</v>
      </c>
      <c r="BL27" s="51">
        <f t="shared" si="14"/>
        <v>0.267884322678843</v>
      </c>
      <c r="BM27" s="51">
        <f t="shared" si="21"/>
        <v>0.482870607769883</v>
      </c>
      <c r="BN27" s="51">
        <f t="shared" si="22"/>
        <v>0.47739787740881</v>
      </c>
      <c r="BO27" s="51">
        <f t="shared" si="23"/>
        <v>0.483138242227681</v>
      </c>
      <c r="BP27" s="51">
        <f t="shared" si="24"/>
        <v>0.513691376658073</v>
      </c>
      <c r="BQ27" s="51">
        <f t="shared" si="25"/>
        <v>0.506721682163587</v>
      </c>
      <c r="BR27" s="51">
        <f t="shared" si="20"/>
        <v>0.476152316788572</v>
      </c>
    </row>
    <row r="28" ht="13" spans="1:70">
      <c r="A28" s="37" t="s">
        <v>259</v>
      </c>
      <c r="B28" s="37">
        <v>5510</v>
      </c>
      <c r="C28" s="37">
        <v>5778</v>
      </c>
      <c r="D28" s="37">
        <v>6039</v>
      </c>
      <c r="E28" s="37">
        <v>6599</v>
      </c>
      <c r="F28" s="37">
        <v>7478</v>
      </c>
      <c r="G28" s="37">
        <v>7573</v>
      </c>
      <c r="H28" s="134">
        <v>8087</v>
      </c>
      <c r="I28" s="37">
        <v>2089</v>
      </c>
      <c r="J28" s="37">
        <v>2119</v>
      </c>
      <c r="K28" s="37">
        <v>2212</v>
      </c>
      <c r="L28" s="37">
        <v>2223</v>
      </c>
      <c r="M28" s="37">
        <v>2281</v>
      </c>
      <c r="N28" s="37">
        <v>2283</v>
      </c>
      <c r="O28" s="134">
        <v>2282</v>
      </c>
      <c r="P28" s="37">
        <v>3014</v>
      </c>
      <c r="Q28" s="37">
        <v>3160</v>
      </c>
      <c r="R28" s="37">
        <v>3263</v>
      </c>
      <c r="S28" s="37">
        <v>3410</v>
      </c>
      <c r="T28" s="37">
        <v>3560</v>
      </c>
      <c r="U28" s="37">
        <v>3572</v>
      </c>
      <c r="V28" s="134">
        <v>3793</v>
      </c>
      <c r="W28" s="64"/>
      <c r="X28" s="64"/>
      <c r="Y28" s="64"/>
      <c r="Z28" s="64"/>
      <c r="AA28" s="64"/>
      <c r="AB28" s="37"/>
      <c r="AC28" s="134"/>
      <c r="AD28" s="37">
        <v>362</v>
      </c>
      <c r="AE28" s="37">
        <v>363</v>
      </c>
      <c r="AF28" s="37">
        <v>386</v>
      </c>
      <c r="AG28" s="37">
        <v>457</v>
      </c>
      <c r="AH28" s="37">
        <v>580</v>
      </c>
      <c r="AI28" s="64">
        <v>580</v>
      </c>
      <c r="AJ28" s="134">
        <v>592</v>
      </c>
      <c r="AK28" s="37">
        <v>46</v>
      </c>
      <c r="AL28" s="37">
        <v>135</v>
      </c>
      <c r="AM28" s="37">
        <v>178</v>
      </c>
      <c r="AN28" s="37">
        <v>510</v>
      </c>
      <c r="AO28" s="37">
        <v>1057</v>
      </c>
      <c r="AP28" s="37">
        <v>1137</v>
      </c>
      <c r="AQ28" s="134">
        <v>1420</v>
      </c>
      <c r="AR28" s="37"/>
      <c r="AS28" s="64"/>
      <c r="AT28" s="64"/>
      <c r="AU28" s="64"/>
      <c r="AV28" s="64"/>
      <c r="AW28" s="37"/>
      <c r="AX28" s="134"/>
      <c r="AY28" s="135"/>
      <c r="AZ28" s="37" t="s">
        <v>259</v>
      </c>
      <c r="BA28" s="51" t="str">
        <f t="shared" si="3"/>
        <v/>
      </c>
      <c r="BB28" s="51" t="str">
        <f t="shared" si="4"/>
        <v/>
      </c>
      <c r="BC28" s="51" t="str">
        <f t="shared" si="5"/>
        <v/>
      </c>
      <c r="BD28" s="51" t="str">
        <f t="shared" si="6"/>
        <v/>
      </c>
      <c r="BE28" s="51" t="str">
        <f t="shared" si="7"/>
        <v/>
      </c>
      <c r="BF28" s="51" t="str">
        <f t="shared" si="8"/>
        <v/>
      </c>
      <c r="BG28" s="51">
        <f t="shared" si="9"/>
        <v>0.198393953708077</v>
      </c>
      <c r="BH28" s="51">
        <f t="shared" si="10"/>
        <v>0.207277892593473</v>
      </c>
      <c r="BI28" s="51">
        <f t="shared" si="11"/>
        <v>0.211248151578674</v>
      </c>
      <c r="BJ28" s="51">
        <f t="shared" si="12"/>
        <v>0.213559486224312</v>
      </c>
      <c r="BK28" s="51">
        <f t="shared" si="13"/>
        <v>0.206660368445914</v>
      </c>
      <c r="BL28" s="51">
        <f t="shared" si="14"/>
        <v>0.212336559290601</v>
      </c>
      <c r="BM28" s="51">
        <f t="shared" si="21"/>
        <v>0.397698664861017</v>
      </c>
      <c r="BN28" s="51">
        <f t="shared" si="22"/>
        <v>0.405908766469616</v>
      </c>
      <c r="BO28" s="51">
        <f t="shared" si="23"/>
        <v>0.395875481974538</v>
      </c>
      <c r="BP28" s="51">
        <f t="shared" si="24"/>
        <v>0.421238959585391</v>
      </c>
      <c r="BQ28" s="51">
        <f t="shared" si="25"/>
        <v>0.367177714013583</v>
      </c>
      <c r="BR28" s="51">
        <f t="shared" si="20"/>
        <v>0.339089858812585</v>
      </c>
    </row>
    <row r="29" ht="13" spans="1:70">
      <c r="A29" s="37" t="s">
        <v>260</v>
      </c>
      <c r="B29" s="37">
        <v>8645</v>
      </c>
      <c r="C29" s="37">
        <v>8957</v>
      </c>
      <c r="D29" s="37">
        <v>9341</v>
      </c>
      <c r="E29" s="37">
        <v>9620</v>
      </c>
      <c r="F29" s="37">
        <v>10266</v>
      </c>
      <c r="G29" s="37">
        <v>10635</v>
      </c>
      <c r="H29" s="134">
        <v>11177</v>
      </c>
      <c r="I29" s="37">
        <v>6088</v>
      </c>
      <c r="J29" s="37">
        <v>6281</v>
      </c>
      <c r="K29" s="37">
        <v>6649</v>
      </c>
      <c r="L29" s="37">
        <v>6873</v>
      </c>
      <c r="M29" s="37">
        <v>7480</v>
      </c>
      <c r="N29" s="37">
        <v>7823</v>
      </c>
      <c r="O29" s="134">
        <v>8146</v>
      </c>
      <c r="P29" s="37">
        <v>1612</v>
      </c>
      <c r="Q29" s="37">
        <v>1613</v>
      </c>
      <c r="R29" s="37">
        <v>1508</v>
      </c>
      <c r="S29" s="37">
        <v>1509</v>
      </c>
      <c r="T29" s="37">
        <v>1517</v>
      </c>
      <c r="U29" s="37">
        <v>1529</v>
      </c>
      <c r="V29" s="134">
        <v>1534</v>
      </c>
      <c r="W29" s="64"/>
      <c r="X29" s="64"/>
      <c r="Y29" s="64"/>
      <c r="Z29" s="64"/>
      <c r="AA29" s="64"/>
      <c r="AB29" s="37"/>
      <c r="AC29" s="134"/>
      <c r="AD29" s="37">
        <v>737</v>
      </c>
      <c r="AE29" s="37">
        <v>825</v>
      </c>
      <c r="AF29" s="37">
        <v>857</v>
      </c>
      <c r="AG29" s="37">
        <v>863</v>
      </c>
      <c r="AH29" s="37">
        <v>881</v>
      </c>
      <c r="AI29" s="64">
        <v>886</v>
      </c>
      <c r="AJ29" s="134">
        <v>912</v>
      </c>
      <c r="AK29" s="37">
        <v>208</v>
      </c>
      <c r="AL29" s="37">
        <v>238</v>
      </c>
      <c r="AM29" s="37">
        <v>326</v>
      </c>
      <c r="AN29" s="37">
        <v>375</v>
      </c>
      <c r="AO29" s="37">
        <v>388</v>
      </c>
      <c r="AP29" s="37">
        <v>397</v>
      </c>
      <c r="AQ29" s="134">
        <v>585</v>
      </c>
      <c r="AR29" s="37"/>
      <c r="AS29" s="64"/>
      <c r="AT29" s="64"/>
      <c r="AU29" s="64"/>
      <c r="AV29" s="64">
        <v>0.2</v>
      </c>
      <c r="AW29" s="37">
        <v>0.2</v>
      </c>
      <c r="AX29" s="134">
        <v>0.2</v>
      </c>
      <c r="AY29" s="135"/>
      <c r="AZ29" s="37" t="s">
        <v>260</v>
      </c>
      <c r="BA29" s="51" t="str">
        <f t="shared" si="3"/>
        <v/>
      </c>
      <c r="BB29" s="51" t="str">
        <f t="shared" si="4"/>
        <v/>
      </c>
      <c r="BC29" s="51" t="str">
        <f t="shared" si="5"/>
        <v/>
      </c>
      <c r="BD29" s="51" t="str">
        <f t="shared" si="6"/>
        <v/>
      </c>
      <c r="BE29" s="51" t="str">
        <f t="shared" si="7"/>
        <v/>
      </c>
      <c r="BF29" s="51" t="str">
        <f t="shared" si="8"/>
        <v/>
      </c>
      <c r="BG29" s="51">
        <f t="shared" si="9"/>
        <v>0.274791129508475</v>
      </c>
      <c r="BH29" s="51">
        <f t="shared" si="10"/>
        <v>0.298622535685393</v>
      </c>
      <c r="BI29" s="51">
        <f t="shared" si="11"/>
        <v>0.321227567165764</v>
      </c>
      <c r="BJ29" s="51">
        <f t="shared" si="12"/>
        <v>0.327279963135185</v>
      </c>
      <c r="BK29" s="51">
        <f t="shared" si="13"/>
        <v>0.299762515731072</v>
      </c>
      <c r="BL29" s="51">
        <f t="shared" si="14"/>
        <v>0.271737750214597</v>
      </c>
      <c r="BM29" s="51">
        <f t="shared" si="21"/>
        <v>0.461826240368929</v>
      </c>
      <c r="BN29" s="51">
        <f t="shared" si="22"/>
        <v>0.476573894556922</v>
      </c>
      <c r="BO29" s="51">
        <f t="shared" si="23"/>
        <v>0.481880027744403</v>
      </c>
      <c r="BP29" s="51">
        <f t="shared" si="24"/>
        <v>0.470841696340828</v>
      </c>
      <c r="BQ29" s="51">
        <f t="shared" si="25"/>
        <v>0.451608109789557</v>
      </c>
      <c r="BR29" s="51">
        <f t="shared" si="20"/>
        <v>0.469374024043731</v>
      </c>
    </row>
    <row r="30" ht="13" spans="1:70">
      <c r="A30" s="37" t="s">
        <v>261</v>
      </c>
      <c r="B30" s="37">
        <v>233</v>
      </c>
      <c r="C30" s="37">
        <v>281</v>
      </c>
      <c r="D30" s="37">
        <v>304</v>
      </c>
      <c r="E30" s="37">
        <v>327</v>
      </c>
      <c r="F30" s="37">
        <v>395</v>
      </c>
      <c r="G30" s="37">
        <v>480</v>
      </c>
      <c r="H30" s="134">
        <v>540</v>
      </c>
      <c r="I30" s="37">
        <v>156</v>
      </c>
      <c r="J30" s="37">
        <v>158</v>
      </c>
      <c r="K30" s="37">
        <v>160</v>
      </c>
      <c r="L30" s="37">
        <v>170</v>
      </c>
      <c r="M30" s="37">
        <v>210</v>
      </c>
      <c r="N30" s="37">
        <v>291</v>
      </c>
      <c r="O30" s="134">
        <v>292</v>
      </c>
      <c r="P30" s="37">
        <v>41</v>
      </c>
      <c r="Q30" s="37">
        <v>40</v>
      </c>
      <c r="R30" s="37">
        <v>42</v>
      </c>
      <c r="S30" s="37">
        <v>42</v>
      </c>
      <c r="T30" s="37">
        <v>43</v>
      </c>
      <c r="U30" s="37">
        <v>43</v>
      </c>
      <c r="V30" s="134">
        <v>42</v>
      </c>
      <c r="W30" s="64"/>
      <c r="X30" s="64"/>
      <c r="Y30" s="64"/>
      <c r="Z30" s="64"/>
      <c r="AA30" s="64"/>
      <c r="AB30" s="37"/>
      <c r="AC30" s="134"/>
      <c r="AD30" s="37">
        <v>1</v>
      </c>
      <c r="AE30" s="37">
        <v>1</v>
      </c>
      <c r="AF30" s="37">
        <v>1</v>
      </c>
      <c r="AG30" s="37">
        <v>1</v>
      </c>
      <c r="AH30" s="37">
        <v>1</v>
      </c>
      <c r="AI30" s="64">
        <v>3</v>
      </c>
      <c r="AJ30" s="134">
        <v>3</v>
      </c>
      <c r="AK30" s="37">
        <v>33</v>
      </c>
      <c r="AL30" s="37">
        <v>79</v>
      </c>
      <c r="AM30" s="37">
        <v>98</v>
      </c>
      <c r="AN30" s="37">
        <v>110</v>
      </c>
      <c r="AO30" s="37">
        <v>137</v>
      </c>
      <c r="AP30" s="37">
        <v>139</v>
      </c>
      <c r="AQ30" s="134">
        <v>179</v>
      </c>
      <c r="AR30" s="37"/>
      <c r="AS30" s="37">
        <v>3</v>
      </c>
      <c r="AT30" s="37">
        <v>4</v>
      </c>
      <c r="AU30" s="37">
        <v>4</v>
      </c>
      <c r="AV30" s="37">
        <v>4</v>
      </c>
      <c r="AW30" s="37">
        <v>4</v>
      </c>
      <c r="AX30" s="134">
        <v>25</v>
      </c>
      <c r="AY30" s="135"/>
      <c r="AZ30" s="37" t="s">
        <v>261</v>
      </c>
      <c r="BA30" s="51" t="str">
        <f t="shared" si="3"/>
        <v/>
      </c>
      <c r="BB30" s="51" t="str">
        <f t="shared" si="4"/>
        <v/>
      </c>
      <c r="BC30" s="51" t="str">
        <f t="shared" si="5"/>
        <v/>
      </c>
      <c r="BD30" s="51" t="str">
        <f t="shared" si="6"/>
        <v/>
      </c>
      <c r="BE30" s="51" t="str">
        <f t="shared" si="7"/>
        <v/>
      </c>
      <c r="BF30" s="51" t="str">
        <f t="shared" si="8"/>
        <v/>
      </c>
      <c r="BG30" s="51">
        <f t="shared" si="9"/>
        <v>0.114155251141553</v>
      </c>
      <c r="BH30" s="51">
        <f t="shared" si="10"/>
        <v>0.159817351598174</v>
      </c>
      <c r="BI30" s="51">
        <f t="shared" si="11"/>
        <v>0.182648401826484</v>
      </c>
      <c r="BJ30" s="51">
        <f t="shared" si="12"/>
        <v>0.114155251141553</v>
      </c>
      <c r="BK30" s="51">
        <f t="shared" si="13"/>
        <v>0.0570776255707763</v>
      </c>
      <c r="BL30" s="51">
        <f t="shared" si="14"/>
        <v>0.342465753424658</v>
      </c>
      <c r="BM30" s="51">
        <f t="shared" si="21"/>
        <v>0.370822790332432</v>
      </c>
      <c r="BN30" s="51">
        <f t="shared" si="22"/>
        <v>0.40923580597915</v>
      </c>
      <c r="BO30" s="51">
        <f t="shared" si="23"/>
        <v>0.47045800470458</v>
      </c>
      <c r="BP30" s="51">
        <f t="shared" si="24"/>
        <v>0.42057197788993</v>
      </c>
      <c r="BQ30" s="51">
        <f t="shared" si="25"/>
        <v>0.42380991441774</v>
      </c>
      <c r="BR30" s="51">
        <f t="shared" si="20"/>
        <v>0.4151100041511</v>
      </c>
    </row>
    <row r="31" ht="13" spans="1:70">
      <c r="A31" s="37" t="s">
        <v>262</v>
      </c>
      <c r="B31" s="37">
        <v>3740</v>
      </c>
      <c r="C31" s="37">
        <v>4935</v>
      </c>
      <c r="D31" s="37">
        <v>5443</v>
      </c>
      <c r="E31" s="37">
        <v>6242</v>
      </c>
      <c r="F31" s="37">
        <v>7366</v>
      </c>
      <c r="G31" s="37">
        <v>7636</v>
      </c>
      <c r="H31" s="134">
        <v>8110</v>
      </c>
      <c r="I31" s="37">
        <v>272</v>
      </c>
      <c r="J31" s="37">
        <v>379</v>
      </c>
      <c r="K31" s="37">
        <v>385</v>
      </c>
      <c r="L31" s="37">
        <v>391</v>
      </c>
      <c r="M31" s="37">
        <v>392</v>
      </c>
      <c r="N31" s="37">
        <v>349</v>
      </c>
      <c r="O31" s="134">
        <v>350</v>
      </c>
      <c r="P31" s="37">
        <v>3043</v>
      </c>
      <c r="Q31" s="37">
        <v>3658</v>
      </c>
      <c r="R31" s="37">
        <v>3937</v>
      </c>
      <c r="S31" s="37">
        <v>4380</v>
      </c>
      <c r="T31" s="37">
        <v>4993</v>
      </c>
      <c r="U31" s="37">
        <v>4952</v>
      </c>
      <c r="V31" s="134">
        <v>5080</v>
      </c>
      <c r="W31" s="64"/>
      <c r="X31" s="64"/>
      <c r="Y31" s="64"/>
      <c r="Z31" s="64"/>
      <c r="AA31" s="64"/>
      <c r="AB31" s="37"/>
      <c r="AC31" s="134"/>
      <c r="AD31" s="37">
        <v>179</v>
      </c>
      <c r="AE31" s="37">
        <v>364</v>
      </c>
      <c r="AF31" s="37">
        <v>405</v>
      </c>
      <c r="AG31" s="37">
        <v>532</v>
      </c>
      <c r="AH31" s="37">
        <v>892</v>
      </c>
      <c r="AI31" s="64">
        <v>1021</v>
      </c>
      <c r="AJ31" s="134">
        <v>1164</v>
      </c>
      <c r="AK31" s="37">
        <v>246</v>
      </c>
      <c r="AL31" s="37">
        <v>535</v>
      </c>
      <c r="AM31" s="37">
        <v>716</v>
      </c>
      <c r="AN31" s="37">
        <v>939</v>
      </c>
      <c r="AO31" s="37">
        <v>1089</v>
      </c>
      <c r="AP31" s="37">
        <v>1314</v>
      </c>
      <c r="AQ31" s="134">
        <v>1516</v>
      </c>
      <c r="AR31" s="37"/>
      <c r="AS31" s="64"/>
      <c r="AT31" s="64"/>
      <c r="AU31" s="64"/>
      <c r="AV31" s="64"/>
      <c r="AW31" s="37"/>
      <c r="AX31" s="134"/>
      <c r="AY31" s="135"/>
      <c r="AZ31" s="37" t="s">
        <v>262</v>
      </c>
      <c r="BA31" s="51" t="str">
        <f t="shared" si="3"/>
        <v/>
      </c>
      <c r="BB31" s="51" t="str">
        <f t="shared" si="4"/>
        <v/>
      </c>
      <c r="BC31" s="51" t="str">
        <f t="shared" si="5"/>
        <v/>
      </c>
      <c r="BD31" s="51" t="str">
        <f t="shared" si="6"/>
        <v/>
      </c>
      <c r="BE31" s="51" t="str">
        <f t="shared" si="7"/>
        <v/>
      </c>
      <c r="BF31" s="51" t="str">
        <f t="shared" si="8"/>
        <v/>
      </c>
      <c r="BG31" s="51">
        <f t="shared" si="9"/>
        <v>0.227049118292591</v>
      </c>
      <c r="BH31" s="51">
        <f t="shared" si="10"/>
        <v>0.213762758964676</v>
      </c>
      <c r="BI31" s="51">
        <f t="shared" si="11"/>
        <v>0.202238758692612</v>
      </c>
      <c r="BJ31" s="51">
        <f t="shared" si="12"/>
        <v>0.152313888461341</v>
      </c>
      <c r="BK31" s="51">
        <f t="shared" si="13"/>
        <v>0.210050435974001</v>
      </c>
      <c r="BL31" s="51">
        <f t="shared" si="14"/>
        <v>0.208979864790027</v>
      </c>
      <c r="BM31" s="51">
        <f t="shared" si="21"/>
        <v>0.38227104068907</v>
      </c>
      <c r="BN31" s="51">
        <f t="shared" si="22"/>
        <v>0.304812450692104</v>
      </c>
      <c r="BO31" s="51">
        <f t="shared" si="23"/>
        <v>0.379536788589182</v>
      </c>
      <c r="BP31" s="51">
        <f t="shared" si="24"/>
        <v>0.373227896452585</v>
      </c>
      <c r="BQ31" s="51">
        <f t="shared" si="25"/>
        <v>0.434436988150038</v>
      </c>
      <c r="BR31" s="51">
        <f t="shared" si="20"/>
        <v>0.284163286103435</v>
      </c>
    </row>
    <row r="32" ht="13" spans="1:70">
      <c r="A32" s="37" t="s">
        <v>263</v>
      </c>
      <c r="B32" s="37">
        <v>4825</v>
      </c>
      <c r="C32" s="37">
        <v>4995</v>
      </c>
      <c r="D32" s="37">
        <v>5113</v>
      </c>
      <c r="E32" s="37">
        <v>5268</v>
      </c>
      <c r="F32" s="37">
        <v>5620</v>
      </c>
      <c r="G32" s="37">
        <v>6152</v>
      </c>
      <c r="H32" s="134">
        <v>6810</v>
      </c>
      <c r="I32" s="37">
        <v>861</v>
      </c>
      <c r="J32" s="37">
        <v>868</v>
      </c>
      <c r="K32" s="37">
        <v>927</v>
      </c>
      <c r="L32" s="37">
        <v>943</v>
      </c>
      <c r="M32" s="37">
        <v>957</v>
      </c>
      <c r="N32" s="37">
        <v>967</v>
      </c>
      <c r="O32" s="134">
        <v>972</v>
      </c>
      <c r="P32" s="37">
        <v>2002</v>
      </c>
      <c r="Q32" s="37">
        <v>2059</v>
      </c>
      <c r="R32" s="37">
        <v>2064</v>
      </c>
      <c r="S32" s="37">
        <v>2104</v>
      </c>
      <c r="T32" s="37">
        <v>2308</v>
      </c>
      <c r="U32" s="37">
        <v>2309</v>
      </c>
      <c r="V32" s="134">
        <v>2313</v>
      </c>
      <c r="W32" s="64"/>
      <c r="X32" s="64"/>
      <c r="Y32" s="64"/>
      <c r="Z32" s="64"/>
      <c r="AA32" s="64"/>
      <c r="AB32" s="37"/>
      <c r="AC32" s="134"/>
      <c r="AD32" s="37">
        <v>1277</v>
      </c>
      <c r="AE32" s="37">
        <v>1282</v>
      </c>
      <c r="AF32" s="37">
        <v>1282</v>
      </c>
      <c r="AG32" s="37">
        <v>1297</v>
      </c>
      <c r="AH32" s="37">
        <v>1373</v>
      </c>
      <c r="AI32" s="64">
        <v>1725</v>
      </c>
      <c r="AJ32" s="134">
        <v>2073</v>
      </c>
      <c r="AK32" s="37">
        <v>686</v>
      </c>
      <c r="AL32" s="37">
        <v>786</v>
      </c>
      <c r="AM32" s="37">
        <v>839</v>
      </c>
      <c r="AN32" s="37">
        <v>924</v>
      </c>
      <c r="AO32" s="37">
        <v>982</v>
      </c>
      <c r="AP32" s="37">
        <v>1146</v>
      </c>
      <c r="AQ32" s="134">
        <v>1417</v>
      </c>
      <c r="AR32" s="37"/>
      <c r="AS32" s="64"/>
      <c r="AT32" s="64"/>
      <c r="AU32" s="64"/>
      <c r="AV32" s="64"/>
      <c r="AW32" s="37">
        <v>6</v>
      </c>
      <c r="AX32" s="134">
        <v>35</v>
      </c>
      <c r="AY32" s="135"/>
      <c r="AZ32" s="37" t="s">
        <v>263</v>
      </c>
      <c r="BA32" s="51" t="str">
        <f t="shared" si="3"/>
        <v/>
      </c>
      <c r="BB32" s="51" t="str">
        <f t="shared" si="4"/>
        <v/>
      </c>
      <c r="BC32" s="51" t="str">
        <f t="shared" si="5"/>
        <v/>
      </c>
      <c r="BD32" s="51" t="str">
        <f t="shared" si="6"/>
        <v/>
      </c>
      <c r="BE32" s="51" t="str">
        <f t="shared" si="7"/>
        <v/>
      </c>
      <c r="BF32" s="51" t="str">
        <f t="shared" si="8"/>
        <v/>
      </c>
      <c r="BG32" s="51">
        <f t="shared" si="9"/>
        <v>0.167731045053629</v>
      </c>
      <c r="BH32" s="51">
        <f t="shared" si="10"/>
        <v>0.204802712656451</v>
      </c>
      <c r="BI32" s="51">
        <f t="shared" si="11"/>
        <v>0.201841002406157</v>
      </c>
      <c r="BJ32" s="51">
        <f t="shared" si="12"/>
        <v>0.210353496485557</v>
      </c>
      <c r="BK32" s="51">
        <f t="shared" si="13"/>
        <v>0.212244753574998</v>
      </c>
      <c r="BL32" s="51">
        <f t="shared" si="14"/>
        <v>0.209194457068248</v>
      </c>
      <c r="BM32" s="51">
        <f t="shared" si="21"/>
        <v>0.493858460693356</v>
      </c>
      <c r="BN32" s="51">
        <f t="shared" si="22"/>
        <v>0.564734612889686</v>
      </c>
      <c r="BO32" s="51">
        <f t="shared" si="23"/>
        <v>0.60557224134984</v>
      </c>
      <c r="BP32" s="51">
        <f t="shared" si="24"/>
        <v>0.609228550829128</v>
      </c>
      <c r="BQ32" s="51">
        <f t="shared" si="25"/>
        <v>0.53636355006218</v>
      </c>
      <c r="BR32" s="51">
        <f t="shared" si="20"/>
        <v>0.441549450006005</v>
      </c>
    </row>
    <row r="33" ht="13" spans="1:70">
      <c r="A33" s="37" t="s">
        <v>264</v>
      </c>
      <c r="B33" s="37">
        <v>2345</v>
      </c>
      <c r="C33" s="37">
        <v>2543</v>
      </c>
      <c r="D33" s="37">
        <v>2800</v>
      </c>
      <c r="E33" s="37">
        <v>3168</v>
      </c>
      <c r="F33" s="37">
        <v>4030</v>
      </c>
      <c r="G33" s="37">
        <v>4114</v>
      </c>
      <c r="H33" s="134">
        <v>4519</v>
      </c>
      <c r="I33" s="37">
        <v>1192</v>
      </c>
      <c r="J33" s="37">
        <v>1191</v>
      </c>
      <c r="K33" s="37">
        <v>1192</v>
      </c>
      <c r="L33" s="37">
        <v>1192</v>
      </c>
      <c r="M33" s="37">
        <v>1193</v>
      </c>
      <c r="N33" s="37">
        <v>1193</v>
      </c>
      <c r="O33" s="134">
        <v>1261</v>
      </c>
      <c r="P33" s="37">
        <v>402</v>
      </c>
      <c r="Q33" s="37">
        <v>399</v>
      </c>
      <c r="R33" s="37">
        <v>379</v>
      </c>
      <c r="S33" s="37">
        <v>393</v>
      </c>
      <c r="T33" s="37">
        <v>393</v>
      </c>
      <c r="U33" s="37">
        <v>393</v>
      </c>
      <c r="V33" s="134">
        <v>393</v>
      </c>
      <c r="W33" s="64"/>
      <c r="X33" s="64"/>
      <c r="Y33" s="64"/>
      <c r="Z33" s="64"/>
      <c r="AA33" s="64"/>
      <c r="AB33" s="37"/>
      <c r="AC33" s="134"/>
      <c r="AD33" s="37">
        <v>69</v>
      </c>
      <c r="AE33" s="37">
        <v>162</v>
      </c>
      <c r="AF33" s="37">
        <v>267</v>
      </c>
      <c r="AG33" s="37">
        <v>462</v>
      </c>
      <c r="AH33" s="37">
        <v>843</v>
      </c>
      <c r="AI33" s="64">
        <v>896</v>
      </c>
      <c r="AJ33" s="134">
        <v>972</v>
      </c>
      <c r="AK33" s="37">
        <v>682</v>
      </c>
      <c r="AL33" s="37">
        <v>791</v>
      </c>
      <c r="AM33" s="37">
        <v>962</v>
      </c>
      <c r="AN33" s="37">
        <v>1122</v>
      </c>
      <c r="AO33" s="37">
        <v>1601</v>
      </c>
      <c r="AP33" s="37">
        <v>1632</v>
      </c>
      <c r="AQ33" s="134">
        <v>1842</v>
      </c>
      <c r="AR33" s="37"/>
      <c r="AS33" s="64"/>
      <c r="AT33" s="64"/>
      <c r="AU33" s="64"/>
      <c r="AV33" s="64"/>
      <c r="AW33" s="37"/>
      <c r="AX33" s="134">
        <v>51</v>
      </c>
      <c r="AY33" s="135"/>
      <c r="AZ33" s="37" t="s">
        <v>264</v>
      </c>
      <c r="BA33" s="51" t="str">
        <f t="shared" si="3"/>
        <v/>
      </c>
      <c r="BB33" s="51" t="str">
        <f t="shared" si="4"/>
        <v/>
      </c>
      <c r="BC33" s="51" t="str">
        <f t="shared" si="5"/>
        <v/>
      </c>
      <c r="BD33" s="51" t="str">
        <f t="shared" si="6"/>
        <v/>
      </c>
      <c r="BE33" s="51" t="str">
        <f t="shared" si="7"/>
        <v/>
      </c>
      <c r="BF33" s="51" t="str">
        <f t="shared" si="8"/>
        <v/>
      </c>
      <c r="BG33" s="51">
        <f t="shared" si="9"/>
        <v>0.177904287493329</v>
      </c>
      <c r="BH33" s="51">
        <f t="shared" si="10"/>
        <v>0.202233078945408</v>
      </c>
      <c r="BI33" s="51">
        <f t="shared" si="11"/>
        <v>0.20670086626454</v>
      </c>
      <c r="BJ33" s="51">
        <f t="shared" si="12"/>
        <v>0.143459472698963</v>
      </c>
      <c r="BK33" s="51">
        <f t="shared" si="13"/>
        <v>0.170674901074202</v>
      </c>
      <c r="BL33" s="51">
        <f t="shared" si="14"/>
        <v>0.190666158223578</v>
      </c>
      <c r="BM33" s="51">
        <f t="shared" si="21"/>
        <v>0.318082613336093</v>
      </c>
      <c r="BN33" s="51">
        <f t="shared" si="22"/>
        <v>0.495327443056506</v>
      </c>
      <c r="BO33" s="51">
        <f t="shared" si="23"/>
        <v>0.53055376788943</v>
      </c>
      <c r="BP33" s="51">
        <f t="shared" si="24"/>
        <v>0.573408766740377</v>
      </c>
      <c r="BQ33" s="51">
        <f t="shared" si="25"/>
        <v>0.483222144396345</v>
      </c>
      <c r="BR33" s="51">
        <f t="shared" si="20"/>
        <v>0.397263995415183</v>
      </c>
    </row>
    <row r="34" ht="13" spans="1:70">
      <c r="A34" s="37" t="s">
        <v>265</v>
      </c>
      <c r="B34" s="37">
        <v>3675</v>
      </c>
      <c r="C34" s="37">
        <v>4188</v>
      </c>
      <c r="D34" s="37">
        <v>4715</v>
      </c>
      <c r="E34" s="37">
        <v>5296</v>
      </c>
      <c r="F34" s="37">
        <v>5943</v>
      </c>
      <c r="G34" s="37">
        <v>6214</v>
      </c>
      <c r="H34" s="134">
        <v>6477</v>
      </c>
      <c r="I34" s="37">
        <v>43</v>
      </c>
      <c r="J34" s="37">
        <v>43</v>
      </c>
      <c r="K34" s="37">
        <v>43</v>
      </c>
      <c r="L34" s="37">
        <v>43</v>
      </c>
      <c r="M34" s="37">
        <v>43</v>
      </c>
      <c r="N34" s="37">
        <v>43</v>
      </c>
      <c r="O34" s="134">
        <v>43</v>
      </c>
      <c r="P34" s="37">
        <v>2165</v>
      </c>
      <c r="Q34" s="37">
        <v>2583</v>
      </c>
      <c r="R34" s="37">
        <v>2845</v>
      </c>
      <c r="S34" s="37">
        <v>3219</v>
      </c>
      <c r="T34" s="37">
        <v>3326</v>
      </c>
      <c r="U34" s="37">
        <v>3333</v>
      </c>
      <c r="V34" s="134">
        <v>3304</v>
      </c>
      <c r="W34" s="64"/>
      <c r="X34" s="64"/>
      <c r="Y34" s="64"/>
      <c r="Z34" s="64"/>
      <c r="AA34" s="64"/>
      <c r="AB34" s="37"/>
      <c r="AC34" s="134"/>
      <c r="AD34" s="37">
        <v>942</v>
      </c>
      <c r="AE34" s="37">
        <v>942</v>
      </c>
      <c r="AF34" s="37">
        <v>1011</v>
      </c>
      <c r="AG34" s="37">
        <v>1116</v>
      </c>
      <c r="AH34" s="37">
        <v>1377</v>
      </c>
      <c r="AI34" s="64">
        <v>1455</v>
      </c>
      <c r="AJ34" s="134">
        <v>1457</v>
      </c>
      <c r="AK34" s="37">
        <v>526</v>
      </c>
      <c r="AL34" s="37">
        <v>620</v>
      </c>
      <c r="AM34" s="37">
        <v>816</v>
      </c>
      <c r="AN34" s="37">
        <v>918</v>
      </c>
      <c r="AO34" s="37">
        <v>1197</v>
      </c>
      <c r="AP34" s="37">
        <v>1384</v>
      </c>
      <c r="AQ34" s="134">
        <v>1584</v>
      </c>
      <c r="AR34" s="37"/>
      <c r="AS34" s="64"/>
      <c r="AT34" s="64"/>
      <c r="AU34" s="64"/>
      <c r="AV34" s="64"/>
      <c r="AW34" s="37"/>
      <c r="AX34" s="134">
        <v>90</v>
      </c>
      <c r="AY34" s="135"/>
      <c r="AZ34" s="37" t="s">
        <v>265</v>
      </c>
      <c r="BA34" s="51" t="str">
        <f t="shared" si="3"/>
        <v/>
      </c>
      <c r="BB34" s="51" t="str">
        <f t="shared" si="4"/>
        <v/>
      </c>
      <c r="BC34" s="51" t="str">
        <f t="shared" si="5"/>
        <v/>
      </c>
      <c r="BD34" s="51" t="str">
        <f t="shared" si="6"/>
        <v/>
      </c>
      <c r="BE34" s="51" t="str">
        <f t="shared" si="7"/>
        <v/>
      </c>
      <c r="BF34" s="51" t="str">
        <f t="shared" si="8"/>
        <v/>
      </c>
      <c r="BG34" s="51">
        <f t="shared" si="9"/>
        <v>0.187835073534402</v>
      </c>
      <c r="BH34" s="51">
        <f t="shared" si="10"/>
        <v>0.21860759819222</v>
      </c>
      <c r="BI34" s="51">
        <f t="shared" si="11"/>
        <v>0.199650932885085</v>
      </c>
      <c r="BJ34" s="51">
        <f t="shared" si="12"/>
        <v>0.17766641573575</v>
      </c>
      <c r="BK34" s="51">
        <f t="shared" si="13"/>
        <v>0.22653690374842</v>
      </c>
      <c r="BL34" s="51">
        <f t="shared" si="14"/>
        <v>0.215609162526971</v>
      </c>
      <c r="BM34" s="51">
        <f t="shared" si="21"/>
        <v>0.42476372517787</v>
      </c>
      <c r="BN34" s="51">
        <f t="shared" si="22"/>
        <v>0.530954656472337</v>
      </c>
      <c r="BO34" s="51">
        <f t="shared" si="23"/>
        <v>0.584050122119571</v>
      </c>
      <c r="BP34" s="51">
        <f t="shared" si="24"/>
        <v>0.584050122119571</v>
      </c>
      <c r="BQ34" s="51">
        <f t="shared" si="25"/>
        <v>0.557502389295954</v>
      </c>
      <c r="BR34" s="51">
        <f t="shared" si="20"/>
        <v>0.477859190825104</v>
      </c>
    </row>
    <row r="35" ht="13" spans="1:70">
      <c r="A35" s="37" t="s">
        <v>266</v>
      </c>
      <c r="B35" s="37">
        <v>8109</v>
      </c>
      <c r="C35" s="37">
        <v>8679</v>
      </c>
      <c r="D35" s="37">
        <v>8978</v>
      </c>
      <c r="E35" s="37">
        <v>9614</v>
      </c>
      <c r="F35" s="37">
        <v>10763</v>
      </c>
      <c r="G35" s="37">
        <v>11547</v>
      </c>
      <c r="H35" s="134">
        <v>12112</v>
      </c>
      <c r="I35" s="37">
        <v>665</v>
      </c>
      <c r="J35" s="37">
        <v>702</v>
      </c>
      <c r="K35" s="37">
        <v>702</v>
      </c>
      <c r="L35" s="37">
        <v>773</v>
      </c>
      <c r="M35" s="37">
        <v>800</v>
      </c>
      <c r="N35" s="37">
        <v>934</v>
      </c>
      <c r="O35" s="134">
        <v>957</v>
      </c>
      <c r="P35" s="37">
        <v>4775</v>
      </c>
      <c r="Q35" s="37">
        <v>5207</v>
      </c>
      <c r="R35" s="37">
        <v>5377</v>
      </c>
      <c r="S35" s="37">
        <v>5813</v>
      </c>
      <c r="T35" s="37">
        <v>6337</v>
      </c>
      <c r="U35" s="37">
        <v>6845</v>
      </c>
      <c r="V35" s="134">
        <v>6924</v>
      </c>
      <c r="W35" s="64"/>
      <c r="X35" s="64"/>
      <c r="Y35" s="64"/>
      <c r="Z35" s="64"/>
      <c r="AA35" s="64"/>
      <c r="AB35" s="37"/>
      <c r="AC35" s="134"/>
      <c r="AD35" s="37">
        <v>1776</v>
      </c>
      <c r="AE35" s="37">
        <v>1836</v>
      </c>
      <c r="AF35" s="37">
        <v>1921</v>
      </c>
      <c r="AG35" s="37">
        <v>1956</v>
      </c>
      <c r="AH35" s="37">
        <v>2361</v>
      </c>
      <c r="AI35" s="64">
        <v>2408</v>
      </c>
      <c r="AJ35" s="134">
        <v>2614</v>
      </c>
      <c r="AK35" s="37">
        <v>893</v>
      </c>
      <c r="AL35" s="37">
        <v>934</v>
      </c>
      <c r="AM35" s="37">
        <v>978</v>
      </c>
      <c r="AN35" s="37">
        <v>1072</v>
      </c>
      <c r="AO35" s="37">
        <v>1266</v>
      </c>
      <c r="AP35" s="37">
        <v>1354</v>
      </c>
      <c r="AQ35" s="134">
        <v>1578</v>
      </c>
      <c r="AR35" s="37"/>
      <c r="AS35" s="64"/>
      <c r="AT35" s="64"/>
      <c r="AU35" s="64"/>
      <c r="AV35" s="64"/>
      <c r="AW35" s="37">
        <v>6</v>
      </c>
      <c r="AX35" s="134">
        <v>39</v>
      </c>
      <c r="AY35" s="135"/>
      <c r="AZ35" s="37" t="s">
        <v>266</v>
      </c>
      <c r="BA35" s="51" t="str">
        <f t="shared" si="3"/>
        <v/>
      </c>
      <c r="BB35" s="51" t="str">
        <f t="shared" si="4"/>
        <v/>
      </c>
      <c r="BC35" s="51" t="str">
        <f t="shared" si="5"/>
        <v/>
      </c>
      <c r="BD35" s="51" t="str">
        <f t="shared" si="6"/>
        <v/>
      </c>
      <c r="BE35" s="51" t="str">
        <f t="shared" si="7"/>
        <v/>
      </c>
      <c r="BF35" s="51" t="str">
        <f t="shared" si="8"/>
        <v/>
      </c>
      <c r="BG35" s="51">
        <f t="shared" si="9"/>
        <v>0.201004262807385</v>
      </c>
      <c r="BH35" s="51">
        <f t="shared" si="10"/>
        <v>0.217554324773361</v>
      </c>
      <c r="BI35" s="51">
        <f t="shared" si="11"/>
        <v>0.239675972218787</v>
      </c>
      <c r="BJ35" s="51">
        <f t="shared" si="12"/>
        <v>0.229526889022163</v>
      </c>
      <c r="BK35" s="51">
        <f t="shared" si="13"/>
        <v>0.262348826276246</v>
      </c>
      <c r="BL35" s="51">
        <f t="shared" si="14"/>
        <v>0.267316956078188</v>
      </c>
      <c r="BM35" s="51">
        <f t="shared" si="21"/>
        <v>0.427560267626005</v>
      </c>
      <c r="BN35" s="51">
        <f t="shared" si="22"/>
        <v>0.413040367378267</v>
      </c>
      <c r="BO35" s="51">
        <f t="shared" si="23"/>
        <v>0.448881665505766</v>
      </c>
      <c r="BP35" s="51">
        <f t="shared" si="24"/>
        <v>0.388984199694038</v>
      </c>
      <c r="BQ35" s="51">
        <f t="shared" si="25"/>
        <v>0.376567495115156</v>
      </c>
      <c r="BR35" s="51">
        <f t="shared" si="20"/>
        <v>0.403255990283221</v>
      </c>
    </row>
    <row r="36" spans="1:63">
      <c r="A36" s="135"/>
      <c r="B36" s="135"/>
      <c r="C36" s="135"/>
      <c r="D36" s="135"/>
      <c r="E36" s="135"/>
      <c r="F36" s="135"/>
      <c r="G36" s="135"/>
      <c r="H36" s="135"/>
      <c r="I36" s="135"/>
      <c r="J36" s="135"/>
      <c r="K36" s="135"/>
      <c r="L36" s="135"/>
      <c r="M36" s="135"/>
      <c r="N36" s="135"/>
      <c r="O36" s="135"/>
      <c r="P36" s="135"/>
      <c r="Q36" s="135"/>
      <c r="R36" s="135"/>
      <c r="S36" s="135"/>
      <c r="T36" s="135"/>
      <c r="U36" s="135"/>
      <c r="V36" s="135"/>
      <c r="W36" s="137"/>
      <c r="X36" s="137"/>
      <c r="Y36" s="137"/>
      <c r="Z36" s="137"/>
      <c r="AA36" s="137"/>
      <c r="AB36" s="135"/>
      <c r="AC36" s="135"/>
      <c r="AD36" s="135"/>
      <c r="AE36" s="135"/>
      <c r="AF36" s="135"/>
      <c r="AG36" s="135"/>
      <c r="AH36" s="135"/>
      <c r="AI36" s="137"/>
      <c r="AJ36" s="137"/>
      <c r="AK36" s="135"/>
      <c r="AL36" s="135"/>
      <c r="AM36" s="135"/>
      <c r="AN36" s="135"/>
      <c r="AO36" s="135"/>
      <c r="AP36" s="135"/>
      <c r="AQ36" s="135"/>
      <c r="AR36" s="135"/>
      <c r="AS36" s="137"/>
      <c r="AT36" s="137"/>
      <c r="AU36" s="137"/>
      <c r="AV36" s="137"/>
      <c r="AW36" s="135"/>
      <c r="AX36" s="135"/>
      <c r="AY36" s="135"/>
      <c r="AZ36" s="135"/>
      <c r="BA36" s="142"/>
      <c r="BB36" s="142"/>
      <c r="BC36" s="142"/>
      <c r="BD36" s="142"/>
      <c r="BE36" s="142"/>
      <c r="BF36" s="142"/>
      <c r="BG36" s="142"/>
      <c r="BH36" s="142"/>
      <c r="BI36" s="142"/>
      <c r="BJ36" s="142"/>
      <c r="BK36" s="142"/>
    </row>
    <row r="37" ht="13" spans="1:6">
      <c r="A37" s="132" t="s">
        <v>267</v>
      </c>
      <c r="B37" s="132"/>
      <c r="C37" s="132"/>
      <c r="D37" s="132"/>
      <c r="E37" s="132"/>
      <c r="F37" s="132"/>
    </row>
    <row r="38" ht="13" spans="1:70">
      <c r="A38" s="37" t="s">
        <v>212</v>
      </c>
      <c r="B38" s="38" t="s">
        <v>213</v>
      </c>
      <c r="C38" s="39"/>
      <c r="D38" s="39"/>
      <c r="E38" s="39"/>
      <c r="F38" s="39"/>
      <c r="G38" s="39"/>
      <c r="H38" s="133"/>
      <c r="I38" s="38" t="s">
        <v>214</v>
      </c>
      <c r="J38" s="39"/>
      <c r="K38" s="39"/>
      <c r="L38" s="39"/>
      <c r="M38" s="39"/>
      <c r="N38" s="39"/>
      <c r="O38" s="133"/>
      <c r="P38" s="38" t="s">
        <v>215</v>
      </c>
      <c r="Q38" s="39"/>
      <c r="R38" s="39"/>
      <c r="S38" s="39"/>
      <c r="T38" s="39"/>
      <c r="U38" s="39"/>
      <c r="V38" s="133"/>
      <c r="W38" s="38" t="s">
        <v>216</v>
      </c>
      <c r="X38" s="39"/>
      <c r="Y38" s="39"/>
      <c r="Z38" s="39"/>
      <c r="AA38" s="39"/>
      <c r="AB38" s="39"/>
      <c r="AC38" s="133"/>
      <c r="AD38" s="38" t="s">
        <v>217</v>
      </c>
      <c r="AE38" s="39"/>
      <c r="AF38" s="39"/>
      <c r="AG38" s="39"/>
      <c r="AH38" s="39"/>
      <c r="AI38" s="39"/>
      <c r="AJ38" s="133"/>
      <c r="AK38" s="38" t="s">
        <v>218</v>
      </c>
      <c r="AL38" s="39"/>
      <c r="AM38" s="39"/>
      <c r="AN38" s="39"/>
      <c r="AO38" s="39"/>
      <c r="AP38" s="39"/>
      <c r="AQ38" s="133"/>
      <c r="AR38" s="38" t="s">
        <v>219</v>
      </c>
      <c r="AS38" s="39"/>
      <c r="AT38" s="39"/>
      <c r="AU38" s="39"/>
      <c r="AV38" s="39"/>
      <c r="AW38" s="39"/>
      <c r="AX38" s="133"/>
      <c r="AY38" s="140"/>
      <c r="AZ38" s="37" t="s">
        <v>212</v>
      </c>
      <c r="BA38" s="143" t="s">
        <v>268</v>
      </c>
      <c r="BB38" s="144"/>
      <c r="BC38" s="144"/>
      <c r="BD38" s="144"/>
      <c r="BE38" s="144"/>
      <c r="BF38" s="145"/>
      <c r="BK38" s="29"/>
      <c r="BL38" s="29"/>
      <c r="BM38" s="41" t="s">
        <v>269</v>
      </c>
      <c r="BN38" s="41" t="s">
        <v>224</v>
      </c>
      <c r="BO38" s="41" t="s">
        <v>225</v>
      </c>
      <c r="BP38" s="41" t="s">
        <v>226</v>
      </c>
      <c r="BQ38" s="41" t="s">
        <v>227</v>
      </c>
      <c r="BR38" s="41" t="s">
        <v>270</v>
      </c>
    </row>
    <row r="39" ht="14.5" spans="1:70">
      <c r="A39" s="37"/>
      <c r="B39" s="41" t="s">
        <v>223</v>
      </c>
      <c r="C39" s="41" t="s">
        <v>224</v>
      </c>
      <c r="D39" s="41" t="s">
        <v>225</v>
      </c>
      <c r="E39" s="41" t="s">
        <v>226</v>
      </c>
      <c r="F39" s="41" t="s">
        <v>227</v>
      </c>
      <c r="G39" s="37" t="s">
        <v>228</v>
      </c>
      <c r="H39" s="37" t="s">
        <v>229</v>
      </c>
      <c r="I39" s="41" t="s">
        <v>223</v>
      </c>
      <c r="J39" s="41" t="s">
        <v>224</v>
      </c>
      <c r="K39" s="41" t="s">
        <v>225</v>
      </c>
      <c r="L39" s="41" t="s">
        <v>226</v>
      </c>
      <c r="M39" s="41" t="s">
        <v>227</v>
      </c>
      <c r="N39" s="37" t="s">
        <v>228</v>
      </c>
      <c r="O39" s="37" t="s">
        <v>229</v>
      </c>
      <c r="P39" s="41" t="s">
        <v>223</v>
      </c>
      <c r="Q39" s="41" t="s">
        <v>224</v>
      </c>
      <c r="R39" s="41" t="s">
        <v>225</v>
      </c>
      <c r="S39" s="41" t="s">
        <v>226</v>
      </c>
      <c r="T39" s="41" t="s">
        <v>227</v>
      </c>
      <c r="U39" s="37" t="s">
        <v>228</v>
      </c>
      <c r="V39" s="37" t="s">
        <v>229</v>
      </c>
      <c r="W39" s="41" t="s">
        <v>223</v>
      </c>
      <c r="X39" s="41" t="s">
        <v>224</v>
      </c>
      <c r="Y39" s="41" t="s">
        <v>225</v>
      </c>
      <c r="Z39" s="41" t="s">
        <v>226</v>
      </c>
      <c r="AA39" s="41" t="s">
        <v>227</v>
      </c>
      <c r="AB39" s="37" t="s">
        <v>228</v>
      </c>
      <c r="AC39" s="37" t="s">
        <v>229</v>
      </c>
      <c r="AD39" s="41" t="s">
        <v>223</v>
      </c>
      <c r="AE39" s="41" t="s">
        <v>224</v>
      </c>
      <c r="AF39" s="41" t="s">
        <v>225</v>
      </c>
      <c r="AG39" s="41" t="s">
        <v>226</v>
      </c>
      <c r="AH39" s="41" t="s">
        <v>227</v>
      </c>
      <c r="AI39" s="37" t="s">
        <v>228</v>
      </c>
      <c r="AJ39" s="37" t="s">
        <v>229</v>
      </c>
      <c r="AK39" s="41" t="s">
        <v>223</v>
      </c>
      <c r="AL39" s="41" t="s">
        <v>224</v>
      </c>
      <c r="AM39" s="41" t="s">
        <v>225</v>
      </c>
      <c r="AN39" s="41" t="s">
        <v>226</v>
      </c>
      <c r="AO39" s="41" t="s">
        <v>227</v>
      </c>
      <c r="AP39" s="37" t="s">
        <v>228</v>
      </c>
      <c r="AQ39" s="37" t="s">
        <v>229</v>
      </c>
      <c r="AR39" s="138" t="s">
        <v>230</v>
      </c>
      <c r="AS39" s="139" t="s">
        <v>231</v>
      </c>
      <c r="AT39" s="139" t="s">
        <v>232</v>
      </c>
      <c r="AU39" s="139" t="s">
        <v>233</v>
      </c>
      <c r="AV39" s="139" t="s">
        <v>227</v>
      </c>
      <c r="AW39" s="138" t="s">
        <v>228</v>
      </c>
      <c r="AX39" s="138" t="s">
        <v>229</v>
      </c>
      <c r="AY39" s="135"/>
      <c r="AZ39" s="37"/>
      <c r="BA39" s="29">
        <v>2016</v>
      </c>
      <c r="BB39" s="29">
        <v>2017</v>
      </c>
      <c r="BC39" s="29">
        <v>2018</v>
      </c>
      <c r="BD39" s="29">
        <v>2019</v>
      </c>
      <c r="BE39" s="29">
        <v>2020</v>
      </c>
      <c r="BF39" s="29">
        <v>2021</v>
      </c>
      <c r="BK39" s="107" t="s">
        <v>271</v>
      </c>
      <c r="BL39" s="146" t="s">
        <v>272</v>
      </c>
      <c r="BM39" s="29">
        <v>11748</v>
      </c>
      <c r="BN39" s="29">
        <v>11947</v>
      </c>
      <c r="BO39" s="29">
        <v>12321</v>
      </c>
      <c r="BP39" s="147" t="s">
        <v>273</v>
      </c>
      <c r="BQ39" s="29">
        <v>13553</v>
      </c>
      <c r="BR39" s="29">
        <v>13399</v>
      </c>
    </row>
    <row r="40" ht="13" spans="1:70">
      <c r="A40" s="37" t="s">
        <v>234</v>
      </c>
      <c r="B40" s="35">
        <v>60228</v>
      </c>
      <c r="C40" s="35">
        <v>64529</v>
      </c>
      <c r="D40" s="96">
        <v>69947</v>
      </c>
      <c r="E40" s="96">
        <v>73269</v>
      </c>
      <c r="F40" s="96">
        <v>76264</v>
      </c>
      <c r="G40" s="37">
        <v>83959</v>
      </c>
      <c r="H40" s="134">
        <v>86945</v>
      </c>
      <c r="I40" s="35">
        <v>11748</v>
      </c>
      <c r="J40" s="35">
        <v>11947</v>
      </c>
      <c r="K40" s="96">
        <v>12321</v>
      </c>
      <c r="L40" s="96">
        <v>13021</v>
      </c>
      <c r="M40" s="96">
        <v>13553</v>
      </c>
      <c r="N40" s="35">
        <v>13399</v>
      </c>
      <c r="O40" s="134">
        <v>13517</v>
      </c>
      <c r="P40" s="35">
        <v>43273</v>
      </c>
      <c r="Q40" s="35">
        <v>45877</v>
      </c>
      <c r="R40" s="96">
        <v>49249</v>
      </c>
      <c r="S40" s="96">
        <v>50465</v>
      </c>
      <c r="T40" s="96">
        <v>51770</v>
      </c>
      <c r="U40" s="35">
        <v>56655</v>
      </c>
      <c r="V40" s="134">
        <v>57344</v>
      </c>
      <c r="W40" s="35">
        <v>2132</v>
      </c>
      <c r="X40" s="35">
        <v>2481</v>
      </c>
      <c r="Y40" s="35">
        <v>2950</v>
      </c>
      <c r="Z40" s="35">
        <v>3487</v>
      </c>
      <c r="AA40" s="35">
        <v>3662</v>
      </c>
      <c r="AB40" s="35">
        <v>4075</v>
      </c>
      <c r="AC40" s="134">
        <v>4178</v>
      </c>
      <c r="AD40" s="35">
        <v>2409</v>
      </c>
      <c r="AE40" s="35">
        <v>3046</v>
      </c>
      <c r="AF40" s="35">
        <v>3658</v>
      </c>
      <c r="AG40" s="35">
        <v>4053</v>
      </c>
      <c r="AH40" s="35">
        <v>4665</v>
      </c>
      <c r="AI40" s="35">
        <v>6558</v>
      </c>
      <c r="AJ40" s="134">
        <v>7624</v>
      </c>
      <c r="AK40" s="35">
        <v>665</v>
      </c>
      <c r="AL40" s="35">
        <v>1178</v>
      </c>
      <c r="AM40" s="35">
        <v>1769</v>
      </c>
      <c r="AN40" s="35">
        <v>2240</v>
      </c>
      <c r="AO40" s="35">
        <v>2611</v>
      </c>
      <c r="AP40" s="35">
        <v>3270</v>
      </c>
      <c r="AQ40" s="134">
        <v>4276</v>
      </c>
      <c r="AR40" s="35"/>
      <c r="AS40" s="35">
        <v>1</v>
      </c>
      <c r="AT40" s="35">
        <v>1</v>
      </c>
      <c r="AU40" s="35">
        <v>3</v>
      </c>
      <c r="AV40" s="35">
        <v>3</v>
      </c>
      <c r="AW40" s="35">
        <v>2.3</v>
      </c>
      <c r="AX40" s="134">
        <v>6</v>
      </c>
      <c r="AY40" s="25"/>
      <c r="AZ40" s="37" t="s">
        <v>234</v>
      </c>
      <c r="BA40" s="29">
        <v>26923</v>
      </c>
      <c r="BB40" s="29">
        <v>28923</v>
      </c>
      <c r="BC40" s="29">
        <v>30223</v>
      </c>
      <c r="BD40" s="29">
        <v>30523</v>
      </c>
      <c r="BE40" s="29">
        <v>31723</v>
      </c>
      <c r="BF40" s="29">
        <v>36923</v>
      </c>
      <c r="BK40" s="35"/>
      <c r="BL40" s="146" t="s">
        <v>274</v>
      </c>
      <c r="BM40" s="29">
        <v>308</v>
      </c>
      <c r="BN40" s="29">
        <v>328</v>
      </c>
      <c r="BO40" s="29">
        <v>329</v>
      </c>
      <c r="BP40" s="147" t="s">
        <v>275</v>
      </c>
      <c r="BQ40" s="29">
        <v>335</v>
      </c>
      <c r="BR40" s="29">
        <v>390</v>
      </c>
    </row>
    <row r="41" ht="13" spans="1:70">
      <c r="A41" s="37" t="s">
        <v>235</v>
      </c>
      <c r="B41" s="35">
        <v>436</v>
      </c>
      <c r="C41" s="35">
        <v>394</v>
      </c>
      <c r="D41" s="96">
        <v>449</v>
      </c>
      <c r="E41" s="96">
        <v>461</v>
      </c>
      <c r="F41" s="96">
        <v>456</v>
      </c>
      <c r="G41" s="37">
        <v>471</v>
      </c>
      <c r="H41" s="134">
        <v>465</v>
      </c>
      <c r="I41" s="35">
        <v>12</v>
      </c>
      <c r="J41" s="35">
        <v>11</v>
      </c>
      <c r="K41" s="96">
        <v>10</v>
      </c>
      <c r="L41" s="96">
        <v>10</v>
      </c>
      <c r="M41" s="96">
        <v>11</v>
      </c>
      <c r="N41" s="35">
        <v>14</v>
      </c>
      <c r="O41" s="134">
        <v>9</v>
      </c>
      <c r="P41" s="35">
        <v>419</v>
      </c>
      <c r="Q41" s="35">
        <v>377</v>
      </c>
      <c r="R41" s="96">
        <v>433</v>
      </c>
      <c r="S41" s="96">
        <v>443</v>
      </c>
      <c r="T41" s="96">
        <v>434</v>
      </c>
      <c r="U41" s="35">
        <v>447</v>
      </c>
      <c r="V41" s="134">
        <v>442</v>
      </c>
      <c r="W41" s="136"/>
      <c r="X41" s="136"/>
      <c r="Y41" s="136"/>
      <c r="Z41" s="136"/>
      <c r="AA41" s="136"/>
      <c r="AB41" s="35"/>
      <c r="AC41" s="134"/>
      <c r="AD41" s="35">
        <v>3</v>
      </c>
      <c r="AE41" s="35">
        <v>3</v>
      </c>
      <c r="AF41" s="35">
        <v>3</v>
      </c>
      <c r="AG41" s="35">
        <v>3</v>
      </c>
      <c r="AH41" s="35">
        <v>4</v>
      </c>
      <c r="AI41" s="136">
        <v>4</v>
      </c>
      <c r="AJ41" s="134">
        <v>5</v>
      </c>
      <c r="AK41" s="35">
        <v>1</v>
      </c>
      <c r="AL41" s="35">
        <v>2</v>
      </c>
      <c r="AM41" s="35">
        <v>3</v>
      </c>
      <c r="AN41" s="35">
        <v>5</v>
      </c>
      <c r="AO41" s="35">
        <v>6</v>
      </c>
      <c r="AP41" s="35">
        <v>6</v>
      </c>
      <c r="AQ41" s="134">
        <v>9</v>
      </c>
      <c r="AR41" s="35"/>
      <c r="AS41" s="35"/>
      <c r="AT41" s="35"/>
      <c r="AU41" s="136"/>
      <c r="AV41" s="136"/>
      <c r="AW41" s="35"/>
      <c r="AX41" s="134"/>
      <c r="AY41" s="25"/>
      <c r="AZ41" s="37" t="s">
        <v>235</v>
      </c>
      <c r="BA41" s="29">
        <v>822</v>
      </c>
      <c r="BB41" s="29">
        <v>822</v>
      </c>
      <c r="BC41" s="29">
        <v>822</v>
      </c>
      <c r="BD41" s="29">
        <v>822</v>
      </c>
      <c r="BE41" s="29">
        <v>822</v>
      </c>
      <c r="BF41" s="29">
        <v>822</v>
      </c>
      <c r="BK41" s="107" t="s">
        <v>276</v>
      </c>
      <c r="BL41" s="146" t="s">
        <v>272</v>
      </c>
      <c r="BM41" s="29">
        <v>33207</v>
      </c>
      <c r="BN41" s="29">
        <v>34411</v>
      </c>
      <c r="BO41" s="29">
        <v>35259</v>
      </c>
      <c r="BP41" s="147" t="s">
        <v>277</v>
      </c>
      <c r="BQ41" s="29">
        <v>37028</v>
      </c>
      <c r="BR41" s="29">
        <v>39094</v>
      </c>
    </row>
    <row r="42" ht="13" spans="1:70">
      <c r="A42" s="37" t="s">
        <v>236</v>
      </c>
      <c r="B42" s="35">
        <v>600</v>
      </c>
      <c r="C42" s="35">
        <v>596</v>
      </c>
      <c r="D42" s="97">
        <v>670</v>
      </c>
      <c r="E42" s="97">
        <v>673</v>
      </c>
      <c r="F42" s="97">
        <v>699</v>
      </c>
      <c r="G42" s="37">
        <v>776</v>
      </c>
      <c r="H42" s="134">
        <v>749</v>
      </c>
      <c r="I42" s="35">
        <v>0.03</v>
      </c>
      <c r="J42" s="35">
        <v>0.07</v>
      </c>
      <c r="K42" s="97">
        <v>0.15</v>
      </c>
      <c r="L42" s="97">
        <v>0.12</v>
      </c>
      <c r="M42" s="97">
        <v>0.1</v>
      </c>
      <c r="N42" s="35">
        <v>0.2</v>
      </c>
      <c r="O42" s="134">
        <v>0.1</v>
      </c>
      <c r="P42" s="35">
        <v>591</v>
      </c>
      <c r="Q42" s="35">
        <v>584</v>
      </c>
      <c r="R42" s="97">
        <v>654</v>
      </c>
      <c r="S42" s="97">
        <v>647</v>
      </c>
      <c r="T42" s="97">
        <v>668</v>
      </c>
      <c r="U42" s="35">
        <v>739</v>
      </c>
      <c r="V42" s="134">
        <v>700</v>
      </c>
      <c r="W42" s="136"/>
      <c r="X42" s="136"/>
      <c r="Y42" s="136"/>
      <c r="Z42" s="136"/>
      <c r="AA42" s="136"/>
      <c r="AB42" s="35"/>
      <c r="AC42" s="134"/>
      <c r="AD42" s="35">
        <v>6</v>
      </c>
      <c r="AE42" s="35">
        <v>6</v>
      </c>
      <c r="AF42" s="45">
        <v>8</v>
      </c>
      <c r="AG42" s="45">
        <v>11</v>
      </c>
      <c r="AH42" s="45">
        <v>12</v>
      </c>
      <c r="AI42" s="136">
        <v>18</v>
      </c>
      <c r="AJ42" s="134">
        <v>26</v>
      </c>
      <c r="AK42" s="35">
        <v>3</v>
      </c>
      <c r="AL42" s="35">
        <v>6.2</v>
      </c>
      <c r="AM42" s="45">
        <v>8</v>
      </c>
      <c r="AN42" s="45">
        <v>15</v>
      </c>
      <c r="AO42" s="35">
        <v>19</v>
      </c>
      <c r="AP42" s="35">
        <v>20</v>
      </c>
      <c r="AQ42" s="134">
        <v>24</v>
      </c>
      <c r="AR42" s="35"/>
      <c r="AS42" s="35"/>
      <c r="AT42" s="35"/>
      <c r="AU42" s="136"/>
      <c r="AV42" s="136"/>
      <c r="AW42" s="35"/>
      <c r="AX42" s="134"/>
      <c r="AY42" s="25"/>
      <c r="AZ42" s="37" t="s">
        <v>236</v>
      </c>
      <c r="BA42" s="29">
        <v>0</v>
      </c>
      <c r="BB42" s="29">
        <v>0</v>
      </c>
      <c r="BC42" s="29">
        <v>0</v>
      </c>
      <c r="BD42" s="29">
        <v>0</v>
      </c>
      <c r="BE42" s="29">
        <v>0</v>
      </c>
      <c r="BF42" s="29">
        <v>0</v>
      </c>
      <c r="BK42" s="35"/>
      <c r="BL42" s="146" t="s">
        <v>274</v>
      </c>
      <c r="BM42" s="29">
        <v>2669</v>
      </c>
      <c r="BN42" s="29">
        <v>2869</v>
      </c>
      <c r="BO42" s="29">
        <v>2999</v>
      </c>
      <c r="BP42" s="147" t="s">
        <v>278</v>
      </c>
      <c r="BQ42" s="29">
        <v>3149</v>
      </c>
      <c r="BR42" s="29">
        <v>3639</v>
      </c>
    </row>
    <row r="43" ht="13" spans="1:70">
      <c r="A43" s="37" t="s">
        <v>237</v>
      </c>
      <c r="B43" s="35">
        <v>2476</v>
      </c>
      <c r="C43" s="35">
        <v>2657</v>
      </c>
      <c r="D43" s="96">
        <v>2787</v>
      </c>
      <c r="E43" s="96">
        <v>2887</v>
      </c>
      <c r="F43" s="96">
        <v>2945</v>
      </c>
      <c r="G43" s="37">
        <v>3074</v>
      </c>
      <c r="H43" s="134">
        <v>3336</v>
      </c>
      <c r="I43" s="35">
        <v>24</v>
      </c>
      <c r="J43" s="35">
        <v>20</v>
      </c>
      <c r="K43" s="96">
        <v>17</v>
      </c>
      <c r="L43" s="96">
        <v>16</v>
      </c>
      <c r="M43" s="96">
        <v>15</v>
      </c>
      <c r="N43" s="35">
        <v>24</v>
      </c>
      <c r="O43" s="134">
        <v>37</v>
      </c>
      <c r="P43" s="35">
        <v>2196</v>
      </c>
      <c r="Q43" s="35">
        <v>2296</v>
      </c>
      <c r="R43" s="96">
        <v>2361</v>
      </c>
      <c r="S43" s="96">
        <v>2377</v>
      </c>
      <c r="T43" s="96">
        <v>2352</v>
      </c>
      <c r="U43" s="35">
        <v>2260</v>
      </c>
      <c r="V43" s="134">
        <v>2268</v>
      </c>
      <c r="W43" s="136"/>
      <c r="X43" s="136"/>
      <c r="Y43" s="136"/>
      <c r="Z43" s="136"/>
      <c r="AA43" s="136"/>
      <c r="AB43" s="35"/>
      <c r="AC43" s="134"/>
      <c r="AD43" s="35">
        <v>216</v>
      </c>
      <c r="AE43" s="35">
        <v>263</v>
      </c>
      <c r="AF43" s="35">
        <v>283</v>
      </c>
      <c r="AG43" s="35">
        <v>318</v>
      </c>
      <c r="AH43" s="35">
        <v>368</v>
      </c>
      <c r="AI43" s="136">
        <v>511</v>
      </c>
      <c r="AJ43" s="134">
        <v>587</v>
      </c>
      <c r="AK43" s="35">
        <v>40</v>
      </c>
      <c r="AL43" s="35">
        <v>77</v>
      </c>
      <c r="AM43" s="35">
        <v>126</v>
      </c>
      <c r="AN43" s="35">
        <v>176</v>
      </c>
      <c r="AO43" s="35">
        <v>211</v>
      </c>
      <c r="AP43" s="35">
        <v>279</v>
      </c>
      <c r="AQ43" s="134">
        <v>443</v>
      </c>
      <c r="AR43" s="35"/>
      <c r="AS43" s="35"/>
      <c r="AT43" s="35"/>
      <c r="AU43" s="136"/>
      <c r="AV43" s="136"/>
      <c r="AW43" s="35"/>
      <c r="AX43" s="134"/>
      <c r="AY43" s="25"/>
      <c r="AZ43" s="37" t="s">
        <v>237</v>
      </c>
      <c r="BA43" s="29">
        <v>1431</v>
      </c>
      <c r="BB43" s="29">
        <v>1431</v>
      </c>
      <c r="BC43" s="29">
        <v>1431</v>
      </c>
      <c r="BD43" s="29">
        <v>1431</v>
      </c>
      <c r="BE43" s="29">
        <v>1431</v>
      </c>
      <c r="BF43" s="29">
        <v>2031</v>
      </c>
      <c r="BK43" s="29"/>
      <c r="BL43" s="29"/>
      <c r="BM43" s="29"/>
      <c r="BN43" s="29"/>
      <c r="BO43" s="29"/>
      <c r="BP43" s="29"/>
      <c r="BQ43" s="29"/>
      <c r="BR43" s="29"/>
    </row>
    <row r="44" ht="13" spans="1:70">
      <c r="A44" s="37" t="s">
        <v>238</v>
      </c>
      <c r="B44" s="35">
        <v>2511</v>
      </c>
      <c r="C44" s="35">
        <v>2766</v>
      </c>
      <c r="D44" s="96">
        <v>3088</v>
      </c>
      <c r="E44" s="96">
        <v>3253</v>
      </c>
      <c r="F44" s="96">
        <v>3395</v>
      </c>
      <c r="G44" s="37">
        <v>3843</v>
      </c>
      <c r="H44" s="134">
        <v>4184</v>
      </c>
      <c r="I44" s="35">
        <v>39</v>
      </c>
      <c r="J44" s="35">
        <v>42</v>
      </c>
      <c r="K44" s="96">
        <v>43</v>
      </c>
      <c r="L44" s="96">
        <v>49</v>
      </c>
      <c r="M44" s="96">
        <v>47</v>
      </c>
      <c r="N44" s="35">
        <v>39</v>
      </c>
      <c r="O44" s="134">
        <v>36</v>
      </c>
      <c r="P44" s="35">
        <v>2309</v>
      </c>
      <c r="Q44" s="35">
        <v>2503</v>
      </c>
      <c r="R44" s="96">
        <v>2739</v>
      </c>
      <c r="S44" s="96">
        <v>2852</v>
      </c>
      <c r="T44" s="96">
        <v>2924</v>
      </c>
      <c r="U44" s="35">
        <v>3145</v>
      </c>
      <c r="V44" s="134">
        <v>3463</v>
      </c>
      <c r="W44" s="136"/>
      <c r="X44" s="136"/>
      <c r="Y44" s="136"/>
      <c r="Z44" s="136"/>
      <c r="AA44" s="136"/>
      <c r="AB44" s="35"/>
      <c r="AC44" s="134"/>
      <c r="AD44" s="35">
        <v>135</v>
      </c>
      <c r="AE44" s="35">
        <v>165</v>
      </c>
      <c r="AF44" s="35">
        <v>212</v>
      </c>
      <c r="AG44" s="35">
        <v>224</v>
      </c>
      <c r="AH44" s="35">
        <v>266</v>
      </c>
      <c r="AI44" s="136">
        <v>469</v>
      </c>
      <c r="AJ44" s="134">
        <v>466</v>
      </c>
      <c r="AK44" s="35">
        <v>27</v>
      </c>
      <c r="AL44" s="35">
        <v>56</v>
      </c>
      <c r="AM44" s="35">
        <v>94</v>
      </c>
      <c r="AN44" s="35">
        <v>128</v>
      </c>
      <c r="AO44" s="35">
        <v>159</v>
      </c>
      <c r="AP44" s="35">
        <v>189</v>
      </c>
      <c r="AQ44" s="134">
        <v>219</v>
      </c>
      <c r="AR44" s="35"/>
      <c r="AS44" s="35"/>
      <c r="AT44" s="35"/>
      <c r="AU44" s="136"/>
      <c r="AV44" s="136"/>
      <c r="AW44" s="35"/>
      <c r="AX44" s="134"/>
      <c r="AY44" s="25"/>
      <c r="AZ44" s="37" t="s">
        <v>238</v>
      </c>
      <c r="BA44" s="29">
        <v>1200</v>
      </c>
      <c r="BB44" s="29">
        <v>1200</v>
      </c>
      <c r="BC44" s="29">
        <v>1200</v>
      </c>
      <c r="BD44" s="29">
        <v>1200</v>
      </c>
      <c r="BE44" s="29">
        <v>1200</v>
      </c>
      <c r="BF44" s="29">
        <v>1200</v>
      </c>
      <c r="BK44" s="146" t="s">
        <v>271</v>
      </c>
      <c r="BL44" s="146" t="s">
        <v>279</v>
      </c>
      <c r="BM44" s="29">
        <f t="shared" ref="BM44:BR44" si="26">BM39-BM40</f>
        <v>11440</v>
      </c>
      <c r="BN44" s="29">
        <f t="shared" si="26"/>
        <v>11619</v>
      </c>
      <c r="BO44" s="29">
        <f t="shared" si="26"/>
        <v>11992</v>
      </c>
      <c r="BP44" s="29">
        <f t="shared" si="26"/>
        <v>12702</v>
      </c>
      <c r="BQ44" s="29">
        <f t="shared" si="26"/>
        <v>13218</v>
      </c>
      <c r="BR44" s="29">
        <f t="shared" si="26"/>
        <v>13009</v>
      </c>
    </row>
    <row r="45" ht="13" spans="1:70">
      <c r="A45" s="37" t="s">
        <v>239</v>
      </c>
      <c r="B45" s="35">
        <v>3950</v>
      </c>
      <c r="C45" s="35">
        <v>4424</v>
      </c>
      <c r="D45" s="96">
        <v>5005</v>
      </c>
      <c r="E45" s="96">
        <v>5451</v>
      </c>
      <c r="F45" s="96">
        <v>5703</v>
      </c>
      <c r="G45" s="37">
        <v>6010</v>
      </c>
      <c r="H45" s="134">
        <v>6479</v>
      </c>
      <c r="I45" s="35">
        <v>27</v>
      </c>
      <c r="J45" s="35">
        <v>24</v>
      </c>
      <c r="K45" s="96">
        <v>45</v>
      </c>
      <c r="L45" s="96">
        <v>58</v>
      </c>
      <c r="M45" s="96">
        <v>57</v>
      </c>
      <c r="N45" s="35">
        <v>62</v>
      </c>
      <c r="O45" s="134">
        <v>43</v>
      </c>
      <c r="P45" s="35">
        <v>3375</v>
      </c>
      <c r="Q45" s="35">
        <v>3736</v>
      </c>
      <c r="R45" s="96">
        <v>4198</v>
      </c>
      <c r="S45" s="96">
        <v>4564</v>
      </c>
      <c r="T45" s="96">
        <v>4731</v>
      </c>
      <c r="U45" s="35">
        <v>4769</v>
      </c>
      <c r="V45" s="134">
        <v>5115</v>
      </c>
      <c r="W45" s="136"/>
      <c r="X45" s="136"/>
      <c r="Y45" s="136"/>
      <c r="Z45" s="136"/>
      <c r="AA45" s="136"/>
      <c r="AB45" s="35"/>
      <c r="AC45" s="134"/>
      <c r="AD45" s="35">
        <v>464</v>
      </c>
      <c r="AE45" s="35">
        <v>551</v>
      </c>
      <c r="AF45" s="35">
        <v>632</v>
      </c>
      <c r="AG45" s="35">
        <v>666</v>
      </c>
      <c r="AH45" s="35">
        <v>726</v>
      </c>
      <c r="AI45" s="136">
        <v>967</v>
      </c>
      <c r="AJ45" s="134">
        <v>1077</v>
      </c>
      <c r="AK45" s="35">
        <v>83</v>
      </c>
      <c r="AL45" s="35">
        <v>113</v>
      </c>
      <c r="AM45" s="35">
        <v>130</v>
      </c>
      <c r="AN45" s="35">
        <v>163</v>
      </c>
      <c r="AO45" s="35">
        <v>188</v>
      </c>
      <c r="AP45" s="35">
        <v>212</v>
      </c>
      <c r="AQ45" s="134">
        <v>245</v>
      </c>
      <c r="AR45" s="35"/>
      <c r="AS45" s="35"/>
      <c r="AT45" s="35"/>
      <c r="AU45" s="136"/>
      <c r="AV45" s="136"/>
      <c r="AW45" s="35"/>
      <c r="AX45" s="134"/>
      <c r="AY45" s="25"/>
      <c r="AZ45" s="37" t="s">
        <v>239</v>
      </c>
      <c r="BA45" s="29">
        <v>1200</v>
      </c>
      <c r="BB45" s="29">
        <v>1200</v>
      </c>
      <c r="BC45" s="29">
        <v>1200</v>
      </c>
      <c r="BD45" s="29">
        <v>1200</v>
      </c>
      <c r="BE45" s="29">
        <v>1200</v>
      </c>
      <c r="BF45" s="29">
        <v>1200</v>
      </c>
      <c r="BK45" s="146" t="s">
        <v>276</v>
      </c>
      <c r="BL45" s="146" t="s">
        <v>279</v>
      </c>
      <c r="BM45" s="29">
        <f t="shared" ref="BM45:BR45" si="27">BM41-BM42</f>
        <v>30538</v>
      </c>
      <c r="BN45" s="29">
        <f t="shared" si="27"/>
        <v>31542</v>
      </c>
      <c r="BO45" s="29">
        <f t="shared" si="27"/>
        <v>32260</v>
      </c>
      <c r="BP45" s="29">
        <f t="shared" si="27"/>
        <v>32775</v>
      </c>
      <c r="BQ45" s="29">
        <f t="shared" si="27"/>
        <v>33879</v>
      </c>
      <c r="BR45" s="29">
        <f t="shared" si="27"/>
        <v>35455</v>
      </c>
    </row>
    <row r="46" ht="13" spans="1:70">
      <c r="A46" s="37" t="s">
        <v>240</v>
      </c>
      <c r="B46" s="35">
        <v>1733</v>
      </c>
      <c r="C46" s="35">
        <v>1791</v>
      </c>
      <c r="D46" s="96">
        <v>1926</v>
      </c>
      <c r="E46" s="96">
        <v>1992</v>
      </c>
      <c r="F46" s="96">
        <v>2039</v>
      </c>
      <c r="G46" s="37">
        <v>2159</v>
      </c>
      <c r="H46" s="134">
        <v>2148</v>
      </c>
      <c r="I46" s="35">
        <v>56</v>
      </c>
      <c r="J46" s="35">
        <v>45</v>
      </c>
      <c r="K46" s="96">
        <v>46</v>
      </c>
      <c r="L46" s="96">
        <v>44</v>
      </c>
      <c r="M46" s="96">
        <v>57</v>
      </c>
      <c r="N46" s="35">
        <v>78</v>
      </c>
      <c r="O46" s="134">
        <v>80</v>
      </c>
      <c r="P46" s="35">
        <v>1344</v>
      </c>
      <c r="Q46" s="35">
        <v>1349</v>
      </c>
      <c r="R46" s="96">
        <v>1381</v>
      </c>
      <c r="S46" s="96">
        <v>1395</v>
      </c>
      <c r="T46" s="96">
        <v>1410</v>
      </c>
      <c r="U46" s="35">
        <v>1399</v>
      </c>
      <c r="V46" s="134">
        <v>1286</v>
      </c>
      <c r="W46" s="35">
        <v>200</v>
      </c>
      <c r="X46" s="35">
        <v>236</v>
      </c>
      <c r="Y46" s="35">
        <v>302</v>
      </c>
      <c r="Z46" s="35">
        <v>327</v>
      </c>
      <c r="AA46" s="35">
        <v>327</v>
      </c>
      <c r="AB46" s="35">
        <v>400</v>
      </c>
      <c r="AC46" s="134">
        <v>452</v>
      </c>
      <c r="AD46" s="35">
        <v>129</v>
      </c>
      <c r="AE46" s="35">
        <v>150</v>
      </c>
      <c r="AF46" s="35">
        <v>165</v>
      </c>
      <c r="AG46" s="35">
        <v>183</v>
      </c>
      <c r="AH46" s="35">
        <v>194</v>
      </c>
      <c r="AI46" s="35">
        <v>227</v>
      </c>
      <c r="AJ46" s="134">
        <v>255</v>
      </c>
      <c r="AK46" s="35">
        <v>4</v>
      </c>
      <c r="AL46" s="35">
        <v>12</v>
      </c>
      <c r="AM46" s="35">
        <v>32</v>
      </c>
      <c r="AN46" s="35">
        <v>42</v>
      </c>
      <c r="AO46" s="35">
        <v>51</v>
      </c>
      <c r="AP46" s="35">
        <v>55</v>
      </c>
      <c r="AQ46" s="134">
        <v>76</v>
      </c>
      <c r="AR46" s="35"/>
      <c r="AS46" s="35"/>
      <c r="AT46" s="35"/>
      <c r="AU46" s="136"/>
      <c r="AV46" s="136"/>
      <c r="AW46" s="35"/>
      <c r="AX46" s="134"/>
      <c r="AY46" s="25"/>
      <c r="AZ46" s="37" t="s">
        <v>240</v>
      </c>
      <c r="BA46" s="29">
        <v>1200</v>
      </c>
      <c r="BB46" s="29">
        <v>1200</v>
      </c>
      <c r="BC46" s="29">
        <v>1200</v>
      </c>
      <c r="BD46" s="29">
        <v>1200</v>
      </c>
      <c r="BE46" s="29">
        <v>1200</v>
      </c>
      <c r="BF46" s="29">
        <v>1200</v>
      </c>
      <c r="BK46" s="146" t="s">
        <v>280</v>
      </c>
      <c r="BL46" s="146" t="s">
        <v>279</v>
      </c>
      <c r="BM46" s="29"/>
      <c r="BN46" s="51">
        <f>BN44/AVERAGE(BM45:BN45)*10000/8760</f>
        <v>0.427309878548228</v>
      </c>
      <c r="BO46" s="51">
        <f>BO44/AVERAGE(BN45:BO45)*10000/8760</f>
        <v>0.429124407288015</v>
      </c>
      <c r="BP46" s="51">
        <f t="shared" ref="BP46:BR46" si="28">BP44/AVERAGE(BO45:BP45)*10000/8760</f>
        <v>0.445913738756054</v>
      </c>
      <c r="BQ46" s="51">
        <f t="shared" si="28"/>
        <v>0.452757256755496</v>
      </c>
      <c r="BR46" s="51">
        <f t="shared" si="28"/>
        <v>0.428374437390157</v>
      </c>
    </row>
    <row r="47" ht="13" spans="1:58">
      <c r="A47" s="37" t="s">
        <v>241</v>
      </c>
      <c r="B47" s="35">
        <v>743</v>
      </c>
      <c r="C47" s="35">
        <v>783</v>
      </c>
      <c r="D47" s="96">
        <v>871</v>
      </c>
      <c r="E47" s="96">
        <v>926</v>
      </c>
      <c r="F47" s="96">
        <v>990</v>
      </c>
      <c r="G47" s="37">
        <v>984</v>
      </c>
      <c r="H47" s="134">
        <v>1017</v>
      </c>
      <c r="I47" s="35">
        <v>85</v>
      </c>
      <c r="J47" s="35">
        <v>77</v>
      </c>
      <c r="K47" s="96">
        <v>79</v>
      </c>
      <c r="L47" s="96">
        <v>67</v>
      </c>
      <c r="M47" s="96">
        <v>94</v>
      </c>
      <c r="N47" s="35">
        <v>105</v>
      </c>
      <c r="O47" s="134">
        <v>118</v>
      </c>
      <c r="P47" s="35">
        <v>588</v>
      </c>
      <c r="Q47" s="35">
        <v>606</v>
      </c>
      <c r="R47" s="96">
        <v>664</v>
      </c>
      <c r="S47" s="96">
        <v>705</v>
      </c>
      <c r="T47" s="96">
        <v>721</v>
      </c>
      <c r="U47" s="35">
        <v>688</v>
      </c>
      <c r="V47" s="134">
        <v>639</v>
      </c>
      <c r="W47" s="136"/>
      <c r="X47" s="136"/>
      <c r="Y47" s="136"/>
      <c r="Z47" s="136"/>
      <c r="AA47" s="136"/>
      <c r="AB47" s="35"/>
      <c r="AC47" s="134"/>
      <c r="AD47" s="35">
        <v>67</v>
      </c>
      <c r="AE47" s="35">
        <v>87</v>
      </c>
      <c r="AF47" s="35">
        <v>105</v>
      </c>
      <c r="AG47" s="35">
        <v>115</v>
      </c>
      <c r="AH47" s="35">
        <v>130</v>
      </c>
      <c r="AI47" s="136">
        <v>138</v>
      </c>
      <c r="AJ47" s="134">
        <v>201</v>
      </c>
      <c r="AK47" s="35">
        <v>3</v>
      </c>
      <c r="AL47" s="35">
        <v>13</v>
      </c>
      <c r="AM47" s="35">
        <v>24</v>
      </c>
      <c r="AN47" s="35">
        <v>40</v>
      </c>
      <c r="AO47" s="35">
        <v>45</v>
      </c>
      <c r="AP47" s="35">
        <v>52</v>
      </c>
      <c r="AQ47" s="134">
        <v>59</v>
      </c>
      <c r="AR47" s="35"/>
      <c r="AS47" s="35"/>
      <c r="AT47" s="35"/>
      <c r="AU47" s="136"/>
      <c r="AV47" s="136"/>
      <c r="AW47" s="35"/>
      <c r="AX47" s="134"/>
      <c r="AY47" s="25"/>
      <c r="AZ47" s="37" t="s">
        <v>241</v>
      </c>
      <c r="BA47" s="29">
        <v>300</v>
      </c>
      <c r="BB47" s="29">
        <v>300</v>
      </c>
      <c r="BC47" s="29">
        <v>300</v>
      </c>
      <c r="BD47" s="29">
        <v>300</v>
      </c>
      <c r="BE47" s="29">
        <v>300</v>
      </c>
      <c r="BF47" s="29">
        <v>1350</v>
      </c>
    </row>
    <row r="48" ht="13" spans="1:58">
      <c r="A48" s="37" t="s">
        <v>242</v>
      </c>
      <c r="B48" s="35">
        <v>919</v>
      </c>
      <c r="C48" s="35">
        <v>954</v>
      </c>
      <c r="D48" s="96">
        <v>1029</v>
      </c>
      <c r="E48" s="96">
        <v>1088</v>
      </c>
      <c r="F48" s="96">
        <v>1111</v>
      </c>
      <c r="G48" s="37">
        <v>1145</v>
      </c>
      <c r="H48" s="134">
        <v>1174</v>
      </c>
      <c r="I48" s="35">
        <v>23</v>
      </c>
      <c r="J48" s="35">
        <v>25</v>
      </c>
      <c r="K48" s="96">
        <v>26</v>
      </c>
      <c r="L48" s="96">
        <v>28</v>
      </c>
      <c r="M48" s="96">
        <v>32</v>
      </c>
      <c r="N48" s="35">
        <v>27</v>
      </c>
      <c r="O48" s="134">
        <v>40</v>
      </c>
      <c r="P48" s="35">
        <v>808</v>
      </c>
      <c r="Q48" s="35">
        <v>816</v>
      </c>
      <c r="R48" s="96">
        <v>859</v>
      </c>
      <c r="S48" s="96">
        <v>887</v>
      </c>
      <c r="T48" s="96">
        <v>895</v>
      </c>
      <c r="U48" s="35">
        <v>905</v>
      </c>
      <c r="V48" s="134">
        <v>835</v>
      </c>
      <c r="W48" s="136"/>
      <c r="X48" s="136"/>
      <c r="Y48" s="136"/>
      <c r="Z48" s="136"/>
      <c r="AA48" s="136"/>
      <c r="AB48" s="35"/>
      <c r="AC48" s="134"/>
      <c r="AD48" s="35">
        <v>88</v>
      </c>
      <c r="AE48" s="35">
        <v>108</v>
      </c>
      <c r="AF48" s="35">
        <v>125</v>
      </c>
      <c r="AG48" s="35">
        <v>140</v>
      </c>
      <c r="AH48" s="35">
        <v>141</v>
      </c>
      <c r="AI48" s="136">
        <v>162</v>
      </c>
      <c r="AJ48" s="134">
        <v>228</v>
      </c>
      <c r="AK48" s="35">
        <v>1</v>
      </c>
      <c r="AL48" s="35">
        <v>6</v>
      </c>
      <c r="AM48" s="45">
        <v>20</v>
      </c>
      <c r="AN48" s="45">
        <v>32</v>
      </c>
      <c r="AO48" s="35">
        <v>43</v>
      </c>
      <c r="AP48" s="35">
        <v>51</v>
      </c>
      <c r="AQ48" s="134">
        <v>71</v>
      </c>
      <c r="AR48" s="35"/>
      <c r="AS48" s="35"/>
      <c r="AT48" s="35"/>
      <c r="AU48" s="136"/>
      <c r="AV48" s="136"/>
      <c r="AW48" s="35"/>
      <c r="AX48" s="134"/>
      <c r="AY48" s="25"/>
      <c r="AZ48" s="37" t="s">
        <v>242</v>
      </c>
      <c r="BA48" s="29">
        <v>0</v>
      </c>
      <c r="BB48" s="29">
        <v>0</v>
      </c>
      <c r="BC48" s="29">
        <v>0</v>
      </c>
      <c r="BD48" s="29">
        <v>0</v>
      </c>
      <c r="BE48" s="29">
        <v>0</v>
      </c>
      <c r="BF48" s="29">
        <v>300</v>
      </c>
    </row>
    <row r="49" ht="13" spans="1:58">
      <c r="A49" s="37" t="s">
        <v>243</v>
      </c>
      <c r="B49" s="35">
        <v>832</v>
      </c>
      <c r="C49" s="35">
        <v>866</v>
      </c>
      <c r="D49" s="97">
        <v>857</v>
      </c>
      <c r="E49" s="97">
        <v>837</v>
      </c>
      <c r="F49" s="97">
        <v>864</v>
      </c>
      <c r="G49" s="37">
        <v>1007</v>
      </c>
      <c r="H49" s="134">
        <v>963</v>
      </c>
      <c r="I49" s="136"/>
      <c r="J49" s="136"/>
      <c r="K49" s="97"/>
      <c r="L49" s="97"/>
      <c r="M49" s="97"/>
      <c r="N49" s="35"/>
      <c r="O49" s="134"/>
      <c r="P49" s="35">
        <v>818</v>
      </c>
      <c r="Q49" s="35">
        <v>846</v>
      </c>
      <c r="R49" s="97">
        <v>833</v>
      </c>
      <c r="S49" s="97">
        <v>812</v>
      </c>
      <c r="T49" s="97">
        <v>835</v>
      </c>
      <c r="U49" s="136">
        <v>973</v>
      </c>
      <c r="V49" s="134">
        <v>921</v>
      </c>
      <c r="W49" s="136"/>
      <c r="X49" s="136"/>
      <c r="Y49" s="136"/>
      <c r="Z49" s="136"/>
      <c r="AA49" s="136"/>
      <c r="AB49" s="35"/>
      <c r="AC49" s="134"/>
      <c r="AD49" s="35">
        <v>14</v>
      </c>
      <c r="AE49" s="35">
        <v>17</v>
      </c>
      <c r="AF49" s="45">
        <v>18</v>
      </c>
      <c r="AG49" s="45">
        <v>17</v>
      </c>
      <c r="AH49" s="35">
        <v>19</v>
      </c>
      <c r="AI49" s="136">
        <v>18</v>
      </c>
      <c r="AJ49" s="134">
        <v>25</v>
      </c>
      <c r="AK49" s="35">
        <v>1</v>
      </c>
      <c r="AL49" s="35">
        <v>3</v>
      </c>
      <c r="AM49" s="45">
        <v>6</v>
      </c>
      <c r="AN49" s="45">
        <v>8</v>
      </c>
      <c r="AO49" s="45">
        <v>10</v>
      </c>
      <c r="AP49" s="35">
        <v>15</v>
      </c>
      <c r="AQ49" s="134">
        <v>18</v>
      </c>
      <c r="AR49" s="35"/>
      <c r="AS49" s="35"/>
      <c r="AT49" s="35"/>
      <c r="AU49" s="136"/>
      <c r="AV49" s="136"/>
      <c r="AW49" s="35"/>
      <c r="AX49" s="134"/>
      <c r="AY49" s="25"/>
      <c r="AZ49" s="37" t="s">
        <v>243</v>
      </c>
      <c r="BA49" s="29">
        <v>0</v>
      </c>
      <c r="BB49" s="29">
        <v>0</v>
      </c>
      <c r="BC49" s="29">
        <v>0</v>
      </c>
      <c r="BD49" s="29">
        <v>0</v>
      </c>
      <c r="BE49" s="29">
        <v>0</v>
      </c>
      <c r="BF49" s="29">
        <v>0</v>
      </c>
    </row>
    <row r="50" ht="13" spans="1:58">
      <c r="A50" s="37" t="s">
        <v>244</v>
      </c>
      <c r="B50" s="35">
        <v>4754</v>
      </c>
      <c r="C50" s="35">
        <v>4885</v>
      </c>
      <c r="D50" s="98">
        <v>5031</v>
      </c>
      <c r="E50" s="98">
        <v>5062</v>
      </c>
      <c r="F50" s="98">
        <v>5074</v>
      </c>
      <c r="G50" s="37">
        <v>5867</v>
      </c>
      <c r="H50" s="134">
        <v>5949</v>
      </c>
      <c r="I50" s="35">
        <v>17</v>
      </c>
      <c r="J50" s="35">
        <v>29</v>
      </c>
      <c r="K50" s="98">
        <v>34</v>
      </c>
      <c r="L50" s="98">
        <v>31</v>
      </c>
      <c r="M50" s="98">
        <v>32</v>
      </c>
      <c r="N50" s="35">
        <v>31</v>
      </c>
      <c r="O50" s="134">
        <v>31</v>
      </c>
      <c r="P50" s="35">
        <v>4438</v>
      </c>
      <c r="Q50" s="35">
        <v>4481</v>
      </c>
      <c r="R50" s="98">
        <v>4462</v>
      </c>
      <c r="S50" s="98">
        <v>4364</v>
      </c>
      <c r="T50" s="98">
        <v>4290</v>
      </c>
      <c r="U50" s="35">
        <v>4739</v>
      </c>
      <c r="V50" s="134">
        <v>4624</v>
      </c>
      <c r="W50" s="35">
        <v>153</v>
      </c>
      <c r="X50" s="35">
        <v>173</v>
      </c>
      <c r="Y50" s="35">
        <v>242</v>
      </c>
      <c r="Z50" s="35">
        <v>329</v>
      </c>
      <c r="AA50" s="35">
        <v>355</v>
      </c>
      <c r="AB50" s="35">
        <v>485</v>
      </c>
      <c r="AC50" s="134">
        <v>526</v>
      </c>
      <c r="AD50" s="35">
        <v>98</v>
      </c>
      <c r="AE50" s="35">
        <v>120</v>
      </c>
      <c r="AF50" s="35">
        <v>173</v>
      </c>
      <c r="AG50" s="35">
        <v>184</v>
      </c>
      <c r="AH50" s="35">
        <v>229</v>
      </c>
      <c r="AI50" s="35">
        <v>416</v>
      </c>
      <c r="AJ50" s="134">
        <v>513</v>
      </c>
      <c r="AK50" s="35">
        <v>47</v>
      </c>
      <c r="AL50" s="35">
        <v>81</v>
      </c>
      <c r="AM50" s="35">
        <v>120</v>
      </c>
      <c r="AN50" s="35">
        <v>154</v>
      </c>
      <c r="AO50" s="35">
        <v>167</v>
      </c>
      <c r="AP50" s="35">
        <v>195</v>
      </c>
      <c r="AQ50" s="134">
        <v>255</v>
      </c>
      <c r="AR50" s="35"/>
      <c r="AS50" s="35"/>
      <c r="AT50" s="35">
        <v>0.4</v>
      </c>
      <c r="AU50" s="35">
        <v>1</v>
      </c>
      <c r="AV50" s="35">
        <v>1</v>
      </c>
      <c r="AW50" s="35">
        <v>0.6</v>
      </c>
      <c r="AX50" s="134">
        <v>1</v>
      </c>
      <c r="AY50" s="25"/>
      <c r="AZ50" s="37" t="s">
        <v>244</v>
      </c>
      <c r="BA50" s="29">
        <v>1100</v>
      </c>
      <c r="BB50" s="29">
        <v>2600</v>
      </c>
      <c r="BC50" s="29">
        <v>2600</v>
      </c>
      <c r="BD50" s="29">
        <v>2600</v>
      </c>
      <c r="BE50" s="29">
        <v>2600</v>
      </c>
      <c r="BF50" s="29">
        <v>2600</v>
      </c>
    </row>
    <row r="51" ht="13" spans="1:58">
      <c r="A51" s="37" t="s">
        <v>245</v>
      </c>
      <c r="B51" s="35">
        <v>3190</v>
      </c>
      <c r="C51" s="35">
        <v>3348</v>
      </c>
      <c r="D51" s="96">
        <v>3508</v>
      </c>
      <c r="E51" s="96">
        <v>3544</v>
      </c>
      <c r="F51" s="96">
        <v>3521</v>
      </c>
      <c r="G51" s="37">
        <v>4227</v>
      </c>
      <c r="H51" s="134">
        <v>4346</v>
      </c>
      <c r="I51" s="35">
        <v>274</v>
      </c>
      <c r="J51" s="35">
        <v>212</v>
      </c>
      <c r="K51" s="96">
        <v>192</v>
      </c>
      <c r="L51" s="96">
        <v>257</v>
      </c>
      <c r="M51" s="96">
        <v>209</v>
      </c>
      <c r="N51" s="35">
        <v>238</v>
      </c>
      <c r="O51" s="134">
        <v>246</v>
      </c>
      <c r="P51" s="35">
        <v>2366</v>
      </c>
      <c r="Q51" s="35">
        <v>2544</v>
      </c>
      <c r="R51" s="96">
        <v>2598</v>
      </c>
      <c r="S51" s="96">
        <v>2507</v>
      </c>
      <c r="T51" s="96">
        <v>2432</v>
      </c>
      <c r="U51" s="35">
        <v>3053</v>
      </c>
      <c r="V51" s="134">
        <v>3059</v>
      </c>
      <c r="W51" s="35">
        <v>504</v>
      </c>
      <c r="X51" s="35">
        <v>511</v>
      </c>
      <c r="Y51" s="35">
        <v>587</v>
      </c>
      <c r="Z51" s="35">
        <v>629</v>
      </c>
      <c r="AA51" s="35">
        <v>712</v>
      </c>
      <c r="AB51" s="35">
        <v>733</v>
      </c>
      <c r="AC51" s="134">
        <v>731</v>
      </c>
      <c r="AD51" s="35">
        <v>23</v>
      </c>
      <c r="AE51" s="35">
        <v>25</v>
      </c>
      <c r="AF51" s="35">
        <v>31</v>
      </c>
      <c r="AG51" s="35">
        <v>33</v>
      </c>
      <c r="AH51" s="35">
        <v>36</v>
      </c>
      <c r="AI51" s="35">
        <v>49</v>
      </c>
      <c r="AJ51" s="134">
        <v>95</v>
      </c>
      <c r="AK51" s="35">
        <v>22</v>
      </c>
      <c r="AL51" s="35">
        <v>56</v>
      </c>
      <c r="AM51" s="35">
        <v>100</v>
      </c>
      <c r="AN51" s="35">
        <v>119</v>
      </c>
      <c r="AO51" s="35">
        <v>131</v>
      </c>
      <c r="AP51" s="35">
        <v>155</v>
      </c>
      <c r="AQ51" s="134">
        <v>216</v>
      </c>
      <c r="AR51" s="35"/>
      <c r="AS51" s="35">
        <v>0</v>
      </c>
      <c r="AT51" s="35">
        <v>0.1</v>
      </c>
      <c r="AU51" s="35">
        <v>0.1</v>
      </c>
      <c r="AV51" s="35">
        <v>0.1</v>
      </c>
      <c r="AW51" s="35">
        <v>0.1</v>
      </c>
      <c r="AX51" s="134">
        <v>0.1</v>
      </c>
      <c r="AY51" s="25"/>
      <c r="AZ51" s="37" t="s">
        <v>245</v>
      </c>
      <c r="BA51" s="29">
        <v>4580</v>
      </c>
      <c r="BB51" s="29">
        <v>4580</v>
      </c>
      <c r="BC51" s="29">
        <v>4580</v>
      </c>
      <c r="BD51" s="29">
        <v>4580</v>
      </c>
      <c r="BE51" s="29">
        <v>4580</v>
      </c>
      <c r="BF51" s="29">
        <v>5630</v>
      </c>
    </row>
    <row r="52" ht="13" spans="1:58">
      <c r="A52" s="37" t="s">
        <v>246</v>
      </c>
      <c r="B52" s="35">
        <v>2253</v>
      </c>
      <c r="C52" s="35">
        <v>2470</v>
      </c>
      <c r="D52" s="96">
        <v>2726</v>
      </c>
      <c r="E52" s="96">
        <v>2880</v>
      </c>
      <c r="F52" s="96">
        <v>2785</v>
      </c>
      <c r="G52" s="37">
        <v>3045</v>
      </c>
      <c r="H52" s="134">
        <v>3271</v>
      </c>
      <c r="I52" s="35">
        <v>63</v>
      </c>
      <c r="J52" s="35">
        <v>57</v>
      </c>
      <c r="K52" s="96">
        <v>53</v>
      </c>
      <c r="L52" s="96">
        <v>51</v>
      </c>
      <c r="M52" s="96">
        <v>66</v>
      </c>
      <c r="N52" s="35">
        <v>81</v>
      </c>
      <c r="O52" s="134">
        <v>72</v>
      </c>
      <c r="P52" s="35">
        <v>2135</v>
      </c>
      <c r="Q52" s="35">
        <v>2311</v>
      </c>
      <c r="R52" s="96">
        <v>2519</v>
      </c>
      <c r="S52" s="96">
        <v>2657</v>
      </c>
      <c r="T52" s="96">
        <v>2531</v>
      </c>
      <c r="U52" s="35">
        <v>2702</v>
      </c>
      <c r="V52" s="134">
        <v>2875</v>
      </c>
      <c r="W52" s="136"/>
      <c r="X52" s="136"/>
      <c r="Y52" s="136"/>
      <c r="Z52" s="136"/>
      <c r="AA52" s="136"/>
      <c r="AB52" s="35"/>
      <c r="AC52" s="134"/>
      <c r="AD52" s="35">
        <v>34</v>
      </c>
      <c r="AE52" s="35">
        <v>41</v>
      </c>
      <c r="AF52" s="35">
        <v>50</v>
      </c>
      <c r="AG52" s="35">
        <v>47</v>
      </c>
      <c r="AH52" s="35">
        <v>57</v>
      </c>
      <c r="AI52" s="136">
        <v>107</v>
      </c>
      <c r="AJ52" s="134">
        <v>117</v>
      </c>
      <c r="AK52" s="35">
        <v>21</v>
      </c>
      <c r="AL52" s="35">
        <v>62</v>
      </c>
      <c r="AM52" s="35">
        <v>104</v>
      </c>
      <c r="AN52" s="35">
        <v>125</v>
      </c>
      <c r="AO52" s="35">
        <v>130</v>
      </c>
      <c r="AP52" s="35">
        <v>155</v>
      </c>
      <c r="AQ52" s="134">
        <v>206</v>
      </c>
      <c r="AR52" s="35"/>
      <c r="AS52" s="35"/>
      <c r="AT52" s="35"/>
      <c r="AU52" s="136"/>
      <c r="AV52" s="136"/>
      <c r="AW52" s="35"/>
      <c r="AX52" s="134"/>
      <c r="AY52" s="25"/>
      <c r="AZ52" s="37" t="s">
        <v>246</v>
      </c>
      <c r="BA52" s="29">
        <v>1680</v>
      </c>
      <c r="BB52" s="29">
        <v>1680</v>
      </c>
      <c r="BC52" s="29">
        <v>1680</v>
      </c>
      <c r="BD52" s="29">
        <v>1980</v>
      </c>
      <c r="BE52" s="29">
        <v>3180</v>
      </c>
      <c r="BF52" s="29">
        <v>3480</v>
      </c>
    </row>
    <row r="53" ht="13" spans="1:58">
      <c r="A53" s="37" t="s">
        <v>247</v>
      </c>
      <c r="B53" s="35">
        <v>2005</v>
      </c>
      <c r="C53" s="35">
        <v>2186</v>
      </c>
      <c r="D53" s="96">
        <v>2462</v>
      </c>
      <c r="E53" s="96">
        <v>2573</v>
      </c>
      <c r="F53" s="96">
        <v>2636</v>
      </c>
      <c r="G53" s="37">
        <v>2931</v>
      </c>
      <c r="H53" s="134">
        <v>3074</v>
      </c>
      <c r="I53" s="35">
        <v>631</v>
      </c>
      <c r="J53" s="35">
        <v>416</v>
      </c>
      <c r="K53" s="96">
        <v>325</v>
      </c>
      <c r="L53" s="96">
        <v>442</v>
      </c>
      <c r="M53" s="96">
        <v>292</v>
      </c>
      <c r="N53" s="35">
        <v>274</v>
      </c>
      <c r="O53" s="134">
        <v>387</v>
      </c>
      <c r="P53" s="35">
        <v>915</v>
      </c>
      <c r="Q53" s="35">
        <v>1139</v>
      </c>
      <c r="R53" s="96">
        <v>1405</v>
      </c>
      <c r="S53" s="96">
        <v>1406</v>
      </c>
      <c r="T53" s="96">
        <v>1551</v>
      </c>
      <c r="U53" s="35">
        <v>1703</v>
      </c>
      <c r="V53" s="134">
        <v>1586</v>
      </c>
      <c r="W53" s="35">
        <v>407</v>
      </c>
      <c r="X53" s="35">
        <v>560</v>
      </c>
      <c r="Y53" s="35">
        <v>646</v>
      </c>
      <c r="Z53" s="35">
        <v>621</v>
      </c>
      <c r="AA53" s="35">
        <v>652</v>
      </c>
      <c r="AB53" s="35">
        <v>777</v>
      </c>
      <c r="AC53" s="134">
        <v>832</v>
      </c>
      <c r="AD53" s="35">
        <v>50</v>
      </c>
      <c r="AE53" s="35">
        <v>65</v>
      </c>
      <c r="AF53" s="35">
        <v>72</v>
      </c>
      <c r="AG53" s="35">
        <v>87</v>
      </c>
      <c r="AH53" s="35">
        <v>122</v>
      </c>
      <c r="AI53" s="35">
        <v>152</v>
      </c>
      <c r="AJ53" s="134">
        <v>231</v>
      </c>
      <c r="AK53" s="35">
        <v>1</v>
      </c>
      <c r="AL53" s="35">
        <v>6</v>
      </c>
      <c r="AM53" s="35">
        <v>14</v>
      </c>
      <c r="AN53" s="35">
        <v>16</v>
      </c>
      <c r="AO53" s="35">
        <v>19</v>
      </c>
      <c r="AP53" s="35">
        <v>25</v>
      </c>
      <c r="AQ53" s="134">
        <v>38</v>
      </c>
      <c r="AR53" s="35"/>
      <c r="AS53" s="35"/>
      <c r="AT53" s="35"/>
      <c r="AU53" s="136"/>
      <c r="AV53" s="136">
        <v>0.2</v>
      </c>
      <c r="AW53" s="35"/>
      <c r="AX53" s="134">
        <v>0.3</v>
      </c>
      <c r="AY53" s="25"/>
      <c r="AZ53" s="37" t="s">
        <v>247</v>
      </c>
      <c r="BA53" s="29">
        <v>1200</v>
      </c>
      <c r="BB53" s="29">
        <v>1200</v>
      </c>
      <c r="BC53" s="29">
        <v>1200</v>
      </c>
      <c r="BD53" s="29">
        <v>1200</v>
      </c>
      <c r="BE53" s="29">
        <v>1200</v>
      </c>
      <c r="BF53" s="29">
        <v>1800</v>
      </c>
    </row>
    <row r="54" ht="13" spans="1:58">
      <c r="A54" s="37" t="s">
        <v>248</v>
      </c>
      <c r="B54" s="35">
        <v>1085</v>
      </c>
      <c r="C54" s="35">
        <v>1186</v>
      </c>
      <c r="D54" s="96">
        <v>1301</v>
      </c>
      <c r="E54" s="96">
        <v>1403</v>
      </c>
      <c r="F54" s="96">
        <v>1477</v>
      </c>
      <c r="G54" s="37">
        <v>1625</v>
      </c>
      <c r="H54" s="134">
        <v>1783</v>
      </c>
      <c r="I54" s="35">
        <v>199</v>
      </c>
      <c r="J54" s="35">
        <v>157</v>
      </c>
      <c r="K54" s="96">
        <v>116</v>
      </c>
      <c r="L54" s="96">
        <v>168</v>
      </c>
      <c r="M54" s="96">
        <v>145</v>
      </c>
      <c r="N54" s="35">
        <v>136</v>
      </c>
      <c r="O54" s="134">
        <v>162</v>
      </c>
      <c r="P54" s="35">
        <v>857</v>
      </c>
      <c r="Q54" s="35">
        <v>967</v>
      </c>
      <c r="R54" s="96">
        <v>1093</v>
      </c>
      <c r="S54" s="96">
        <v>1128</v>
      </c>
      <c r="T54" s="96">
        <v>1199</v>
      </c>
      <c r="U54" s="35">
        <v>1306</v>
      </c>
      <c r="V54" s="134">
        <v>1391</v>
      </c>
      <c r="W54" s="136"/>
      <c r="X54" s="136"/>
      <c r="Y54" s="136"/>
      <c r="Z54" s="136"/>
      <c r="AA54" s="136"/>
      <c r="AB54" s="35"/>
      <c r="AC54" s="134"/>
      <c r="AD54" s="35">
        <v>19</v>
      </c>
      <c r="AE54" s="35">
        <v>31</v>
      </c>
      <c r="AF54" s="35">
        <v>41</v>
      </c>
      <c r="AG54" s="35">
        <v>51</v>
      </c>
      <c r="AH54" s="35">
        <v>71</v>
      </c>
      <c r="AI54" s="136">
        <v>104</v>
      </c>
      <c r="AJ54" s="134">
        <v>128</v>
      </c>
      <c r="AK54" s="35">
        <v>11</v>
      </c>
      <c r="AL54" s="35">
        <v>30</v>
      </c>
      <c r="AM54" s="35">
        <v>52</v>
      </c>
      <c r="AN54" s="35">
        <v>56</v>
      </c>
      <c r="AO54" s="35">
        <v>62</v>
      </c>
      <c r="AP54" s="35">
        <v>80</v>
      </c>
      <c r="AQ54" s="134">
        <v>103</v>
      </c>
      <c r="AR54" s="35"/>
      <c r="AS54" s="35"/>
      <c r="AT54" s="35"/>
      <c r="AU54" s="136"/>
      <c r="AV54" s="136"/>
      <c r="AW54" s="35"/>
      <c r="AX54" s="134">
        <v>0.03</v>
      </c>
      <c r="AY54" s="25"/>
      <c r="AZ54" s="37" t="s">
        <v>248</v>
      </c>
      <c r="BA54" s="29">
        <v>1200</v>
      </c>
      <c r="BB54" s="29">
        <v>1200</v>
      </c>
      <c r="BC54" s="29">
        <v>1200</v>
      </c>
      <c r="BD54" s="29">
        <v>1200</v>
      </c>
      <c r="BE54" s="29">
        <v>1200</v>
      </c>
      <c r="BF54" s="29">
        <v>1200</v>
      </c>
    </row>
    <row r="55" ht="13" spans="1:58">
      <c r="A55" s="37" t="s">
        <v>249</v>
      </c>
      <c r="B55" s="35">
        <v>4863</v>
      </c>
      <c r="C55" s="35">
        <v>4860</v>
      </c>
      <c r="D55" s="97">
        <v>5218</v>
      </c>
      <c r="E55" s="97">
        <v>5285</v>
      </c>
      <c r="F55" s="97">
        <v>5781</v>
      </c>
      <c r="G55" s="37">
        <v>6196</v>
      </c>
      <c r="H55" s="134">
        <v>6241</v>
      </c>
      <c r="I55" s="35">
        <v>14</v>
      </c>
      <c r="J55" s="35">
        <v>7</v>
      </c>
      <c r="K55" s="97">
        <v>5</v>
      </c>
      <c r="L55" s="97">
        <v>5</v>
      </c>
      <c r="M55" s="97">
        <v>9</v>
      </c>
      <c r="N55" s="35">
        <v>12</v>
      </c>
      <c r="O55" s="134">
        <v>28</v>
      </c>
      <c r="P55" s="35">
        <v>4671</v>
      </c>
      <c r="Q55" s="35">
        <v>4615</v>
      </c>
      <c r="R55" s="97">
        <v>4824</v>
      </c>
      <c r="S55" s="97">
        <v>4680</v>
      </c>
      <c r="T55" s="97">
        <v>5116</v>
      </c>
      <c r="U55" s="35">
        <v>5267</v>
      </c>
      <c r="V55" s="134">
        <v>5126</v>
      </c>
      <c r="W55" s="35"/>
      <c r="X55" s="35"/>
      <c r="Y55" s="35">
        <v>39</v>
      </c>
      <c r="Z55" s="35">
        <v>207</v>
      </c>
      <c r="AA55" s="35">
        <v>191</v>
      </c>
      <c r="AB55" s="35">
        <v>197</v>
      </c>
      <c r="AC55" s="134">
        <v>207</v>
      </c>
      <c r="AD55" s="35">
        <v>147</v>
      </c>
      <c r="AE55" s="35">
        <v>166</v>
      </c>
      <c r="AF55" s="35">
        <v>214</v>
      </c>
      <c r="AG55" s="35">
        <v>225</v>
      </c>
      <c r="AH55" s="35">
        <v>259</v>
      </c>
      <c r="AI55" s="35">
        <v>409</v>
      </c>
      <c r="AJ55" s="134">
        <v>415</v>
      </c>
      <c r="AK55" s="35">
        <v>31</v>
      </c>
      <c r="AL55" s="35">
        <v>73</v>
      </c>
      <c r="AM55" s="35">
        <v>137</v>
      </c>
      <c r="AN55" s="35">
        <v>167</v>
      </c>
      <c r="AO55" s="35">
        <v>206</v>
      </c>
      <c r="AP55" s="35">
        <v>310</v>
      </c>
      <c r="AQ55" s="134">
        <v>462</v>
      </c>
      <c r="AR55" s="35"/>
      <c r="AS55" s="35"/>
      <c r="AT55" s="35"/>
      <c r="AU55" s="136"/>
      <c r="AV55" s="136"/>
      <c r="AW55" s="35"/>
      <c r="AX55" s="134">
        <v>2</v>
      </c>
      <c r="AY55" s="25"/>
      <c r="AZ55" s="37" t="s">
        <v>249</v>
      </c>
      <c r="BA55" s="29">
        <v>1000</v>
      </c>
      <c r="BB55" s="29">
        <v>1000</v>
      </c>
      <c r="BC55" s="29">
        <v>1000</v>
      </c>
      <c r="BD55" s="29">
        <v>1000</v>
      </c>
      <c r="BE55" s="29">
        <v>1000</v>
      </c>
      <c r="BF55" s="29">
        <v>1600</v>
      </c>
    </row>
    <row r="56" ht="13" spans="1:58">
      <c r="A56" s="37" t="s">
        <v>250</v>
      </c>
      <c r="B56" s="35">
        <v>2596</v>
      </c>
      <c r="C56" s="35">
        <v>2703</v>
      </c>
      <c r="D56" s="96">
        <v>2974</v>
      </c>
      <c r="E56" s="96">
        <v>2816</v>
      </c>
      <c r="F56" s="96">
        <v>2791</v>
      </c>
      <c r="G56" s="37">
        <v>2931</v>
      </c>
      <c r="H56" s="134">
        <v>3329</v>
      </c>
      <c r="I56" s="35">
        <v>93</v>
      </c>
      <c r="J56" s="35">
        <v>100</v>
      </c>
      <c r="K56" s="96">
        <v>144</v>
      </c>
      <c r="L56" s="96">
        <v>145</v>
      </c>
      <c r="M56" s="96">
        <v>140</v>
      </c>
      <c r="N56" s="35">
        <v>116</v>
      </c>
      <c r="O56" s="134">
        <v>122</v>
      </c>
      <c r="P56" s="35">
        <v>2474</v>
      </c>
      <c r="Q56" s="35">
        <v>2528</v>
      </c>
      <c r="R56" s="96">
        <v>2689</v>
      </c>
      <c r="S56" s="96">
        <v>2481</v>
      </c>
      <c r="T56" s="96">
        <v>2400</v>
      </c>
      <c r="U56" s="35">
        <v>2350</v>
      </c>
      <c r="V56" s="134">
        <v>2619</v>
      </c>
      <c r="W56" s="136"/>
      <c r="X56" s="136"/>
      <c r="Y56" s="136"/>
      <c r="Z56" s="136"/>
      <c r="AA56" s="136"/>
      <c r="AB56" s="35"/>
      <c r="AC56" s="134"/>
      <c r="AD56" s="35">
        <v>18</v>
      </c>
      <c r="AE56" s="35">
        <v>30</v>
      </c>
      <c r="AF56" s="35">
        <v>57</v>
      </c>
      <c r="AG56" s="35">
        <v>88</v>
      </c>
      <c r="AH56" s="35">
        <v>139</v>
      </c>
      <c r="AI56" s="136">
        <v>328</v>
      </c>
      <c r="AJ56" s="134">
        <v>382</v>
      </c>
      <c r="AK56" s="35">
        <v>12</v>
      </c>
      <c r="AL56" s="35">
        <v>44</v>
      </c>
      <c r="AM56" s="35">
        <v>84</v>
      </c>
      <c r="AN56" s="35">
        <v>102</v>
      </c>
      <c r="AO56" s="35">
        <v>112</v>
      </c>
      <c r="AP56" s="35">
        <v>136</v>
      </c>
      <c r="AQ56" s="134">
        <v>206</v>
      </c>
      <c r="AR56" s="35"/>
      <c r="AS56" s="35"/>
      <c r="AT56" s="35"/>
      <c r="AU56" s="136"/>
      <c r="AV56" s="136"/>
      <c r="AW56" s="35"/>
      <c r="AX56" s="134"/>
      <c r="AY56" s="25"/>
      <c r="AZ56" s="37" t="s">
        <v>250</v>
      </c>
      <c r="BA56" s="29">
        <v>1320</v>
      </c>
      <c r="BB56" s="29">
        <v>1320</v>
      </c>
      <c r="BC56" s="29">
        <v>1320</v>
      </c>
      <c r="BD56" s="29">
        <v>1320</v>
      </c>
      <c r="BE56" s="29">
        <v>1320</v>
      </c>
      <c r="BF56" s="29">
        <v>1320</v>
      </c>
    </row>
    <row r="57" ht="13" spans="1:58">
      <c r="A57" s="37" t="s">
        <v>251</v>
      </c>
      <c r="B57" s="35">
        <v>2494</v>
      </c>
      <c r="C57" s="35">
        <v>2646</v>
      </c>
      <c r="D57" s="96">
        <v>2851</v>
      </c>
      <c r="E57" s="96">
        <v>2973</v>
      </c>
      <c r="F57" s="96">
        <v>3037</v>
      </c>
      <c r="G57" s="37">
        <v>3291</v>
      </c>
      <c r="H57" s="134">
        <v>3106</v>
      </c>
      <c r="I57" s="35">
        <v>1399</v>
      </c>
      <c r="J57" s="35">
        <v>1494</v>
      </c>
      <c r="K57" s="96">
        <v>1471</v>
      </c>
      <c r="L57" s="96">
        <v>1357</v>
      </c>
      <c r="M57" s="96">
        <v>1647</v>
      </c>
      <c r="N57" s="35">
        <v>1599</v>
      </c>
      <c r="O57" s="134">
        <v>1220</v>
      </c>
      <c r="P57" s="35">
        <v>1048</v>
      </c>
      <c r="Q57" s="35">
        <v>1075</v>
      </c>
      <c r="R57" s="96">
        <v>1267</v>
      </c>
      <c r="S57" s="96">
        <v>1485</v>
      </c>
      <c r="T57" s="96">
        <v>1243</v>
      </c>
      <c r="U57" s="35">
        <v>1475</v>
      </c>
      <c r="V57" s="134">
        <v>1592</v>
      </c>
      <c r="W57" s="136"/>
      <c r="X57" s="136"/>
      <c r="Y57" s="136"/>
      <c r="Z57" s="136"/>
      <c r="AA57" s="136"/>
      <c r="AB57" s="35"/>
      <c r="AC57" s="134"/>
      <c r="AD57" s="35">
        <v>35</v>
      </c>
      <c r="AE57" s="35">
        <v>48</v>
      </c>
      <c r="AF57" s="35">
        <v>64</v>
      </c>
      <c r="AG57" s="35">
        <v>74</v>
      </c>
      <c r="AH57" s="35">
        <v>82</v>
      </c>
      <c r="AI57" s="136">
        <v>134</v>
      </c>
      <c r="AJ57" s="134">
        <v>164</v>
      </c>
      <c r="AK57" s="35">
        <v>11</v>
      </c>
      <c r="AL57" s="35">
        <v>28</v>
      </c>
      <c r="AM57" s="35">
        <v>49</v>
      </c>
      <c r="AN57" s="35">
        <v>57</v>
      </c>
      <c r="AO57" s="35">
        <v>65</v>
      </c>
      <c r="AP57" s="35">
        <v>83</v>
      </c>
      <c r="AQ57" s="134">
        <v>129</v>
      </c>
      <c r="AR57" s="35"/>
      <c r="AS57" s="35"/>
      <c r="AT57" s="35"/>
      <c r="AU57" s="136"/>
      <c r="AV57" s="136"/>
      <c r="AW57" s="35"/>
      <c r="AX57" s="134">
        <v>0.01</v>
      </c>
      <c r="AY57" s="25"/>
      <c r="AZ57" s="37" t="s">
        <v>251</v>
      </c>
      <c r="BA57" s="29">
        <v>1270</v>
      </c>
      <c r="BB57" s="29">
        <v>1270</v>
      </c>
      <c r="BC57" s="29">
        <v>1270</v>
      </c>
      <c r="BD57" s="29">
        <v>1270</v>
      </c>
      <c r="BE57" s="29">
        <v>1270</v>
      </c>
      <c r="BF57" s="29">
        <v>1270</v>
      </c>
    </row>
    <row r="58" ht="13" spans="1:58">
      <c r="A58" s="37" t="s">
        <v>252</v>
      </c>
      <c r="B58" s="35">
        <v>1334</v>
      </c>
      <c r="C58" s="35">
        <v>1340</v>
      </c>
      <c r="D58" s="96">
        <v>1432</v>
      </c>
      <c r="E58" s="96">
        <v>1551</v>
      </c>
      <c r="F58" s="96">
        <v>1552</v>
      </c>
      <c r="G58" s="37">
        <v>1749</v>
      </c>
      <c r="H58" s="134">
        <v>1783</v>
      </c>
      <c r="I58" s="35">
        <v>560</v>
      </c>
      <c r="J58" s="35">
        <v>498</v>
      </c>
      <c r="K58" s="96">
        <v>432</v>
      </c>
      <c r="L58" s="96">
        <v>544</v>
      </c>
      <c r="M58" s="96">
        <v>574</v>
      </c>
      <c r="N58" s="35">
        <v>538</v>
      </c>
      <c r="O58" s="134">
        <v>506</v>
      </c>
      <c r="P58" s="35">
        <v>732</v>
      </c>
      <c r="Q58" s="35">
        <v>786</v>
      </c>
      <c r="R58" s="96">
        <v>919</v>
      </c>
      <c r="S58" s="96">
        <v>906</v>
      </c>
      <c r="T58" s="96">
        <v>849</v>
      </c>
      <c r="U58" s="35">
        <v>1024</v>
      </c>
      <c r="V58" s="134">
        <v>1041</v>
      </c>
      <c r="W58" s="136"/>
      <c r="X58" s="136"/>
      <c r="Y58" s="136"/>
      <c r="Z58" s="136"/>
      <c r="AA58" s="136"/>
      <c r="AB58" s="35"/>
      <c r="AC58" s="134"/>
      <c r="AD58" s="35">
        <v>39</v>
      </c>
      <c r="AE58" s="35">
        <v>50</v>
      </c>
      <c r="AF58" s="45">
        <v>60</v>
      </c>
      <c r="AG58" s="45">
        <v>75</v>
      </c>
      <c r="AH58" s="35">
        <v>99</v>
      </c>
      <c r="AI58" s="136">
        <v>150</v>
      </c>
      <c r="AJ58" s="134">
        <v>182</v>
      </c>
      <c r="AK58" s="35">
        <v>2</v>
      </c>
      <c r="AL58" s="35">
        <v>6</v>
      </c>
      <c r="AM58" s="45">
        <v>20</v>
      </c>
      <c r="AN58" s="45">
        <v>26</v>
      </c>
      <c r="AO58" s="45">
        <v>30</v>
      </c>
      <c r="AP58" s="35">
        <v>38</v>
      </c>
      <c r="AQ58" s="134">
        <v>53</v>
      </c>
      <c r="AR58" s="35"/>
      <c r="AS58" s="35"/>
      <c r="AT58" s="35"/>
      <c r="AU58" s="136"/>
      <c r="AV58" s="136">
        <v>0.5</v>
      </c>
      <c r="AW58" s="35">
        <v>0.5</v>
      </c>
      <c r="AX58" s="134">
        <v>1</v>
      </c>
      <c r="AY58" s="25"/>
      <c r="AZ58" s="37" t="s">
        <v>252</v>
      </c>
      <c r="BA58" s="29">
        <v>1200</v>
      </c>
      <c r="BB58" s="29">
        <v>1200</v>
      </c>
      <c r="BC58" s="29">
        <v>1200</v>
      </c>
      <c r="BD58" s="29">
        <v>1200</v>
      </c>
      <c r="BE58" s="29">
        <v>1200</v>
      </c>
      <c r="BF58" s="29">
        <v>1200</v>
      </c>
    </row>
    <row r="59" ht="13" spans="1:58">
      <c r="A59" s="37" t="s">
        <v>253</v>
      </c>
      <c r="B59" s="35">
        <v>4036</v>
      </c>
      <c r="C59" s="35">
        <v>4348</v>
      </c>
      <c r="D59" s="98">
        <v>4572</v>
      </c>
      <c r="E59" s="98">
        <v>4852</v>
      </c>
      <c r="F59" s="98">
        <v>5048</v>
      </c>
      <c r="G59" s="37">
        <v>6154</v>
      </c>
      <c r="H59" s="134">
        <v>6229</v>
      </c>
      <c r="I59" s="35">
        <v>423</v>
      </c>
      <c r="J59" s="35">
        <v>301</v>
      </c>
      <c r="K59" s="98">
        <v>292</v>
      </c>
      <c r="L59" s="98">
        <v>397</v>
      </c>
      <c r="M59" s="98">
        <v>286</v>
      </c>
      <c r="N59" s="35">
        <v>223</v>
      </c>
      <c r="O59" s="134">
        <v>343</v>
      </c>
      <c r="P59" s="35">
        <v>2850</v>
      </c>
      <c r="Q59" s="35">
        <v>3165</v>
      </c>
      <c r="R59" s="98">
        <v>3283</v>
      </c>
      <c r="S59" s="98">
        <v>3222</v>
      </c>
      <c r="T59" s="98">
        <v>3425</v>
      </c>
      <c r="U59" s="35">
        <v>4487</v>
      </c>
      <c r="V59" s="134">
        <v>4334</v>
      </c>
      <c r="W59" s="35">
        <v>705</v>
      </c>
      <c r="X59" s="35">
        <v>800</v>
      </c>
      <c r="Y59" s="35">
        <v>896</v>
      </c>
      <c r="Z59" s="35">
        <v>1106</v>
      </c>
      <c r="AA59" s="35">
        <v>1161</v>
      </c>
      <c r="AB59" s="35">
        <v>1204</v>
      </c>
      <c r="AC59" s="134">
        <v>1149</v>
      </c>
      <c r="AD59" s="35">
        <v>50</v>
      </c>
      <c r="AE59" s="35">
        <v>62</v>
      </c>
      <c r="AF59" s="35">
        <v>63</v>
      </c>
      <c r="AG59" s="35">
        <v>74</v>
      </c>
      <c r="AH59" s="35">
        <v>103</v>
      </c>
      <c r="AI59" s="35">
        <v>137</v>
      </c>
      <c r="AJ59" s="134">
        <v>269</v>
      </c>
      <c r="AK59" s="35">
        <v>8</v>
      </c>
      <c r="AL59" s="35">
        <v>20</v>
      </c>
      <c r="AM59" s="35">
        <v>38</v>
      </c>
      <c r="AN59" s="35">
        <v>53</v>
      </c>
      <c r="AO59" s="35">
        <v>74</v>
      </c>
      <c r="AP59" s="35">
        <v>103</v>
      </c>
      <c r="AQ59" s="134">
        <v>135</v>
      </c>
      <c r="AR59" s="35"/>
      <c r="AS59" s="35">
        <v>0</v>
      </c>
      <c r="AT59" s="35">
        <v>0.2</v>
      </c>
      <c r="AU59" s="35">
        <v>0.2</v>
      </c>
      <c r="AV59" s="35"/>
      <c r="AW59" s="35"/>
      <c r="AX59" s="134"/>
      <c r="AY59" s="25"/>
      <c r="AZ59" s="37" t="s">
        <v>253</v>
      </c>
      <c r="BA59" s="29">
        <v>6080</v>
      </c>
      <c r="BB59" s="29">
        <v>6380</v>
      </c>
      <c r="BC59" s="29">
        <v>7280</v>
      </c>
      <c r="BD59" s="29">
        <v>7280</v>
      </c>
      <c r="BE59" s="29">
        <v>7280</v>
      </c>
      <c r="BF59" s="29">
        <v>7980</v>
      </c>
    </row>
    <row r="60" ht="13" spans="1:58">
      <c r="A60" s="37" t="s">
        <v>254</v>
      </c>
      <c r="B60" s="35">
        <v>1276</v>
      </c>
      <c r="C60" s="35">
        <v>1345</v>
      </c>
      <c r="D60" s="96">
        <v>1617</v>
      </c>
      <c r="E60" s="96">
        <v>1827</v>
      </c>
      <c r="F60" s="96">
        <v>1939</v>
      </c>
      <c r="G60" s="37">
        <v>2008</v>
      </c>
      <c r="H60" s="134">
        <v>2030</v>
      </c>
      <c r="I60" s="35">
        <v>600</v>
      </c>
      <c r="J60" s="35">
        <v>614</v>
      </c>
      <c r="K60" s="96">
        <v>609</v>
      </c>
      <c r="L60" s="96">
        <v>593</v>
      </c>
      <c r="M60" s="96">
        <v>615</v>
      </c>
      <c r="N60" s="35">
        <v>517</v>
      </c>
      <c r="O60" s="134">
        <v>612</v>
      </c>
      <c r="P60" s="35">
        <v>559</v>
      </c>
      <c r="Q60" s="35">
        <v>575</v>
      </c>
      <c r="R60" s="96">
        <v>796</v>
      </c>
      <c r="S60" s="96">
        <v>988</v>
      </c>
      <c r="T60" s="96">
        <v>1032</v>
      </c>
      <c r="U60" s="35">
        <v>1120</v>
      </c>
      <c r="V60" s="134">
        <v>999</v>
      </c>
      <c r="W60" s="35">
        <v>103</v>
      </c>
      <c r="X60" s="35">
        <v>127</v>
      </c>
      <c r="Y60" s="35">
        <v>161</v>
      </c>
      <c r="Z60" s="35">
        <v>172</v>
      </c>
      <c r="AA60" s="35">
        <v>168</v>
      </c>
      <c r="AB60" s="35">
        <v>181</v>
      </c>
      <c r="AC60" s="134">
        <v>178</v>
      </c>
      <c r="AD60" s="35">
        <v>13</v>
      </c>
      <c r="AE60" s="35">
        <v>25</v>
      </c>
      <c r="AF60" s="35">
        <v>42</v>
      </c>
      <c r="AG60" s="35">
        <v>61</v>
      </c>
      <c r="AH60" s="35">
        <v>106</v>
      </c>
      <c r="AI60" s="35">
        <v>161</v>
      </c>
      <c r="AJ60" s="134">
        <v>199</v>
      </c>
      <c r="AK60" s="35">
        <v>1</v>
      </c>
      <c r="AL60" s="35">
        <v>4</v>
      </c>
      <c r="AM60" s="35">
        <v>9</v>
      </c>
      <c r="AN60" s="35">
        <v>14</v>
      </c>
      <c r="AO60" s="35">
        <v>17</v>
      </c>
      <c r="AP60" s="35">
        <v>29</v>
      </c>
      <c r="AQ60" s="134">
        <v>43</v>
      </c>
      <c r="AR60" s="35"/>
      <c r="AS60" s="35"/>
      <c r="AT60" s="35"/>
      <c r="AU60" s="136"/>
      <c r="AV60" s="136"/>
      <c r="AW60" s="35"/>
      <c r="AX60" s="134"/>
      <c r="AY60" s="25"/>
      <c r="AZ60" s="37" t="s">
        <v>254</v>
      </c>
      <c r="BA60" s="29">
        <v>0</v>
      </c>
      <c r="BB60" s="29">
        <v>0</v>
      </c>
      <c r="BC60" s="29">
        <v>0</v>
      </c>
      <c r="BD60" s="29">
        <v>0</v>
      </c>
      <c r="BE60" s="29">
        <v>0</v>
      </c>
      <c r="BF60" s="29">
        <v>0</v>
      </c>
    </row>
    <row r="61" ht="13" spans="1:58">
      <c r="A61" s="37" t="s">
        <v>255</v>
      </c>
      <c r="B61" s="35">
        <v>288</v>
      </c>
      <c r="C61" s="35">
        <v>305</v>
      </c>
      <c r="D61" s="96">
        <v>327</v>
      </c>
      <c r="E61" s="96">
        <v>345</v>
      </c>
      <c r="F61" s="96">
        <v>348</v>
      </c>
      <c r="G61" s="37">
        <v>391</v>
      </c>
      <c r="H61" s="134">
        <v>408</v>
      </c>
      <c r="I61" s="35">
        <v>23</v>
      </c>
      <c r="J61" s="35">
        <v>26</v>
      </c>
      <c r="K61" s="96">
        <v>27</v>
      </c>
      <c r="L61" s="96">
        <v>17</v>
      </c>
      <c r="M61" s="96">
        <v>17</v>
      </c>
      <c r="N61" s="35">
        <v>18</v>
      </c>
      <c r="O61" s="134">
        <v>28</v>
      </c>
      <c r="P61" s="35">
        <v>197</v>
      </c>
      <c r="Q61" s="35">
        <v>195</v>
      </c>
      <c r="R61" s="96">
        <v>211</v>
      </c>
      <c r="S61" s="96">
        <v>212</v>
      </c>
      <c r="T61" s="96">
        <v>215</v>
      </c>
      <c r="U61" s="35">
        <v>254</v>
      </c>
      <c r="V61" s="134">
        <v>249</v>
      </c>
      <c r="W61" s="35">
        <v>60</v>
      </c>
      <c r="X61" s="35">
        <v>75</v>
      </c>
      <c r="Y61" s="35">
        <v>77</v>
      </c>
      <c r="Z61" s="35">
        <v>97</v>
      </c>
      <c r="AA61" s="35">
        <v>96</v>
      </c>
      <c r="AB61" s="35">
        <v>98</v>
      </c>
      <c r="AC61" s="134">
        <v>105</v>
      </c>
      <c r="AD61" s="35">
        <v>6</v>
      </c>
      <c r="AE61" s="35">
        <v>6</v>
      </c>
      <c r="AF61" s="35">
        <v>5</v>
      </c>
      <c r="AG61" s="35">
        <v>5</v>
      </c>
      <c r="AH61" s="35">
        <v>6</v>
      </c>
      <c r="AI61" s="35">
        <v>5</v>
      </c>
      <c r="AJ61" s="134">
        <v>5</v>
      </c>
      <c r="AK61" s="35">
        <v>3</v>
      </c>
      <c r="AL61" s="35">
        <v>3</v>
      </c>
      <c r="AM61" s="35">
        <v>6</v>
      </c>
      <c r="AN61" s="35">
        <v>14</v>
      </c>
      <c r="AO61" s="35">
        <v>15</v>
      </c>
      <c r="AP61" s="35">
        <v>16</v>
      </c>
      <c r="AQ61" s="134">
        <v>22</v>
      </c>
      <c r="AR61" s="35"/>
      <c r="AS61" s="35"/>
      <c r="AT61" s="35"/>
      <c r="AU61" s="35">
        <v>1</v>
      </c>
      <c r="AV61" s="35"/>
      <c r="AW61" s="35"/>
      <c r="AX61" s="134"/>
      <c r="AY61" s="25"/>
      <c r="AZ61" s="37" t="s">
        <v>255</v>
      </c>
      <c r="BA61" s="29">
        <v>0</v>
      </c>
      <c r="BB61" s="29">
        <v>200</v>
      </c>
      <c r="BC61" s="29">
        <v>600</v>
      </c>
      <c r="BD61" s="29">
        <v>600</v>
      </c>
      <c r="BE61" s="29">
        <v>600</v>
      </c>
      <c r="BF61" s="29">
        <v>600</v>
      </c>
    </row>
    <row r="62" ht="13" spans="1:58">
      <c r="A62" s="37" t="s">
        <v>256</v>
      </c>
      <c r="B62" s="35">
        <v>683</v>
      </c>
      <c r="C62" s="35">
        <v>727</v>
      </c>
      <c r="D62" s="98">
        <v>799</v>
      </c>
      <c r="E62" s="98">
        <v>812</v>
      </c>
      <c r="F62" s="98">
        <v>837</v>
      </c>
      <c r="G62" s="37">
        <v>978</v>
      </c>
      <c r="H62" s="134">
        <v>990</v>
      </c>
      <c r="I62" s="35">
        <v>247</v>
      </c>
      <c r="J62" s="35">
        <v>253</v>
      </c>
      <c r="K62" s="98">
        <v>242</v>
      </c>
      <c r="L62" s="98">
        <v>243</v>
      </c>
      <c r="M62" s="98">
        <v>281</v>
      </c>
      <c r="N62" s="35">
        <v>283</v>
      </c>
      <c r="O62" s="134">
        <v>202</v>
      </c>
      <c r="P62" s="35">
        <v>431</v>
      </c>
      <c r="Q62" s="35">
        <v>467</v>
      </c>
      <c r="R62" s="98">
        <v>547</v>
      </c>
      <c r="S62" s="98">
        <v>554</v>
      </c>
      <c r="T62" s="98">
        <v>538</v>
      </c>
      <c r="U62" s="35">
        <v>667</v>
      </c>
      <c r="V62" s="134">
        <v>748</v>
      </c>
      <c r="W62" s="136"/>
      <c r="X62" s="136"/>
      <c r="Y62" s="136"/>
      <c r="Z62" s="136"/>
      <c r="AA62" s="136"/>
      <c r="AB62" s="35"/>
      <c r="AC62" s="134"/>
      <c r="AD62" s="35">
        <v>5</v>
      </c>
      <c r="AE62" s="35">
        <v>7</v>
      </c>
      <c r="AF62" s="45">
        <v>8</v>
      </c>
      <c r="AG62" s="45">
        <v>11</v>
      </c>
      <c r="AH62" s="45">
        <v>14</v>
      </c>
      <c r="AI62" s="136">
        <v>23</v>
      </c>
      <c r="AJ62" s="134">
        <v>34</v>
      </c>
      <c r="AK62" s="35">
        <v>0.02</v>
      </c>
      <c r="AL62" s="35">
        <v>0.2</v>
      </c>
      <c r="AM62" s="45">
        <v>2</v>
      </c>
      <c r="AN62" s="45">
        <v>3</v>
      </c>
      <c r="AO62" s="35">
        <v>4</v>
      </c>
      <c r="AP62" s="35">
        <v>5</v>
      </c>
      <c r="AQ62" s="134">
        <v>6</v>
      </c>
      <c r="AR62" s="35"/>
      <c r="AS62" s="35"/>
      <c r="AT62" s="35"/>
      <c r="AU62" s="136"/>
      <c r="AV62" s="136"/>
      <c r="AW62" s="35"/>
      <c r="AX62" s="134"/>
      <c r="AY62" s="25"/>
      <c r="AZ62" s="37" t="s">
        <v>256</v>
      </c>
      <c r="BA62" s="29">
        <v>0</v>
      </c>
      <c r="BB62" s="29">
        <v>0</v>
      </c>
      <c r="BC62" s="29">
        <v>0</v>
      </c>
      <c r="BD62" s="29">
        <v>0</v>
      </c>
      <c r="BE62" s="29">
        <v>0</v>
      </c>
      <c r="BF62" s="29">
        <v>0</v>
      </c>
    </row>
    <row r="63" ht="13" spans="1:58">
      <c r="A63" s="37" t="s">
        <v>258</v>
      </c>
      <c r="B63" s="35">
        <v>3370</v>
      </c>
      <c r="C63" s="35">
        <v>3569</v>
      </c>
      <c r="D63" s="96">
        <v>3761</v>
      </c>
      <c r="E63" s="96">
        <v>3903</v>
      </c>
      <c r="F63" s="96">
        <v>4167</v>
      </c>
      <c r="G63" s="37">
        <v>4519</v>
      </c>
      <c r="H63" s="134">
        <v>4822</v>
      </c>
      <c r="I63" s="35">
        <v>2989</v>
      </c>
      <c r="J63" s="35">
        <v>3164</v>
      </c>
      <c r="K63" s="96">
        <v>3249</v>
      </c>
      <c r="L63" s="96">
        <v>3316</v>
      </c>
      <c r="M63" s="96">
        <v>3541</v>
      </c>
      <c r="N63" s="35">
        <v>3724</v>
      </c>
      <c r="O63" s="134">
        <v>3886</v>
      </c>
      <c r="P63" s="35">
        <v>349</v>
      </c>
      <c r="Q63" s="35">
        <v>354</v>
      </c>
      <c r="R63" s="96">
        <v>435</v>
      </c>
      <c r="S63" s="96">
        <v>488</v>
      </c>
      <c r="T63" s="96">
        <v>513</v>
      </c>
      <c r="U63" s="35">
        <v>655</v>
      </c>
      <c r="V63" s="134">
        <v>773</v>
      </c>
      <c r="W63" s="136"/>
      <c r="X63" s="136"/>
      <c r="Y63" s="136"/>
      <c r="Z63" s="136"/>
      <c r="AA63" s="136"/>
      <c r="AB63" s="35"/>
      <c r="AC63" s="134"/>
      <c r="AD63" s="35">
        <v>21</v>
      </c>
      <c r="AE63" s="35">
        <v>35</v>
      </c>
      <c r="AF63" s="35">
        <v>55</v>
      </c>
      <c r="AG63" s="35">
        <v>71</v>
      </c>
      <c r="AH63" s="35">
        <v>86</v>
      </c>
      <c r="AI63" s="136">
        <v>109</v>
      </c>
      <c r="AJ63" s="134">
        <v>132</v>
      </c>
      <c r="AK63" s="35">
        <v>11</v>
      </c>
      <c r="AL63" s="35">
        <v>16</v>
      </c>
      <c r="AM63" s="45">
        <v>22</v>
      </c>
      <c r="AN63" s="45">
        <v>28</v>
      </c>
      <c r="AO63" s="45">
        <v>27</v>
      </c>
      <c r="AP63" s="35">
        <v>30</v>
      </c>
      <c r="AQ63" s="134">
        <v>30</v>
      </c>
      <c r="AR63" s="35"/>
      <c r="AS63" s="35"/>
      <c r="AT63" s="35"/>
      <c r="AU63" s="136"/>
      <c r="AV63" s="136"/>
      <c r="AW63" s="35"/>
      <c r="AX63" s="134"/>
      <c r="AY63" s="25"/>
      <c r="AZ63" s="37" t="s">
        <v>258</v>
      </c>
      <c r="BA63" s="29">
        <v>50</v>
      </c>
      <c r="BB63" s="29">
        <v>50</v>
      </c>
      <c r="BC63" s="29">
        <v>50</v>
      </c>
      <c r="BD63" s="29">
        <v>50</v>
      </c>
      <c r="BE63" s="29">
        <v>50</v>
      </c>
      <c r="BF63" s="29">
        <v>50</v>
      </c>
    </row>
    <row r="64" ht="13" spans="1:58">
      <c r="A64" s="37" t="s">
        <v>259</v>
      </c>
      <c r="B64" s="35">
        <v>1955</v>
      </c>
      <c r="C64" s="35">
        <v>2012</v>
      </c>
      <c r="D64" s="98">
        <v>2117</v>
      </c>
      <c r="E64" s="98">
        <v>2257</v>
      </c>
      <c r="F64" s="98">
        <v>2327</v>
      </c>
      <c r="G64" s="37">
        <v>2407</v>
      </c>
      <c r="H64" s="134">
        <v>2335</v>
      </c>
      <c r="I64" s="35">
        <v>727</v>
      </c>
      <c r="J64" s="35">
        <v>733</v>
      </c>
      <c r="K64" s="98">
        <v>770</v>
      </c>
      <c r="L64" s="98">
        <v>769</v>
      </c>
      <c r="M64" s="98">
        <v>831</v>
      </c>
      <c r="N64" s="35">
        <v>734</v>
      </c>
      <c r="O64" s="134">
        <v>678</v>
      </c>
      <c r="P64" s="35">
        <v>1171</v>
      </c>
      <c r="Q64" s="35">
        <v>1210</v>
      </c>
      <c r="R64" s="98">
        <v>1263</v>
      </c>
      <c r="S64" s="98">
        <v>1390</v>
      </c>
      <c r="T64" s="98">
        <v>1354</v>
      </c>
      <c r="U64" s="35">
        <v>1485</v>
      </c>
      <c r="V64" s="134">
        <v>1438</v>
      </c>
      <c r="W64" s="136"/>
      <c r="X64" s="136"/>
      <c r="Y64" s="136"/>
      <c r="Z64" s="136"/>
      <c r="AA64" s="136"/>
      <c r="AB64" s="35"/>
      <c r="AC64" s="134"/>
      <c r="AD64" s="35">
        <v>55</v>
      </c>
      <c r="AE64" s="35">
        <v>63</v>
      </c>
      <c r="AF64" s="45">
        <v>68</v>
      </c>
      <c r="AG64" s="45">
        <v>78</v>
      </c>
      <c r="AH64" s="35">
        <v>97</v>
      </c>
      <c r="AI64" s="136">
        <v>105</v>
      </c>
      <c r="AJ64" s="134">
        <v>109</v>
      </c>
      <c r="AK64" s="35">
        <v>1</v>
      </c>
      <c r="AL64" s="35">
        <v>6</v>
      </c>
      <c r="AM64" s="45">
        <v>16</v>
      </c>
      <c r="AN64" s="45">
        <v>20</v>
      </c>
      <c r="AO64" s="45">
        <v>45</v>
      </c>
      <c r="AP64" s="35">
        <v>83</v>
      </c>
      <c r="AQ64" s="134">
        <v>110</v>
      </c>
      <c r="AR64" s="35"/>
      <c r="AS64" s="35"/>
      <c r="AT64" s="35"/>
      <c r="AU64" s="136"/>
      <c r="AV64" s="136"/>
      <c r="AW64" s="35"/>
      <c r="AX64" s="134"/>
      <c r="AY64" s="25"/>
      <c r="AZ64" s="37" t="s">
        <v>259</v>
      </c>
      <c r="BA64" s="29">
        <v>0</v>
      </c>
      <c r="BB64" s="29">
        <v>0</v>
      </c>
      <c r="BC64" s="29">
        <v>0</v>
      </c>
      <c r="BD64" s="29">
        <v>0</v>
      </c>
      <c r="BE64" s="29">
        <v>0</v>
      </c>
      <c r="BF64" s="29">
        <v>0</v>
      </c>
    </row>
    <row r="65" ht="13" spans="1:58">
      <c r="A65" s="37" t="s">
        <v>260</v>
      </c>
      <c r="B65" s="35">
        <v>2693</v>
      </c>
      <c r="C65" s="35">
        <v>2958</v>
      </c>
      <c r="D65" s="96">
        <v>3244</v>
      </c>
      <c r="E65" s="96">
        <v>3462</v>
      </c>
      <c r="F65" s="96">
        <v>3674</v>
      </c>
      <c r="G65" s="37">
        <v>3765</v>
      </c>
      <c r="H65" s="134">
        <v>4009</v>
      </c>
      <c r="I65" s="35">
        <v>2268</v>
      </c>
      <c r="J65" s="35">
        <v>2502</v>
      </c>
      <c r="K65" s="96">
        <v>2699</v>
      </c>
      <c r="L65" s="96">
        <v>2854</v>
      </c>
      <c r="M65" s="96">
        <v>2960</v>
      </c>
      <c r="N65" s="35">
        <v>3027</v>
      </c>
      <c r="O65" s="134">
        <v>3283</v>
      </c>
      <c r="P65" s="35">
        <v>253</v>
      </c>
      <c r="Q65" s="35">
        <v>240</v>
      </c>
      <c r="R65" s="96">
        <v>290</v>
      </c>
      <c r="S65" s="96">
        <v>318</v>
      </c>
      <c r="T65" s="96">
        <v>415</v>
      </c>
      <c r="U65" s="35">
        <v>455</v>
      </c>
      <c r="V65" s="134">
        <v>457</v>
      </c>
      <c r="W65" s="136"/>
      <c r="X65" s="136"/>
      <c r="Y65" s="136"/>
      <c r="Z65" s="136"/>
      <c r="AA65" s="136"/>
      <c r="AB65" s="35"/>
      <c r="AC65" s="134"/>
      <c r="AD65" s="35">
        <v>149</v>
      </c>
      <c r="AE65" s="35">
        <v>188</v>
      </c>
      <c r="AF65" s="35">
        <v>220</v>
      </c>
      <c r="AG65" s="35">
        <v>242</v>
      </c>
      <c r="AH65" s="35">
        <v>250</v>
      </c>
      <c r="AI65" s="136">
        <v>232</v>
      </c>
      <c r="AJ65" s="134">
        <v>214</v>
      </c>
      <c r="AK65" s="35">
        <v>23</v>
      </c>
      <c r="AL65" s="35">
        <v>28</v>
      </c>
      <c r="AM65" s="35">
        <v>34</v>
      </c>
      <c r="AN65" s="35">
        <v>48</v>
      </c>
      <c r="AO65" s="35">
        <v>50</v>
      </c>
      <c r="AP65" s="35">
        <v>51</v>
      </c>
      <c r="AQ65" s="134">
        <v>55</v>
      </c>
      <c r="AR65" s="35"/>
      <c r="AS65" s="35"/>
      <c r="AT65" s="35"/>
      <c r="AU65" s="136"/>
      <c r="AV65" s="136">
        <v>0.01</v>
      </c>
      <c r="AW65" s="35"/>
      <c r="AX65" s="134"/>
      <c r="AY65" s="25"/>
      <c r="AZ65" s="37" t="s">
        <v>260</v>
      </c>
      <c r="BA65" s="29">
        <v>0</v>
      </c>
      <c r="BB65" s="29">
        <v>0</v>
      </c>
      <c r="BC65" s="29">
        <v>0</v>
      </c>
      <c r="BD65" s="29">
        <v>0</v>
      </c>
      <c r="BE65" s="29">
        <v>0</v>
      </c>
      <c r="BF65" s="29">
        <v>0</v>
      </c>
    </row>
    <row r="66" ht="13" spans="1:58">
      <c r="A66" s="37" t="s">
        <v>261</v>
      </c>
      <c r="B66" s="35">
        <v>51</v>
      </c>
      <c r="C66" s="35">
        <v>58</v>
      </c>
      <c r="D66" s="96">
        <v>67</v>
      </c>
      <c r="E66" s="96">
        <v>84</v>
      </c>
      <c r="F66" s="96">
        <v>87</v>
      </c>
      <c r="G66" s="37">
        <v>113</v>
      </c>
      <c r="H66" s="134">
        <v>127</v>
      </c>
      <c r="I66" s="35">
        <v>46</v>
      </c>
      <c r="J66" s="35">
        <v>51</v>
      </c>
      <c r="K66" s="96">
        <v>57</v>
      </c>
      <c r="L66" s="96">
        <v>68</v>
      </c>
      <c r="M66" s="96">
        <v>70</v>
      </c>
      <c r="N66" s="35">
        <v>93</v>
      </c>
      <c r="O66" s="134">
        <v>106</v>
      </c>
      <c r="P66" s="35">
        <v>0.3</v>
      </c>
      <c r="Q66" s="35">
        <v>0.4</v>
      </c>
      <c r="R66" s="96">
        <v>1</v>
      </c>
      <c r="S66" s="96">
        <v>1</v>
      </c>
      <c r="T66" s="96">
        <v>1</v>
      </c>
      <c r="U66" s="35">
        <v>1</v>
      </c>
      <c r="V66" s="134">
        <v>1</v>
      </c>
      <c r="W66" s="136"/>
      <c r="X66" s="136"/>
      <c r="Y66" s="136"/>
      <c r="Z66" s="136"/>
      <c r="AA66" s="136"/>
      <c r="AB66" s="35"/>
      <c r="AC66" s="134"/>
      <c r="AD66" s="35">
        <v>0.14</v>
      </c>
      <c r="AE66" s="35">
        <v>0.1</v>
      </c>
      <c r="AF66" s="35">
        <v>0.14</v>
      </c>
      <c r="AG66" s="35">
        <v>0.16</v>
      </c>
      <c r="AH66" s="45">
        <v>0.1</v>
      </c>
      <c r="AI66" s="136">
        <v>0.1</v>
      </c>
      <c r="AJ66" s="134">
        <v>0.9</v>
      </c>
      <c r="AK66" s="35">
        <v>4</v>
      </c>
      <c r="AL66" s="35">
        <v>6</v>
      </c>
      <c r="AM66" s="45">
        <v>8</v>
      </c>
      <c r="AN66" s="45">
        <v>13</v>
      </c>
      <c r="AO66" s="35">
        <v>14</v>
      </c>
      <c r="AP66" s="35">
        <v>17</v>
      </c>
      <c r="AQ66" s="134">
        <v>19</v>
      </c>
      <c r="AR66" s="35"/>
      <c r="AS66" s="35">
        <v>1</v>
      </c>
      <c r="AT66" s="35">
        <v>1</v>
      </c>
      <c r="AU66" s="45">
        <v>1</v>
      </c>
      <c r="AV66" s="45">
        <v>1</v>
      </c>
      <c r="AW66" s="35">
        <v>1.1</v>
      </c>
      <c r="AX66" s="134">
        <v>1</v>
      </c>
      <c r="AY66" s="25"/>
      <c r="AZ66" s="37" t="s">
        <v>261</v>
      </c>
      <c r="BA66" s="29">
        <v>90</v>
      </c>
      <c r="BB66" s="29">
        <v>90</v>
      </c>
      <c r="BC66" s="29">
        <v>90</v>
      </c>
      <c r="BD66" s="29">
        <v>90</v>
      </c>
      <c r="BE66" s="29">
        <v>90</v>
      </c>
      <c r="BF66" s="29">
        <v>90</v>
      </c>
    </row>
    <row r="67" ht="13" spans="1:58">
      <c r="A67" s="37" t="s">
        <v>262</v>
      </c>
      <c r="B67" s="35">
        <v>1464</v>
      </c>
      <c r="C67" s="35">
        <v>1962</v>
      </c>
      <c r="D67" s="96">
        <v>2005</v>
      </c>
      <c r="E67" s="96">
        <v>2223</v>
      </c>
      <c r="F67" s="96">
        <v>2426</v>
      </c>
      <c r="G67" s="37">
        <v>2768</v>
      </c>
      <c r="H67" s="134">
        <v>2845</v>
      </c>
      <c r="I67" s="35">
        <v>69</v>
      </c>
      <c r="J67" s="35">
        <v>109</v>
      </c>
      <c r="K67" s="96">
        <v>102</v>
      </c>
      <c r="L67" s="96">
        <v>129</v>
      </c>
      <c r="M67" s="96">
        <v>128</v>
      </c>
      <c r="N67" s="35">
        <v>141</v>
      </c>
      <c r="O67" s="134">
        <v>87</v>
      </c>
      <c r="P67" s="35">
        <v>1346</v>
      </c>
      <c r="Q67" s="35">
        <v>1747</v>
      </c>
      <c r="R67" s="96">
        <v>1761</v>
      </c>
      <c r="S67" s="96">
        <v>1917</v>
      </c>
      <c r="T67" s="96">
        <v>2084</v>
      </c>
      <c r="U67" s="35">
        <v>2310</v>
      </c>
      <c r="V67" s="134">
        <v>2389</v>
      </c>
      <c r="W67" s="136"/>
      <c r="X67" s="136"/>
      <c r="Y67" s="136"/>
      <c r="Z67" s="136"/>
      <c r="AA67" s="136"/>
      <c r="AB67" s="35"/>
      <c r="AC67" s="134"/>
      <c r="AD67" s="35">
        <v>28</v>
      </c>
      <c r="AE67" s="35">
        <v>54</v>
      </c>
      <c r="AF67" s="35">
        <v>72</v>
      </c>
      <c r="AG67" s="35">
        <v>83</v>
      </c>
      <c r="AH67" s="35">
        <v>95</v>
      </c>
      <c r="AI67" s="136">
        <v>176</v>
      </c>
      <c r="AJ67" s="134">
        <v>200</v>
      </c>
      <c r="AK67" s="35">
        <v>20</v>
      </c>
      <c r="AL67" s="35">
        <v>52</v>
      </c>
      <c r="AM67" s="35">
        <v>71</v>
      </c>
      <c r="AN67" s="35">
        <v>94</v>
      </c>
      <c r="AO67" s="35">
        <v>119</v>
      </c>
      <c r="AP67" s="35">
        <v>141</v>
      </c>
      <c r="AQ67" s="134">
        <v>169</v>
      </c>
      <c r="AR67" s="35"/>
      <c r="AS67" s="35"/>
      <c r="AT67" s="35"/>
      <c r="AU67" s="136"/>
      <c r="AV67" s="136"/>
      <c r="AW67" s="35"/>
      <c r="AX67" s="134"/>
      <c r="AY67" s="25"/>
      <c r="AZ67" s="37" t="s">
        <v>262</v>
      </c>
      <c r="BA67" s="29">
        <v>0</v>
      </c>
      <c r="BB67" s="29">
        <v>0</v>
      </c>
      <c r="BC67" s="29">
        <v>0</v>
      </c>
      <c r="BD67" s="29">
        <v>0</v>
      </c>
      <c r="BE67" s="29">
        <v>0</v>
      </c>
      <c r="BF67" s="29">
        <v>0</v>
      </c>
    </row>
    <row r="68" ht="13" spans="1:58">
      <c r="A68" s="37" t="s">
        <v>263</v>
      </c>
      <c r="B68" s="35">
        <v>1209</v>
      </c>
      <c r="C68" s="35">
        <v>1342</v>
      </c>
      <c r="D68" s="97">
        <v>1599</v>
      </c>
      <c r="E68" s="97">
        <v>1659</v>
      </c>
      <c r="F68" s="97">
        <v>1787</v>
      </c>
      <c r="G68" s="37">
        <v>1932</v>
      </c>
      <c r="H68" s="134">
        <v>1970</v>
      </c>
      <c r="I68" s="35">
        <v>314</v>
      </c>
      <c r="J68" s="35">
        <v>374</v>
      </c>
      <c r="K68" s="97">
        <v>444</v>
      </c>
      <c r="L68" s="97">
        <v>496</v>
      </c>
      <c r="M68" s="97">
        <v>507</v>
      </c>
      <c r="N68" s="35">
        <v>452</v>
      </c>
      <c r="O68" s="134">
        <v>375</v>
      </c>
      <c r="P68" s="35">
        <v>699</v>
      </c>
      <c r="Q68" s="35">
        <v>707</v>
      </c>
      <c r="R68" s="97">
        <v>830</v>
      </c>
      <c r="S68" s="97">
        <v>817</v>
      </c>
      <c r="T68" s="97">
        <v>901</v>
      </c>
      <c r="U68" s="35">
        <v>1042</v>
      </c>
      <c r="V68" s="134">
        <v>1067</v>
      </c>
      <c r="W68" s="136"/>
      <c r="X68" s="136"/>
      <c r="Y68" s="136"/>
      <c r="Z68" s="136"/>
      <c r="AA68" s="136"/>
      <c r="AB68" s="35"/>
      <c r="AC68" s="134"/>
      <c r="AD68" s="35">
        <v>136</v>
      </c>
      <c r="AE68" s="35">
        <v>188</v>
      </c>
      <c r="AF68" s="35">
        <v>230</v>
      </c>
      <c r="AG68" s="35">
        <v>228</v>
      </c>
      <c r="AH68" s="45">
        <v>246</v>
      </c>
      <c r="AI68" s="136">
        <v>288</v>
      </c>
      <c r="AJ68" s="134">
        <v>348</v>
      </c>
      <c r="AK68" s="35">
        <v>60</v>
      </c>
      <c r="AL68" s="35">
        <v>73</v>
      </c>
      <c r="AM68" s="35">
        <v>95</v>
      </c>
      <c r="AN68" s="35">
        <v>118</v>
      </c>
      <c r="AO68" s="45">
        <v>133</v>
      </c>
      <c r="AP68" s="35">
        <v>150</v>
      </c>
      <c r="AQ68" s="134">
        <v>180</v>
      </c>
      <c r="AR68" s="35"/>
      <c r="AS68" s="35"/>
      <c r="AT68" s="35"/>
      <c r="AU68" s="136"/>
      <c r="AV68" s="136"/>
      <c r="AW68" s="35"/>
      <c r="AX68" s="134"/>
      <c r="AY68" s="25"/>
      <c r="AZ68" s="37" t="s">
        <v>263</v>
      </c>
      <c r="BA68" s="29">
        <v>0</v>
      </c>
      <c r="BB68" s="29">
        <v>0</v>
      </c>
      <c r="BC68" s="29">
        <v>0</v>
      </c>
      <c r="BD68" s="29">
        <v>0</v>
      </c>
      <c r="BE68" s="29">
        <v>0</v>
      </c>
      <c r="BF68" s="29">
        <v>0</v>
      </c>
    </row>
    <row r="69" ht="13" spans="1:58">
      <c r="A69" s="37" t="s">
        <v>264</v>
      </c>
      <c r="B69" s="35">
        <v>553</v>
      </c>
      <c r="C69" s="35">
        <v>616</v>
      </c>
      <c r="D69" s="98">
        <v>805</v>
      </c>
      <c r="E69" s="98">
        <v>883</v>
      </c>
      <c r="F69" s="98">
        <v>948</v>
      </c>
      <c r="G69" s="37">
        <v>989</v>
      </c>
      <c r="H69" s="134">
        <v>993</v>
      </c>
      <c r="I69" s="35">
        <v>302</v>
      </c>
      <c r="J69" s="35">
        <v>332</v>
      </c>
      <c r="K69" s="98">
        <v>517</v>
      </c>
      <c r="L69" s="98">
        <v>554</v>
      </c>
      <c r="M69" s="98">
        <v>599</v>
      </c>
      <c r="N69" s="35">
        <v>505</v>
      </c>
      <c r="O69" s="134">
        <v>427</v>
      </c>
      <c r="P69" s="35">
        <v>151</v>
      </c>
      <c r="Q69" s="35">
        <v>153</v>
      </c>
      <c r="R69" s="98">
        <v>120</v>
      </c>
      <c r="S69" s="98">
        <v>104</v>
      </c>
      <c r="T69" s="98">
        <v>101</v>
      </c>
      <c r="U69" s="35">
        <v>144</v>
      </c>
      <c r="V69" s="134">
        <v>154</v>
      </c>
      <c r="W69" s="136"/>
      <c r="X69" s="136"/>
      <c r="Y69" s="136"/>
      <c r="Z69" s="136"/>
      <c r="AA69" s="136"/>
      <c r="AB69" s="35"/>
      <c r="AC69" s="134"/>
      <c r="AD69" s="35">
        <v>10</v>
      </c>
      <c r="AE69" s="35">
        <v>18</v>
      </c>
      <c r="AF69" s="35">
        <v>38</v>
      </c>
      <c r="AG69" s="35">
        <v>66</v>
      </c>
      <c r="AH69" s="35">
        <v>82</v>
      </c>
      <c r="AI69" s="136">
        <v>130</v>
      </c>
      <c r="AJ69" s="134">
        <v>156</v>
      </c>
      <c r="AK69" s="35">
        <v>90</v>
      </c>
      <c r="AL69" s="35">
        <v>113</v>
      </c>
      <c r="AM69" s="35">
        <v>131</v>
      </c>
      <c r="AN69" s="35">
        <v>158</v>
      </c>
      <c r="AO69" s="35">
        <v>167</v>
      </c>
      <c r="AP69" s="35">
        <v>211</v>
      </c>
      <c r="AQ69" s="134">
        <v>256</v>
      </c>
      <c r="AR69" s="35"/>
      <c r="AS69" s="35"/>
      <c r="AT69" s="35"/>
      <c r="AU69" s="136"/>
      <c r="AV69" s="136"/>
      <c r="AW69" s="35"/>
      <c r="AX69" s="134"/>
      <c r="AY69" s="25"/>
      <c r="AZ69" s="37" t="s">
        <v>264</v>
      </c>
      <c r="BA69" s="29">
        <v>0</v>
      </c>
      <c r="BB69" s="29">
        <v>0</v>
      </c>
      <c r="BC69" s="29">
        <v>0</v>
      </c>
      <c r="BD69" s="29">
        <v>0</v>
      </c>
      <c r="BE69" s="29">
        <v>0</v>
      </c>
      <c r="BF69" s="29">
        <v>0</v>
      </c>
    </row>
    <row r="70" ht="13" spans="1:58">
      <c r="A70" s="37" t="s">
        <v>265</v>
      </c>
      <c r="B70" s="35">
        <v>1187</v>
      </c>
      <c r="C70" s="35">
        <v>1404</v>
      </c>
      <c r="D70" s="96">
        <v>1614</v>
      </c>
      <c r="E70" s="96">
        <v>1703</v>
      </c>
      <c r="F70" s="96">
        <v>1768</v>
      </c>
      <c r="G70" s="37">
        <v>1992</v>
      </c>
      <c r="H70" s="134">
        <v>2124</v>
      </c>
      <c r="I70" s="35">
        <v>14</v>
      </c>
      <c r="J70" s="35">
        <v>16</v>
      </c>
      <c r="K70" s="96">
        <v>20</v>
      </c>
      <c r="L70" s="96">
        <v>22</v>
      </c>
      <c r="M70" s="96">
        <v>22</v>
      </c>
      <c r="N70" s="35">
        <v>21</v>
      </c>
      <c r="O70" s="134">
        <v>18</v>
      </c>
      <c r="P70" s="35">
        <v>989</v>
      </c>
      <c r="Q70" s="35">
        <v>1158</v>
      </c>
      <c r="R70" s="96">
        <v>1310</v>
      </c>
      <c r="S70" s="96">
        <v>1381</v>
      </c>
      <c r="T70" s="96">
        <v>1415</v>
      </c>
      <c r="U70" s="35">
        <v>1507</v>
      </c>
      <c r="V70" s="134">
        <v>1610</v>
      </c>
      <c r="W70" s="136"/>
      <c r="X70" s="136"/>
      <c r="Y70" s="136"/>
      <c r="Z70" s="136"/>
      <c r="AA70" s="136"/>
      <c r="AB70" s="35"/>
      <c r="AC70" s="134"/>
      <c r="AD70" s="35">
        <v>129</v>
      </c>
      <c r="AE70" s="35">
        <v>155</v>
      </c>
      <c r="AF70" s="35">
        <v>187</v>
      </c>
      <c r="AG70" s="35">
        <v>186</v>
      </c>
      <c r="AH70" s="35">
        <v>194</v>
      </c>
      <c r="AI70" s="136">
        <v>281</v>
      </c>
      <c r="AJ70" s="134">
        <v>275</v>
      </c>
      <c r="AK70" s="35">
        <v>55</v>
      </c>
      <c r="AL70" s="35">
        <v>76</v>
      </c>
      <c r="AM70" s="35">
        <v>97</v>
      </c>
      <c r="AN70" s="35">
        <v>115</v>
      </c>
      <c r="AO70" s="35">
        <v>136</v>
      </c>
      <c r="AP70" s="35">
        <v>183</v>
      </c>
      <c r="AQ70" s="134">
        <v>221</v>
      </c>
      <c r="AR70" s="35"/>
      <c r="AS70" s="35"/>
      <c r="AT70" s="35"/>
      <c r="AU70" s="136"/>
      <c r="AV70" s="136"/>
      <c r="AW70" s="35"/>
      <c r="AX70" s="134"/>
      <c r="AY70" s="25"/>
      <c r="AZ70" s="37" t="s">
        <v>265</v>
      </c>
      <c r="BA70" s="29">
        <v>0</v>
      </c>
      <c r="BB70" s="29">
        <v>0</v>
      </c>
      <c r="BC70" s="29">
        <v>0</v>
      </c>
      <c r="BD70" s="29">
        <v>0</v>
      </c>
      <c r="BE70" s="29">
        <v>0</v>
      </c>
      <c r="BF70" s="29">
        <v>0</v>
      </c>
    </row>
    <row r="71" ht="13" spans="1:58">
      <c r="A71" s="37" t="s">
        <v>266</v>
      </c>
      <c r="B71" s="35">
        <v>2693</v>
      </c>
      <c r="C71" s="35">
        <v>3030</v>
      </c>
      <c r="D71" s="98">
        <v>3235</v>
      </c>
      <c r="E71" s="98">
        <v>3606</v>
      </c>
      <c r="F71" s="98">
        <v>4052</v>
      </c>
      <c r="G71" s="37">
        <v>4613</v>
      </c>
      <c r="H71" s="134">
        <v>4665</v>
      </c>
      <c r="I71" s="35">
        <v>211</v>
      </c>
      <c r="J71" s="35">
        <v>256</v>
      </c>
      <c r="K71" s="98">
        <v>254</v>
      </c>
      <c r="L71" s="98">
        <v>290</v>
      </c>
      <c r="M71" s="98">
        <v>268</v>
      </c>
      <c r="N71" s="35">
        <v>286</v>
      </c>
      <c r="O71" s="134">
        <v>334</v>
      </c>
      <c r="P71" s="35">
        <v>2195</v>
      </c>
      <c r="Q71" s="35">
        <v>2349</v>
      </c>
      <c r="R71" s="98">
        <v>2506</v>
      </c>
      <c r="S71" s="98">
        <v>2777</v>
      </c>
      <c r="T71" s="98">
        <v>3193</v>
      </c>
      <c r="U71" s="35">
        <v>3584</v>
      </c>
      <c r="V71" s="134">
        <v>3543</v>
      </c>
      <c r="W71" s="136"/>
      <c r="X71" s="136"/>
      <c r="Y71" s="136"/>
      <c r="Z71" s="136"/>
      <c r="AA71" s="136"/>
      <c r="AB71" s="35"/>
      <c r="AC71" s="134"/>
      <c r="AD71" s="35">
        <v>220</v>
      </c>
      <c r="AE71" s="35">
        <v>318</v>
      </c>
      <c r="AF71" s="35">
        <v>358</v>
      </c>
      <c r="AG71" s="35">
        <v>407</v>
      </c>
      <c r="AH71" s="35">
        <v>434</v>
      </c>
      <c r="AI71" s="136">
        <v>548</v>
      </c>
      <c r="AJ71" s="134">
        <v>588</v>
      </c>
      <c r="AK71" s="35">
        <v>67</v>
      </c>
      <c r="AL71" s="35">
        <v>107</v>
      </c>
      <c r="AM71" s="35">
        <v>116</v>
      </c>
      <c r="AN71" s="35">
        <v>132</v>
      </c>
      <c r="AO71" s="35">
        <v>157</v>
      </c>
      <c r="AP71" s="35">
        <v>196</v>
      </c>
      <c r="AQ71" s="134">
        <v>200</v>
      </c>
      <c r="AR71" s="35"/>
      <c r="AS71" s="35"/>
      <c r="AT71" s="35"/>
      <c r="AU71" s="136"/>
      <c r="AV71" s="136"/>
      <c r="AW71" s="35">
        <v>0.04</v>
      </c>
      <c r="AX71" s="134">
        <v>0.1</v>
      </c>
      <c r="AY71" s="25"/>
      <c r="AZ71" s="37" t="s">
        <v>266</v>
      </c>
      <c r="BA71" s="29">
        <v>0</v>
      </c>
      <c r="BB71" s="29">
        <v>0</v>
      </c>
      <c r="BC71" s="29">
        <v>0</v>
      </c>
      <c r="BD71" s="29">
        <v>0</v>
      </c>
      <c r="BE71" s="29">
        <v>0</v>
      </c>
      <c r="BF71" s="29">
        <v>0</v>
      </c>
    </row>
    <row r="72" spans="52:52">
      <c r="AZ72" s="148" t="s">
        <v>281</v>
      </c>
    </row>
  </sheetData>
  <mergeCells count="26">
    <mergeCell ref="A1:F1"/>
    <mergeCell ref="B2:H2"/>
    <mergeCell ref="I2:O2"/>
    <mergeCell ref="P2:V2"/>
    <mergeCell ref="W2:AC2"/>
    <mergeCell ref="AD2:AJ2"/>
    <mergeCell ref="AK2:AQ2"/>
    <mergeCell ref="AR2:AX2"/>
    <mergeCell ref="BA2:BF2"/>
    <mergeCell ref="BG2:BL2"/>
    <mergeCell ref="BM2:BR2"/>
    <mergeCell ref="A37:F37"/>
    <mergeCell ref="B38:H38"/>
    <mergeCell ref="I38:O38"/>
    <mergeCell ref="P38:V38"/>
    <mergeCell ref="W38:AC38"/>
    <mergeCell ref="AD38:AJ38"/>
    <mergeCell ref="AK38:AQ38"/>
    <mergeCell ref="AR38:AX38"/>
    <mergeCell ref="BA38:BF38"/>
    <mergeCell ref="A2:A3"/>
    <mergeCell ref="A38:A39"/>
    <mergeCell ref="AZ2:AZ3"/>
    <mergeCell ref="AZ38:AZ39"/>
    <mergeCell ref="BK39:BK40"/>
    <mergeCell ref="BK41:BK42"/>
  </mergeCells>
  <conditionalFormatting sqref="BA4:BR35">
    <cfRule type="colorScale" priority="1">
      <colorScale>
        <cfvo type="min"/>
        <cfvo type="percentile" val="50"/>
        <cfvo type="max"/>
        <color rgb="FFF8696B"/>
        <color rgb="FFFFEB84"/>
        <color rgb="FF63BE7B"/>
      </colorScale>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6"/>
  <sheetViews>
    <sheetView zoomScale="90" zoomScaleNormal="90" workbookViewId="0">
      <pane xSplit="2" topLeftCell="C1" activePane="topRight" state="frozen"/>
      <selection/>
      <selection pane="topRight" activeCell="I19" sqref="I19"/>
    </sheetView>
  </sheetViews>
  <sheetFormatPr defaultColWidth="9" defaultRowHeight="12.5"/>
  <cols>
    <col min="14" max="14" width="13.6363636363636"/>
    <col min="23" max="23" width="9.89090909090909" customWidth="1"/>
  </cols>
  <sheetData>
    <row r="1" ht="13.5" customHeight="1" spans="1:29">
      <c r="A1" s="42" t="s">
        <v>212</v>
      </c>
      <c r="B1" s="90" t="s">
        <v>282</v>
      </c>
      <c r="C1" s="47" t="s">
        <v>283</v>
      </c>
      <c r="D1" s="47"/>
      <c r="E1" s="47"/>
      <c r="F1" s="47"/>
      <c r="G1" s="91" t="s">
        <v>284</v>
      </c>
      <c r="H1" s="91"/>
      <c r="I1" s="91"/>
      <c r="J1" s="91"/>
      <c r="K1" s="106" t="s">
        <v>285</v>
      </c>
      <c r="L1" s="106"/>
      <c r="M1" s="106"/>
      <c r="N1" s="106"/>
      <c r="O1" s="107" t="s">
        <v>280</v>
      </c>
      <c r="P1" s="107"/>
      <c r="Q1" s="107"/>
      <c r="R1" s="107"/>
      <c r="S1" s="107"/>
      <c r="U1" s="35" t="s">
        <v>286</v>
      </c>
      <c r="V1" s="35" t="s">
        <v>287</v>
      </c>
      <c r="W1" s="81" t="s">
        <v>288</v>
      </c>
      <c r="X1" s="82"/>
      <c r="Y1" s="82"/>
      <c r="Z1" s="82"/>
      <c r="AA1" s="82"/>
      <c r="AB1" s="82"/>
      <c r="AC1" s="82"/>
    </row>
    <row r="2" ht="39.75" spans="1:29">
      <c r="A2" s="92"/>
      <c r="B2" s="93"/>
      <c r="C2" s="94" t="s">
        <v>289</v>
      </c>
      <c r="D2" s="94" t="s">
        <v>290</v>
      </c>
      <c r="E2" s="94" t="s">
        <v>291</v>
      </c>
      <c r="F2" s="94" t="s">
        <v>292</v>
      </c>
      <c r="G2" s="94" t="s">
        <v>289</v>
      </c>
      <c r="H2" s="94" t="s">
        <v>290</v>
      </c>
      <c r="I2" s="94" t="s">
        <v>291</v>
      </c>
      <c r="J2" s="94" t="s">
        <v>292</v>
      </c>
      <c r="K2" s="94" t="s">
        <v>289</v>
      </c>
      <c r="L2" s="94" t="s">
        <v>290</v>
      </c>
      <c r="M2" s="94" t="s">
        <v>291</v>
      </c>
      <c r="N2" s="94" t="s">
        <v>292</v>
      </c>
      <c r="O2" s="108" t="s">
        <v>293</v>
      </c>
      <c r="P2" s="94" t="s">
        <v>290</v>
      </c>
      <c r="Q2" s="94" t="s">
        <v>291</v>
      </c>
      <c r="R2" s="94" t="s">
        <v>292</v>
      </c>
      <c r="S2" s="114" t="s">
        <v>294</v>
      </c>
      <c r="T2" s="75"/>
      <c r="U2" s="35"/>
      <c r="V2" s="35"/>
      <c r="W2" s="83">
        <v>2016</v>
      </c>
      <c r="X2" s="83">
        <v>2017</v>
      </c>
      <c r="Y2" s="83">
        <v>2018</v>
      </c>
      <c r="Z2" s="83">
        <v>2019</v>
      </c>
      <c r="AA2" s="83">
        <v>2020</v>
      </c>
      <c r="AB2" s="83">
        <v>2021</v>
      </c>
      <c r="AC2" s="83">
        <v>2022</v>
      </c>
    </row>
    <row r="3" ht="13" spans="1:29">
      <c r="A3" s="59" t="s">
        <v>234</v>
      </c>
      <c r="B3" s="60">
        <v>2016</v>
      </c>
      <c r="C3" s="95">
        <v>1396</v>
      </c>
      <c r="D3" s="95">
        <v>45</v>
      </c>
      <c r="E3" s="95">
        <v>576</v>
      </c>
      <c r="F3" s="95">
        <v>776</v>
      </c>
      <c r="G3" s="95">
        <v>687</v>
      </c>
      <c r="H3" s="95">
        <v>21</v>
      </c>
      <c r="I3" s="95">
        <v>315</v>
      </c>
      <c r="J3" s="95">
        <v>351</v>
      </c>
      <c r="K3" s="95">
        <v>5309</v>
      </c>
      <c r="L3" s="95">
        <v>6197</v>
      </c>
      <c r="M3" s="95">
        <v>5850</v>
      </c>
      <c r="N3" s="95">
        <v>4879</v>
      </c>
      <c r="O3" s="76" cm="1">
        <f t="array" ref="O3">IFERROR(IF(G3&gt;10,G3/C3*0.876,""),“”)</f>
        <v>0.431097421203438</v>
      </c>
      <c r="P3" s="76" cm="1">
        <f t="array" ref="P3">IFERROR(IF(H3&gt;10,H3/D3*0.876,""),“”)</f>
        <v>0.4088</v>
      </c>
      <c r="Q3" s="76" cm="1">
        <f t="array" ref="Q3">IFERROR(IF(I3&gt;10,I3/E3*0.876,""),“”)</f>
        <v>0.4790625</v>
      </c>
      <c r="R3" s="76" cm="1">
        <f t="array" ref="R3">IFERROR(IF(J3&gt;10,J3/F3*0.876,""),“”)</f>
        <v>0.396231958762887</v>
      </c>
      <c r="S3" s="77">
        <f t="shared" ref="S3:S34" si="0">IFERROR(IF((G3-I3)&gt;10,(G3-I3)/(C3-E3)*0.876,""),"")</f>
        <v>0.39740487804878</v>
      </c>
      <c r="U3" s="36" t="s">
        <v>234</v>
      </c>
      <c r="V3" s="36" t="s">
        <v>295</v>
      </c>
      <c r="W3" s="51">
        <f>SUMIFS($K:$K,$A:$A,$U3,$B:$B,W$2)/8760</f>
        <v>0.606050228310502</v>
      </c>
      <c r="X3" s="51">
        <f t="shared" ref="X3:AB18" si="1">SUMIFS($K:$K,$A:$A,$U3,$B:$B,X$2)/8760</f>
        <v>0.606735159817352</v>
      </c>
      <c r="Y3" s="51">
        <f t="shared" si="1"/>
        <v>0.589611872146119</v>
      </c>
      <c r="Z3" s="51">
        <f t="shared" si="1"/>
        <v>0.593721461187215</v>
      </c>
      <c r="AA3" s="51">
        <f t="shared" si="1"/>
        <v>0.593150684931507</v>
      </c>
      <c r="AB3" s="51">
        <f t="shared" si="1"/>
        <v>0.562214611872146</v>
      </c>
      <c r="AC3" s="51">
        <f>SUMIFS($K:$K,$A:$A,$U3,$B:$B,AC$2)/8760</f>
        <v>0.531278538812785</v>
      </c>
    </row>
    <row r="4" ht="13" spans="1:29">
      <c r="A4" s="63" t="s">
        <v>235</v>
      </c>
      <c r="B4" s="36">
        <v>2016</v>
      </c>
      <c r="C4" s="96">
        <v>14</v>
      </c>
      <c r="D4" s="96">
        <v>1</v>
      </c>
      <c r="E4" s="96">
        <v>13</v>
      </c>
      <c r="F4" s="97"/>
      <c r="G4" s="96">
        <v>8</v>
      </c>
      <c r="H4" s="96">
        <v>1</v>
      </c>
      <c r="I4" s="96">
        <v>7</v>
      </c>
      <c r="J4" s="97"/>
      <c r="K4" s="96">
        <v>5716</v>
      </c>
      <c r="L4" s="96">
        <v>7496</v>
      </c>
      <c r="M4" s="96">
        <v>5579</v>
      </c>
      <c r="N4" s="97"/>
      <c r="O4" s="51" t="str" cm="1">
        <f t="array" ref="O4">IFERROR(IF(G4&gt;10,G4/C4*0.876,""),“”)</f>
        <v/>
      </c>
      <c r="P4" s="51" t="str" cm="1">
        <f t="array" ref="P4">IFERROR(IF(H4&gt;10,H4/D4*0.876,""),“”)</f>
        <v/>
      </c>
      <c r="Q4" s="51" t="str" cm="1">
        <f t="array" ref="Q4">IFERROR(IF(I4&gt;10,I4/E4*0.876,""),“”)</f>
        <v/>
      </c>
      <c r="R4" s="51" t="str" cm="1">
        <f t="array" ref="R4">IFERROR(IF(J4&gt;10,J4/F4*0.876,""),“”)</f>
        <v/>
      </c>
      <c r="S4" s="78" t="str">
        <f t="shared" si="0"/>
        <v/>
      </c>
      <c r="U4" s="36" t="s">
        <v>235</v>
      </c>
      <c r="V4" s="36" t="s">
        <v>295</v>
      </c>
      <c r="W4" s="51">
        <f t="shared" ref="W4:AB34" si="2">SUMIFS($K:$K,$A:$A,$U4,$B:$B,W$2)/8760</f>
        <v>0.652511415525114</v>
      </c>
      <c r="X4" s="51">
        <f t="shared" si="1"/>
        <v>0.717922374429224</v>
      </c>
      <c r="Y4" s="51">
        <f t="shared" si="1"/>
        <v>0.771004566210046</v>
      </c>
      <c r="Z4" s="51">
        <f t="shared" si="1"/>
        <v>0.719748858447489</v>
      </c>
      <c r="AA4" s="51">
        <f t="shared" si="1"/>
        <v>0.722831050228311</v>
      </c>
      <c r="AB4" s="51">
        <f t="shared" si="1"/>
        <v>0.759703196347032</v>
      </c>
      <c r="AC4" s="51">
        <f>SUMIFS($K:$K,$A:$A,$U4,$B:$B,AC$2)/8760</f>
        <v>0.786187214611872</v>
      </c>
    </row>
    <row r="5" ht="13" spans="1:29">
      <c r="A5" s="63" t="s">
        <v>236</v>
      </c>
      <c r="B5" s="36">
        <v>2016</v>
      </c>
      <c r="C5" s="97">
        <v>10</v>
      </c>
      <c r="D5" s="97"/>
      <c r="E5" s="97">
        <v>10</v>
      </c>
      <c r="F5" s="97"/>
      <c r="G5" s="97">
        <v>5</v>
      </c>
      <c r="H5" s="97"/>
      <c r="I5" s="97">
        <v>5</v>
      </c>
      <c r="J5" s="97"/>
      <c r="K5" s="97">
        <v>4624</v>
      </c>
      <c r="L5" s="97"/>
      <c r="M5" s="97">
        <v>4624</v>
      </c>
      <c r="N5" s="97"/>
      <c r="O5" s="51" t="str" cm="1">
        <f t="array" ref="O5">IFERROR(IF(G5&gt;10,G5/C5*0.876,""),“”)</f>
        <v/>
      </c>
      <c r="P5" s="51" t="str" cm="1">
        <f t="array" ref="P5">IFERROR(IF(H5&gt;10,H5/D5*0.876,""),“”)</f>
        <v/>
      </c>
      <c r="Q5" s="51" t="str" cm="1">
        <f t="array" ref="Q5">IFERROR(IF(I5&gt;10,I5/E5*0.876,""),“”)</f>
        <v/>
      </c>
      <c r="R5" s="51" t="str" cm="1">
        <f t="array" ref="R5">IFERROR(IF(J5&gt;10,J5/F5*0.876,""),“”)</f>
        <v/>
      </c>
      <c r="S5" s="78" t="str">
        <f t="shared" si="0"/>
        <v/>
      </c>
      <c r="U5" s="36" t="s">
        <v>236</v>
      </c>
      <c r="V5" s="36" t="s">
        <v>295</v>
      </c>
      <c r="W5" s="51">
        <f t="shared" si="2"/>
        <v>0.527853881278539</v>
      </c>
      <c r="X5" s="51">
        <f t="shared" si="1"/>
        <v>0.58310502283105</v>
      </c>
      <c r="Y5" s="51">
        <f t="shared" si="1"/>
        <v>0.657191780821918</v>
      </c>
      <c r="Z5" s="51">
        <f t="shared" si="1"/>
        <v>0.697146118721461</v>
      </c>
      <c r="AA5" s="51">
        <f t="shared" si="1"/>
        <v>0.648972602739726</v>
      </c>
      <c r="AB5" s="51">
        <f t="shared" si="1"/>
        <v>0.506164383561644</v>
      </c>
      <c r="AC5" s="51">
        <f>SUMIFS($K:$K,$A:$A,$U5,$B:$B,AC$2)/8760</f>
        <v>0.502853881278539</v>
      </c>
    </row>
    <row r="6" ht="13" spans="1:29">
      <c r="A6" s="63" t="s">
        <v>237</v>
      </c>
      <c r="B6" s="36">
        <v>2016</v>
      </c>
      <c r="C6" s="96">
        <v>55</v>
      </c>
      <c r="D6" s="96">
        <v>1</v>
      </c>
      <c r="E6" s="96">
        <v>16</v>
      </c>
      <c r="F6" s="96">
        <v>38</v>
      </c>
      <c r="G6" s="96">
        <v>26</v>
      </c>
      <c r="H6" s="96">
        <v>0</v>
      </c>
      <c r="I6" s="96">
        <v>7</v>
      </c>
      <c r="J6" s="96">
        <v>19</v>
      </c>
      <c r="K6" s="96">
        <v>5406</v>
      </c>
      <c r="L6" s="97"/>
      <c r="M6" s="96">
        <v>4662</v>
      </c>
      <c r="N6" s="96">
        <v>5756</v>
      </c>
      <c r="O6" s="51" cm="1">
        <f t="array" ref="O6">IFERROR(IF(G6&gt;10,G6/C6*0.876,""),“”)</f>
        <v>0.414109090909091</v>
      </c>
      <c r="P6" s="51" t="str" cm="1">
        <f t="array" ref="P6">IFERROR(IF(H6&gt;10,H6/D6*0.876,""),“”)</f>
        <v/>
      </c>
      <c r="Q6" s="51" t="str" cm="1">
        <f t="array" ref="Q6">IFERROR(IF(I6&gt;10,I6/E6*0.876,""),“”)</f>
        <v/>
      </c>
      <c r="R6" s="51" cm="1">
        <f t="array" ref="R6">IFERROR(IF(J6&gt;10,J6/F6*0.876,""),“”)</f>
        <v>0.438</v>
      </c>
      <c r="S6" s="78">
        <f t="shared" si="0"/>
        <v>0.426769230769231</v>
      </c>
      <c r="U6" s="36" t="s">
        <v>237</v>
      </c>
      <c r="V6" s="36" t="s">
        <v>295</v>
      </c>
      <c r="W6" s="51">
        <f t="shared" si="2"/>
        <v>0.617123287671233</v>
      </c>
      <c r="X6" s="51">
        <f t="shared" si="1"/>
        <v>0.60513698630137</v>
      </c>
      <c r="Y6" s="51">
        <f t="shared" si="1"/>
        <v>0.603538812785388</v>
      </c>
      <c r="Z6" s="51">
        <f t="shared" si="1"/>
        <v>0.590296803652968</v>
      </c>
      <c r="AA6" s="51">
        <f t="shared" si="1"/>
        <v>0.591780821917808</v>
      </c>
      <c r="AB6" s="51">
        <f t="shared" si="1"/>
        <v>0.474315068493151</v>
      </c>
      <c r="AC6" s="51">
        <f>SUMIFS($K:$K,$A:$A,$U6,$B:$B,AC$2)/8760</f>
        <v>0.462899543378995</v>
      </c>
    </row>
    <row r="7" ht="13" spans="1:29">
      <c r="A7" s="63" t="s">
        <v>238</v>
      </c>
      <c r="B7" s="36">
        <v>2016</v>
      </c>
      <c r="C7" s="96">
        <v>44</v>
      </c>
      <c r="D7" s="96">
        <v>15</v>
      </c>
      <c r="E7" s="96">
        <v>11</v>
      </c>
      <c r="F7" s="96">
        <v>19</v>
      </c>
      <c r="G7" s="96">
        <v>22</v>
      </c>
      <c r="H7" s="96">
        <v>5</v>
      </c>
      <c r="I7" s="96">
        <v>6</v>
      </c>
      <c r="J7" s="96">
        <v>11</v>
      </c>
      <c r="K7" s="96">
        <v>5867</v>
      </c>
      <c r="L7" s="97"/>
      <c r="M7" s="96">
        <v>5768</v>
      </c>
      <c r="N7" s="96">
        <v>5924</v>
      </c>
      <c r="O7" s="51" cm="1">
        <f t="array" ref="O7">IFERROR(IF(G7&gt;10,G7/C7*0.876,""),“”)</f>
        <v>0.438</v>
      </c>
      <c r="P7" s="51" t="str" cm="1">
        <f t="array" ref="P7">IFERROR(IF(H7&gt;10,H7/D7*0.876,""),“”)</f>
        <v/>
      </c>
      <c r="Q7" s="51" t="str" cm="1">
        <f t="array" ref="Q7">IFERROR(IF(I7&gt;10,I7/E7*0.876,""),“”)</f>
        <v/>
      </c>
      <c r="R7" s="51" cm="1">
        <f t="array" ref="R7">IFERROR(IF(J7&gt;10,J7/F7*0.876,""),“”)</f>
        <v>0.507157894736842</v>
      </c>
      <c r="S7" s="78">
        <f t="shared" si="0"/>
        <v>0.424727272727273</v>
      </c>
      <c r="U7" s="36" t="s">
        <v>238</v>
      </c>
      <c r="V7" s="36" t="s">
        <v>295</v>
      </c>
      <c r="W7" s="51">
        <f t="shared" si="2"/>
        <v>0.669748858447489</v>
      </c>
      <c r="X7" s="51">
        <f t="shared" si="1"/>
        <v>0.644063926940639</v>
      </c>
      <c r="Y7" s="51">
        <f t="shared" si="1"/>
        <v>0.628538812785388</v>
      </c>
      <c r="Z7" s="51">
        <f t="shared" si="1"/>
        <v>0.642694063926941</v>
      </c>
      <c r="AA7" s="51">
        <f t="shared" si="1"/>
        <v>0.568036529680365</v>
      </c>
      <c r="AB7" s="51">
        <f t="shared" si="1"/>
        <v>0.429223744292237</v>
      </c>
      <c r="AC7" s="51">
        <f>SUMIFS($K:$K,$A:$A,$U7,$B:$B,AC$2)/8760</f>
        <v>0.457762557077626</v>
      </c>
    </row>
    <row r="8" ht="13" spans="1:29">
      <c r="A8" s="63" t="s">
        <v>239</v>
      </c>
      <c r="B8" s="36">
        <v>2016</v>
      </c>
      <c r="C8" s="96">
        <v>16</v>
      </c>
      <c r="D8" s="97"/>
      <c r="E8" s="96">
        <v>4</v>
      </c>
      <c r="F8" s="96">
        <v>12</v>
      </c>
      <c r="G8" s="96">
        <v>7</v>
      </c>
      <c r="H8" s="97"/>
      <c r="I8" s="96">
        <v>1</v>
      </c>
      <c r="J8" s="96">
        <v>7</v>
      </c>
      <c r="K8" s="96">
        <v>4672</v>
      </c>
      <c r="L8" s="97"/>
      <c r="M8" s="96">
        <v>2040</v>
      </c>
      <c r="N8" s="96">
        <v>5455</v>
      </c>
      <c r="O8" s="51" t="str" cm="1">
        <f t="array" ref="O8">IFERROR(IF(G8&gt;10,G8/C8*0.876,""),“”)</f>
        <v/>
      </c>
      <c r="P8" s="51" t="str" cm="1">
        <f t="array" ref="P8">IFERROR(IF(H8&gt;10,H8/D8*0.876,""),“”)</f>
        <v/>
      </c>
      <c r="Q8" s="51" t="str" cm="1">
        <f t="array" ref="Q8">IFERROR(IF(I8&gt;10,I8/E8*0.876,""),“”)</f>
        <v/>
      </c>
      <c r="R8" s="51" t="str" cm="1">
        <f t="array" ref="R8">IFERROR(IF(J8&gt;10,J8/F8*0.876,""),“”)</f>
        <v/>
      </c>
      <c r="S8" s="78" t="str">
        <f t="shared" si="0"/>
        <v/>
      </c>
      <c r="U8" s="36" t="s">
        <v>239</v>
      </c>
      <c r="V8" s="36" t="s">
        <v>295</v>
      </c>
      <c r="W8" s="51">
        <f t="shared" si="2"/>
        <v>0.533333333333333</v>
      </c>
      <c r="X8" s="51">
        <f t="shared" si="1"/>
        <v>0.533333333333333</v>
      </c>
      <c r="Y8" s="51">
        <f t="shared" si="1"/>
        <v>0.471689497716895</v>
      </c>
      <c r="Z8" s="51">
        <f t="shared" si="1"/>
        <v>0.475342465753425</v>
      </c>
      <c r="AA8" s="51">
        <f t="shared" si="1"/>
        <v>0.40148401826484</v>
      </c>
      <c r="AB8" s="51">
        <f t="shared" si="1"/>
        <v>0.394178082191781</v>
      </c>
      <c r="AC8" s="51">
        <f>SUMIFS($K:$K,$A:$A,$U8,$B:$B,AC$2)/8760</f>
        <v>0.343150684931507</v>
      </c>
    </row>
    <row r="9" ht="13" spans="1:29">
      <c r="A9" s="63" t="s">
        <v>240</v>
      </c>
      <c r="B9" s="36">
        <v>2016</v>
      </c>
      <c r="C9" s="96">
        <v>8</v>
      </c>
      <c r="D9" s="97"/>
      <c r="E9" s="96">
        <v>3</v>
      </c>
      <c r="F9" s="96">
        <v>5</v>
      </c>
      <c r="G9" s="96">
        <v>6</v>
      </c>
      <c r="H9" s="97"/>
      <c r="I9" s="96">
        <v>2</v>
      </c>
      <c r="J9" s="96">
        <v>3</v>
      </c>
      <c r="K9" s="96">
        <v>7046</v>
      </c>
      <c r="L9" s="97"/>
      <c r="M9" s="96">
        <v>7993</v>
      </c>
      <c r="N9" s="96">
        <v>6601</v>
      </c>
      <c r="O9" s="51" t="str" cm="1">
        <f t="array" ref="O9">IFERROR(IF(G9&gt;10,G9/C9*0.876,""),“”)</f>
        <v/>
      </c>
      <c r="P9" s="51" t="str" cm="1">
        <f t="array" ref="P9">IFERROR(IF(H9&gt;10,H9/D9*0.876,""),“”)</f>
        <v/>
      </c>
      <c r="Q9" s="51" t="str" cm="1">
        <f t="array" ref="Q9">IFERROR(IF(I9&gt;10,I9/E9*0.876,""),“”)</f>
        <v/>
      </c>
      <c r="R9" s="51" t="str" cm="1">
        <f t="array" ref="R9">IFERROR(IF(J9&gt;10,J9/F9*0.876,""),“”)</f>
        <v/>
      </c>
      <c r="S9" s="78" t="str">
        <f t="shared" si="0"/>
        <v/>
      </c>
      <c r="U9" s="36" t="s">
        <v>240</v>
      </c>
      <c r="V9" s="36" t="s">
        <v>295</v>
      </c>
      <c r="W9" s="51">
        <f t="shared" si="2"/>
        <v>0.804337899543379</v>
      </c>
      <c r="X9" s="51">
        <f t="shared" si="1"/>
        <v>0.717123287671233</v>
      </c>
      <c r="Y9" s="51">
        <f t="shared" si="1"/>
        <v>0.717237442922374</v>
      </c>
      <c r="Z9" s="51">
        <f t="shared" si="1"/>
        <v>0.6662100456621</v>
      </c>
      <c r="AA9" s="51">
        <f t="shared" si="1"/>
        <v>0.695776255707763</v>
      </c>
      <c r="AB9" s="51">
        <f t="shared" si="1"/>
        <v>0.540867579908676</v>
      </c>
      <c r="AC9" s="51">
        <f>SUMIFS($K:$K,$A:$A,$U9,$B:$B,AC$2)/8760</f>
        <v>0.472146118721461</v>
      </c>
    </row>
    <row r="10" ht="13" spans="1:29">
      <c r="A10" s="63" t="s">
        <v>241</v>
      </c>
      <c r="B10" s="36">
        <v>2016</v>
      </c>
      <c r="C10" s="96">
        <v>52</v>
      </c>
      <c r="D10" s="96">
        <v>0</v>
      </c>
      <c r="E10" s="96">
        <v>12</v>
      </c>
      <c r="F10" s="96">
        <v>40</v>
      </c>
      <c r="G10" s="96">
        <v>28</v>
      </c>
      <c r="H10" s="96">
        <v>0</v>
      </c>
      <c r="I10" s="96">
        <v>4</v>
      </c>
      <c r="J10" s="96">
        <v>23</v>
      </c>
      <c r="K10" s="96">
        <v>5511</v>
      </c>
      <c r="L10" s="97"/>
      <c r="M10" s="96">
        <v>3926</v>
      </c>
      <c r="N10" s="96">
        <v>5938</v>
      </c>
      <c r="O10" s="51" cm="1">
        <f t="array" ref="O10">IFERROR(IF(G10&gt;10,G10/C10*0.876,""),“”)</f>
        <v>0.471692307692308</v>
      </c>
      <c r="P10" s="51" t="str" cm="1">
        <f t="array" ref="P10">IFERROR(IF(H10&gt;10,H10/D10*0.876,""),“”)</f>
        <v/>
      </c>
      <c r="Q10" s="51" t="str" cm="1">
        <f t="array" ref="Q10">IFERROR(IF(I10&gt;10,I10/E10*0.876,""),“”)</f>
        <v/>
      </c>
      <c r="R10" s="51" cm="1">
        <f t="array" ref="R10">IFERROR(IF(J10&gt;10,J10/F10*0.876,""),“”)</f>
        <v>0.5037</v>
      </c>
      <c r="S10" s="78">
        <f t="shared" si="0"/>
        <v>0.5256</v>
      </c>
      <c r="U10" s="36" t="s">
        <v>241</v>
      </c>
      <c r="V10" s="36" t="s">
        <v>295</v>
      </c>
      <c r="W10" s="51">
        <f t="shared" si="2"/>
        <v>0.629109589041096</v>
      </c>
      <c r="X10" s="51">
        <f t="shared" si="1"/>
        <v>0.60958904109589</v>
      </c>
      <c r="Y10" s="51">
        <f t="shared" si="1"/>
        <v>0.522260273972603</v>
      </c>
      <c r="Z10" s="51">
        <f t="shared" si="1"/>
        <v>0.571575342465753</v>
      </c>
      <c r="AA10" s="51">
        <f t="shared" si="1"/>
        <v>0.502168949771689</v>
      </c>
      <c r="AB10" s="51">
        <f t="shared" si="1"/>
        <v>0.390296803652968</v>
      </c>
      <c r="AC10" s="51">
        <f>SUMIFS($K:$K,$A:$A,$U10,$B:$B,AC$2)/8760</f>
        <v>0.34634703196347</v>
      </c>
    </row>
    <row r="11" ht="13" spans="1:29">
      <c r="A11" s="63" t="s">
        <v>242</v>
      </c>
      <c r="B11" s="36">
        <v>2016</v>
      </c>
      <c r="C11" s="96">
        <v>80</v>
      </c>
      <c r="D11" s="96">
        <v>0</v>
      </c>
      <c r="E11" s="96">
        <v>7</v>
      </c>
      <c r="F11" s="96">
        <v>73</v>
      </c>
      <c r="G11" s="96">
        <v>39</v>
      </c>
      <c r="H11" s="96">
        <v>0</v>
      </c>
      <c r="I11" s="96">
        <v>2</v>
      </c>
      <c r="J11" s="96">
        <v>37</v>
      </c>
      <c r="K11" s="96">
        <v>5648</v>
      </c>
      <c r="L11" s="97"/>
      <c r="M11" s="96">
        <v>3750</v>
      </c>
      <c r="N11" s="96">
        <v>5828</v>
      </c>
      <c r="O11" s="51" cm="1">
        <f t="array" ref="O11">IFERROR(IF(G11&gt;10,G11/C11*0.876,""),“”)</f>
        <v>0.42705</v>
      </c>
      <c r="P11" s="51" t="str" cm="1">
        <f t="array" ref="P11">IFERROR(IF(H11&gt;10,H11/D11*0.876,""),“”)</f>
        <v/>
      </c>
      <c r="Q11" s="51" t="str" cm="1">
        <f t="array" ref="Q11">IFERROR(IF(I11&gt;10,I11/E11*0.876,""),“”)</f>
        <v/>
      </c>
      <c r="R11" s="51" cm="1">
        <f t="array" ref="R11">IFERROR(IF(J11&gt;10,J11/F11*0.876,""),“”)</f>
        <v>0.444</v>
      </c>
      <c r="S11" s="78">
        <f t="shared" si="0"/>
        <v>0.444</v>
      </c>
      <c r="U11" s="36" t="s">
        <v>242</v>
      </c>
      <c r="V11" s="36" t="s">
        <v>295</v>
      </c>
      <c r="W11" s="51">
        <f t="shared" si="2"/>
        <v>0.644748858447489</v>
      </c>
      <c r="X11" s="51">
        <f t="shared" si="1"/>
        <v>0.619292237442922</v>
      </c>
      <c r="Y11" s="51">
        <f t="shared" si="1"/>
        <v>0.6412100456621</v>
      </c>
      <c r="Z11" s="51">
        <f t="shared" si="1"/>
        <v>0.644292237442922</v>
      </c>
      <c r="AA11" s="51">
        <f t="shared" si="1"/>
        <v>0.633561643835616</v>
      </c>
      <c r="AB11" s="51">
        <f t="shared" si="1"/>
        <v>0.511415525114155</v>
      </c>
      <c r="AC11" s="51">
        <f>SUMIFS($K:$K,$A:$A,$U11,$B:$B,AC$2)/8760</f>
        <v>0.393949771689498</v>
      </c>
    </row>
    <row r="12" ht="13" spans="1:29">
      <c r="A12" s="63" t="s">
        <v>243</v>
      </c>
      <c r="B12" s="36">
        <v>2016</v>
      </c>
      <c r="C12" s="96">
        <v>24</v>
      </c>
      <c r="D12" s="96">
        <v>2</v>
      </c>
      <c r="E12" s="96">
        <v>22</v>
      </c>
      <c r="F12" s="97"/>
      <c r="G12" s="96">
        <v>15</v>
      </c>
      <c r="H12" s="96">
        <v>1</v>
      </c>
      <c r="I12" s="96">
        <v>14</v>
      </c>
      <c r="J12" s="97"/>
      <c r="K12" s="96">
        <v>7156</v>
      </c>
      <c r="L12" s="96">
        <v>7213</v>
      </c>
      <c r="M12" s="96">
        <v>7152</v>
      </c>
      <c r="N12" s="97"/>
      <c r="O12" s="51" cm="1">
        <f t="array" ref="O12">IFERROR(IF(G12&gt;10,G12/C12*0.876,""),“”)</f>
        <v>0.5475</v>
      </c>
      <c r="P12" s="51" t="str" cm="1">
        <f t="array" ref="P12">IFERROR(IF(H12&gt;10,H12/D12*0.876,""),“”)</f>
        <v/>
      </c>
      <c r="Q12" s="51" cm="1">
        <f t="array" ref="Q12">IFERROR(IF(I12&gt;10,I12/E12*0.876,""),“”)</f>
        <v>0.557454545454545</v>
      </c>
      <c r="R12" s="51" t="str" cm="1">
        <f t="array" ref="R12">IFERROR(IF(J12&gt;10,J12/F12*0.876,""),“”)</f>
        <v/>
      </c>
      <c r="S12" s="78" t="str">
        <f t="shared" si="0"/>
        <v/>
      </c>
      <c r="U12" s="36" t="s">
        <v>243</v>
      </c>
      <c r="V12" s="36" t="s">
        <v>295</v>
      </c>
      <c r="W12" s="51">
        <f t="shared" si="2"/>
        <v>0.81689497716895</v>
      </c>
      <c r="X12" s="51">
        <f t="shared" si="1"/>
        <v>0.828538812785388</v>
      </c>
      <c r="Y12" s="51">
        <f t="shared" si="1"/>
        <v>0.837557077625571</v>
      </c>
      <c r="Z12" s="51">
        <f t="shared" si="1"/>
        <v>0.881278538812785</v>
      </c>
      <c r="AA12" s="51">
        <f t="shared" si="1"/>
        <v>0.886872146118721</v>
      </c>
      <c r="AB12" s="51">
        <f t="shared" si="1"/>
        <v>0.779566210045662</v>
      </c>
      <c r="AC12" s="51">
        <f>SUMIFS($K:$K,$A:$A,$U12,$B:$B,AC$2)/8760</f>
        <v>0.697146118721461</v>
      </c>
    </row>
    <row r="13" ht="13" spans="1:29">
      <c r="A13" s="63" t="s">
        <v>244</v>
      </c>
      <c r="B13" s="36">
        <v>2016</v>
      </c>
      <c r="C13" s="96">
        <v>125</v>
      </c>
      <c r="D13" s="96">
        <v>2</v>
      </c>
      <c r="E13" s="96">
        <v>79</v>
      </c>
      <c r="F13" s="96">
        <v>44</v>
      </c>
      <c r="G13" s="96">
        <v>81</v>
      </c>
      <c r="H13" s="96">
        <v>1</v>
      </c>
      <c r="I13" s="96">
        <v>50</v>
      </c>
      <c r="J13" s="96">
        <v>30</v>
      </c>
      <c r="K13" s="96">
        <v>6841</v>
      </c>
      <c r="L13" s="96">
        <v>7835</v>
      </c>
      <c r="M13" s="96">
        <v>6670</v>
      </c>
      <c r="N13" s="96">
        <v>7129</v>
      </c>
      <c r="O13" s="51" cm="1">
        <f t="array" ref="O13">IFERROR(IF(G13&gt;10,G13/C13*0.876,""),“”)</f>
        <v>0.567648</v>
      </c>
      <c r="P13" s="51" t="str" cm="1">
        <f t="array" ref="P13">IFERROR(IF(H13&gt;10,H13/D13*0.876,""),“”)</f>
        <v/>
      </c>
      <c r="Q13" s="51" cm="1">
        <f t="array" ref="Q13">IFERROR(IF(I13&gt;10,I13/E13*0.876,""),“”)</f>
        <v>0.554430379746836</v>
      </c>
      <c r="R13" s="51" cm="1">
        <f t="array" ref="R13">IFERROR(IF(J13&gt;10,J13/F13*0.876,""),“”)</f>
        <v>0.597272727272727</v>
      </c>
      <c r="S13" s="78">
        <f t="shared" si="0"/>
        <v>0.590347826086957</v>
      </c>
      <c r="U13" s="36" t="s">
        <v>244</v>
      </c>
      <c r="V13" s="36" t="s">
        <v>295</v>
      </c>
      <c r="W13" s="51">
        <f t="shared" si="2"/>
        <v>0.780936073059361</v>
      </c>
      <c r="X13" s="51">
        <f t="shared" si="1"/>
        <v>0.76472602739726</v>
      </c>
      <c r="Y13" s="51">
        <f t="shared" si="1"/>
        <v>0.714954337899543</v>
      </c>
      <c r="Z13" s="51">
        <f t="shared" si="1"/>
        <v>0.738356164383562</v>
      </c>
      <c r="AA13" s="51">
        <f t="shared" si="1"/>
        <v>0.679223744292237</v>
      </c>
      <c r="AB13" s="51">
        <f t="shared" si="1"/>
        <v>0.602168949771689</v>
      </c>
      <c r="AC13" s="51">
        <f>SUMIFS($K:$K,$A:$A,$U13,$B:$B,AC$2)/8760</f>
        <v>0.537328767123288</v>
      </c>
    </row>
    <row r="14" ht="13" spans="1:29">
      <c r="A14" s="63" t="s">
        <v>245</v>
      </c>
      <c r="B14" s="36">
        <v>2016</v>
      </c>
      <c r="C14" s="96">
        <v>122</v>
      </c>
      <c r="D14" s="96">
        <v>1</v>
      </c>
      <c r="E14" s="96">
        <v>102</v>
      </c>
      <c r="F14" s="96">
        <v>19</v>
      </c>
      <c r="G14" s="96">
        <v>71</v>
      </c>
      <c r="H14" s="96">
        <v>1</v>
      </c>
      <c r="I14" s="96">
        <v>61</v>
      </c>
      <c r="J14" s="96">
        <v>9</v>
      </c>
      <c r="K14" s="96">
        <v>6195</v>
      </c>
      <c r="L14" s="97"/>
      <c r="M14" s="96">
        <v>6379</v>
      </c>
      <c r="N14" s="96">
        <v>5184</v>
      </c>
      <c r="O14" s="51" cm="1">
        <f t="array" ref="O14">IFERROR(IF(G14&gt;10,G14/C14*0.876,""),“”)</f>
        <v>0.509803278688525</v>
      </c>
      <c r="P14" s="51" t="str" cm="1">
        <f t="array" ref="P14">IFERROR(IF(H14&gt;10,H14/D14*0.876,""),“”)</f>
        <v/>
      </c>
      <c r="Q14" s="51" cm="1">
        <f t="array" ref="Q14">IFERROR(IF(I14&gt;10,I14/E14*0.876,""),“”)</f>
        <v>0.523882352941176</v>
      </c>
      <c r="R14" s="51" t="str" cm="1">
        <f t="array" ref="R14">IFERROR(IF(J14&gt;10,J14/F14*0.876,""),“”)</f>
        <v/>
      </c>
      <c r="S14" s="78" t="str">
        <f t="shared" si="0"/>
        <v/>
      </c>
      <c r="U14" s="36" t="s">
        <v>245</v>
      </c>
      <c r="V14" s="36" t="s">
        <v>295</v>
      </c>
      <c r="W14" s="51">
        <f t="shared" si="2"/>
        <v>0.707191780821918</v>
      </c>
      <c r="X14" s="51">
        <f t="shared" si="1"/>
        <v>0.647945205479452</v>
      </c>
      <c r="Y14" s="51">
        <f t="shared" si="1"/>
        <v>0.657648401826484</v>
      </c>
      <c r="Z14" s="51">
        <f t="shared" si="1"/>
        <v>0.660730593607306</v>
      </c>
      <c r="AA14" s="51">
        <f t="shared" si="1"/>
        <v>0.613812785388128</v>
      </c>
      <c r="AB14" s="51">
        <f t="shared" si="1"/>
        <v>0.593721461187215</v>
      </c>
      <c r="AC14" s="51">
        <f>SUMIFS($K:$K,$A:$A,$U14,$B:$B,AC$2)/8760</f>
        <v>0.599200913242009</v>
      </c>
    </row>
    <row r="15" ht="13" spans="1:29">
      <c r="A15" s="63" t="s">
        <v>246</v>
      </c>
      <c r="B15" s="36">
        <v>2016</v>
      </c>
      <c r="C15" s="96">
        <v>95</v>
      </c>
      <c r="D15" s="96">
        <v>1</v>
      </c>
      <c r="E15" s="96">
        <v>29</v>
      </c>
      <c r="F15" s="96">
        <v>66</v>
      </c>
      <c r="G15" s="96">
        <v>55</v>
      </c>
      <c r="H15" s="96">
        <v>0</v>
      </c>
      <c r="I15" s="96">
        <v>17</v>
      </c>
      <c r="J15" s="96">
        <v>38</v>
      </c>
      <c r="K15" s="96">
        <v>6275</v>
      </c>
      <c r="L15" s="97"/>
      <c r="M15" s="96">
        <v>6393</v>
      </c>
      <c r="N15" s="96">
        <v>6227</v>
      </c>
      <c r="O15" s="51" cm="1">
        <f t="array" ref="O15">IFERROR(IF(G15&gt;10,G15/C15*0.876,""),“”)</f>
        <v>0.507157894736842</v>
      </c>
      <c r="P15" s="51" t="str" cm="1">
        <f t="array" ref="P15">IFERROR(IF(H15&gt;10,H15/D15*0.876,""),“”)</f>
        <v/>
      </c>
      <c r="Q15" s="51" cm="1">
        <f t="array" ref="Q15">IFERROR(IF(I15&gt;10,I15/E15*0.876,""),“”)</f>
        <v>0.51351724137931</v>
      </c>
      <c r="R15" s="51" cm="1">
        <f t="array" ref="R15">IFERROR(IF(J15&gt;10,J15/F15*0.876,""),“”)</f>
        <v>0.504363636363636</v>
      </c>
      <c r="S15" s="78">
        <f t="shared" si="0"/>
        <v>0.504363636363636</v>
      </c>
      <c r="U15" s="36" t="s">
        <v>246</v>
      </c>
      <c r="V15" s="36" t="s">
        <v>295</v>
      </c>
      <c r="W15" s="51">
        <f t="shared" si="2"/>
        <v>0.716324200913242</v>
      </c>
      <c r="X15" s="51">
        <f t="shared" si="1"/>
        <v>0.729566210045662</v>
      </c>
      <c r="Y15" s="51">
        <f t="shared" si="1"/>
        <v>0.57796803652968</v>
      </c>
      <c r="Z15" s="51">
        <f t="shared" si="1"/>
        <v>0.633561643835616</v>
      </c>
      <c r="AA15" s="51">
        <f t="shared" si="1"/>
        <v>0.632762557077626</v>
      </c>
      <c r="AB15" s="51">
        <f t="shared" si="1"/>
        <v>0.59189497716895</v>
      </c>
      <c r="AC15" s="51">
        <f>SUMIFS($K:$K,$A:$A,$U15,$B:$B,AC$2)/8760</f>
        <v>0.596803652968037</v>
      </c>
    </row>
    <row r="16" ht="13" spans="1:29">
      <c r="A16" s="63" t="s">
        <v>247</v>
      </c>
      <c r="B16" s="36">
        <v>2016</v>
      </c>
      <c r="C16" s="96">
        <v>36</v>
      </c>
      <c r="D16" s="96">
        <v>1</v>
      </c>
      <c r="E16" s="96">
        <v>30</v>
      </c>
      <c r="F16" s="96">
        <v>5</v>
      </c>
      <c r="G16" s="96">
        <v>22</v>
      </c>
      <c r="H16" s="96">
        <v>0</v>
      </c>
      <c r="I16" s="96">
        <v>19</v>
      </c>
      <c r="J16" s="96">
        <v>3</v>
      </c>
      <c r="K16" s="96">
        <v>6102</v>
      </c>
      <c r="L16" s="97"/>
      <c r="M16" s="96">
        <v>6212</v>
      </c>
      <c r="N16" s="96">
        <v>5496</v>
      </c>
      <c r="O16" s="51" cm="1">
        <f t="array" ref="O16">IFERROR(IF(G16&gt;10,G16/C16*0.876,""),“”)</f>
        <v>0.535333333333333</v>
      </c>
      <c r="P16" s="51" t="str" cm="1">
        <f t="array" ref="P16">IFERROR(IF(H16&gt;10,H16/D16*0.876,""),“”)</f>
        <v/>
      </c>
      <c r="Q16" s="51" cm="1">
        <f t="array" ref="Q16">IFERROR(IF(I16&gt;10,I16/E16*0.876,""),“”)</f>
        <v>0.5548</v>
      </c>
      <c r="R16" s="51" t="str" cm="1">
        <f t="array" ref="R16">IFERROR(IF(J16&gt;10,J16/F16*0.876,""),“”)</f>
        <v/>
      </c>
      <c r="S16" s="78" t="str">
        <f t="shared" si="0"/>
        <v/>
      </c>
      <c r="U16" s="36" t="s">
        <v>247</v>
      </c>
      <c r="V16" s="36" t="s">
        <v>295</v>
      </c>
      <c r="W16" s="51">
        <f t="shared" si="2"/>
        <v>0.696575342465753</v>
      </c>
      <c r="X16" s="51">
        <f t="shared" si="1"/>
        <v>0.700228310502283</v>
      </c>
      <c r="Y16" s="51">
        <f t="shared" si="1"/>
        <v>0.692694063926941</v>
      </c>
      <c r="Z16" s="51">
        <f t="shared" si="1"/>
        <v>0.685045662100457</v>
      </c>
      <c r="AA16" s="51">
        <f t="shared" si="1"/>
        <v>0.696004566210046</v>
      </c>
      <c r="AB16" s="51">
        <f t="shared" si="1"/>
        <v>0.674200913242009</v>
      </c>
      <c r="AC16" s="51">
        <f>SUMIFS($K:$K,$A:$A,$U16,$B:$B,AC$2)/8760</f>
        <v>0.657191780821918</v>
      </c>
    </row>
    <row r="17" ht="13" spans="1:29">
      <c r="A17" s="63" t="s">
        <v>248</v>
      </c>
      <c r="B17" s="36">
        <v>2016</v>
      </c>
      <c r="C17" s="96">
        <v>28</v>
      </c>
      <c r="D17" s="96">
        <v>0</v>
      </c>
      <c r="E17" s="96">
        <v>7</v>
      </c>
      <c r="F17" s="96">
        <v>20</v>
      </c>
      <c r="G17" s="96">
        <v>13</v>
      </c>
      <c r="H17" s="96">
        <v>0</v>
      </c>
      <c r="I17" s="96">
        <v>2</v>
      </c>
      <c r="J17" s="96">
        <v>11</v>
      </c>
      <c r="K17" s="96">
        <v>5313</v>
      </c>
      <c r="L17" s="97"/>
      <c r="M17" s="96">
        <v>3684</v>
      </c>
      <c r="N17" s="96">
        <v>5664</v>
      </c>
      <c r="O17" s="51" cm="1">
        <f t="array" ref="O17">IFERROR(IF(G17&gt;10,G17/C17*0.876,""),“”)</f>
        <v>0.406714285714286</v>
      </c>
      <c r="P17" s="51" t="str" cm="1">
        <f t="array" ref="P17">IFERROR(IF(H17&gt;10,H17/D17*0.876,""),“”)</f>
        <v/>
      </c>
      <c r="Q17" s="51" t="str" cm="1">
        <f t="array" ref="Q17">IFERROR(IF(I17&gt;10,I17/E17*0.876,""),“”)</f>
        <v/>
      </c>
      <c r="R17" s="51" cm="1">
        <f t="array" ref="R17">IFERROR(IF(J17&gt;10,J17/F17*0.876,""),“”)</f>
        <v>0.4818</v>
      </c>
      <c r="S17" s="78">
        <f t="shared" si="0"/>
        <v>0.458857142857143</v>
      </c>
      <c r="U17" s="36" t="s">
        <v>248</v>
      </c>
      <c r="V17" s="36" t="s">
        <v>295</v>
      </c>
      <c r="W17" s="51">
        <f t="shared" si="2"/>
        <v>0.606506849315068</v>
      </c>
      <c r="X17" s="51">
        <f t="shared" si="1"/>
        <v>0.697716894977169</v>
      </c>
      <c r="Y17" s="51">
        <f t="shared" si="1"/>
        <v>0.522260273972603</v>
      </c>
      <c r="Z17" s="51">
        <f t="shared" si="1"/>
        <v>0.578881278538813</v>
      </c>
      <c r="AA17" s="51">
        <f t="shared" si="1"/>
        <v>0.577397260273973</v>
      </c>
      <c r="AB17" s="51">
        <f t="shared" si="1"/>
        <v>0.600456621004566</v>
      </c>
      <c r="AC17" s="51">
        <f>SUMIFS($K:$K,$A:$A,$U17,$B:$B,AC$2)/8760</f>
        <v>0.583675799086758</v>
      </c>
    </row>
    <row r="18" ht="13" spans="1:29">
      <c r="A18" s="63" t="s">
        <v>249</v>
      </c>
      <c r="B18" s="36">
        <v>2016</v>
      </c>
      <c r="C18" s="96">
        <v>179</v>
      </c>
      <c r="D18" s="96">
        <v>6</v>
      </c>
      <c r="E18" s="96">
        <v>56</v>
      </c>
      <c r="F18" s="96">
        <v>117</v>
      </c>
      <c r="G18" s="96">
        <v>89</v>
      </c>
      <c r="H18" s="96">
        <v>3</v>
      </c>
      <c r="I18" s="96">
        <v>27</v>
      </c>
      <c r="J18" s="96">
        <v>59</v>
      </c>
      <c r="K18" s="96">
        <v>5521</v>
      </c>
      <c r="L18" s="96">
        <v>6498</v>
      </c>
      <c r="M18" s="96">
        <v>4883</v>
      </c>
      <c r="N18" s="96">
        <v>5818</v>
      </c>
      <c r="O18" s="51" cm="1">
        <f t="array" ref="O18">IFERROR(IF(G18&gt;10,G18/C18*0.876,""),“”)</f>
        <v>0.435553072625698</v>
      </c>
      <c r="P18" s="51" t="str" cm="1">
        <f t="array" ref="P18">IFERROR(IF(H18&gt;10,H18/D18*0.876,""),“”)</f>
        <v/>
      </c>
      <c r="Q18" s="51" cm="1">
        <f t="array" ref="Q18">IFERROR(IF(I18&gt;10,I18/E18*0.876,""),“”)</f>
        <v>0.422357142857143</v>
      </c>
      <c r="R18" s="51" cm="1">
        <f t="array" ref="R18">IFERROR(IF(J18&gt;10,J18/F18*0.876,""),“”)</f>
        <v>0.44174358974359</v>
      </c>
      <c r="S18" s="78">
        <f t="shared" si="0"/>
        <v>0.441560975609756</v>
      </c>
      <c r="U18" s="36" t="s">
        <v>249</v>
      </c>
      <c r="V18" s="36" t="s">
        <v>295</v>
      </c>
      <c r="W18" s="51">
        <f t="shared" si="2"/>
        <v>0.630251141552511</v>
      </c>
      <c r="X18" s="51">
        <f t="shared" si="1"/>
        <v>0.620205479452055</v>
      </c>
      <c r="Y18" s="51">
        <f t="shared" si="1"/>
        <v>0.632762557077626</v>
      </c>
      <c r="Z18" s="51">
        <f t="shared" si="1"/>
        <v>0.591666666666667</v>
      </c>
      <c r="AA18" s="51">
        <f t="shared" si="1"/>
        <v>0.580251141552511</v>
      </c>
      <c r="AB18" s="51">
        <f t="shared" si="1"/>
        <v>0.553424657534247</v>
      </c>
      <c r="AC18" s="51">
        <f>SUMIFS($K:$K,$A:$A,$U18,$B:$B,AC$2)/8760</f>
        <v>0.524086757990868</v>
      </c>
    </row>
    <row r="19" ht="13" spans="1:29">
      <c r="A19" s="63" t="s">
        <v>250</v>
      </c>
      <c r="B19" s="36">
        <v>2016</v>
      </c>
      <c r="C19" s="96">
        <v>47</v>
      </c>
      <c r="D19" s="97"/>
      <c r="E19" s="96">
        <v>8</v>
      </c>
      <c r="F19" s="96">
        <v>39</v>
      </c>
      <c r="G19" s="96">
        <v>23</v>
      </c>
      <c r="H19" s="97"/>
      <c r="I19" s="96">
        <v>4</v>
      </c>
      <c r="J19" s="96">
        <v>18</v>
      </c>
      <c r="K19" s="96">
        <v>4801</v>
      </c>
      <c r="L19" s="97"/>
      <c r="M19" s="96">
        <v>5007</v>
      </c>
      <c r="N19" s="96">
        <v>4768</v>
      </c>
      <c r="O19" s="51" cm="1">
        <f t="array" ref="O19">IFERROR(IF(G19&gt;10,G19/C19*0.876,""),“”)</f>
        <v>0.42868085106383</v>
      </c>
      <c r="P19" s="51" t="str" cm="1">
        <f t="array" ref="P19">IFERROR(IF(H19&gt;10,H19/D19*0.876,""),“”)</f>
        <v/>
      </c>
      <c r="Q19" s="51" t="str" cm="1">
        <f t="array" ref="Q19">IFERROR(IF(I19&gt;10,I19/E19*0.876,""),“”)</f>
        <v/>
      </c>
      <c r="R19" s="51" cm="1">
        <f t="array" ref="R19">IFERROR(IF(J19&gt;10,J19/F19*0.876,""),“”)</f>
        <v>0.404307692307692</v>
      </c>
      <c r="S19" s="78">
        <f t="shared" si="0"/>
        <v>0.426769230769231</v>
      </c>
      <c r="U19" s="36" t="s">
        <v>250</v>
      </c>
      <c r="V19" s="36" t="s">
        <v>295</v>
      </c>
      <c r="W19" s="51">
        <f t="shared" si="2"/>
        <v>0.548059360730594</v>
      </c>
      <c r="X19" s="51">
        <f t="shared" si="2"/>
        <v>0.519406392694064</v>
      </c>
      <c r="Y19" s="51">
        <f t="shared" si="2"/>
        <v>0.583675799086758</v>
      </c>
      <c r="Z19" s="51">
        <f t="shared" si="2"/>
        <v>0.609817351598174</v>
      </c>
      <c r="AA19" s="51">
        <f t="shared" si="2"/>
        <v>0.552283105022831</v>
      </c>
      <c r="AB19" s="51">
        <f t="shared" si="2"/>
        <v>0.499429223744292</v>
      </c>
      <c r="AC19" s="51">
        <f>SUMIFS($K:$K,$A:$A,$U19,$B:$B,AC$2)/8760</f>
        <v>0.54634703196347</v>
      </c>
    </row>
    <row r="20" ht="13" spans="1:29">
      <c r="A20" s="63" t="s">
        <v>251</v>
      </c>
      <c r="B20" s="36">
        <v>2016</v>
      </c>
      <c r="C20" s="96">
        <v>65</v>
      </c>
      <c r="D20" s="96">
        <v>1</v>
      </c>
      <c r="E20" s="96">
        <v>21</v>
      </c>
      <c r="F20" s="96">
        <v>43</v>
      </c>
      <c r="G20" s="96">
        <v>34</v>
      </c>
      <c r="H20" s="96">
        <v>0</v>
      </c>
      <c r="I20" s="96">
        <v>12</v>
      </c>
      <c r="J20" s="96">
        <v>22</v>
      </c>
      <c r="K20" s="96">
        <v>5331</v>
      </c>
      <c r="L20" s="97"/>
      <c r="M20" s="96">
        <v>6126</v>
      </c>
      <c r="N20" s="96">
        <v>4967</v>
      </c>
      <c r="O20" s="51" cm="1">
        <f t="array" ref="O20">IFERROR(IF(G20&gt;10,G20/C20*0.876,""),“”)</f>
        <v>0.458215384615385</v>
      </c>
      <c r="P20" s="51" t="str" cm="1">
        <f t="array" ref="P20">IFERROR(IF(H20&gt;10,H20/D20*0.876,""),“”)</f>
        <v/>
      </c>
      <c r="Q20" s="51" cm="1">
        <f t="array" ref="Q20">IFERROR(IF(I20&gt;10,I20/E20*0.876,""),“”)</f>
        <v>0.500571428571429</v>
      </c>
      <c r="R20" s="51" cm="1">
        <f t="array" ref="R20">IFERROR(IF(J20&gt;10,J20/F20*0.876,""),“”)</f>
        <v>0.448186046511628</v>
      </c>
      <c r="S20" s="78">
        <f t="shared" si="0"/>
        <v>0.438</v>
      </c>
      <c r="U20" s="36" t="s">
        <v>251</v>
      </c>
      <c r="V20" s="36" t="s">
        <v>295</v>
      </c>
      <c r="W20" s="51">
        <f t="shared" si="2"/>
        <v>0.608561643835616</v>
      </c>
      <c r="X20" s="51">
        <f t="shared" si="2"/>
        <v>0.613812785388128</v>
      </c>
      <c r="Y20" s="51">
        <f t="shared" si="2"/>
        <v>0.384931506849315</v>
      </c>
      <c r="Z20" s="51">
        <f t="shared" si="2"/>
        <v>0.393835616438356</v>
      </c>
      <c r="AA20" s="51">
        <f t="shared" si="2"/>
        <v>0.435388127853881</v>
      </c>
      <c r="AB20" s="51">
        <f t="shared" si="2"/>
        <v>0.413013698630137</v>
      </c>
      <c r="AC20" s="51">
        <f>SUMIFS($K:$K,$A:$A,$U20,$B:$B,AC$2)/8760</f>
        <v>0.462328767123288</v>
      </c>
    </row>
    <row r="21" ht="13" spans="1:29">
      <c r="A21" s="63" t="s">
        <v>252</v>
      </c>
      <c r="B21" s="36">
        <v>2016</v>
      </c>
      <c r="C21" s="96">
        <v>40</v>
      </c>
      <c r="D21" s="96">
        <v>9</v>
      </c>
      <c r="E21" s="96">
        <v>10</v>
      </c>
      <c r="F21" s="96">
        <v>21</v>
      </c>
      <c r="G21" s="96">
        <v>19</v>
      </c>
      <c r="H21" s="96">
        <v>6</v>
      </c>
      <c r="I21" s="96">
        <v>4</v>
      </c>
      <c r="J21" s="96">
        <v>9</v>
      </c>
      <c r="K21" s="96">
        <v>5185</v>
      </c>
      <c r="L21" s="96">
        <v>6120</v>
      </c>
      <c r="M21" s="96">
        <v>5423</v>
      </c>
      <c r="N21" s="96">
        <v>4665</v>
      </c>
      <c r="O21" s="51" cm="1">
        <f t="array" ref="O21">IFERROR(IF(G21&gt;10,G21/C21*0.876,""),“”)</f>
        <v>0.4161</v>
      </c>
      <c r="P21" s="51" t="str" cm="1">
        <f t="array" ref="P21">IFERROR(IF(H21&gt;10,H21/D21*0.876,""),“”)</f>
        <v/>
      </c>
      <c r="Q21" s="51" t="str" cm="1">
        <f t="array" ref="Q21">IFERROR(IF(I21&gt;10,I21/E21*0.876,""),“”)</f>
        <v/>
      </c>
      <c r="R21" s="51" t="str" cm="1">
        <f t="array" ref="R21">IFERROR(IF(J21&gt;10,J21/F21*0.876,""),“”)</f>
        <v/>
      </c>
      <c r="S21" s="78">
        <f t="shared" si="0"/>
        <v>0.438</v>
      </c>
      <c r="U21" s="36" t="s">
        <v>252</v>
      </c>
      <c r="V21" s="36" t="s">
        <v>295</v>
      </c>
      <c r="W21" s="51">
        <f t="shared" si="2"/>
        <v>0.59189497716895</v>
      </c>
      <c r="X21" s="51">
        <f t="shared" si="2"/>
        <v>0.633219178082192</v>
      </c>
      <c r="Y21" s="51">
        <f t="shared" si="2"/>
        <v>0.532077625570776</v>
      </c>
      <c r="Z21" s="51">
        <f t="shared" si="2"/>
        <v>0.520547945205479</v>
      </c>
      <c r="AA21" s="51">
        <f t="shared" si="2"/>
        <v>0.546803652968037</v>
      </c>
      <c r="AB21" s="51">
        <f t="shared" si="2"/>
        <v>0.572716894977169</v>
      </c>
      <c r="AC21" s="51">
        <f>SUMIFS($K:$K,$A:$A,$U21,$B:$B,AC$2)/8760</f>
        <v>0.577739726027397</v>
      </c>
    </row>
    <row r="22" ht="13" spans="1:29">
      <c r="A22" s="63" t="s">
        <v>253</v>
      </c>
      <c r="B22" s="36">
        <v>2016</v>
      </c>
      <c r="C22" s="96">
        <v>82</v>
      </c>
      <c r="D22" s="96">
        <v>4</v>
      </c>
      <c r="E22" s="96">
        <v>62</v>
      </c>
      <c r="F22" s="96">
        <v>16</v>
      </c>
      <c r="G22" s="96">
        <v>49</v>
      </c>
      <c r="H22" s="96">
        <v>2</v>
      </c>
      <c r="I22" s="96">
        <v>35</v>
      </c>
      <c r="J22" s="96">
        <v>11</v>
      </c>
      <c r="K22" s="96">
        <v>6101</v>
      </c>
      <c r="L22" s="96">
        <v>5119</v>
      </c>
      <c r="M22" s="96">
        <v>5942</v>
      </c>
      <c r="N22" s="96">
        <v>6943</v>
      </c>
      <c r="O22" s="51" cm="1">
        <f t="array" ref="O22">IFERROR(IF(G22&gt;10,G22/C22*0.876,""),“”)</f>
        <v>0.523463414634146</v>
      </c>
      <c r="P22" s="51" t="str" cm="1">
        <f t="array" ref="P22">IFERROR(IF(H22&gt;10,H22/D22*0.876,""),“”)</f>
        <v/>
      </c>
      <c r="Q22" s="51" cm="1">
        <f t="array" ref="Q22">IFERROR(IF(I22&gt;10,I22/E22*0.876,""),“”)</f>
        <v>0.494516129032258</v>
      </c>
      <c r="R22" s="51" cm="1">
        <f t="array" ref="R22">IFERROR(IF(J22&gt;10,J22/F22*0.876,""),“”)</f>
        <v>0.60225</v>
      </c>
      <c r="S22" s="78">
        <f t="shared" si="0"/>
        <v>0.6132</v>
      </c>
      <c r="U22" s="36" t="s">
        <v>253</v>
      </c>
      <c r="V22" s="36" t="s">
        <v>295</v>
      </c>
      <c r="W22" s="51">
        <f t="shared" si="2"/>
        <v>0.696461187214612</v>
      </c>
      <c r="X22" s="51">
        <f t="shared" si="2"/>
        <v>0.689840182648402</v>
      </c>
      <c r="Y22" s="51">
        <f t="shared" si="2"/>
        <v>0.767579908675799</v>
      </c>
      <c r="Z22" s="51">
        <f t="shared" si="2"/>
        <v>0.621461187214612</v>
      </c>
      <c r="AA22" s="51">
        <f t="shared" si="2"/>
        <v>0.688926940639269</v>
      </c>
      <c r="AB22" s="51">
        <f t="shared" si="2"/>
        <v>0.724315068493151</v>
      </c>
      <c r="AC22" s="51">
        <f>SUMIFS($K:$K,$A:$A,$U22,$B:$B,AC$2)/8760</f>
        <v>0.599657534246575</v>
      </c>
    </row>
    <row r="23" ht="13" spans="1:29">
      <c r="A23" s="63" t="s">
        <v>254</v>
      </c>
      <c r="B23" s="36">
        <v>2016</v>
      </c>
      <c r="C23" s="96">
        <v>163</v>
      </c>
      <c r="D23" s="97"/>
      <c r="E23" s="96">
        <v>8</v>
      </c>
      <c r="F23" s="96">
        <v>155</v>
      </c>
      <c r="G23" s="96">
        <v>30</v>
      </c>
      <c r="H23" s="97"/>
      <c r="I23" s="96">
        <v>3</v>
      </c>
      <c r="J23" s="96">
        <v>27</v>
      </c>
      <c r="K23" s="96">
        <v>1807</v>
      </c>
      <c r="L23" s="97"/>
      <c r="M23" s="96">
        <v>4411</v>
      </c>
      <c r="N23" s="96">
        <v>1693</v>
      </c>
      <c r="O23" s="51" cm="1">
        <f t="array" ref="O23">IFERROR(IF(G23&gt;10,G23/C23*0.876,""),“”)</f>
        <v>0.161226993865031</v>
      </c>
      <c r="P23" s="51" t="str" cm="1">
        <f t="array" ref="P23">IFERROR(IF(H23&gt;10,H23/D23*0.876,""),“”)</f>
        <v/>
      </c>
      <c r="Q23" s="51" t="str" cm="1">
        <f t="array" ref="Q23">IFERROR(IF(I23&gt;10,I23/E23*0.876,""),“”)</f>
        <v/>
      </c>
      <c r="R23" s="51" cm="1">
        <f t="array" ref="R23">IFERROR(IF(J23&gt;10,J23/F23*0.876,""),“”)</f>
        <v>0.152593548387097</v>
      </c>
      <c r="S23" s="78">
        <f t="shared" si="0"/>
        <v>0.152593548387097</v>
      </c>
      <c r="U23" s="36" t="s">
        <v>254</v>
      </c>
      <c r="V23" s="36" t="s">
        <v>295</v>
      </c>
      <c r="W23" s="51">
        <f>SUMIFS($K:$K,$A:$A,$U23,$B:$B,W$2)/8760</f>
        <v>0.206278538812785</v>
      </c>
      <c r="X23" s="51">
        <f t="shared" si="2"/>
        <v>0.239497716894977</v>
      </c>
      <c r="Y23" s="51">
        <f t="shared" si="2"/>
        <v>0.27796803652968</v>
      </c>
      <c r="Z23" s="51">
        <f t="shared" si="2"/>
        <v>0.32865296803653</v>
      </c>
      <c r="AA23" s="51">
        <f t="shared" si="2"/>
        <v>0.325913242009132</v>
      </c>
      <c r="AB23" s="51">
        <f t="shared" si="2"/>
        <v>0.366780821917808</v>
      </c>
      <c r="AC23" s="51">
        <f>SUMIFS($K:$K,$A:$A,$U23,$B:$B,AC$2)/8760</f>
        <v>0.344977168949772</v>
      </c>
    </row>
    <row r="24" ht="13" spans="1:29">
      <c r="A24" s="63" t="s">
        <v>255</v>
      </c>
      <c r="B24" s="36">
        <v>2016</v>
      </c>
      <c r="C24" s="96">
        <v>7</v>
      </c>
      <c r="D24" s="96">
        <v>0</v>
      </c>
      <c r="E24" s="96">
        <v>7</v>
      </c>
      <c r="F24" s="97"/>
      <c r="G24" s="96">
        <v>5</v>
      </c>
      <c r="H24" s="96">
        <v>0</v>
      </c>
      <c r="I24" s="96">
        <v>5</v>
      </c>
      <c r="J24" s="97"/>
      <c r="K24" s="96">
        <v>6785</v>
      </c>
      <c r="L24" s="97"/>
      <c r="M24" s="96">
        <v>6785</v>
      </c>
      <c r="N24" s="97"/>
      <c r="O24" s="51" t="str" cm="1">
        <f t="array" ref="O24">IFERROR(IF(G24&gt;10,G24/C24*0.876,""),“”)</f>
        <v/>
      </c>
      <c r="P24" s="51" t="str" cm="1">
        <f t="array" ref="P24">IFERROR(IF(H24&gt;10,H24/D24*0.876,""),“”)</f>
        <v/>
      </c>
      <c r="Q24" s="51" t="str" cm="1">
        <f t="array" ref="Q24">IFERROR(IF(I24&gt;10,I24/E24*0.876,""),“”)</f>
        <v/>
      </c>
      <c r="R24" s="51" t="str" cm="1">
        <f t="array" ref="R24">IFERROR(IF(J24&gt;10,J24/F24*0.876,""),“”)</f>
        <v/>
      </c>
      <c r="S24" s="78" t="str">
        <f t="shared" si="0"/>
        <v/>
      </c>
      <c r="U24" s="36" t="s">
        <v>255</v>
      </c>
      <c r="V24" s="36" t="s">
        <v>295</v>
      </c>
      <c r="W24" s="51">
        <f t="shared" si="2"/>
        <v>0.774543378995434</v>
      </c>
      <c r="X24" s="51">
        <f t="shared" si="2"/>
        <v>0.776027397260274</v>
      </c>
      <c r="Y24" s="51">
        <f t="shared" si="2"/>
        <v>0.699771689497717</v>
      </c>
      <c r="Z24" s="51">
        <f t="shared" si="2"/>
        <v>0.691095890410959</v>
      </c>
      <c r="AA24" s="51">
        <f t="shared" si="2"/>
        <v>0.638470319634703</v>
      </c>
      <c r="AB24" s="51">
        <f t="shared" si="2"/>
        <v>0.693949771689498</v>
      </c>
      <c r="AC24" s="51">
        <f>SUMIFS($K:$K,$A:$A,$U24,$B:$B,AC$2)/8760</f>
        <v>0.68972602739726</v>
      </c>
    </row>
    <row r="25" ht="13" spans="1:29">
      <c r="A25" s="63" t="s">
        <v>256</v>
      </c>
      <c r="B25" s="36">
        <v>2016</v>
      </c>
      <c r="C25" s="96">
        <v>15</v>
      </c>
      <c r="D25" s="96">
        <v>0</v>
      </c>
      <c r="E25" s="96">
        <v>10</v>
      </c>
      <c r="F25" s="96">
        <v>4</v>
      </c>
      <c r="G25" s="96">
        <v>8</v>
      </c>
      <c r="H25" s="96">
        <v>0</v>
      </c>
      <c r="I25" s="96">
        <v>6</v>
      </c>
      <c r="J25" s="96">
        <v>2</v>
      </c>
      <c r="K25" s="96">
        <v>5966</v>
      </c>
      <c r="L25" s="97"/>
      <c r="M25" s="96">
        <v>6787</v>
      </c>
      <c r="N25" s="96">
        <v>4227</v>
      </c>
      <c r="O25" s="51" t="str" cm="1">
        <f t="array" ref="O25">IFERROR(IF(G25&gt;10,G25/C25*0.876,""),“”)</f>
        <v/>
      </c>
      <c r="P25" s="51" t="str" cm="1">
        <f t="array" ref="P25">IFERROR(IF(H25&gt;10,H25/D25*0.876,""),“”)</f>
        <v/>
      </c>
      <c r="Q25" s="51" t="str" cm="1">
        <f t="array" ref="Q25">IFERROR(IF(I25&gt;10,I25/E25*0.876,""),“”)</f>
        <v/>
      </c>
      <c r="R25" s="51" t="str" cm="1">
        <f t="array" ref="R25">IFERROR(IF(J25&gt;10,J25/F25*0.876,""),“”)</f>
        <v/>
      </c>
      <c r="S25" s="78" t="str">
        <f t="shared" si="0"/>
        <v/>
      </c>
      <c r="U25" s="36" t="s">
        <v>256</v>
      </c>
      <c r="V25" s="36" t="s">
        <v>295</v>
      </c>
      <c r="W25" s="51">
        <f t="shared" si="2"/>
        <v>0.681050228310502</v>
      </c>
      <c r="X25" s="51">
        <f t="shared" si="2"/>
        <v>0.666666666666667</v>
      </c>
      <c r="Y25" s="51">
        <f t="shared" si="2"/>
        <v>0.531392694063927</v>
      </c>
      <c r="Z25" s="51">
        <f t="shared" si="2"/>
        <v>0.655365296803653</v>
      </c>
      <c r="AA25" s="51">
        <f t="shared" si="2"/>
        <v>0.73972602739726</v>
      </c>
      <c r="AB25" s="51">
        <f t="shared" si="2"/>
        <v>0.702853881278539</v>
      </c>
      <c r="AC25" s="51">
        <f>SUMIFS($K:$K,$A:$A,$U25,$B:$B,AC$2)/8760</f>
        <v>0.617237442922374</v>
      </c>
    </row>
    <row r="26" ht="13" spans="1:29">
      <c r="A26" s="63" t="s">
        <v>258</v>
      </c>
      <c r="B26" s="36">
        <v>2016</v>
      </c>
      <c r="C26" s="98">
        <v>30</v>
      </c>
      <c r="D26" s="97"/>
      <c r="E26" s="98">
        <v>27</v>
      </c>
      <c r="F26" s="98">
        <v>3</v>
      </c>
      <c r="G26" s="98">
        <v>14</v>
      </c>
      <c r="H26" s="97"/>
      <c r="I26" s="98">
        <v>12</v>
      </c>
      <c r="J26" s="98">
        <v>2</v>
      </c>
      <c r="K26" s="98">
        <v>5063</v>
      </c>
      <c r="L26" s="97"/>
      <c r="M26" s="98">
        <v>4951</v>
      </c>
      <c r="N26" s="98">
        <v>6180</v>
      </c>
      <c r="O26" s="51" cm="1">
        <f t="array" ref="O26">IFERROR(IF(G26&gt;10,G26/C26*0.876,""),“”)</f>
        <v>0.4088</v>
      </c>
      <c r="P26" s="51" t="str" cm="1">
        <f t="array" ref="P26">IFERROR(IF(H26&gt;10,H26/D26*0.876,""),“”)</f>
        <v/>
      </c>
      <c r="Q26" s="51" cm="1">
        <f t="array" ref="Q26">IFERROR(IF(I26&gt;10,I26/E26*0.876,""),“”)</f>
        <v>0.389333333333333</v>
      </c>
      <c r="R26" s="51" t="str" cm="1">
        <f t="array" ref="R26">IFERROR(IF(J26&gt;10,J26/F26*0.876,""),“”)</f>
        <v/>
      </c>
      <c r="S26" s="78" t="str">
        <f t="shared" si="0"/>
        <v/>
      </c>
      <c r="U26" s="36" t="s">
        <v>258</v>
      </c>
      <c r="V26" s="36" t="s">
        <v>295</v>
      </c>
      <c r="W26" s="51">
        <f t="shared" si="2"/>
        <v>0.57796803652968</v>
      </c>
      <c r="X26" s="51">
        <f t="shared" si="2"/>
        <v>0.624771689497717</v>
      </c>
      <c r="Y26" s="51">
        <f t="shared" si="2"/>
        <v>0.744520547945206</v>
      </c>
      <c r="Z26" s="51">
        <f t="shared" si="2"/>
        <v>0.79703196347032</v>
      </c>
      <c r="AA26" s="51">
        <f t="shared" si="2"/>
        <v>0.791438356164384</v>
      </c>
      <c r="AB26" s="51">
        <f t="shared" si="2"/>
        <v>0.762785388127854</v>
      </c>
      <c r="AC26" s="51">
        <f>SUMIFS($K:$K,$A:$A,$U26,$B:$B,AC$2)/8760</f>
        <v>0.763127853881279</v>
      </c>
    </row>
    <row r="27" ht="13" spans="1:29">
      <c r="A27" s="63" t="s">
        <v>259</v>
      </c>
      <c r="B27" s="36">
        <v>2016</v>
      </c>
      <c r="C27" s="96">
        <v>8</v>
      </c>
      <c r="D27" s="97"/>
      <c r="E27" s="96">
        <v>2</v>
      </c>
      <c r="F27" s="96">
        <v>6</v>
      </c>
      <c r="G27" s="96">
        <v>5</v>
      </c>
      <c r="H27" s="97"/>
      <c r="I27" s="96">
        <v>1</v>
      </c>
      <c r="J27" s="96">
        <v>3</v>
      </c>
      <c r="K27" s="96">
        <v>5387</v>
      </c>
      <c r="L27" s="97"/>
      <c r="M27" s="96">
        <v>5627</v>
      </c>
      <c r="N27" s="96">
        <v>5291</v>
      </c>
      <c r="O27" s="51" t="str" cm="1">
        <f t="array" ref="O27">IFERROR(IF(G27&gt;10,G27/C27*0.876,""),“”)</f>
        <v/>
      </c>
      <c r="P27" s="51" t="str" cm="1">
        <f t="array" ref="P27">IFERROR(IF(H27&gt;10,H27/D27*0.876,""),“”)</f>
        <v/>
      </c>
      <c r="Q27" s="51" t="str" cm="1">
        <f t="array" ref="Q27">IFERROR(IF(I27&gt;10,I27/E27*0.876,""),“”)</f>
        <v/>
      </c>
      <c r="R27" s="51" t="str" cm="1">
        <f t="array" ref="R27">IFERROR(IF(J27&gt;10,J27/F27*0.876,""),“”)</f>
        <v/>
      </c>
      <c r="S27" s="78" t="str">
        <f t="shared" si="0"/>
        <v/>
      </c>
      <c r="U27" s="36" t="s">
        <v>259</v>
      </c>
      <c r="V27" s="36" t="s">
        <v>295</v>
      </c>
      <c r="W27" s="51">
        <f t="shared" si="2"/>
        <v>0.614954337899543</v>
      </c>
      <c r="X27" s="51">
        <f t="shared" si="2"/>
        <v>0.440182648401826</v>
      </c>
      <c r="Y27" s="51">
        <f t="shared" si="2"/>
        <v>0.490639269406393</v>
      </c>
      <c r="Z27" s="51">
        <f t="shared" si="2"/>
        <v>0.454109589041096</v>
      </c>
      <c r="AA27" s="51">
        <f t="shared" si="2"/>
        <v>0.434703196347032</v>
      </c>
      <c r="AB27" s="51">
        <f t="shared" si="2"/>
        <v>0.50148401826484</v>
      </c>
      <c r="AC27" s="51">
        <f>SUMIFS($K:$K,$A:$A,$U27,$B:$B,AC$2)/8760</f>
        <v>0.550684931506849</v>
      </c>
    </row>
    <row r="28" ht="13" spans="1:29">
      <c r="A28" s="63" t="s">
        <v>260</v>
      </c>
      <c r="B28" s="36">
        <v>2016</v>
      </c>
      <c r="C28" s="98">
        <v>30</v>
      </c>
      <c r="D28" s="97"/>
      <c r="E28" s="98">
        <v>10</v>
      </c>
      <c r="F28" s="98">
        <v>20</v>
      </c>
      <c r="G28" s="98">
        <v>7</v>
      </c>
      <c r="H28" s="97"/>
      <c r="I28" s="98">
        <v>5</v>
      </c>
      <c r="J28" s="98">
        <v>2</v>
      </c>
      <c r="K28" s="98">
        <v>2767</v>
      </c>
      <c r="L28" s="97"/>
      <c r="M28" s="98">
        <v>5189</v>
      </c>
      <c r="N28" s="98">
        <v>1044</v>
      </c>
      <c r="O28" s="51" t="str" cm="1">
        <f t="array" ref="O28">IFERROR(IF(G28&gt;10,G28/C28*0.876,""),“”)</f>
        <v/>
      </c>
      <c r="P28" s="51" t="str" cm="1">
        <f t="array" ref="P28">IFERROR(IF(H28&gt;10,H28/D28*0.876,""),“”)</f>
        <v/>
      </c>
      <c r="Q28" s="51" t="str" cm="1">
        <f t="array" ref="Q28">IFERROR(IF(I28&gt;10,I28/E28*0.876,""),“”)</f>
        <v/>
      </c>
      <c r="R28" s="51" t="str" cm="1">
        <f t="array" ref="R28">IFERROR(IF(J28&gt;10,J28/F28*0.876,""),“”)</f>
        <v/>
      </c>
      <c r="S28" s="78" t="str">
        <f t="shared" si="0"/>
        <v/>
      </c>
      <c r="U28" s="36" t="s">
        <v>260</v>
      </c>
      <c r="V28" s="36" t="s">
        <v>295</v>
      </c>
      <c r="W28" s="51">
        <f t="shared" si="2"/>
        <v>0.315867579908676</v>
      </c>
      <c r="X28" s="51">
        <f t="shared" si="2"/>
        <v>0.33162100456621</v>
      </c>
      <c r="Y28" s="51">
        <f t="shared" si="2"/>
        <v>0.280821917808219</v>
      </c>
      <c r="Z28" s="51">
        <f t="shared" si="2"/>
        <v>0.245433789954338</v>
      </c>
      <c r="AA28" s="51">
        <f t="shared" si="2"/>
        <v>0.394406392694064</v>
      </c>
      <c r="AB28" s="51">
        <f t="shared" si="2"/>
        <v>0.340068493150685</v>
      </c>
      <c r="AC28" s="51">
        <f>SUMIFS($K:$K,$A:$A,$U28,$B:$B,AC$2)/8760</f>
        <v>0.421575342465753</v>
      </c>
    </row>
    <row r="29" ht="13" spans="1:29">
      <c r="A29" s="63" t="s">
        <v>261</v>
      </c>
      <c r="B29" s="36">
        <v>2016</v>
      </c>
      <c r="C29" s="97"/>
      <c r="D29" s="97"/>
      <c r="E29" s="97"/>
      <c r="F29" s="97"/>
      <c r="G29" s="97"/>
      <c r="H29" s="97"/>
      <c r="I29" s="97"/>
      <c r="J29" s="97"/>
      <c r="K29" s="97"/>
      <c r="L29" s="97"/>
      <c r="M29" s="97"/>
      <c r="N29" s="97"/>
      <c r="O29" s="51" t="str" cm="1">
        <f t="array" ref="O29">IFERROR(IF(G29&gt;10,G29/C29*0.876,""),“”)</f>
        <v/>
      </c>
      <c r="P29" s="51" t="str" cm="1">
        <f t="array" ref="P29">IFERROR(IF(H29&gt;10,H29/D29*0.876,""),“”)</f>
        <v/>
      </c>
      <c r="Q29" s="51" t="str" cm="1">
        <f t="array" ref="Q29">IFERROR(IF(I29&gt;10,I29/E29*0.876,""),“”)</f>
        <v/>
      </c>
      <c r="R29" s="51" t="str" cm="1">
        <f t="array" ref="R29">IFERROR(IF(J29&gt;10,J29/F29*0.876,""),“”)</f>
        <v/>
      </c>
      <c r="S29" s="78" t="str">
        <f t="shared" si="0"/>
        <v/>
      </c>
      <c r="U29" s="36" t="s">
        <v>261</v>
      </c>
      <c r="V29" s="36" t="s">
        <v>295</v>
      </c>
      <c r="W29" s="51">
        <f t="shared" si="2"/>
        <v>0</v>
      </c>
      <c r="X29" s="51">
        <f t="shared" si="2"/>
        <v>0</v>
      </c>
      <c r="Y29" s="51">
        <f t="shared" si="2"/>
        <v>0.498059360730594</v>
      </c>
      <c r="Z29" s="51">
        <f t="shared" si="2"/>
        <v>0.601826484018265</v>
      </c>
      <c r="AA29" s="51">
        <f t="shared" si="2"/>
        <v>0.415981735159817</v>
      </c>
      <c r="AB29" s="51">
        <f t="shared" si="2"/>
        <v>0.500570776255708</v>
      </c>
      <c r="AC29" s="51">
        <f>SUMIFS($K:$K,$A:$A,$U29,$B:$B,AC$2)/8760</f>
        <v>0.604908675799087</v>
      </c>
    </row>
    <row r="30" ht="13" spans="1:29">
      <c r="A30" s="63" t="s">
        <v>262</v>
      </c>
      <c r="B30" s="36">
        <v>2016</v>
      </c>
      <c r="C30" s="97">
        <v>2</v>
      </c>
      <c r="D30" s="97"/>
      <c r="E30" s="97">
        <v>2</v>
      </c>
      <c r="F30" s="97"/>
      <c r="G30" s="97">
        <v>1</v>
      </c>
      <c r="H30" s="97"/>
      <c r="I30" s="97">
        <v>1</v>
      </c>
      <c r="J30" s="97"/>
      <c r="K30" s="97">
        <v>2321</v>
      </c>
      <c r="L30" s="97"/>
      <c r="M30" s="97">
        <v>2321</v>
      </c>
      <c r="N30" s="97"/>
      <c r="O30" s="51" t="str" cm="1">
        <f t="array" ref="O30">IFERROR(IF(G30&gt;10,G30/C30*0.876,""),“”)</f>
        <v/>
      </c>
      <c r="P30" s="51" t="str" cm="1">
        <f t="array" ref="P30">IFERROR(IF(H30&gt;10,H30/D30*0.876,""),“”)</f>
        <v/>
      </c>
      <c r="Q30" s="51" t="str" cm="1">
        <f t="array" ref="Q30">IFERROR(IF(I30&gt;10,I30/E30*0.876,""),“”)</f>
        <v/>
      </c>
      <c r="R30" s="51" t="str" cm="1">
        <f t="array" ref="R30">IFERROR(IF(J30&gt;10,J30/F30*0.876,""),“”)</f>
        <v/>
      </c>
      <c r="S30" s="78" t="str">
        <f t="shared" si="0"/>
        <v/>
      </c>
      <c r="U30" s="36" t="s">
        <v>262</v>
      </c>
      <c r="V30" s="36" t="s">
        <v>295</v>
      </c>
      <c r="W30" s="51">
        <f t="shared" si="2"/>
        <v>0.264954337899543</v>
      </c>
      <c r="X30" s="51">
        <f t="shared" si="2"/>
        <v>0.462100456621005</v>
      </c>
      <c r="Y30" s="51">
        <f t="shared" si="2"/>
        <v>0.276712328767123</v>
      </c>
      <c r="Z30" s="51">
        <f t="shared" si="2"/>
        <v>0</v>
      </c>
      <c r="AA30" s="51">
        <f t="shared" si="2"/>
        <v>0.507420091324201</v>
      </c>
      <c r="AB30" s="51">
        <f t="shared" si="2"/>
        <v>0.575684931506849</v>
      </c>
      <c r="AC30" s="51">
        <f>SUMIFS($K:$K,$A:$A,$U30,$B:$B,AC$2)/8760</f>
        <v>0.555707762557078</v>
      </c>
    </row>
    <row r="31" ht="13" spans="1:29">
      <c r="A31" s="63" t="s">
        <v>263</v>
      </c>
      <c r="B31" s="36">
        <v>2016</v>
      </c>
      <c r="C31" s="96">
        <v>8</v>
      </c>
      <c r="D31" s="97"/>
      <c r="E31" s="96">
        <v>5</v>
      </c>
      <c r="F31" s="96">
        <v>3</v>
      </c>
      <c r="G31" s="96">
        <v>2</v>
      </c>
      <c r="H31" s="97"/>
      <c r="I31" s="96">
        <v>1</v>
      </c>
      <c r="J31" s="96">
        <v>1</v>
      </c>
      <c r="K31" s="96">
        <v>4682</v>
      </c>
      <c r="L31" s="97"/>
      <c r="M31" s="96">
        <v>5825</v>
      </c>
      <c r="N31" s="96">
        <v>4352</v>
      </c>
      <c r="O31" s="51" t="str" cm="1">
        <f t="array" ref="O31">IFERROR(IF(G31&gt;10,G31/C31*0.876,""),“”)</f>
        <v/>
      </c>
      <c r="P31" s="51" t="str" cm="1">
        <f t="array" ref="P31">IFERROR(IF(H31&gt;10,H31/D31*0.876,""),“”)</f>
        <v/>
      </c>
      <c r="Q31" s="51" t="str" cm="1">
        <f t="array" ref="Q31">IFERROR(IF(I31&gt;10,I31/E31*0.876,""),“”)</f>
        <v/>
      </c>
      <c r="R31" s="51" t="str" cm="1">
        <f t="array" ref="R31">IFERROR(IF(J31&gt;10,J31/F31*0.876,""),“”)</f>
        <v/>
      </c>
      <c r="S31" s="78" t="str">
        <f t="shared" si="0"/>
        <v/>
      </c>
      <c r="U31" s="36" t="s">
        <v>263</v>
      </c>
      <c r="V31" s="36" t="s">
        <v>295</v>
      </c>
      <c r="W31" s="51">
        <f t="shared" si="2"/>
        <v>0.534474885844749</v>
      </c>
      <c r="X31" s="51">
        <f t="shared" si="2"/>
        <v>0.632191780821918</v>
      </c>
      <c r="Y31" s="51">
        <f t="shared" si="2"/>
        <v>0.569406392694064</v>
      </c>
      <c r="Z31" s="51">
        <f t="shared" si="2"/>
        <v>0.67134703196347</v>
      </c>
      <c r="AA31" s="51">
        <f t="shared" si="2"/>
        <v>0.659360730593607</v>
      </c>
      <c r="AB31" s="51">
        <f t="shared" si="2"/>
        <v>0.660388127853881</v>
      </c>
      <c r="AC31" s="51">
        <f>SUMIFS($K:$K,$A:$A,$U31,$B:$B,AC$2)/8760</f>
        <v>0.544063926940639</v>
      </c>
    </row>
    <row r="32" ht="13" spans="1:29">
      <c r="A32" s="63" t="s">
        <v>264</v>
      </c>
      <c r="B32" s="36">
        <v>2016</v>
      </c>
      <c r="C32" s="97"/>
      <c r="D32" s="97"/>
      <c r="E32" s="97"/>
      <c r="F32" s="97"/>
      <c r="G32" s="97"/>
      <c r="H32" s="97"/>
      <c r="I32" s="97"/>
      <c r="J32" s="97"/>
      <c r="K32" s="97"/>
      <c r="L32" s="97"/>
      <c r="M32" s="97"/>
      <c r="N32" s="97"/>
      <c r="O32" s="51" t="str" cm="1">
        <f t="array" ref="O32">IFERROR(IF(G32&gt;10,G32/C32*0.876,""),“”)</f>
        <v/>
      </c>
      <c r="P32" s="51" t="str" cm="1">
        <f t="array" ref="P32">IFERROR(IF(H32&gt;10,H32/D32*0.876,""),“”)</f>
        <v/>
      </c>
      <c r="Q32" s="51" t="str" cm="1">
        <f t="array" ref="Q32">IFERROR(IF(I32&gt;10,I32/E32*0.876,""),“”)</f>
        <v/>
      </c>
      <c r="R32" s="51" t="str" cm="1">
        <f t="array" ref="R32">IFERROR(IF(J32&gt;10,J32/F32*0.876,""),“”)</f>
        <v/>
      </c>
      <c r="S32" s="78" t="str">
        <f t="shared" si="0"/>
        <v/>
      </c>
      <c r="U32" s="36" t="s">
        <v>264</v>
      </c>
      <c r="V32" s="36" t="s">
        <v>295</v>
      </c>
      <c r="W32" s="51">
        <f t="shared" si="2"/>
        <v>0</v>
      </c>
      <c r="X32" s="51">
        <f t="shared" si="2"/>
        <v>0</v>
      </c>
      <c r="Y32" s="51">
        <f t="shared" si="2"/>
        <v>0</v>
      </c>
      <c r="Z32" s="51">
        <f t="shared" si="2"/>
        <v>0</v>
      </c>
      <c r="AA32" s="51">
        <f t="shared" si="2"/>
        <v>0</v>
      </c>
      <c r="AB32" s="51">
        <f t="shared" si="2"/>
        <v>0</v>
      </c>
      <c r="AC32" s="51">
        <f>SUMIFS($K:$K,$A:$A,$U32,$B:$B,AC$2)/8760</f>
        <v>0</v>
      </c>
    </row>
    <row r="33" ht="13" spans="1:29">
      <c r="A33" s="63" t="s">
        <v>265</v>
      </c>
      <c r="B33" s="36">
        <v>2016</v>
      </c>
      <c r="C33" s="96">
        <v>7</v>
      </c>
      <c r="D33" s="97"/>
      <c r="E33" s="96">
        <v>2</v>
      </c>
      <c r="F33" s="96">
        <v>5</v>
      </c>
      <c r="G33" s="96">
        <v>3</v>
      </c>
      <c r="H33" s="97"/>
      <c r="I33" s="96">
        <v>2</v>
      </c>
      <c r="J33" s="96">
        <v>1</v>
      </c>
      <c r="K33" s="96">
        <v>4265</v>
      </c>
      <c r="L33" s="97"/>
      <c r="M33" s="96">
        <v>6275</v>
      </c>
      <c r="N33" s="96">
        <v>3214</v>
      </c>
      <c r="O33" s="51" t="str" cm="1">
        <f t="array" ref="O33">IFERROR(IF(G33&gt;10,G33/C33*0.876,""),“”)</f>
        <v/>
      </c>
      <c r="P33" s="51" t="str" cm="1">
        <f t="array" ref="P33">IFERROR(IF(H33&gt;10,H33/D33*0.876,""),“”)</f>
        <v/>
      </c>
      <c r="Q33" s="51" t="str" cm="1">
        <f t="array" ref="Q33">IFERROR(IF(I33&gt;10,I33/E33*0.876,""),“”)</f>
        <v/>
      </c>
      <c r="R33" s="51" t="str" cm="1">
        <f t="array" ref="R33">IFERROR(IF(J33&gt;10,J33/F33*0.876,""),“”)</f>
        <v/>
      </c>
      <c r="S33" s="78" t="str">
        <f t="shared" si="0"/>
        <v/>
      </c>
      <c r="U33" s="36" t="s">
        <v>265</v>
      </c>
      <c r="V33" s="36" t="s">
        <v>295</v>
      </c>
      <c r="W33" s="51">
        <f t="shared" si="2"/>
        <v>0.486872146118721</v>
      </c>
      <c r="X33" s="51">
        <f t="shared" si="2"/>
        <v>0.334931506849315</v>
      </c>
      <c r="Y33" s="51">
        <f t="shared" si="2"/>
        <v>0.252739726027397</v>
      </c>
      <c r="Z33" s="51">
        <f t="shared" si="2"/>
        <v>0.271575342465753</v>
      </c>
      <c r="AA33" s="51">
        <f t="shared" si="2"/>
        <v>0.283447488584475</v>
      </c>
      <c r="AB33" s="51">
        <f t="shared" si="2"/>
        <v>0.292922374429224</v>
      </c>
      <c r="AC33" s="51">
        <f>SUMIFS($K:$K,$A:$A,$U33,$B:$B,AC$2)/8760</f>
        <v>0.389041095890411</v>
      </c>
    </row>
    <row r="34" ht="13.75" spans="1:29">
      <c r="A34" s="65" t="s">
        <v>266</v>
      </c>
      <c r="B34" s="66">
        <v>2016</v>
      </c>
      <c r="C34" s="99">
        <v>3</v>
      </c>
      <c r="D34" s="100"/>
      <c r="E34" s="100"/>
      <c r="F34" s="99">
        <v>3</v>
      </c>
      <c r="G34" s="99">
        <v>2</v>
      </c>
      <c r="H34" s="100"/>
      <c r="I34" s="100"/>
      <c r="J34" s="99">
        <v>2</v>
      </c>
      <c r="K34" s="99">
        <v>6846</v>
      </c>
      <c r="L34" s="100"/>
      <c r="M34" s="100"/>
      <c r="N34" s="99">
        <v>6846</v>
      </c>
      <c r="O34" s="79" t="str" cm="1">
        <f t="array" ref="O34">IFERROR(IF(G34&gt;10,G34/C34*0.876,""),“”)</f>
        <v/>
      </c>
      <c r="P34" s="79" t="str" cm="1">
        <f t="array" ref="P34">IFERROR(IF(H34&gt;10,H34/D34*0.876,""),“”)</f>
        <v/>
      </c>
      <c r="Q34" s="79" t="str" cm="1">
        <f t="array" ref="Q34">IFERROR(IF(I34&gt;10,I34/E34*0.876,""),“”)</f>
        <v/>
      </c>
      <c r="R34" s="79" t="str" cm="1">
        <f t="array" ref="R34">IFERROR(IF(J34&gt;10,J34/F34*0.876,""),“”)</f>
        <v/>
      </c>
      <c r="S34" s="80" t="str">
        <f t="shared" si="0"/>
        <v/>
      </c>
      <c r="U34" s="36" t="s">
        <v>266</v>
      </c>
      <c r="V34" s="36" t="s">
        <v>295</v>
      </c>
      <c r="W34" s="51">
        <f t="shared" si="2"/>
        <v>0.781506849315069</v>
      </c>
      <c r="X34" s="51">
        <f t="shared" si="2"/>
        <v>0.79486301369863</v>
      </c>
      <c r="Y34" s="51">
        <f t="shared" si="2"/>
        <v>0.806849315068493</v>
      </c>
      <c r="Z34" s="51">
        <f t="shared" si="2"/>
        <v>0.68824200913242</v>
      </c>
      <c r="AA34" s="51">
        <f t="shared" si="2"/>
        <v>0.561187214611872</v>
      </c>
      <c r="AB34" s="51">
        <f t="shared" si="2"/>
        <v>0.561073059360731</v>
      </c>
      <c r="AC34" s="51">
        <f>SUMIFS($K:$K,$A:$A,$U34,$B:$B,AC$2)/8760</f>
        <v>0.563127853881279</v>
      </c>
    </row>
    <row r="35" ht="13" spans="1:29">
      <c r="A35" s="101" t="s">
        <v>234</v>
      </c>
      <c r="B35" s="102">
        <v>2017</v>
      </c>
      <c r="C35" s="103">
        <v>1651</v>
      </c>
      <c r="D35" s="103">
        <v>47</v>
      </c>
      <c r="E35" s="103">
        <v>731</v>
      </c>
      <c r="F35" s="103">
        <v>872</v>
      </c>
      <c r="G35" s="103">
        <v>813</v>
      </c>
      <c r="H35" s="103">
        <v>18</v>
      </c>
      <c r="I35" s="103">
        <v>380</v>
      </c>
      <c r="J35" s="103">
        <v>415</v>
      </c>
      <c r="K35" s="103">
        <v>5315</v>
      </c>
      <c r="L35" s="103">
        <v>5023</v>
      </c>
      <c r="M35" s="103">
        <v>5680</v>
      </c>
      <c r="N35" s="109">
        <v>5027</v>
      </c>
      <c r="O35" s="110" cm="1">
        <f t="array" ref="O35">IFERROR(IF(G35&gt;10,G35/C35*0.876,""),“”)</f>
        <v>0.431367655966081</v>
      </c>
      <c r="P35" s="110" cm="1">
        <f t="array" ref="P35">IFERROR(IF(H35&gt;10,H35/D35*0.876,""),“”)</f>
        <v>0.335489361702128</v>
      </c>
      <c r="Q35" s="110" cm="1">
        <f t="array" ref="Q35">IFERROR(IF(I35&gt;10,I35/E35*0.876,""),“”)</f>
        <v>0.455376196990424</v>
      </c>
      <c r="R35" s="110" cm="1">
        <f t="array" ref="R35">IFERROR(IF(J35&gt;10,J35/F35*0.876,""),“”)</f>
        <v>0.416903669724771</v>
      </c>
      <c r="S35" s="115">
        <f t="shared" ref="S35:S66" si="3">IFERROR(IF((G35-I35)&gt;10,(G35-I35)/(C35-E35)*0.876,""),"")</f>
        <v>0.412291304347826</v>
      </c>
      <c r="U35" s="36" t="s">
        <v>234</v>
      </c>
      <c r="V35" s="36" t="s">
        <v>296</v>
      </c>
      <c r="W35" s="51">
        <f>SUMIFS($M:$M,$A:$A,$U35,$B:$B,W$2)/8760</f>
        <v>0.667808219178082</v>
      </c>
      <c r="X35" s="51">
        <f t="shared" ref="X35:AB50" si="4">SUMIFS($M:$M,$A:$A,$U35,$B:$B,X$2)/8760</f>
        <v>0.648401826484018</v>
      </c>
      <c r="Y35" s="51">
        <f t="shared" si="4"/>
        <v>0.670890410958904</v>
      </c>
      <c r="Z35" s="51">
        <f t="shared" si="4"/>
        <v>0.665639269406393</v>
      </c>
      <c r="AA35" s="51">
        <f t="shared" si="4"/>
        <v>0.673059360730594</v>
      </c>
      <c r="AB35" s="51">
        <f t="shared" si="4"/>
        <v>0.674315068493151</v>
      </c>
      <c r="AC35" s="51">
        <f>SUMIFS($M:$M,$A:$A,$U35,$B:$B,AC$2)/8760</f>
        <v>0.634931506849315</v>
      </c>
    </row>
    <row r="36" ht="13" spans="1:29">
      <c r="A36" s="63" t="s">
        <v>235</v>
      </c>
      <c r="B36" s="36">
        <v>2017</v>
      </c>
      <c r="C36" s="44">
        <v>21</v>
      </c>
      <c r="D36" s="44">
        <v>1</v>
      </c>
      <c r="E36" s="44">
        <v>20</v>
      </c>
      <c r="F36" s="46"/>
      <c r="G36" s="44">
        <v>13</v>
      </c>
      <c r="H36" s="44">
        <v>1</v>
      </c>
      <c r="I36" s="44">
        <v>12</v>
      </c>
      <c r="J36" s="46"/>
      <c r="K36" s="44">
        <v>6289</v>
      </c>
      <c r="L36" s="44">
        <v>7258</v>
      </c>
      <c r="M36" s="44">
        <v>6239</v>
      </c>
      <c r="N36" s="111"/>
      <c r="O36" s="51" cm="1">
        <f t="array" ref="O36">IFERROR(IF(G36&gt;10,G36/C36*0.876,""),“”)</f>
        <v>0.542285714285714</v>
      </c>
      <c r="P36" s="51" t="str" cm="1">
        <f t="array" ref="P36">IFERROR(IF(H36&gt;10,H36/D36*0.876,""),“”)</f>
        <v/>
      </c>
      <c r="Q36" s="51" cm="1">
        <f t="array" ref="Q36">IFERROR(IF(I36&gt;10,I36/E36*0.876,""),“”)</f>
        <v>0.5256</v>
      </c>
      <c r="R36" s="51" t="str" cm="1">
        <f t="array" ref="R36">IFERROR(IF(J36&gt;10,J36/F36*0.876,""),“”)</f>
        <v/>
      </c>
      <c r="S36" s="78" t="str">
        <f t="shared" si="3"/>
        <v/>
      </c>
      <c r="U36" s="36" t="s">
        <v>235</v>
      </c>
      <c r="V36" s="36" t="s">
        <v>296</v>
      </c>
      <c r="W36" s="51">
        <f t="shared" ref="W36:AB66" si="5">SUMIFS($M:$M,$A:$A,$U36,$B:$B,W$2)/8760</f>
        <v>0.636872146118721</v>
      </c>
      <c r="X36" s="51">
        <f t="shared" si="4"/>
        <v>0.712214611872146</v>
      </c>
      <c r="Y36" s="51">
        <f t="shared" si="4"/>
        <v>0.771004566210046</v>
      </c>
      <c r="Z36" s="51">
        <f t="shared" si="4"/>
        <v>0.719748858447489</v>
      </c>
      <c r="AA36" s="51">
        <f t="shared" si="4"/>
        <v>0.727054794520548</v>
      </c>
      <c r="AB36" s="51">
        <f t="shared" si="4"/>
        <v>0.779908675799087</v>
      </c>
      <c r="AC36" s="51">
        <f>SUMIFS($M:$M,$A:$A,$U36,$B:$B,AC$2)/8760</f>
        <v>0.811415525114155</v>
      </c>
    </row>
    <row r="37" ht="13" spans="1:29">
      <c r="A37" s="63" t="s">
        <v>236</v>
      </c>
      <c r="B37" s="36">
        <v>2017</v>
      </c>
      <c r="C37" s="44">
        <v>10</v>
      </c>
      <c r="D37" s="104"/>
      <c r="E37" s="44">
        <v>10</v>
      </c>
      <c r="F37" s="70"/>
      <c r="G37" s="44">
        <v>5</v>
      </c>
      <c r="H37" s="104"/>
      <c r="I37" s="44">
        <v>5</v>
      </c>
      <c r="J37" s="70"/>
      <c r="K37" s="44">
        <v>5108</v>
      </c>
      <c r="L37" s="46"/>
      <c r="M37" s="44">
        <v>5108</v>
      </c>
      <c r="N37" s="112"/>
      <c r="O37" s="51" t="str" cm="1">
        <f t="array" ref="O37">IFERROR(IF(G37&gt;10,G37/C37*0.876,""),“”)</f>
        <v/>
      </c>
      <c r="P37" s="51" t="str" cm="1">
        <f t="array" ref="P37">IFERROR(IF(H37&gt;10,H37/D37*0.876,""),“”)</f>
        <v/>
      </c>
      <c r="Q37" s="51" t="str" cm="1">
        <f t="array" ref="Q37">IFERROR(IF(I37&gt;10,I37/E37*0.876,""),“”)</f>
        <v/>
      </c>
      <c r="R37" s="51" t="str" cm="1">
        <f t="array" ref="R37">IFERROR(IF(J37&gt;10,J37/F37*0.876,""),“”)</f>
        <v/>
      </c>
      <c r="S37" s="78" t="str">
        <f t="shared" si="3"/>
        <v/>
      </c>
      <c r="U37" s="36" t="s">
        <v>236</v>
      </c>
      <c r="V37" s="36" t="s">
        <v>296</v>
      </c>
      <c r="W37" s="51">
        <f t="shared" si="5"/>
        <v>0.527853881278539</v>
      </c>
      <c r="X37" s="51">
        <f t="shared" si="4"/>
        <v>0.58310502283105</v>
      </c>
      <c r="Y37" s="51">
        <f t="shared" si="4"/>
        <v>0.657191780821918</v>
      </c>
      <c r="Z37" s="51">
        <f t="shared" si="4"/>
        <v>0.653424657534247</v>
      </c>
      <c r="AA37" s="51">
        <f t="shared" si="4"/>
        <v>0.60296803652968</v>
      </c>
      <c r="AB37" s="51">
        <f t="shared" si="4"/>
        <v>0.533219178082192</v>
      </c>
      <c r="AC37" s="51">
        <f>SUMIFS($M:$M,$A:$A,$U37,$B:$B,AC$2)/8760</f>
        <v>0.537442922374429</v>
      </c>
    </row>
    <row r="38" ht="13" spans="1:29">
      <c r="A38" s="63" t="s">
        <v>237</v>
      </c>
      <c r="B38" s="36">
        <v>2017</v>
      </c>
      <c r="C38" s="44">
        <v>69</v>
      </c>
      <c r="D38" s="44">
        <v>1</v>
      </c>
      <c r="E38" s="44">
        <v>24</v>
      </c>
      <c r="F38" s="70">
        <v>44</v>
      </c>
      <c r="G38" s="44">
        <v>34</v>
      </c>
      <c r="H38" s="44">
        <v>0.2</v>
      </c>
      <c r="I38" s="44">
        <v>10</v>
      </c>
      <c r="J38" s="70">
        <v>23</v>
      </c>
      <c r="K38" s="44">
        <v>5301</v>
      </c>
      <c r="L38" s="46"/>
      <c r="M38" s="70">
        <v>4595</v>
      </c>
      <c r="N38" s="112">
        <v>5665</v>
      </c>
      <c r="O38" s="51" cm="1">
        <f t="array" ref="O38">IFERROR(IF(G38&gt;10,G38/C38*0.876,""),“”)</f>
        <v>0.431652173913044</v>
      </c>
      <c r="P38" s="51" t="str" cm="1">
        <f t="array" ref="P38">IFERROR(IF(H38&gt;10,H38/D38*0.876,""),“”)</f>
        <v/>
      </c>
      <c r="Q38" s="51" t="str" cm="1">
        <f t="array" ref="Q38">IFERROR(IF(I38&gt;10,I38/E38*0.876,""),“”)</f>
        <v/>
      </c>
      <c r="R38" s="51" cm="1">
        <f t="array" ref="R38">IFERROR(IF(J38&gt;10,J38/F38*0.876,""),“”)</f>
        <v>0.457909090909091</v>
      </c>
      <c r="S38" s="78">
        <f t="shared" si="3"/>
        <v>0.4672</v>
      </c>
      <c r="U38" s="36" t="s">
        <v>237</v>
      </c>
      <c r="V38" s="36" t="s">
        <v>296</v>
      </c>
      <c r="W38" s="51">
        <f t="shared" si="5"/>
        <v>0.532191780821918</v>
      </c>
      <c r="X38" s="51">
        <f t="shared" si="4"/>
        <v>0.524543378995434</v>
      </c>
      <c r="Y38" s="51">
        <f t="shared" si="4"/>
        <v>0.524771689497717</v>
      </c>
      <c r="Z38" s="51">
        <f t="shared" si="4"/>
        <v>0.56175799086758</v>
      </c>
      <c r="AA38" s="51">
        <f t="shared" si="4"/>
        <v>0.670091324200913</v>
      </c>
      <c r="AB38" s="51">
        <f t="shared" si="4"/>
        <v>0.540068493150685</v>
      </c>
      <c r="AC38" s="51">
        <f>SUMIFS($M:$M,$A:$A,$U38,$B:$B,AC$2)/8760</f>
        <v>0.534246575342466</v>
      </c>
    </row>
    <row r="39" ht="13" spans="1:29">
      <c r="A39" s="63" t="s">
        <v>238</v>
      </c>
      <c r="B39" s="36">
        <v>2017</v>
      </c>
      <c r="C39" s="44">
        <v>49</v>
      </c>
      <c r="D39" s="44">
        <v>9</v>
      </c>
      <c r="E39" s="44">
        <v>11</v>
      </c>
      <c r="F39" s="70">
        <v>30</v>
      </c>
      <c r="G39" s="44">
        <v>25</v>
      </c>
      <c r="H39" s="44">
        <v>2</v>
      </c>
      <c r="I39" s="44">
        <v>6</v>
      </c>
      <c r="J39" s="70">
        <v>17</v>
      </c>
      <c r="K39" s="44">
        <v>5642</v>
      </c>
      <c r="L39" s="46"/>
      <c r="M39" s="44">
        <v>5095</v>
      </c>
      <c r="N39" s="112">
        <v>5843</v>
      </c>
      <c r="O39" s="51" cm="1">
        <f t="array" ref="O39">IFERROR(IF(G39&gt;10,G39/C39*0.876,""),“”)</f>
        <v>0.446938775510204</v>
      </c>
      <c r="P39" s="51" t="str" cm="1">
        <f t="array" ref="P39">IFERROR(IF(H39&gt;10,H39/D39*0.876,""),“”)</f>
        <v/>
      </c>
      <c r="Q39" s="51" t="str" cm="1">
        <f t="array" ref="Q39">IFERROR(IF(I39&gt;10,I39/E39*0.876,""),“”)</f>
        <v/>
      </c>
      <c r="R39" s="51" cm="1">
        <f t="array" ref="R39">IFERROR(IF(J39&gt;10,J39/F39*0.876,""),“”)</f>
        <v>0.4964</v>
      </c>
      <c r="S39" s="78">
        <f t="shared" si="3"/>
        <v>0.438</v>
      </c>
      <c r="U39" s="36" t="s">
        <v>238</v>
      </c>
      <c r="V39" s="36" t="s">
        <v>296</v>
      </c>
      <c r="W39" s="51">
        <f t="shared" si="5"/>
        <v>0.658447488584475</v>
      </c>
      <c r="X39" s="51">
        <f t="shared" si="4"/>
        <v>0.58162100456621</v>
      </c>
      <c r="Y39" s="51">
        <f t="shared" si="4"/>
        <v>0.615296803652968</v>
      </c>
      <c r="Z39" s="51">
        <f t="shared" si="4"/>
        <v>0.59851598173516</v>
      </c>
      <c r="AA39" s="51">
        <f t="shared" si="4"/>
        <v>0.504680365296804</v>
      </c>
      <c r="AB39" s="51">
        <f t="shared" si="4"/>
        <v>0.503196347031963</v>
      </c>
      <c r="AC39" s="51">
        <f>SUMIFS($M:$M,$A:$A,$U39,$B:$B,AC$2)/8760</f>
        <v>0.515525114155251</v>
      </c>
    </row>
    <row r="40" ht="13" spans="1:29">
      <c r="A40" s="63" t="s">
        <v>239</v>
      </c>
      <c r="B40" s="36">
        <v>2017</v>
      </c>
      <c r="C40" s="44">
        <v>16</v>
      </c>
      <c r="D40" s="104"/>
      <c r="E40" s="44">
        <v>4</v>
      </c>
      <c r="F40" s="70">
        <v>12</v>
      </c>
      <c r="G40" s="44">
        <v>7</v>
      </c>
      <c r="H40" s="44">
        <v>0.05</v>
      </c>
      <c r="I40" s="44">
        <v>1</v>
      </c>
      <c r="J40" s="70">
        <v>7</v>
      </c>
      <c r="K40" s="44">
        <v>4672</v>
      </c>
      <c r="L40" s="46"/>
      <c r="M40" s="44">
        <v>2040</v>
      </c>
      <c r="N40" s="112">
        <v>5455</v>
      </c>
      <c r="O40" s="51" t="str" cm="1">
        <f t="array" ref="O40">IFERROR(IF(G40&gt;10,G40/C40*0.876,""),“”)</f>
        <v/>
      </c>
      <c r="P40" s="51" t="str" cm="1">
        <f t="array" ref="P40">IFERROR(IF(H40&gt;10,H40/D40*0.876,""),“”)</f>
        <v/>
      </c>
      <c r="Q40" s="51" t="str" cm="1">
        <f t="array" ref="Q40">IFERROR(IF(I40&gt;10,I40/E40*0.876,""),“”)</f>
        <v/>
      </c>
      <c r="R40" s="51" t="str" cm="1">
        <f t="array" ref="R40">IFERROR(IF(J40&gt;10,J40/F40*0.876,""),“”)</f>
        <v/>
      </c>
      <c r="S40" s="78" t="str">
        <f t="shared" si="3"/>
        <v/>
      </c>
      <c r="U40" s="36" t="s">
        <v>239</v>
      </c>
      <c r="V40" s="36" t="s">
        <v>296</v>
      </c>
      <c r="W40" s="51">
        <f t="shared" si="5"/>
        <v>0.232876712328767</v>
      </c>
      <c r="X40" s="51">
        <f t="shared" si="4"/>
        <v>0.232876712328767</v>
      </c>
      <c r="Y40" s="51">
        <f t="shared" si="4"/>
        <v>0.329794520547945</v>
      </c>
      <c r="Z40" s="51">
        <f t="shared" si="4"/>
        <v>0.410844748858447</v>
      </c>
      <c r="AA40" s="51">
        <f t="shared" si="4"/>
        <v>0.435388127853881</v>
      </c>
      <c r="AB40" s="51">
        <f t="shared" si="4"/>
        <v>0.681735159817352</v>
      </c>
      <c r="AC40" s="51">
        <f>SUMIFS($M:$M,$A:$A,$U40,$B:$B,AC$2)/8760</f>
        <v>0.545547945205479</v>
      </c>
    </row>
    <row r="41" ht="13" spans="1:29">
      <c r="A41" s="63" t="s">
        <v>240</v>
      </c>
      <c r="B41" s="36">
        <v>2017</v>
      </c>
      <c r="C41" s="44">
        <v>15</v>
      </c>
      <c r="D41" s="104"/>
      <c r="E41" s="44">
        <v>8</v>
      </c>
      <c r="F41" s="44">
        <v>7</v>
      </c>
      <c r="G41" s="44">
        <v>8</v>
      </c>
      <c r="H41" s="104"/>
      <c r="I41" s="44">
        <v>3</v>
      </c>
      <c r="J41" s="44">
        <v>4</v>
      </c>
      <c r="K41" s="44">
        <v>6282</v>
      </c>
      <c r="L41" s="46"/>
      <c r="M41" s="44">
        <v>6264</v>
      </c>
      <c r="N41" s="113">
        <v>6297</v>
      </c>
      <c r="O41" s="51" t="str" cm="1">
        <f t="array" ref="O41">IFERROR(IF(G41&gt;10,G41/C41*0.876,""),“”)</f>
        <v/>
      </c>
      <c r="P41" s="51" t="str" cm="1">
        <f t="array" ref="P41">IFERROR(IF(H41&gt;10,H41/D41*0.876,""),“”)</f>
        <v/>
      </c>
      <c r="Q41" s="51" t="str" cm="1">
        <f t="array" ref="Q41">IFERROR(IF(I41&gt;10,I41/E41*0.876,""),“”)</f>
        <v/>
      </c>
      <c r="R41" s="51" t="str" cm="1">
        <f t="array" ref="R41">IFERROR(IF(J41&gt;10,J41/F41*0.876,""),“”)</f>
        <v/>
      </c>
      <c r="S41" s="78" t="str">
        <f t="shared" si="3"/>
        <v/>
      </c>
      <c r="U41" s="36" t="s">
        <v>240</v>
      </c>
      <c r="V41" s="36" t="s">
        <v>296</v>
      </c>
      <c r="W41" s="51">
        <f t="shared" si="5"/>
        <v>0.912442922374429</v>
      </c>
      <c r="X41" s="51">
        <f t="shared" si="4"/>
        <v>0.715068493150685</v>
      </c>
      <c r="Y41" s="51">
        <f t="shared" si="4"/>
        <v>0.767351598173516</v>
      </c>
      <c r="Z41" s="51">
        <f t="shared" si="4"/>
        <v>0.722831050228311</v>
      </c>
      <c r="AA41" s="51">
        <f t="shared" si="4"/>
        <v>0.803995433789954</v>
      </c>
      <c r="AB41" s="51">
        <f t="shared" si="4"/>
        <v>0.687899543378995</v>
      </c>
      <c r="AC41" s="51">
        <f>SUMIFS($M:$M,$A:$A,$U41,$B:$B,AC$2)/8760</f>
        <v>0.577397260273973</v>
      </c>
    </row>
    <row r="42" ht="13" spans="1:29">
      <c r="A42" s="63" t="s">
        <v>241</v>
      </c>
      <c r="B42" s="36">
        <v>2017</v>
      </c>
      <c r="C42" s="44">
        <v>54</v>
      </c>
      <c r="D42" s="44">
        <v>0.3</v>
      </c>
      <c r="E42" s="44">
        <v>13</v>
      </c>
      <c r="F42" s="70">
        <v>40</v>
      </c>
      <c r="G42" s="44">
        <v>28</v>
      </c>
      <c r="H42" s="104" t="s">
        <v>297</v>
      </c>
      <c r="I42" s="42">
        <v>5</v>
      </c>
      <c r="J42" s="70">
        <v>23</v>
      </c>
      <c r="K42" s="44">
        <v>5340</v>
      </c>
      <c r="L42" s="46"/>
      <c r="M42" s="44">
        <v>4402</v>
      </c>
      <c r="N42" s="112">
        <v>5622</v>
      </c>
      <c r="O42" s="51" cm="1">
        <f t="array" ref="O42">IFERROR(IF(G42&gt;10,G42/C42*0.876,""),“”)</f>
        <v>0.454222222222222</v>
      </c>
      <c r="P42" s="51" t="e" cm="1">
        <f t="array" ref="P42">IFERROR(IF(H42&gt;10,H42/D42*0.876,""),“”)</f>
        <v>#NAME?</v>
      </c>
      <c r="Q42" s="51" t="str" cm="1">
        <f t="array" ref="Q42">IFERROR(IF(I42&gt;10,I42/E42*0.876,""),“”)</f>
        <v/>
      </c>
      <c r="R42" s="51" cm="1">
        <f t="array" ref="R42">IFERROR(IF(J42&gt;10,J42/F42*0.876,""),“”)</f>
        <v>0.5037</v>
      </c>
      <c r="S42" s="78">
        <f t="shared" si="3"/>
        <v>0.491414634146342</v>
      </c>
      <c r="U42" s="36" t="s">
        <v>241</v>
      </c>
      <c r="V42" s="36" t="s">
        <v>296</v>
      </c>
      <c r="W42" s="51">
        <f t="shared" si="5"/>
        <v>0.448173515981735</v>
      </c>
      <c r="X42" s="51">
        <f t="shared" si="4"/>
        <v>0.502511415525114</v>
      </c>
      <c r="Y42" s="51">
        <f t="shared" si="4"/>
        <v>0.467237442922374</v>
      </c>
      <c r="Z42" s="51">
        <f t="shared" si="4"/>
        <v>0.566095890410959</v>
      </c>
      <c r="AA42" s="51">
        <f t="shared" si="4"/>
        <v>0.581849315068493</v>
      </c>
      <c r="AB42" s="51">
        <f t="shared" si="4"/>
        <v>0.627397260273973</v>
      </c>
      <c r="AC42" s="51">
        <f>SUMIFS($M:$M,$A:$A,$U42,$B:$B,AC$2)/8760</f>
        <v>0.66837899543379</v>
      </c>
    </row>
    <row r="43" ht="13" spans="1:29">
      <c r="A43" s="63" t="s">
        <v>242</v>
      </c>
      <c r="B43" s="36">
        <v>2017</v>
      </c>
      <c r="C43" s="44">
        <v>90</v>
      </c>
      <c r="D43" s="44">
        <v>0.4</v>
      </c>
      <c r="E43" s="44">
        <v>8</v>
      </c>
      <c r="F43" s="44">
        <v>82</v>
      </c>
      <c r="G43" s="44">
        <v>47</v>
      </c>
      <c r="H43" s="44">
        <v>0.07</v>
      </c>
      <c r="I43" s="44">
        <v>3</v>
      </c>
      <c r="J43" s="70">
        <v>44</v>
      </c>
      <c r="K43" s="44">
        <v>5425</v>
      </c>
      <c r="L43" s="46"/>
      <c r="M43" s="44">
        <v>4016</v>
      </c>
      <c r="N43" s="112">
        <v>5546</v>
      </c>
      <c r="O43" s="51" cm="1">
        <f t="array" ref="O43">IFERROR(IF(G43&gt;10,G43/C43*0.876,""),“”)</f>
        <v>0.457466666666667</v>
      </c>
      <c r="P43" s="51" t="str" cm="1">
        <f t="array" ref="P43">IFERROR(IF(H43&gt;10,H43/D43*0.876,""),“”)</f>
        <v/>
      </c>
      <c r="Q43" s="51" t="str" cm="1">
        <f t="array" ref="Q43">IFERROR(IF(I43&gt;10,I43/E43*0.876,""),“”)</f>
        <v/>
      </c>
      <c r="R43" s="51" cm="1">
        <f t="array" ref="R43">IFERROR(IF(J43&gt;10,J43/F43*0.876,""),“”)</f>
        <v>0.470048780487805</v>
      </c>
      <c r="S43" s="78">
        <f t="shared" si="3"/>
        <v>0.470048780487805</v>
      </c>
      <c r="U43" s="36" t="s">
        <v>242</v>
      </c>
      <c r="V43" s="36" t="s">
        <v>296</v>
      </c>
      <c r="W43" s="51">
        <f t="shared" si="5"/>
        <v>0.428082191780822</v>
      </c>
      <c r="X43" s="51">
        <f t="shared" si="4"/>
        <v>0.458447488584475</v>
      </c>
      <c r="Y43" s="51">
        <f t="shared" si="4"/>
        <v>0.395547945205479</v>
      </c>
      <c r="Z43" s="51">
        <f t="shared" si="4"/>
        <v>0.449885844748858</v>
      </c>
      <c r="AA43" s="51">
        <f t="shared" si="4"/>
        <v>0.500913242009132</v>
      </c>
      <c r="AB43" s="51">
        <f t="shared" si="4"/>
        <v>0.566666666666667</v>
      </c>
      <c r="AC43" s="51">
        <f>SUMIFS($M:$M,$A:$A,$U43,$B:$B,AC$2)/8760</f>
        <v>0.560159817351598</v>
      </c>
    </row>
    <row r="44" ht="13" spans="1:29">
      <c r="A44" s="63" t="s">
        <v>243</v>
      </c>
      <c r="B44" s="36">
        <v>2017</v>
      </c>
      <c r="C44" s="44">
        <v>28</v>
      </c>
      <c r="D44" s="44">
        <v>2</v>
      </c>
      <c r="E44" s="44">
        <v>26</v>
      </c>
      <c r="F44" s="46"/>
      <c r="G44" s="44">
        <v>19</v>
      </c>
      <c r="H44" s="44">
        <v>1</v>
      </c>
      <c r="I44" s="44">
        <v>18</v>
      </c>
      <c r="J44" s="46"/>
      <c r="K44" s="44">
        <v>7258</v>
      </c>
      <c r="L44" s="44">
        <v>6278</v>
      </c>
      <c r="M44" s="44">
        <v>7319</v>
      </c>
      <c r="N44" s="111"/>
      <c r="O44" s="51" cm="1">
        <f t="array" ref="O44">IFERROR(IF(G44&gt;10,G44/C44*0.876,""),“”)</f>
        <v>0.594428571428571</v>
      </c>
      <c r="P44" s="51" t="str" cm="1">
        <f t="array" ref="P44">IFERROR(IF(H44&gt;10,H44/D44*0.876,""),“”)</f>
        <v/>
      </c>
      <c r="Q44" s="51" cm="1">
        <f t="array" ref="Q44">IFERROR(IF(I44&gt;10,I44/E44*0.876,""),“”)</f>
        <v>0.606461538461538</v>
      </c>
      <c r="R44" s="51" t="str" cm="1">
        <f t="array" ref="R44">IFERROR(IF(J44&gt;10,J44/F44*0.876,""),“”)</f>
        <v/>
      </c>
      <c r="S44" s="78" t="str">
        <f t="shared" si="3"/>
        <v/>
      </c>
      <c r="U44" s="36" t="s">
        <v>243</v>
      </c>
      <c r="V44" s="36" t="s">
        <v>296</v>
      </c>
      <c r="W44" s="51">
        <f t="shared" si="5"/>
        <v>0.816438356164384</v>
      </c>
      <c r="X44" s="51">
        <f t="shared" si="4"/>
        <v>0.835502283105023</v>
      </c>
      <c r="Y44" s="51">
        <f t="shared" si="4"/>
        <v>0.843949771689498</v>
      </c>
      <c r="Z44" s="51">
        <f t="shared" si="4"/>
        <v>0.884018264840183</v>
      </c>
      <c r="AA44" s="51">
        <f t="shared" si="4"/>
        <v>0.890867579908676</v>
      </c>
      <c r="AB44" s="51">
        <f t="shared" si="4"/>
        <v>0.795547945205479</v>
      </c>
      <c r="AC44" s="51">
        <f>SUMIFS($M:$M,$A:$A,$U44,$B:$B,AC$2)/8760</f>
        <v>0.718949771689498</v>
      </c>
    </row>
    <row r="45" ht="13" spans="1:29">
      <c r="A45" s="63" t="s">
        <v>244</v>
      </c>
      <c r="B45" s="36">
        <v>2017</v>
      </c>
      <c r="C45" s="44">
        <v>145</v>
      </c>
      <c r="D45" s="44">
        <v>4</v>
      </c>
      <c r="E45" s="44">
        <v>91</v>
      </c>
      <c r="F45" s="70">
        <v>50</v>
      </c>
      <c r="G45" s="44">
        <v>90</v>
      </c>
      <c r="H45" s="44">
        <v>1</v>
      </c>
      <c r="I45" s="44">
        <v>57</v>
      </c>
      <c r="J45" s="70">
        <v>33</v>
      </c>
      <c r="K45" s="44">
        <v>6699</v>
      </c>
      <c r="L45" s="44">
        <v>4709</v>
      </c>
      <c r="M45" s="44">
        <v>6571</v>
      </c>
      <c r="N45" s="112">
        <v>6974</v>
      </c>
      <c r="O45" s="51" cm="1">
        <f t="array" ref="O45">IFERROR(IF(G45&gt;10,G45/C45*0.876,""),“”)</f>
        <v>0.543724137931034</v>
      </c>
      <c r="P45" s="51" t="str" cm="1">
        <f t="array" ref="P45">IFERROR(IF(H45&gt;10,H45/D45*0.876,""),“”)</f>
        <v/>
      </c>
      <c r="Q45" s="51" cm="1">
        <f t="array" ref="Q45">IFERROR(IF(I45&gt;10,I45/E45*0.876,""),“”)</f>
        <v>0.548703296703297</v>
      </c>
      <c r="R45" s="51" cm="1">
        <f t="array" ref="R45">IFERROR(IF(J45&gt;10,J45/F45*0.876,""),“”)</f>
        <v>0.57816</v>
      </c>
      <c r="S45" s="78">
        <f t="shared" si="3"/>
        <v>0.535333333333333</v>
      </c>
      <c r="U45" s="36" t="s">
        <v>244</v>
      </c>
      <c r="V45" s="36" t="s">
        <v>296</v>
      </c>
      <c r="W45" s="51">
        <f t="shared" si="5"/>
        <v>0.761415525114155</v>
      </c>
      <c r="X45" s="51">
        <f t="shared" si="4"/>
        <v>0.750114155251142</v>
      </c>
      <c r="Y45" s="51">
        <f t="shared" si="4"/>
        <v>0.732305936073059</v>
      </c>
      <c r="Z45" s="51">
        <f t="shared" si="4"/>
        <v>0.761301369863014</v>
      </c>
      <c r="AA45" s="51">
        <f t="shared" si="4"/>
        <v>0.690867579908676</v>
      </c>
      <c r="AB45" s="51">
        <f t="shared" si="4"/>
        <v>0.683561643835616</v>
      </c>
      <c r="AC45" s="51">
        <f>SUMIFS($M:$M,$A:$A,$U45,$B:$B,AC$2)/8760</f>
        <v>0.629109589041096</v>
      </c>
    </row>
    <row r="46" ht="13" spans="1:29">
      <c r="A46" s="63" t="s">
        <v>245</v>
      </c>
      <c r="B46" s="36">
        <v>2017</v>
      </c>
      <c r="C46" s="44">
        <v>158</v>
      </c>
      <c r="D46" s="44">
        <v>4</v>
      </c>
      <c r="E46" s="44">
        <v>133</v>
      </c>
      <c r="F46" s="44">
        <v>21</v>
      </c>
      <c r="G46" s="44">
        <v>82</v>
      </c>
      <c r="H46" s="44">
        <v>2</v>
      </c>
      <c r="I46" s="44">
        <v>69</v>
      </c>
      <c r="J46" s="42">
        <v>12</v>
      </c>
      <c r="K46" s="44">
        <v>5676</v>
      </c>
      <c r="L46" s="44">
        <v>6951</v>
      </c>
      <c r="M46" s="44">
        <v>5684</v>
      </c>
      <c r="N46" s="112">
        <v>5569</v>
      </c>
      <c r="O46" s="51" cm="1">
        <f t="array" ref="O46">IFERROR(IF(G46&gt;10,G46/C46*0.876,""),“”)</f>
        <v>0.454632911392405</v>
      </c>
      <c r="P46" s="51" t="str" cm="1">
        <f t="array" ref="P46">IFERROR(IF(H46&gt;10,H46/D46*0.876,""),“”)</f>
        <v/>
      </c>
      <c r="Q46" s="51" cm="1">
        <f t="array" ref="Q46">IFERROR(IF(I46&gt;10,I46/E46*0.876,""),“”)</f>
        <v>0.454466165413534</v>
      </c>
      <c r="R46" s="51" cm="1">
        <f t="array" ref="R46">IFERROR(IF(J46&gt;10,J46/F46*0.876,""),“”)</f>
        <v>0.500571428571429</v>
      </c>
      <c r="S46" s="78">
        <f t="shared" si="3"/>
        <v>0.45552</v>
      </c>
      <c r="U46" s="36" t="s">
        <v>245</v>
      </c>
      <c r="V46" s="36" t="s">
        <v>296</v>
      </c>
      <c r="W46" s="51">
        <f t="shared" si="5"/>
        <v>0.728196347031963</v>
      </c>
      <c r="X46" s="51">
        <f t="shared" si="4"/>
        <v>0.648858447488584</v>
      </c>
      <c r="Y46" s="51">
        <f t="shared" si="4"/>
        <v>0.660388127853881</v>
      </c>
      <c r="Z46" s="51">
        <f t="shared" si="4"/>
        <v>0.669178082191781</v>
      </c>
      <c r="AA46" s="51">
        <f t="shared" si="4"/>
        <v>0.609132420091324</v>
      </c>
      <c r="AB46" s="51">
        <f t="shared" si="4"/>
        <v>0.591666666666667</v>
      </c>
      <c r="AC46" s="51">
        <f>SUMIFS($M:$M,$A:$A,$U46,$B:$B,AC$2)/8760</f>
        <v>0.607420091324201</v>
      </c>
    </row>
    <row r="47" ht="13" spans="1:29">
      <c r="A47" s="63" t="s">
        <v>246</v>
      </c>
      <c r="B47" s="36">
        <v>2017</v>
      </c>
      <c r="C47" s="44">
        <v>119</v>
      </c>
      <c r="D47" s="44">
        <v>1</v>
      </c>
      <c r="E47" s="44">
        <v>43</v>
      </c>
      <c r="F47" s="70">
        <v>75</v>
      </c>
      <c r="G47" s="44">
        <v>69</v>
      </c>
      <c r="H47" s="44">
        <v>1</v>
      </c>
      <c r="I47" s="44">
        <v>20</v>
      </c>
      <c r="J47" s="70">
        <v>49</v>
      </c>
      <c r="K47" s="44">
        <v>6391</v>
      </c>
      <c r="L47" s="46"/>
      <c r="M47" s="44">
        <v>5570</v>
      </c>
      <c r="N47" s="112">
        <v>6784</v>
      </c>
      <c r="O47" s="51" cm="1">
        <f t="array" ref="O47">IFERROR(IF(G47&gt;10,G47/C47*0.876,""),“”)</f>
        <v>0.507932773109244</v>
      </c>
      <c r="P47" s="51" t="str" cm="1">
        <f t="array" ref="P47">IFERROR(IF(H47&gt;10,H47/D47*0.876,""),“”)</f>
        <v/>
      </c>
      <c r="Q47" s="51" cm="1">
        <f t="array" ref="Q47">IFERROR(IF(I47&gt;10,I47/E47*0.876,""),“”)</f>
        <v>0.407441860465116</v>
      </c>
      <c r="R47" s="51" cm="1">
        <f t="array" ref="R47">IFERROR(IF(J47&gt;10,J47/F47*0.876,""),“”)</f>
        <v>0.57232</v>
      </c>
      <c r="S47" s="78">
        <f t="shared" si="3"/>
        <v>0.564789473684211</v>
      </c>
      <c r="U47" s="36" t="s">
        <v>246</v>
      </c>
      <c r="V47" s="36" t="s">
        <v>296</v>
      </c>
      <c r="W47" s="51">
        <f t="shared" si="5"/>
        <v>0.729794520547945</v>
      </c>
      <c r="X47" s="51">
        <f t="shared" si="4"/>
        <v>0.635844748858447</v>
      </c>
      <c r="Y47" s="51">
        <f t="shared" si="4"/>
        <v>0.623401826484018</v>
      </c>
      <c r="Z47" s="51">
        <f t="shared" si="4"/>
        <v>0.664497716894977</v>
      </c>
      <c r="AA47" s="51">
        <f t="shared" si="4"/>
        <v>0.695091324200913</v>
      </c>
      <c r="AB47" s="51">
        <f t="shared" si="4"/>
        <v>0.699086757990868</v>
      </c>
      <c r="AC47" s="51">
        <f>SUMIFS($M:$M,$A:$A,$U47,$B:$B,AC$2)/8760</f>
        <v>0.649315068493151</v>
      </c>
    </row>
    <row r="48" ht="13" spans="1:29">
      <c r="A48" s="63" t="s">
        <v>247</v>
      </c>
      <c r="B48" s="36">
        <v>2017</v>
      </c>
      <c r="C48" s="44">
        <v>45</v>
      </c>
      <c r="D48" s="44">
        <v>0.4</v>
      </c>
      <c r="E48" s="44">
        <v>39</v>
      </c>
      <c r="F48" s="44">
        <v>5</v>
      </c>
      <c r="G48" s="44">
        <v>24</v>
      </c>
      <c r="H48" s="44">
        <v>0.2</v>
      </c>
      <c r="I48" s="44">
        <v>21</v>
      </c>
      <c r="J48" s="44">
        <v>3</v>
      </c>
      <c r="K48" s="44">
        <v>6134</v>
      </c>
      <c r="L48" s="46"/>
      <c r="M48" s="44">
        <v>6227</v>
      </c>
      <c r="N48" s="112">
        <v>5546</v>
      </c>
      <c r="O48" s="51" cm="1">
        <f t="array" ref="O48">IFERROR(IF(G48&gt;10,G48/C48*0.876,""),“”)</f>
        <v>0.4672</v>
      </c>
      <c r="P48" s="51" t="str" cm="1">
        <f t="array" ref="P48">IFERROR(IF(H48&gt;10,H48/D48*0.876,""),“”)</f>
        <v/>
      </c>
      <c r="Q48" s="51" cm="1">
        <f t="array" ref="Q48">IFERROR(IF(I48&gt;10,I48/E48*0.876,""),“”)</f>
        <v>0.471692307692308</v>
      </c>
      <c r="R48" s="51" t="str" cm="1">
        <f t="array" ref="R48">IFERROR(IF(J48&gt;10,J48/F48*0.876,""),“”)</f>
        <v/>
      </c>
      <c r="S48" s="78" t="str">
        <f t="shared" si="3"/>
        <v/>
      </c>
      <c r="U48" s="36" t="s">
        <v>247</v>
      </c>
      <c r="V48" s="36" t="s">
        <v>296</v>
      </c>
      <c r="W48" s="51">
        <f t="shared" si="5"/>
        <v>0.709132420091324</v>
      </c>
      <c r="X48" s="51">
        <f t="shared" si="4"/>
        <v>0.710844748858448</v>
      </c>
      <c r="Y48" s="51">
        <f t="shared" si="4"/>
        <v>0.695776255707763</v>
      </c>
      <c r="Z48" s="51">
        <f t="shared" si="4"/>
        <v>0.683447488584475</v>
      </c>
      <c r="AA48" s="51">
        <f t="shared" si="4"/>
        <v>0.703310502283105</v>
      </c>
      <c r="AB48" s="51">
        <f t="shared" si="4"/>
        <v>0.682420091324201</v>
      </c>
      <c r="AC48" s="51">
        <f>SUMIFS($M:$M,$A:$A,$U48,$B:$B,AC$2)/8760</f>
        <v>0.668264840182648</v>
      </c>
    </row>
    <row r="49" ht="13" spans="1:29">
      <c r="A49" s="63" t="s">
        <v>248</v>
      </c>
      <c r="B49" s="36">
        <v>2017</v>
      </c>
      <c r="C49" s="44">
        <v>29</v>
      </c>
      <c r="D49" s="44">
        <v>1</v>
      </c>
      <c r="E49" s="44">
        <v>9</v>
      </c>
      <c r="F49" s="70">
        <v>20</v>
      </c>
      <c r="G49" s="44">
        <v>17</v>
      </c>
      <c r="H49" s="44">
        <v>0.2</v>
      </c>
      <c r="I49" s="44">
        <v>3</v>
      </c>
      <c r="J49" s="70">
        <v>14</v>
      </c>
      <c r="K49" s="44">
        <v>6112</v>
      </c>
      <c r="L49" s="46"/>
      <c r="M49" s="44">
        <v>4062</v>
      </c>
      <c r="N49" s="112">
        <v>6847</v>
      </c>
      <c r="O49" s="51" cm="1">
        <f t="array" ref="O49">IFERROR(IF(G49&gt;10,G49/C49*0.876,""),“”)</f>
        <v>0.51351724137931</v>
      </c>
      <c r="P49" s="51" t="str" cm="1">
        <f t="array" ref="P49">IFERROR(IF(H49&gt;10,H49/D49*0.876,""),“”)</f>
        <v/>
      </c>
      <c r="Q49" s="51" t="str" cm="1">
        <f t="array" ref="Q49">IFERROR(IF(I49&gt;10,I49/E49*0.876,""),“”)</f>
        <v/>
      </c>
      <c r="R49" s="51" cm="1">
        <f t="array" ref="R49">IFERROR(IF(J49&gt;10,J49/F49*0.876,""),“”)</f>
        <v>0.6132</v>
      </c>
      <c r="S49" s="78">
        <f t="shared" si="3"/>
        <v>0.6132</v>
      </c>
      <c r="U49" s="36" t="s">
        <v>248</v>
      </c>
      <c r="V49" s="36" t="s">
        <v>296</v>
      </c>
      <c r="W49" s="51">
        <f t="shared" si="5"/>
        <v>0.420547945205479</v>
      </c>
      <c r="X49" s="51">
        <f t="shared" si="4"/>
        <v>0.463698630136986</v>
      </c>
      <c r="Y49" s="51">
        <f t="shared" si="4"/>
        <v>0.594634703196347</v>
      </c>
      <c r="Z49" s="51">
        <f t="shared" si="4"/>
        <v>0.664611872146119</v>
      </c>
      <c r="AA49" s="51">
        <f t="shared" si="4"/>
        <v>0.62648401826484</v>
      </c>
      <c r="AB49" s="51">
        <f t="shared" si="4"/>
        <v>0.654223744292237</v>
      </c>
      <c r="AC49" s="51">
        <f>SUMIFS($M:$M,$A:$A,$U49,$B:$B,AC$2)/8760</f>
        <v>0.591095890410959</v>
      </c>
    </row>
    <row r="50" ht="13" spans="1:29">
      <c r="A50" s="63" t="s">
        <v>249</v>
      </c>
      <c r="B50" s="36">
        <v>2017</v>
      </c>
      <c r="C50" s="44">
        <v>216</v>
      </c>
      <c r="D50" s="44">
        <v>5</v>
      </c>
      <c r="E50" s="44">
        <v>80</v>
      </c>
      <c r="F50" s="70">
        <v>131</v>
      </c>
      <c r="G50" s="44">
        <v>107</v>
      </c>
      <c r="H50" s="44">
        <v>1</v>
      </c>
      <c r="I50" s="44">
        <v>35</v>
      </c>
      <c r="J50" s="70">
        <v>71</v>
      </c>
      <c r="K50" s="44">
        <v>5433</v>
      </c>
      <c r="L50" s="44">
        <v>4024</v>
      </c>
      <c r="M50" s="44">
        <v>5061</v>
      </c>
      <c r="N50" s="112">
        <v>5658</v>
      </c>
      <c r="O50" s="51" cm="1">
        <f t="array" ref="O50">IFERROR(IF(G50&gt;10,G50/C50*0.876,""),“”)</f>
        <v>0.433944444444444</v>
      </c>
      <c r="P50" s="51" t="str" cm="1">
        <f t="array" ref="P50">IFERROR(IF(H50&gt;10,H50/D50*0.876,""),“”)</f>
        <v/>
      </c>
      <c r="Q50" s="51" cm="1">
        <f t="array" ref="Q50">IFERROR(IF(I50&gt;10,I50/E50*0.876,""),“”)</f>
        <v>0.38325</v>
      </c>
      <c r="R50" s="51" cm="1">
        <f t="array" ref="R50">IFERROR(IF(J50&gt;10,J50/F50*0.876,""),“”)</f>
        <v>0.474778625954199</v>
      </c>
      <c r="S50" s="78">
        <f t="shared" si="3"/>
        <v>0.463764705882353</v>
      </c>
      <c r="U50" s="36" t="s">
        <v>249</v>
      </c>
      <c r="V50" s="36" t="s">
        <v>296</v>
      </c>
      <c r="W50" s="51">
        <f t="shared" si="5"/>
        <v>0.557420091324201</v>
      </c>
      <c r="X50" s="51">
        <f t="shared" si="4"/>
        <v>0.577739726027397</v>
      </c>
      <c r="Y50" s="51">
        <f t="shared" si="4"/>
        <v>0.609931506849315</v>
      </c>
      <c r="Z50" s="51">
        <f t="shared" si="4"/>
        <v>0.604223744292237</v>
      </c>
      <c r="AA50" s="51">
        <f t="shared" si="4"/>
        <v>0.613470319634703</v>
      </c>
      <c r="AB50" s="51">
        <f t="shared" si="4"/>
        <v>0.659703196347032</v>
      </c>
      <c r="AC50" s="51">
        <f>SUMIFS($M:$M,$A:$A,$U50,$B:$B,AC$2)/8760</f>
        <v>0.616666666666667</v>
      </c>
    </row>
    <row r="51" ht="13" spans="1:29">
      <c r="A51" s="63" t="s">
        <v>250</v>
      </c>
      <c r="B51" s="36">
        <v>2017</v>
      </c>
      <c r="C51" s="44">
        <v>53</v>
      </c>
      <c r="D51" s="44">
        <v>4</v>
      </c>
      <c r="E51" s="44">
        <v>6</v>
      </c>
      <c r="F51" s="70">
        <v>43</v>
      </c>
      <c r="G51" s="44">
        <v>24</v>
      </c>
      <c r="H51" s="44">
        <v>0.2</v>
      </c>
      <c r="I51" s="44">
        <v>3</v>
      </c>
      <c r="J51" s="70">
        <v>20</v>
      </c>
      <c r="K51" s="44">
        <v>4550</v>
      </c>
      <c r="L51" s="44">
        <v>802</v>
      </c>
      <c r="M51" s="44">
        <v>5021</v>
      </c>
      <c r="N51" s="112">
        <v>4751</v>
      </c>
      <c r="O51" s="51" cm="1">
        <f t="array" ref="O51">IFERROR(IF(G51&gt;10,G51/C51*0.876,""),“”)</f>
        <v>0.396679245283019</v>
      </c>
      <c r="P51" s="51" t="str" cm="1">
        <f t="array" ref="P51">IFERROR(IF(H51&gt;10,H51/D51*0.876,""),“”)</f>
        <v/>
      </c>
      <c r="Q51" s="51" t="str" cm="1">
        <f t="array" ref="Q51">IFERROR(IF(I51&gt;10,I51/E51*0.876,""),“”)</f>
        <v/>
      </c>
      <c r="R51" s="51" cm="1">
        <f t="array" ref="R51">IFERROR(IF(J51&gt;10,J51/F51*0.876,""),“”)</f>
        <v>0.407441860465116</v>
      </c>
      <c r="S51" s="78">
        <f t="shared" si="3"/>
        <v>0.391404255319149</v>
      </c>
      <c r="U51" s="36" t="s">
        <v>250</v>
      </c>
      <c r="V51" s="36" t="s">
        <v>296</v>
      </c>
      <c r="W51" s="51">
        <f t="shared" si="5"/>
        <v>0.571575342465753</v>
      </c>
      <c r="X51" s="51">
        <f t="shared" si="5"/>
        <v>0.573173515981735</v>
      </c>
      <c r="Y51" s="51">
        <f t="shared" si="5"/>
        <v>0.665182648401827</v>
      </c>
      <c r="Z51" s="51">
        <f t="shared" si="5"/>
        <v>0.678767123287671</v>
      </c>
      <c r="AA51" s="51">
        <f t="shared" si="5"/>
        <v>0.59041095890411</v>
      </c>
      <c r="AB51" s="51">
        <f t="shared" si="5"/>
        <v>0.64634703196347</v>
      </c>
      <c r="AC51" s="51">
        <f>SUMIFS($M:$M,$A:$A,$U51,$B:$B,AC$2)/8760</f>
        <v>0.608561643835616</v>
      </c>
    </row>
    <row r="52" ht="13" spans="1:29">
      <c r="A52" s="63" t="s">
        <v>251</v>
      </c>
      <c r="B52" s="36">
        <v>2017</v>
      </c>
      <c r="C52" s="44">
        <v>73</v>
      </c>
      <c r="D52" s="44">
        <v>1</v>
      </c>
      <c r="E52" s="44">
        <v>24</v>
      </c>
      <c r="F52" s="70">
        <v>48</v>
      </c>
      <c r="G52" s="44">
        <v>37</v>
      </c>
      <c r="H52" s="44">
        <v>0.3</v>
      </c>
      <c r="I52" s="44">
        <v>13</v>
      </c>
      <c r="J52" s="70">
        <v>24</v>
      </c>
      <c r="K52" s="44">
        <v>5377</v>
      </c>
      <c r="L52" s="46"/>
      <c r="M52" s="44">
        <v>5869</v>
      </c>
      <c r="N52" s="112">
        <v>5143</v>
      </c>
      <c r="O52" s="51" cm="1">
        <f t="array" ref="O52">IFERROR(IF(G52&gt;10,G52/C52*0.876,""),“”)</f>
        <v>0.444</v>
      </c>
      <c r="P52" s="51" t="str" cm="1">
        <f t="array" ref="P52">IFERROR(IF(H52&gt;10,H52/D52*0.876,""),“”)</f>
        <v/>
      </c>
      <c r="Q52" s="51" cm="1">
        <f t="array" ref="Q52">IFERROR(IF(I52&gt;10,I52/E52*0.876,""),“”)</f>
        <v>0.4745</v>
      </c>
      <c r="R52" s="51" cm="1">
        <f t="array" ref="R52">IFERROR(IF(J52&gt;10,J52/F52*0.876,""),“”)</f>
        <v>0.438</v>
      </c>
      <c r="S52" s="78">
        <f t="shared" si="3"/>
        <v>0.429061224489796</v>
      </c>
      <c r="U52" s="36" t="s">
        <v>251</v>
      </c>
      <c r="V52" s="36" t="s">
        <v>296</v>
      </c>
      <c r="W52" s="51">
        <f t="shared" si="5"/>
        <v>0.699315068493151</v>
      </c>
      <c r="X52" s="51">
        <f t="shared" si="5"/>
        <v>0.669977168949772</v>
      </c>
      <c r="Y52" s="51">
        <f t="shared" si="5"/>
        <v>0.649429223744292</v>
      </c>
      <c r="Z52" s="51">
        <f t="shared" si="5"/>
        <v>0.684931506849315</v>
      </c>
      <c r="AA52" s="51">
        <f t="shared" si="5"/>
        <v>0.694178082191781</v>
      </c>
      <c r="AB52" s="51">
        <f t="shared" si="5"/>
        <v>0.716324200913242</v>
      </c>
      <c r="AC52" s="51">
        <f>SUMIFS($M:$M,$A:$A,$U52,$B:$B,AC$2)/8760</f>
        <v>0.68527397260274</v>
      </c>
    </row>
    <row r="53" ht="13" spans="1:29">
      <c r="A53" s="63" t="s">
        <v>252</v>
      </c>
      <c r="B53" s="36">
        <v>2017</v>
      </c>
      <c r="C53" s="44">
        <v>47</v>
      </c>
      <c r="D53" s="44">
        <v>1</v>
      </c>
      <c r="E53" s="44">
        <v>9</v>
      </c>
      <c r="F53" s="44">
        <v>36</v>
      </c>
      <c r="G53" s="44">
        <v>22</v>
      </c>
      <c r="H53" s="44">
        <v>1</v>
      </c>
      <c r="I53" s="44">
        <v>5</v>
      </c>
      <c r="J53" s="44">
        <v>16</v>
      </c>
      <c r="K53" s="44">
        <v>5547</v>
      </c>
      <c r="L53" s="44">
        <v>6671</v>
      </c>
      <c r="M53" s="44">
        <v>5824</v>
      </c>
      <c r="N53" s="113">
        <v>5418</v>
      </c>
      <c r="O53" s="51" cm="1">
        <f t="array" ref="O53">IFERROR(IF(G53&gt;10,G53/C53*0.876,""),“”)</f>
        <v>0.410042553191489</v>
      </c>
      <c r="P53" s="51" t="str" cm="1">
        <f t="array" ref="P53">IFERROR(IF(H53&gt;10,H53/D53*0.876,""),“”)</f>
        <v/>
      </c>
      <c r="Q53" s="51" t="str" cm="1">
        <f t="array" ref="Q53">IFERROR(IF(I53&gt;10,I53/E53*0.876,""),“”)</f>
        <v/>
      </c>
      <c r="R53" s="51" cm="1">
        <f t="array" ref="R53">IFERROR(IF(J53&gt;10,J53/F53*0.876,""),“”)</f>
        <v>0.389333333333333</v>
      </c>
      <c r="S53" s="78">
        <f t="shared" si="3"/>
        <v>0.391894736842105</v>
      </c>
      <c r="U53" s="36" t="s">
        <v>252</v>
      </c>
      <c r="V53" s="36" t="s">
        <v>296</v>
      </c>
      <c r="W53" s="51">
        <f t="shared" si="5"/>
        <v>0.619063926940639</v>
      </c>
      <c r="X53" s="51">
        <f t="shared" si="5"/>
        <v>0.664840182648402</v>
      </c>
      <c r="Y53" s="51">
        <f t="shared" si="5"/>
        <v>0.816552511415525</v>
      </c>
      <c r="Z53" s="51">
        <f t="shared" si="5"/>
        <v>0.873059360730594</v>
      </c>
      <c r="AA53" s="51">
        <f t="shared" si="5"/>
        <v>0.877168949771689</v>
      </c>
      <c r="AB53" s="51">
        <f t="shared" si="5"/>
        <v>0.827283105022831</v>
      </c>
      <c r="AC53" s="51">
        <f>SUMIFS($M:$M,$A:$A,$U53,$B:$B,AC$2)/8760</f>
        <v>0.78013698630137</v>
      </c>
    </row>
    <row r="54" ht="13" spans="1:29">
      <c r="A54" s="63" t="s">
        <v>253</v>
      </c>
      <c r="B54" s="36">
        <v>2017</v>
      </c>
      <c r="C54" s="44">
        <v>106</v>
      </c>
      <c r="D54" s="44">
        <v>7</v>
      </c>
      <c r="E54" s="44">
        <v>77</v>
      </c>
      <c r="F54" s="70">
        <v>22</v>
      </c>
      <c r="G54" s="44">
        <v>61</v>
      </c>
      <c r="H54" s="44">
        <v>5</v>
      </c>
      <c r="I54" s="44">
        <v>42</v>
      </c>
      <c r="J54" s="70">
        <v>15</v>
      </c>
      <c r="K54" s="44">
        <v>6043</v>
      </c>
      <c r="L54" s="44">
        <v>6647</v>
      </c>
      <c r="M54" s="44">
        <v>5789</v>
      </c>
      <c r="N54" s="112">
        <v>6805</v>
      </c>
      <c r="O54" s="51" cm="1">
        <f t="array" ref="O54">IFERROR(IF(G54&gt;10,G54/C54*0.876,""),“”)</f>
        <v>0.50411320754717</v>
      </c>
      <c r="P54" s="51" t="str" cm="1">
        <f t="array" ref="P54">IFERROR(IF(H54&gt;10,H54/D54*0.876,""),“”)</f>
        <v/>
      </c>
      <c r="Q54" s="51" cm="1">
        <f t="array" ref="Q54">IFERROR(IF(I54&gt;10,I54/E54*0.876,""),“”)</f>
        <v>0.477818181818182</v>
      </c>
      <c r="R54" s="51" cm="1">
        <f t="array" ref="R54">IFERROR(IF(J54&gt;10,J54/F54*0.876,""),“”)</f>
        <v>0.597272727272727</v>
      </c>
      <c r="S54" s="78">
        <f t="shared" si="3"/>
        <v>0.573931034482759</v>
      </c>
      <c r="U54" s="36" t="s">
        <v>253</v>
      </c>
      <c r="V54" s="36" t="s">
        <v>296</v>
      </c>
      <c r="W54" s="51">
        <f t="shared" si="5"/>
        <v>0.678310502283105</v>
      </c>
      <c r="X54" s="51">
        <f t="shared" si="5"/>
        <v>0.660844748858447</v>
      </c>
      <c r="Y54" s="51">
        <f t="shared" si="5"/>
        <v>0.760502283105023</v>
      </c>
      <c r="Z54" s="51">
        <f t="shared" si="5"/>
        <v>0.593036529680365</v>
      </c>
      <c r="AA54" s="51">
        <f t="shared" si="5"/>
        <v>0.686872146118721</v>
      </c>
      <c r="AB54" s="51">
        <f t="shared" si="5"/>
        <v>0.744520547945206</v>
      </c>
      <c r="AC54" s="51">
        <f>SUMIFS($M:$M,$A:$A,$U54,$B:$B,AC$2)/8760</f>
        <v>0.620433789954338</v>
      </c>
    </row>
    <row r="55" ht="13" spans="1:29">
      <c r="A55" s="63" t="s">
        <v>254</v>
      </c>
      <c r="B55" s="36">
        <v>2017</v>
      </c>
      <c r="C55" s="44">
        <v>166</v>
      </c>
      <c r="D55" s="44">
        <v>2</v>
      </c>
      <c r="E55" s="44">
        <v>9</v>
      </c>
      <c r="F55" s="70">
        <v>155</v>
      </c>
      <c r="G55" s="44">
        <v>33</v>
      </c>
      <c r="H55" s="44">
        <v>1</v>
      </c>
      <c r="I55" s="44">
        <v>5</v>
      </c>
      <c r="J55" s="70">
        <v>27</v>
      </c>
      <c r="K55" s="44">
        <v>2098</v>
      </c>
      <c r="L55" s="46"/>
      <c r="M55" s="44">
        <v>6132</v>
      </c>
      <c r="N55" s="112">
        <v>1853</v>
      </c>
      <c r="O55" s="51" cm="1">
        <f t="array" ref="O55">IFERROR(IF(G55&gt;10,G55/C55*0.876,""),“”)</f>
        <v>0.174144578313253</v>
      </c>
      <c r="P55" s="51" t="str" cm="1">
        <f t="array" ref="P55">IFERROR(IF(H55&gt;10,H55/D55*0.876,""),“”)</f>
        <v/>
      </c>
      <c r="Q55" s="51" t="str" cm="1">
        <f t="array" ref="Q55">IFERROR(IF(I55&gt;10,I55/E55*0.876,""),“”)</f>
        <v/>
      </c>
      <c r="R55" s="51" cm="1">
        <f t="array" ref="R55">IFERROR(IF(J55&gt;10,J55/F55*0.876,""),“”)</f>
        <v>0.152593548387097</v>
      </c>
      <c r="S55" s="78">
        <f t="shared" si="3"/>
        <v>0.156229299363057</v>
      </c>
      <c r="U55" s="36" t="s">
        <v>254</v>
      </c>
      <c r="V55" s="36" t="s">
        <v>296</v>
      </c>
      <c r="W55" s="51">
        <f t="shared" si="5"/>
        <v>0.503538812785388</v>
      </c>
      <c r="X55" s="51">
        <f t="shared" si="5"/>
        <v>0.7</v>
      </c>
      <c r="Y55" s="51">
        <f t="shared" si="5"/>
        <v>0.758904109589041</v>
      </c>
      <c r="Z55" s="51">
        <f t="shared" si="5"/>
        <v>0.784132420091324</v>
      </c>
      <c r="AA55" s="51">
        <f t="shared" si="5"/>
        <v>0.763127853881279</v>
      </c>
      <c r="AB55" s="51">
        <f t="shared" si="5"/>
        <v>0.828082191780822</v>
      </c>
      <c r="AC55" s="51">
        <f>SUMIFS($M:$M,$A:$A,$U55,$B:$B,AC$2)/8760</f>
        <v>0.700684931506849</v>
      </c>
    </row>
    <row r="56" ht="13" spans="1:29">
      <c r="A56" s="63" t="s">
        <v>255</v>
      </c>
      <c r="B56" s="36">
        <v>2017</v>
      </c>
      <c r="C56" s="44">
        <v>8</v>
      </c>
      <c r="D56" s="44">
        <v>0.3</v>
      </c>
      <c r="E56" s="44">
        <v>8</v>
      </c>
      <c r="F56" s="70"/>
      <c r="G56" s="44">
        <v>5</v>
      </c>
      <c r="H56" s="44">
        <v>0.2</v>
      </c>
      <c r="I56" s="44">
        <v>5</v>
      </c>
      <c r="J56" s="70"/>
      <c r="K56" s="44">
        <v>6798</v>
      </c>
      <c r="L56" s="46"/>
      <c r="M56" s="44">
        <v>6798</v>
      </c>
      <c r="N56" s="112"/>
      <c r="O56" s="51" t="str" cm="1">
        <f t="array" ref="O56">IFERROR(IF(G56&gt;10,G56/C56*0.876,""),“”)</f>
        <v/>
      </c>
      <c r="P56" s="51" t="str" cm="1">
        <f t="array" ref="P56">IFERROR(IF(H56&gt;10,H56/D56*0.876,""),“”)</f>
        <v/>
      </c>
      <c r="Q56" s="51" t="str" cm="1">
        <f t="array" ref="Q56">IFERROR(IF(I56&gt;10,I56/E56*0.876,""),“”)</f>
        <v/>
      </c>
      <c r="R56" s="51" t="str" cm="1">
        <f t="array" ref="R56">IFERROR(IF(J56&gt;10,J56/F56*0.876,""),“”)</f>
        <v/>
      </c>
      <c r="S56" s="78" t="str">
        <f t="shared" si="3"/>
        <v/>
      </c>
      <c r="U56" s="36" t="s">
        <v>255</v>
      </c>
      <c r="V56" s="36" t="s">
        <v>296</v>
      </c>
      <c r="W56" s="51">
        <f t="shared" si="5"/>
        <v>0.774543378995434</v>
      </c>
      <c r="X56" s="51">
        <f t="shared" si="5"/>
        <v>0.776027397260274</v>
      </c>
      <c r="Y56" s="51">
        <f t="shared" si="5"/>
        <v>0.765981735159817</v>
      </c>
      <c r="Z56" s="51">
        <f t="shared" si="5"/>
        <v>0.781849315068493</v>
      </c>
      <c r="AA56" s="51">
        <f t="shared" si="5"/>
        <v>0.610616438356164</v>
      </c>
      <c r="AB56" s="51">
        <f t="shared" si="5"/>
        <v>0.713356164383562</v>
      </c>
      <c r="AC56" s="51">
        <f>SUMIFS($M:$M,$A:$A,$U56,$B:$B,AC$2)/8760</f>
        <v>0.74337899543379</v>
      </c>
    </row>
    <row r="57" ht="13" spans="1:29">
      <c r="A57" s="63" t="s">
        <v>256</v>
      </c>
      <c r="B57" s="36">
        <v>2017</v>
      </c>
      <c r="C57" s="44">
        <v>18</v>
      </c>
      <c r="D57" s="44">
        <v>1</v>
      </c>
      <c r="E57" s="44">
        <v>10</v>
      </c>
      <c r="F57" s="70">
        <v>7</v>
      </c>
      <c r="G57" s="44">
        <v>10</v>
      </c>
      <c r="H57" s="44">
        <v>1</v>
      </c>
      <c r="I57" s="44">
        <v>7</v>
      </c>
      <c r="J57" s="70">
        <v>2</v>
      </c>
      <c r="K57" s="44">
        <v>5840</v>
      </c>
      <c r="L57" s="46"/>
      <c r="M57" s="44">
        <v>7189</v>
      </c>
      <c r="N57" s="112">
        <v>3496</v>
      </c>
      <c r="O57" s="51" t="str" cm="1">
        <f t="array" ref="O57">IFERROR(IF(G57&gt;10,G57/C57*0.876,""),“”)</f>
        <v/>
      </c>
      <c r="P57" s="51" t="str" cm="1">
        <f t="array" ref="P57">IFERROR(IF(H57&gt;10,H57/D57*0.876,""),“”)</f>
        <v/>
      </c>
      <c r="Q57" s="51" t="str" cm="1">
        <f t="array" ref="Q57">IFERROR(IF(I57&gt;10,I57/E57*0.876,""),“”)</f>
        <v/>
      </c>
      <c r="R57" s="51" t="str" cm="1">
        <f t="array" ref="R57">IFERROR(IF(J57&gt;10,J57/F57*0.876,""),“”)</f>
        <v/>
      </c>
      <c r="S57" s="78" t="str">
        <f t="shared" si="3"/>
        <v/>
      </c>
      <c r="U57" s="36" t="s">
        <v>256</v>
      </c>
      <c r="V57" s="36" t="s">
        <v>296</v>
      </c>
      <c r="W57" s="51">
        <f t="shared" si="5"/>
        <v>0.774771689497717</v>
      </c>
      <c r="X57" s="51">
        <f t="shared" si="5"/>
        <v>0.820662100456621</v>
      </c>
      <c r="Y57" s="51">
        <f t="shared" si="5"/>
        <v>0.676940639269406</v>
      </c>
      <c r="Z57" s="51">
        <f t="shared" si="5"/>
        <v>0.751027397260274</v>
      </c>
      <c r="AA57" s="51">
        <f t="shared" si="5"/>
        <v>0.852283105022831</v>
      </c>
      <c r="AB57" s="51">
        <f t="shared" si="5"/>
        <v>0.808333333333333</v>
      </c>
      <c r="AC57" s="51">
        <f>SUMIFS($M:$M,$A:$A,$U57,$B:$B,AC$2)/8760</f>
        <v>0.711073059360731</v>
      </c>
    </row>
    <row r="58" ht="13" spans="1:29">
      <c r="A58" s="63" t="s">
        <v>258</v>
      </c>
      <c r="B58" s="36">
        <v>2017</v>
      </c>
      <c r="C58" s="44">
        <v>44</v>
      </c>
      <c r="D58" s="44">
        <v>2</v>
      </c>
      <c r="E58" s="44">
        <v>39</v>
      </c>
      <c r="F58" s="70">
        <v>3</v>
      </c>
      <c r="G58" s="44">
        <v>21</v>
      </c>
      <c r="H58" s="44">
        <v>1</v>
      </c>
      <c r="I58" s="44">
        <v>18</v>
      </c>
      <c r="J58" s="70">
        <v>2</v>
      </c>
      <c r="K58" s="44">
        <v>5473</v>
      </c>
      <c r="L58" s="44">
        <v>7197</v>
      </c>
      <c r="M58" s="44">
        <v>5304</v>
      </c>
      <c r="N58" s="112">
        <v>7035</v>
      </c>
      <c r="O58" s="51" cm="1">
        <f t="array" ref="O58">IFERROR(IF(G58&gt;10,G58/C58*0.876,""),“”)</f>
        <v>0.418090909090909</v>
      </c>
      <c r="P58" s="51" t="str" cm="1">
        <f t="array" ref="P58">IFERROR(IF(H58&gt;10,H58/D58*0.876,""),“”)</f>
        <v/>
      </c>
      <c r="Q58" s="51" cm="1">
        <f t="array" ref="Q58">IFERROR(IF(I58&gt;10,I58/E58*0.876,""),“”)</f>
        <v>0.404307692307692</v>
      </c>
      <c r="R58" s="51" t="str" cm="1">
        <f t="array" ref="R58">IFERROR(IF(J58&gt;10,J58/F58*0.876,""),“”)</f>
        <v/>
      </c>
      <c r="S58" s="78" t="str">
        <f t="shared" si="3"/>
        <v/>
      </c>
      <c r="U58" s="36" t="s">
        <v>258</v>
      </c>
      <c r="V58" s="36" t="s">
        <v>296</v>
      </c>
      <c r="W58" s="51">
        <f t="shared" si="5"/>
        <v>0.565182648401827</v>
      </c>
      <c r="X58" s="51">
        <f t="shared" si="5"/>
        <v>0.605479452054794</v>
      </c>
      <c r="Y58" s="51">
        <f t="shared" si="5"/>
        <v>0.739383561643836</v>
      </c>
      <c r="Z58" s="51">
        <f t="shared" si="5"/>
        <v>0.777511415525114</v>
      </c>
      <c r="AA58" s="51">
        <f t="shared" si="5"/>
        <v>0.782990867579909</v>
      </c>
      <c r="AB58" s="51">
        <f t="shared" si="5"/>
        <v>0.761529680365297</v>
      </c>
      <c r="AC58" s="51">
        <f>SUMIFS($M:$M,$A:$A,$U58,$B:$B,AC$2)/8760</f>
        <v>0.763013698630137</v>
      </c>
    </row>
    <row r="59" ht="13" spans="1:29">
      <c r="A59" s="63" t="s">
        <v>259</v>
      </c>
      <c r="B59" s="36">
        <v>2017</v>
      </c>
      <c r="C59" s="44">
        <v>15</v>
      </c>
      <c r="D59" s="104"/>
      <c r="E59" s="70">
        <v>9</v>
      </c>
      <c r="F59" s="70">
        <v>6</v>
      </c>
      <c r="G59" s="44">
        <v>6</v>
      </c>
      <c r="H59" s="104"/>
      <c r="I59" s="70">
        <v>2</v>
      </c>
      <c r="J59" s="70">
        <v>4</v>
      </c>
      <c r="K59" s="44">
        <v>3856</v>
      </c>
      <c r="L59" s="46"/>
      <c r="M59" s="70">
        <v>2212</v>
      </c>
      <c r="N59" s="112">
        <v>6186</v>
      </c>
      <c r="O59" s="51" t="str" cm="1">
        <f t="array" ref="O59">IFERROR(IF(G59&gt;10,G59/C59*0.876,""),“”)</f>
        <v/>
      </c>
      <c r="P59" s="51" t="str" cm="1">
        <f t="array" ref="P59">IFERROR(IF(H59&gt;10,H59/D59*0.876,""),“”)</f>
        <v/>
      </c>
      <c r="Q59" s="51" t="str" cm="1">
        <f t="array" ref="Q59">IFERROR(IF(I59&gt;10,I59/E59*0.876,""),“”)</f>
        <v/>
      </c>
      <c r="R59" s="51" t="str" cm="1">
        <f t="array" ref="R59">IFERROR(IF(J59&gt;10,J59/F59*0.876,""),“”)</f>
        <v/>
      </c>
      <c r="S59" s="78" t="str">
        <f t="shared" si="3"/>
        <v/>
      </c>
      <c r="U59" s="36" t="s">
        <v>259</v>
      </c>
      <c r="V59" s="36" t="s">
        <v>296</v>
      </c>
      <c r="W59" s="51">
        <f t="shared" si="5"/>
        <v>0.642351598173516</v>
      </c>
      <c r="X59" s="51">
        <f t="shared" si="5"/>
        <v>0.252511415525114</v>
      </c>
      <c r="Y59" s="51">
        <f t="shared" si="5"/>
        <v>0.582990867579909</v>
      </c>
      <c r="Z59" s="51">
        <f t="shared" si="5"/>
        <v>0.706963470319635</v>
      </c>
      <c r="AA59" s="51">
        <f t="shared" si="5"/>
        <v>0.647260273972603</v>
      </c>
      <c r="AB59" s="51">
        <f t="shared" si="5"/>
        <v>0.621689497716895</v>
      </c>
      <c r="AC59" s="51">
        <f>SUMIFS($M:$M,$A:$A,$U59,$B:$B,AC$2)/8760</f>
        <v>0.644977168949772</v>
      </c>
    </row>
    <row r="60" ht="13" spans="1:29">
      <c r="A60" s="63" t="s">
        <v>260</v>
      </c>
      <c r="B60" s="36">
        <v>2017</v>
      </c>
      <c r="C60" s="44">
        <v>32</v>
      </c>
      <c r="D60" s="104"/>
      <c r="E60" s="44">
        <v>12</v>
      </c>
      <c r="F60" s="70">
        <v>20</v>
      </c>
      <c r="G60" s="44">
        <v>8</v>
      </c>
      <c r="H60" s="104"/>
      <c r="I60" s="44">
        <v>6</v>
      </c>
      <c r="J60" s="70">
        <v>2</v>
      </c>
      <c r="K60" s="44">
        <v>2905</v>
      </c>
      <c r="L60" s="46"/>
      <c r="M60" s="44">
        <v>5208</v>
      </c>
      <c r="N60" s="112">
        <v>960</v>
      </c>
      <c r="O60" s="51" t="str" cm="1">
        <f t="array" ref="O60">IFERROR(IF(G60&gt;10,G60/C60*0.876,""),“”)</f>
        <v/>
      </c>
      <c r="P60" s="51" t="str" cm="1">
        <f t="array" ref="P60">IFERROR(IF(H60&gt;10,H60/D60*0.876,""),“”)</f>
        <v/>
      </c>
      <c r="Q60" s="51" t="str" cm="1">
        <f t="array" ref="Q60">IFERROR(IF(I60&gt;10,I60/E60*0.876,""),“”)</f>
        <v/>
      </c>
      <c r="R60" s="51" t="str" cm="1">
        <f t="array" ref="R60">IFERROR(IF(J60&gt;10,J60/F60*0.876,""),“”)</f>
        <v/>
      </c>
      <c r="S60" s="78" t="str">
        <f t="shared" si="3"/>
        <v/>
      </c>
      <c r="U60" s="36" t="s">
        <v>260</v>
      </c>
      <c r="V60" s="36" t="s">
        <v>296</v>
      </c>
      <c r="W60" s="51">
        <f t="shared" si="5"/>
        <v>0.592351598173516</v>
      </c>
      <c r="X60" s="51">
        <f t="shared" si="5"/>
        <v>0.594520547945205</v>
      </c>
      <c r="Y60" s="51">
        <f t="shared" si="5"/>
        <v>0.457077625570776</v>
      </c>
      <c r="Z60" s="51">
        <f t="shared" si="5"/>
        <v>0.399315068493151</v>
      </c>
      <c r="AA60" s="51">
        <f t="shared" si="5"/>
        <v>0.420776255707763</v>
      </c>
      <c r="AB60" s="51">
        <f t="shared" si="5"/>
        <v>0.484703196347032</v>
      </c>
      <c r="AC60" s="51">
        <f>SUMIFS($M:$M,$A:$A,$U60,$B:$B,AC$2)/8760</f>
        <v>0.578538812785388</v>
      </c>
    </row>
    <row r="61" ht="13" spans="1:29">
      <c r="A61" s="63" t="s">
        <v>261</v>
      </c>
      <c r="B61" s="36">
        <v>2017</v>
      </c>
      <c r="C61" s="44"/>
      <c r="D61" s="105"/>
      <c r="E61" s="70"/>
      <c r="F61" s="46"/>
      <c r="G61" s="44"/>
      <c r="H61" s="105"/>
      <c r="I61" s="70"/>
      <c r="J61" s="86"/>
      <c r="K61" s="44"/>
      <c r="L61" s="70"/>
      <c r="M61" s="70"/>
      <c r="N61" s="111"/>
      <c r="O61" s="51" t="str" cm="1">
        <f t="array" ref="O61">IFERROR(IF(G61&gt;10,G61/C61*0.876,""),“”)</f>
        <v/>
      </c>
      <c r="P61" s="51" t="str" cm="1">
        <f t="array" ref="P61">IFERROR(IF(H61&gt;10,H61/D61*0.876,""),“”)</f>
        <v/>
      </c>
      <c r="Q61" s="51" t="str" cm="1">
        <f t="array" ref="Q61">IFERROR(IF(I61&gt;10,I61/E61*0.876,""),“”)</f>
        <v/>
      </c>
      <c r="R61" s="51" t="str" cm="1">
        <f t="array" ref="R61">IFERROR(IF(J61&gt;10,J61/F61*0.876,""),“”)</f>
        <v/>
      </c>
      <c r="S61" s="78" t="str">
        <f t="shared" si="3"/>
        <v/>
      </c>
      <c r="U61" s="36" t="s">
        <v>261</v>
      </c>
      <c r="V61" s="36" t="s">
        <v>296</v>
      </c>
      <c r="W61" s="51">
        <f t="shared" si="5"/>
        <v>0</v>
      </c>
      <c r="X61" s="51">
        <f t="shared" si="5"/>
        <v>0</v>
      </c>
      <c r="Y61" s="51">
        <f t="shared" si="5"/>
        <v>0.498059360730594</v>
      </c>
      <c r="Z61" s="51">
        <f t="shared" si="5"/>
        <v>0.601826484018265</v>
      </c>
      <c r="AA61" s="51">
        <f t="shared" si="5"/>
        <v>0.415981735159817</v>
      </c>
      <c r="AB61" s="51">
        <f t="shared" si="5"/>
        <v>0.500570776255708</v>
      </c>
      <c r="AC61" s="51">
        <f>SUMIFS($M:$M,$A:$A,$U61,$B:$B,AC$2)/8760</f>
        <v>0.604908675799087</v>
      </c>
    </row>
    <row r="62" ht="13" spans="1:29">
      <c r="A62" s="63" t="s">
        <v>262</v>
      </c>
      <c r="B62" s="36">
        <v>2017</v>
      </c>
      <c r="C62" s="44">
        <v>6</v>
      </c>
      <c r="D62" s="104"/>
      <c r="E62" s="44">
        <v>3</v>
      </c>
      <c r="F62" s="70">
        <v>3</v>
      </c>
      <c r="G62" s="44">
        <v>2</v>
      </c>
      <c r="H62" s="104"/>
      <c r="I62" s="44">
        <v>1</v>
      </c>
      <c r="J62" s="70">
        <v>1</v>
      </c>
      <c r="K62" s="44">
        <v>4048</v>
      </c>
      <c r="L62" s="46"/>
      <c r="M62" s="70">
        <v>567</v>
      </c>
      <c r="N62" s="112">
        <v>5820</v>
      </c>
      <c r="O62" s="51" t="str" cm="1">
        <f t="array" ref="O62">IFERROR(IF(G62&gt;10,G62/C62*0.876,""),“”)</f>
        <v/>
      </c>
      <c r="P62" s="51" t="str" cm="1">
        <f t="array" ref="P62">IFERROR(IF(H62&gt;10,H62/D62*0.876,""),“”)</f>
        <v/>
      </c>
      <c r="Q62" s="51" t="str" cm="1">
        <f t="array" ref="Q62">IFERROR(IF(I62&gt;10,I62/E62*0.876,""),“”)</f>
        <v/>
      </c>
      <c r="R62" s="51" t="str" cm="1">
        <f t="array" ref="R62">IFERROR(IF(J62&gt;10,J62/F62*0.876,""),“”)</f>
        <v/>
      </c>
      <c r="S62" s="78" t="str">
        <f t="shared" si="3"/>
        <v/>
      </c>
      <c r="U62" s="36" t="s">
        <v>262</v>
      </c>
      <c r="V62" s="36" t="s">
        <v>296</v>
      </c>
      <c r="W62" s="51">
        <f t="shared" si="5"/>
        <v>0.264954337899543</v>
      </c>
      <c r="X62" s="51">
        <f t="shared" si="5"/>
        <v>0.0647260273972603</v>
      </c>
      <c r="Y62" s="51">
        <f t="shared" si="5"/>
        <v>0.276712328767123</v>
      </c>
      <c r="Z62" s="51">
        <f t="shared" si="5"/>
        <v>0</v>
      </c>
      <c r="AA62" s="51">
        <f t="shared" si="5"/>
        <v>0.626369863013699</v>
      </c>
      <c r="AB62" s="51">
        <f t="shared" si="5"/>
        <v>0.708561643835616</v>
      </c>
      <c r="AC62" s="51">
        <f>SUMIFS($M:$M,$A:$A,$U62,$B:$B,AC$2)/8760</f>
        <v>0.702511415525114</v>
      </c>
    </row>
    <row r="63" ht="13" spans="1:29">
      <c r="A63" s="63" t="s">
        <v>263</v>
      </c>
      <c r="B63" s="36">
        <v>2017</v>
      </c>
      <c r="C63" s="44">
        <v>9</v>
      </c>
      <c r="D63" s="104"/>
      <c r="E63" s="44">
        <v>6</v>
      </c>
      <c r="F63" s="70">
        <v>3</v>
      </c>
      <c r="G63" s="44">
        <v>5</v>
      </c>
      <c r="H63" s="104"/>
      <c r="I63" s="70">
        <v>3</v>
      </c>
      <c r="J63" s="70">
        <v>2</v>
      </c>
      <c r="K63" s="44">
        <v>5538</v>
      </c>
      <c r="L63" s="46"/>
      <c r="M63" s="70">
        <v>5427</v>
      </c>
      <c r="N63" s="112">
        <v>5738</v>
      </c>
      <c r="O63" s="51" t="str" cm="1">
        <f t="array" ref="O63">IFERROR(IF(G63&gt;10,G63/C63*0.876,""),“”)</f>
        <v/>
      </c>
      <c r="P63" s="51" t="str" cm="1">
        <f t="array" ref="P63">IFERROR(IF(H63&gt;10,H63/D63*0.876,""),“”)</f>
        <v/>
      </c>
      <c r="Q63" s="51" t="str" cm="1">
        <f t="array" ref="Q63">IFERROR(IF(I63&gt;10,I63/E63*0.876,""),“”)</f>
        <v/>
      </c>
      <c r="R63" s="51" t="str" cm="1">
        <f t="array" ref="R63">IFERROR(IF(J63&gt;10,J63/F63*0.876,""),“”)</f>
        <v/>
      </c>
      <c r="S63" s="78" t="str">
        <f t="shared" si="3"/>
        <v/>
      </c>
      <c r="U63" s="36" t="s">
        <v>263</v>
      </c>
      <c r="V63" s="36" t="s">
        <v>296</v>
      </c>
      <c r="W63" s="51">
        <f t="shared" si="5"/>
        <v>0.664954337899543</v>
      </c>
      <c r="X63" s="51">
        <f t="shared" si="5"/>
        <v>0.619520547945206</v>
      </c>
      <c r="Y63" s="51">
        <f t="shared" si="5"/>
        <v>0.686187214611872</v>
      </c>
      <c r="Z63" s="51">
        <f t="shared" si="5"/>
        <v>0.805479452054795</v>
      </c>
      <c r="AA63" s="51">
        <f t="shared" si="5"/>
        <v>0.782077625570776</v>
      </c>
      <c r="AB63" s="51">
        <f t="shared" si="5"/>
        <v>0.757191780821918</v>
      </c>
      <c r="AC63" s="51">
        <f>SUMIFS($M:$M,$A:$A,$U63,$B:$B,AC$2)/8760</f>
        <v>0.692808219178082</v>
      </c>
    </row>
    <row r="64" ht="13" spans="1:29">
      <c r="A64" s="63" t="s">
        <v>264</v>
      </c>
      <c r="B64" s="36">
        <v>2017</v>
      </c>
      <c r="C64" s="44">
        <v>0.4</v>
      </c>
      <c r="D64" s="44"/>
      <c r="E64" s="44">
        <v>0.4</v>
      </c>
      <c r="F64" s="70"/>
      <c r="G64" s="44">
        <v>0.2</v>
      </c>
      <c r="H64" s="44"/>
      <c r="I64" s="42">
        <v>0.2</v>
      </c>
      <c r="J64" s="70"/>
      <c r="K64" s="46"/>
      <c r="L64" s="46"/>
      <c r="M64" s="70"/>
      <c r="N64" s="112"/>
      <c r="O64" s="51" t="str" cm="1">
        <f t="array" ref="O64">IFERROR(IF(G64&gt;10,G64/C64*0.876,""),“”)</f>
        <v/>
      </c>
      <c r="P64" s="51" t="str" cm="1">
        <f t="array" ref="P64">IFERROR(IF(H64&gt;10,H64/D64*0.876,""),“”)</f>
        <v/>
      </c>
      <c r="Q64" s="51" t="str" cm="1">
        <f t="array" ref="Q64">IFERROR(IF(I64&gt;10,I64/E64*0.876,""),“”)</f>
        <v/>
      </c>
      <c r="R64" s="51" t="str" cm="1">
        <f t="array" ref="R64">IFERROR(IF(J64&gt;10,J64/F64*0.876,""),“”)</f>
        <v/>
      </c>
      <c r="S64" s="78" t="str">
        <f t="shared" si="3"/>
        <v/>
      </c>
      <c r="U64" s="36" t="s">
        <v>264</v>
      </c>
      <c r="V64" s="36" t="s">
        <v>296</v>
      </c>
      <c r="W64" s="51">
        <f t="shared" si="5"/>
        <v>0</v>
      </c>
      <c r="X64" s="51">
        <f t="shared" si="5"/>
        <v>0</v>
      </c>
      <c r="Y64" s="51">
        <f t="shared" si="5"/>
        <v>0</v>
      </c>
      <c r="Z64" s="51">
        <f t="shared" si="5"/>
        <v>0</v>
      </c>
      <c r="AA64" s="51">
        <f t="shared" si="5"/>
        <v>0</v>
      </c>
      <c r="AB64" s="51">
        <f t="shared" si="5"/>
        <v>0</v>
      </c>
      <c r="AC64" s="51">
        <f>SUMIFS($M:$M,$A:$A,$U64,$B:$B,AC$2)/8760</f>
        <v>0</v>
      </c>
    </row>
    <row r="65" ht="13" spans="1:29">
      <c r="A65" s="63" t="s">
        <v>265</v>
      </c>
      <c r="B65" s="36">
        <v>2017</v>
      </c>
      <c r="C65" s="44">
        <v>8</v>
      </c>
      <c r="D65" s="104"/>
      <c r="E65" s="44">
        <v>2</v>
      </c>
      <c r="F65" s="70">
        <v>6</v>
      </c>
      <c r="G65" s="44">
        <v>2</v>
      </c>
      <c r="H65" s="104"/>
      <c r="I65" s="44">
        <v>1</v>
      </c>
      <c r="J65" s="70">
        <v>1</v>
      </c>
      <c r="K65" s="44">
        <v>2934</v>
      </c>
      <c r="L65" s="46"/>
      <c r="M65" s="44">
        <v>6215</v>
      </c>
      <c r="N65" s="112">
        <v>1458</v>
      </c>
      <c r="O65" s="51" t="str" cm="1">
        <f t="array" ref="O65">IFERROR(IF(G65&gt;10,G65/C65*0.876,""),“”)</f>
        <v/>
      </c>
      <c r="P65" s="51" t="str" cm="1">
        <f t="array" ref="P65">IFERROR(IF(H65&gt;10,H65/D65*0.876,""),“”)</f>
        <v/>
      </c>
      <c r="Q65" s="51" t="str" cm="1">
        <f t="array" ref="Q65">IFERROR(IF(I65&gt;10,I65/E65*0.876,""),“”)</f>
        <v/>
      </c>
      <c r="R65" s="51" t="str" cm="1">
        <f t="array" ref="R65">IFERROR(IF(J65&gt;10,J65/F65*0.876,""),“”)</f>
        <v/>
      </c>
      <c r="S65" s="78" t="str">
        <f t="shared" si="3"/>
        <v/>
      </c>
      <c r="U65" s="36" t="s">
        <v>265</v>
      </c>
      <c r="V65" s="36" t="s">
        <v>296</v>
      </c>
      <c r="W65" s="51">
        <f t="shared" si="5"/>
        <v>0.716324200913242</v>
      </c>
      <c r="X65" s="51">
        <f t="shared" si="5"/>
        <v>0.709474885844749</v>
      </c>
      <c r="Y65" s="51">
        <f t="shared" si="5"/>
        <v>0.546118721461187</v>
      </c>
      <c r="Z65" s="51">
        <f t="shared" si="5"/>
        <v>0.566780821917808</v>
      </c>
      <c r="AA65" s="51">
        <f t="shared" si="5"/>
        <v>0.659360730593607</v>
      </c>
      <c r="AB65" s="51">
        <f t="shared" si="5"/>
        <v>0.783675799086758</v>
      </c>
      <c r="AC65" s="51">
        <f>SUMIFS($M:$M,$A:$A,$U65,$B:$B,AC$2)/8760</f>
        <v>0.763127853881279</v>
      </c>
    </row>
    <row r="66" ht="13.75" spans="1:29">
      <c r="A66" s="65" t="s">
        <v>266</v>
      </c>
      <c r="B66" s="66">
        <v>2017</v>
      </c>
      <c r="C66" s="67">
        <v>3</v>
      </c>
      <c r="D66" s="67">
        <v>0.2</v>
      </c>
      <c r="E66" s="88"/>
      <c r="F66" s="84">
        <v>2</v>
      </c>
      <c r="G66" s="67">
        <v>2</v>
      </c>
      <c r="H66" s="67">
        <v>0</v>
      </c>
      <c r="I66" s="88"/>
      <c r="J66" s="84">
        <v>2</v>
      </c>
      <c r="K66" s="67">
        <v>6963</v>
      </c>
      <c r="L66" s="67">
        <v>6342</v>
      </c>
      <c r="M66" s="88"/>
      <c r="N66" s="119">
        <v>7016</v>
      </c>
      <c r="O66" s="79" t="str" cm="1">
        <f t="array" ref="O66">IFERROR(IF(G66&gt;10,G66/C66*0.876,""),“”)</f>
        <v/>
      </c>
      <c r="P66" s="79" t="str" cm="1">
        <f t="array" ref="P66">IFERROR(IF(H66&gt;10,H66/D66*0.876,""),“”)</f>
        <v/>
      </c>
      <c r="Q66" s="79" t="str" cm="1">
        <f t="array" ref="Q66">IFERROR(IF(I66&gt;10,I66/E66*0.876,""),“”)</f>
        <v/>
      </c>
      <c r="R66" s="79" t="str" cm="1">
        <f t="array" ref="R66">IFERROR(IF(J66&gt;10,J66/F66*0.876,""),“”)</f>
        <v/>
      </c>
      <c r="S66" s="80" t="str">
        <f t="shared" si="3"/>
        <v/>
      </c>
      <c r="U66" s="36" t="s">
        <v>266</v>
      </c>
      <c r="V66" s="36" t="s">
        <v>296</v>
      </c>
      <c r="W66" s="51">
        <f t="shared" si="5"/>
        <v>0</v>
      </c>
      <c r="X66" s="51">
        <f t="shared" si="5"/>
        <v>0</v>
      </c>
      <c r="Y66" s="51">
        <f t="shared" si="5"/>
        <v>0</v>
      </c>
      <c r="Z66" s="51">
        <f t="shared" si="5"/>
        <v>0.443607305936073</v>
      </c>
      <c r="AA66" s="51">
        <f t="shared" si="5"/>
        <v>0.433561643835616</v>
      </c>
      <c r="AB66" s="51">
        <f t="shared" si="5"/>
        <v>0.510388127853881</v>
      </c>
      <c r="AC66" s="51">
        <f>SUMIFS($M:$M,$A:$A,$U66,$B:$B,AC$2)/8760</f>
        <v>0.470890410958904</v>
      </c>
    </row>
    <row r="67" ht="13" spans="1:19">
      <c r="A67" s="59" t="s">
        <v>234</v>
      </c>
      <c r="B67" s="60">
        <v>2018</v>
      </c>
      <c r="C67" s="61">
        <v>1947</v>
      </c>
      <c r="D67" s="61">
        <v>58</v>
      </c>
      <c r="E67" s="61">
        <v>898</v>
      </c>
      <c r="F67" s="61">
        <v>991</v>
      </c>
      <c r="G67" s="61">
        <v>936</v>
      </c>
      <c r="H67" s="61">
        <v>22</v>
      </c>
      <c r="I67" s="61">
        <v>485</v>
      </c>
      <c r="J67" s="61">
        <v>429</v>
      </c>
      <c r="K67" s="61">
        <v>5165</v>
      </c>
      <c r="L67" s="61">
        <v>5079</v>
      </c>
      <c r="M67" s="61">
        <v>5877</v>
      </c>
      <c r="N67" s="120">
        <v>4546</v>
      </c>
      <c r="O67" s="76" cm="1">
        <f t="array" ref="O67">IFERROR(IF(G67&gt;10,G67/C67*0.876,""),“”)</f>
        <v>0.421127889060092</v>
      </c>
      <c r="P67" s="76" cm="1">
        <f t="array" ref="P67">IFERROR(IF(H67&gt;10,H67/D67*0.876,""),“”)</f>
        <v>0.332275862068965</v>
      </c>
      <c r="Q67" s="76" cm="1">
        <f t="array" ref="Q67">IFERROR(IF(I67&gt;10,I67/E67*0.876,""),“”)</f>
        <v>0.473118040089087</v>
      </c>
      <c r="R67" s="76" cm="1">
        <f t="array" ref="R67">IFERROR(IF(J67&gt;10,J67/F67*0.876,""),“”)</f>
        <v>0.379216952573158</v>
      </c>
      <c r="S67" s="77">
        <f t="shared" ref="S67:S98" si="6">IFERROR(IF((G67-I67)&gt;10,(G67-I67)/(C67-E67)*0.876,""),"")</f>
        <v>0.376621544327931</v>
      </c>
    </row>
    <row r="68" ht="13" spans="1:19">
      <c r="A68" s="63" t="s">
        <v>235</v>
      </c>
      <c r="B68" s="36">
        <v>2018</v>
      </c>
      <c r="C68" s="44">
        <v>27</v>
      </c>
      <c r="D68" s="104"/>
      <c r="E68" s="44">
        <v>27</v>
      </c>
      <c r="F68" s="46"/>
      <c r="G68" s="44">
        <v>15</v>
      </c>
      <c r="H68" s="104"/>
      <c r="I68" s="44">
        <v>15</v>
      </c>
      <c r="J68" s="46"/>
      <c r="K68" s="44">
        <v>6754</v>
      </c>
      <c r="L68" s="46"/>
      <c r="M68" s="44">
        <v>6754</v>
      </c>
      <c r="N68" s="111"/>
      <c r="O68" s="51" cm="1">
        <f t="array" ref="O68">IFERROR(IF(G68&gt;10,G68/C68*0.876,""),“”)</f>
        <v>0.486666666666667</v>
      </c>
      <c r="P68" s="51" t="str" cm="1">
        <f t="array" ref="P68">IFERROR(IF(H68&gt;10,H68/D68*0.876,""),“”)</f>
        <v/>
      </c>
      <c r="Q68" s="51" cm="1">
        <f t="array" ref="Q68">IFERROR(IF(I68&gt;10,I68/E68*0.876,""),“”)</f>
        <v>0.486666666666667</v>
      </c>
      <c r="R68" s="51" t="str" cm="1">
        <f t="array" ref="R68">IFERROR(IF(J68&gt;10,J68/F68*0.876,""),“”)</f>
        <v/>
      </c>
      <c r="S68" s="78" t="str">
        <f t="shared" si="6"/>
        <v/>
      </c>
    </row>
    <row r="69" ht="13" spans="1:19">
      <c r="A69" s="63" t="s">
        <v>236</v>
      </c>
      <c r="B69" s="36">
        <v>2018</v>
      </c>
      <c r="C69" s="44">
        <v>10</v>
      </c>
      <c r="D69" s="104"/>
      <c r="E69" s="44">
        <v>10</v>
      </c>
      <c r="F69" s="70"/>
      <c r="G69" s="44">
        <v>6</v>
      </c>
      <c r="H69" s="104"/>
      <c r="I69" s="44">
        <v>6</v>
      </c>
      <c r="J69" s="70"/>
      <c r="K69" s="44">
        <v>5757</v>
      </c>
      <c r="L69" s="46"/>
      <c r="M69" s="44">
        <v>5757</v>
      </c>
      <c r="N69" s="112"/>
      <c r="O69" s="51" t="str" cm="1">
        <f t="array" ref="O69">IFERROR(IF(G69&gt;10,G69/C69*0.876,""),“”)</f>
        <v/>
      </c>
      <c r="P69" s="51" t="str" cm="1">
        <f t="array" ref="P69">IFERROR(IF(H69&gt;10,H69/D69*0.876,""),“”)</f>
        <v/>
      </c>
      <c r="Q69" s="51" t="str" cm="1">
        <f t="array" ref="Q69">IFERROR(IF(I69&gt;10,I69/E69*0.876,""),“”)</f>
        <v/>
      </c>
      <c r="R69" s="51" t="str" cm="1">
        <f t="array" ref="R69">IFERROR(IF(J69&gt;10,J69/F69*0.876,""),“”)</f>
        <v/>
      </c>
      <c r="S69" s="78" t="str">
        <f t="shared" si="6"/>
        <v/>
      </c>
    </row>
    <row r="70" ht="13" spans="1:19">
      <c r="A70" s="63" t="s">
        <v>237</v>
      </c>
      <c r="B70" s="36">
        <v>2018</v>
      </c>
      <c r="C70" s="44">
        <v>75</v>
      </c>
      <c r="D70" s="44">
        <v>1</v>
      </c>
      <c r="E70" s="44">
        <v>27</v>
      </c>
      <c r="F70" s="70">
        <v>47</v>
      </c>
      <c r="G70" s="44">
        <v>38</v>
      </c>
      <c r="H70" s="44">
        <v>0.3</v>
      </c>
      <c r="I70" s="44">
        <v>12</v>
      </c>
      <c r="J70" s="70">
        <v>26</v>
      </c>
      <c r="K70" s="44">
        <v>5287</v>
      </c>
      <c r="L70" s="46"/>
      <c r="M70" s="70">
        <v>4597</v>
      </c>
      <c r="N70" s="112">
        <v>5655</v>
      </c>
      <c r="O70" s="51" cm="1">
        <f t="array" ref="O70">IFERROR(IF(G70&gt;10,G70/C70*0.876,""),“”)</f>
        <v>0.44384</v>
      </c>
      <c r="P70" s="51" t="str" cm="1">
        <f t="array" ref="P70">IFERROR(IF(H70&gt;10,H70/D70*0.876,""),“”)</f>
        <v/>
      </c>
      <c r="Q70" s="51" cm="1">
        <f t="array" ref="Q70">IFERROR(IF(I70&gt;10,I70/E70*0.876,""),“”)</f>
        <v>0.389333333333333</v>
      </c>
      <c r="R70" s="51" cm="1">
        <f t="array" ref="R70">IFERROR(IF(J70&gt;10,J70/F70*0.876,""),“”)</f>
        <v>0.484595744680851</v>
      </c>
      <c r="S70" s="78">
        <f t="shared" si="6"/>
        <v>0.4745</v>
      </c>
    </row>
    <row r="71" ht="13" spans="1:19">
      <c r="A71" s="63" t="s">
        <v>238</v>
      </c>
      <c r="B71" s="36">
        <v>2018</v>
      </c>
      <c r="C71" s="44">
        <v>51</v>
      </c>
      <c r="D71" s="44">
        <v>10</v>
      </c>
      <c r="E71" s="44">
        <v>11</v>
      </c>
      <c r="F71" s="70">
        <v>30</v>
      </c>
      <c r="G71" s="44">
        <v>25</v>
      </c>
      <c r="H71" s="44">
        <v>2</v>
      </c>
      <c r="I71" s="44">
        <v>6</v>
      </c>
      <c r="J71" s="70">
        <v>16</v>
      </c>
      <c r="K71" s="44">
        <v>5506</v>
      </c>
      <c r="L71" s="46"/>
      <c r="M71" s="44">
        <v>5390</v>
      </c>
      <c r="N71" s="112">
        <v>5549</v>
      </c>
      <c r="O71" s="51" cm="1">
        <f t="array" ref="O71">IFERROR(IF(G71&gt;10,G71/C71*0.876,""),“”)</f>
        <v>0.429411764705882</v>
      </c>
      <c r="P71" s="51" t="str" cm="1">
        <f t="array" ref="P71">IFERROR(IF(H71&gt;10,H71/D71*0.876,""),“”)</f>
        <v/>
      </c>
      <c r="Q71" s="51" t="str" cm="1">
        <f t="array" ref="Q71">IFERROR(IF(I71&gt;10,I71/E71*0.876,""),“”)</f>
        <v/>
      </c>
      <c r="R71" s="51" cm="1">
        <f t="array" ref="R71">IFERROR(IF(J71&gt;10,J71/F71*0.876,""),“”)</f>
        <v>0.4672</v>
      </c>
      <c r="S71" s="78">
        <f t="shared" si="6"/>
        <v>0.4161</v>
      </c>
    </row>
    <row r="72" ht="13" spans="1:19">
      <c r="A72" s="63" t="s">
        <v>239</v>
      </c>
      <c r="B72" s="36">
        <v>2018</v>
      </c>
      <c r="C72" s="44">
        <v>19</v>
      </c>
      <c r="D72" s="104"/>
      <c r="E72" s="44">
        <v>7</v>
      </c>
      <c r="F72" s="70">
        <v>12</v>
      </c>
      <c r="G72" s="44">
        <v>8</v>
      </c>
      <c r="H72" s="44">
        <v>0.03</v>
      </c>
      <c r="I72" s="44">
        <v>2</v>
      </c>
      <c r="J72" s="70">
        <v>6</v>
      </c>
      <c r="K72" s="44">
        <v>4132</v>
      </c>
      <c r="L72" s="46"/>
      <c r="M72" s="44">
        <v>2889</v>
      </c>
      <c r="N72" s="112">
        <v>4841</v>
      </c>
      <c r="O72" s="51" t="str" cm="1">
        <f t="array" ref="O72">IFERROR(IF(G72&gt;10,G72/C72*0.876,""),“”)</f>
        <v/>
      </c>
      <c r="P72" s="51" t="str" cm="1">
        <f t="array" ref="P72">IFERROR(IF(H72&gt;10,H72/D72*0.876,""),“”)</f>
        <v/>
      </c>
      <c r="Q72" s="51" t="str" cm="1">
        <f t="array" ref="Q72">IFERROR(IF(I72&gt;10,I72/E72*0.876,""),“”)</f>
        <v/>
      </c>
      <c r="R72" s="51" t="str" cm="1">
        <f t="array" ref="R72">IFERROR(IF(J72&gt;10,J72/F72*0.876,""),“”)</f>
        <v/>
      </c>
      <c r="S72" s="78" t="str">
        <f t="shared" si="6"/>
        <v/>
      </c>
    </row>
    <row r="73" ht="13" spans="1:19">
      <c r="A73" s="63" t="s">
        <v>240</v>
      </c>
      <c r="B73" s="36">
        <v>2018</v>
      </c>
      <c r="C73" s="44">
        <v>15</v>
      </c>
      <c r="D73" s="104"/>
      <c r="E73" s="46">
        <v>8</v>
      </c>
      <c r="F73" s="44">
        <v>7</v>
      </c>
      <c r="G73" s="44">
        <v>9</v>
      </c>
      <c r="H73" s="104"/>
      <c r="I73" s="44">
        <v>5</v>
      </c>
      <c r="J73" s="44">
        <v>4</v>
      </c>
      <c r="K73" s="44">
        <v>6283</v>
      </c>
      <c r="L73" s="46"/>
      <c r="M73" s="44">
        <v>6722</v>
      </c>
      <c r="N73" s="113">
        <v>5797</v>
      </c>
      <c r="O73" s="51" t="str" cm="1">
        <f t="array" ref="O73">IFERROR(IF(G73&gt;10,G73/C73*0.876,""),“”)</f>
        <v/>
      </c>
      <c r="P73" s="51" t="str" cm="1">
        <f t="array" ref="P73">IFERROR(IF(H73&gt;10,H73/D73*0.876,""),“”)</f>
        <v/>
      </c>
      <c r="Q73" s="51" t="str" cm="1">
        <f t="array" ref="Q73">IFERROR(IF(I73&gt;10,I73/E73*0.876,""),“”)</f>
        <v/>
      </c>
      <c r="R73" s="51" t="str" cm="1">
        <f t="array" ref="R73">IFERROR(IF(J73&gt;10,J73/F73*0.876,""),“”)</f>
        <v/>
      </c>
      <c r="S73" s="78" t="str">
        <f t="shared" si="6"/>
        <v/>
      </c>
    </row>
    <row r="74" ht="13" spans="1:19">
      <c r="A74" s="63" t="s">
        <v>241</v>
      </c>
      <c r="B74" s="36">
        <v>2018</v>
      </c>
      <c r="C74" s="44">
        <v>66</v>
      </c>
      <c r="D74" s="44">
        <v>0.3</v>
      </c>
      <c r="E74" s="44">
        <v>16</v>
      </c>
      <c r="F74" s="70">
        <v>49</v>
      </c>
      <c r="G74" s="44">
        <v>27</v>
      </c>
      <c r="H74" s="104"/>
      <c r="I74" s="42">
        <v>6</v>
      </c>
      <c r="J74" s="70">
        <v>21</v>
      </c>
      <c r="K74" s="44">
        <v>4575</v>
      </c>
      <c r="L74" s="46"/>
      <c r="M74" s="44">
        <v>4093</v>
      </c>
      <c r="N74" s="112">
        <v>4729</v>
      </c>
      <c r="O74" s="51" cm="1">
        <f t="array" ref="O74">IFERROR(IF(G74&gt;10,G74/C74*0.876,""),“”)</f>
        <v>0.358363636363636</v>
      </c>
      <c r="P74" s="51" t="str" cm="1">
        <f t="array" ref="P74">IFERROR(IF(H74&gt;10,H74/D74*0.876,""),“”)</f>
        <v/>
      </c>
      <c r="Q74" s="51" t="str" cm="1">
        <f t="array" ref="Q74">IFERROR(IF(I74&gt;10,I74/E74*0.876,""),“”)</f>
        <v/>
      </c>
      <c r="R74" s="51" cm="1">
        <f t="array" ref="R74">IFERROR(IF(J74&gt;10,J74/F74*0.876,""),“”)</f>
        <v>0.375428571428571</v>
      </c>
      <c r="S74" s="78">
        <f t="shared" si="6"/>
        <v>0.36792</v>
      </c>
    </row>
    <row r="75" ht="13" spans="1:19">
      <c r="A75" s="63" t="s">
        <v>242</v>
      </c>
      <c r="B75" s="36">
        <v>2018</v>
      </c>
      <c r="C75" s="44">
        <v>97</v>
      </c>
      <c r="D75" s="44">
        <v>0.4</v>
      </c>
      <c r="E75" s="44">
        <v>11</v>
      </c>
      <c r="F75" s="44">
        <v>85</v>
      </c>
      <c r="G75" s="44">
        <v>51</v>
      </c>
      <c r="H75" s="104">
        <v>0.1</v>
      </c>
      <c r="I75" s="44">
        <v>3</v>
      </c>
      <c r="J75" s="70">
        <v>47</v>
      </c>
      <c r="K75" s="44">
        <v>5617</v>
      </c>
      <c r="L75" s="46"/>
      <c r="M75" s="44">
        <v>3465</v>
      </c>
      <c r="N75" s="112">
        <v>5840</v>
      </c>
      <c r="O75" s="51" cm="1">
        <f t="array" ref="O75">IFERROR(IF(G75&gt;10,G75/C75*0.876,""),“”)</f>
        <v>0.460577319587629</v>
      </c>
      <c r="P75" s="51" t="str" cm="1">
        <f t="array" ref="P75">IFERROR(IF(H75&gt;10,H75/D75*0.876,""),“”)</f>
        <v/>
      </c>
      <c r="Q75" s="51" t="str" cm="1">
        <f t="array" ref="Q75">IFERROR(IF(I75&gt;10,I75/E75*0.876,""),“”)</f>
        <v/>
      </c>
      <c r="R75" s="51" cm="1">
        <f t="array" ref="R75">IFERROR(IF(J75&gt;10,J75/F75*0.876,""),“”)</f>
        <v>0.484376470588235</v>
      </c>
      <c r="S75" s="78">
        <f t="shared" si="6"/>
        <v>0.48893023255814</v>
      </c>
    </row>
    <row r="76" ht="13" spans="1:19">
      <c r="A76" s="63" t="s">
        <v>243</v>
      </c>
      <c r="B76" s="36">
        <v>2018</v>
      </c>
      <c r="C76" s="44">
        <v>28</v>
      </c>
      <c r="D76" s="44">
        <v>2</v>
      </c>
      <c r="E76" s="44">
        <v>26</v>
      </c>
      <c r="F76" s="46"/>
      <c r="G76" s="44">
        <v>20</v>
      </c>
      <c r="H76" s="44">
        <v>1</v>
      </c>
      <c r="I76" s="44">
        <v>19</v>
      </c>
      <c r="J76" s="46"/>
      <c r="K76" s="44">
        <v>7337</v>
      </c>
      <c r="L76" s="44">
        <v>6391</v>
      </c>
      <c r="M76" s="44">
        <v>7393</v>
      </c>
      <c r="N76" s="111"/>
      <c r="O76" s="51" cm="1">
        <f t="array" ref="O76">IFERROR(IF(G76&gt;10,G76/C76*0.876,""),“”)</f>
        <v>0.625714285714286</v>
      </c>
      <c r="P76" s="51" t="str" cm="1">
        <f t="array" ref="P76">IFERROR(IF(H76&gt;10,H76/D76*0.876,""),“”)</f>
        <v/>
      </c>
      <c r="Q76" s="51" cm="1">
        <f t="array" ref="Q76">IFERROR(IF(I76&gt;10,I76/E76*0.876,""),“”)</f>
        <v>0.640153846153846</v>
      </c>
      <c r="R76" s="51" t="str" cm="1">
        <f t="array" ref="R76">IFERROR(IF(J76&gt;10,J76/F76*0.876,""),“”)</f>
        <v/>
      </c>
      <c r="S76" s="78" t="str">
        <f t="shared" si="6"/>
        <v/>
      </c>
    </row>
    <row r="77" ht="13" spans="1:19">
      <c r="A77" s="63" t="s">
        <v>244</v>
      </c>
      <c r="B77" s="36">
        <v>2018</v>
      </c>
      <c r="C77" s="44">
        <v>161</v>
      </c>
      <c r="D77" s="44">
        <v>7</v>
      </c>
      <c r="E77" s="44">
        <v>103</v>
      </c>
      <c r="F77" s="70">
        <v>52</v>
      </c>
      <c r="G77" s="44">
        <v>95</v>
      </c>
      <c r="H77" s="44">
        <v>2</v>
      </c>
      <c r="I77" s="44">
        <v>62</v>
      </c>
      <c r="J77" s="70">
        <v>31</v>
      </c>
      <c r="K77" s="44">
        <v>6263</v>
      </c>
      <c r="L77" s="44">
        <v>4374</v>
      </c>
      <c r="M77" s="44">
        <v>6415</v>
      </c>
      <c r="N77" s="112">
        <v>6079</v>
      </c>
      <c r="O77" s="51" cm="1">
        <f t="array" ref="O77">IFERROR(IF(G77&gt;10,G77/C77*0.876,""),“”)</f>
        <v>0.516894409937888</v>
      </c>
      <c r="P77" s="51" t="str" cm="1">
        <f t="array" ref="P77">IFERROR(IF(H77&gt;10,H77/D77*0.876,""),“”)</f>
        <v/>
      </c>
      <c r="Q77" s="51" cm="1">
        <f t="array" ref="Q77">IFERROR(IF(I77&gt;10,I77/E77*0.876,""),“”)</f>
        <v>0.527300970873786</v>
      </c>
      <c r="R77" s="51" cm="1">
        <f t="array" ref="R77">IFERROR(IF(J77&gt;10,J77/F77*0.876,""),“”)</f>
        <v>0.522230769230769</v>
      </c>
      <c r="S77" s="78">
        <f t="shared" si="6"/>
        <v>0.498413793103448</v>
      </c>
    </row>
    <row r="78" ht="13" spans="1:19">
      <c r="A78" s="63" t="s">
        <v>245</v>
      </c>
      <c r="B78" s="36">
        <v>2018</v>
      </c>
      <c r="C78" s="44">
        <v>168</v>
      </c>
      <c r="D78" s="44">
        <v>5</v>
      </c>
      <c r="E78" s="44">
        <v>141</v>
      </c>
      <c r="F78" s="44">
        <v>22</v>
      </c>
      <c r="G78" s="44">
        <v>92</v>
      </c>
      <c r="H78" s="44">
        <v>3</v>
      </c>
      <c r="I78" s="44">
        <v>78</v>
      </c>
      <c r="J78" s="42">
        <v>12</v>
      </c>
      <c r="K78" s="44">
        <v>5761</v>
      </c>
      <c r="L78" s="44">
        <v>8594</v>
      </c>
      <c r="M78" s="44">
        <v>5785</v>
      </c>
      <c r="N78" s="112">
        <v>5430</v>
      </c>
      <c r="O78" s="51" cm="1">
        <f t="array" ref="O78">IFERROR(IF(G78&gt;10,G78/C78*0.876,""),“”)</f>
        <v>0.479714285714286</v>
      </c>
      <c r="P78" s="51" t="str" cm="1">
        <f t="array" ref="P78">IFERROR(IF(H78&gt;10,H78/D78*0.876,""),“”)</f>
        <v/>
      </c>
      <c r="Q78" s="51" cm="1">
        <f t="array" ref="Q78">IFERROR(IF(I78&gt;10,I78/E78*0.876,""),“”)</f>
        <v>0.484595744680851</v>
      </c>
      <c r="R78" s="51" cm="1">
        <f t="array" ref="R78">IFERROR(IF(J78&gt;10,J78/F78*0.876,""),“”)</f>
        <v>0.477818181818182</v>
      </c>
      <c r="S78" s="78">
        <f t="shared" si="6"/>
        <v>0.454222222222222</v>
      </c>
    </row>
    <row r="79" ht="13" spans="1:19">
      <c r="A79" s="63" t="s">
        <v>246</v>
      </c>
      <c r="B79" s="36">
        <v>2018</v>
      </c>
      <c r="C79" s="44">
        <v>164</v>
      </c>
      <c r="D79" s="44">
        <v>1</v>
      </c>
      <c r="E79" s="44">
        <v>51</v>
      </c>
      <c r="F79" s="70">
        <v>111</v>
      </c>
      <c r="G79" s="44">
        <v>77</v>
      </c>
      <c r="H79" s="44">
        <v>1</v>
      </c>
      <c r="I79" s="44">
        <v>28</v>
      </c>
      <c r="J79" s="70">
        <v>49</v>
      </c>
      <c r="K79" s="44">
        <v>5063</v>
      </c>
      <c r="L79" s="46"/>
      <c r="M79" s="44">
        <v>5461</v>
      </c>
      <c r="N79" s="112">
        <v>4873</v>
      </c>
      <c r="O79" s="51" cm="1">
        <f t="array" ref="O79">IFERROR(IF(G79&gt;10,G79/C79*0.876,""),“”)</f>
        <v>0.411292682926829</v>
      </c>
      <c r="P79" s="51" t="str" cm="1">
        <f t="array" ref="P79">IFERROR(IF(H79&gt;10,H79/D79*0.876,""),“”)</f>
        <v/>
      </c>
      <c r="Q79" s="51" cm="1">
        <f t="array" ref="Q79">IFERROR(IF(I79&gt;10,I79/E79*0.876,""),“”)</f>
        <v>0.480941176470588</v>
      </c>
      <c r="R79" s="51" cm="1">
        <f t="array" ref="R79">IFERROR(IF(J79&gt;10,J79/F79*0.876,""),“”)</f>
        <v>0.386702702702703</v>
      </c>
      <c r="S79" s="78">
        <f t="shared" si="6"/>
        <v>0.379858407079646</v>
      </c>
    </row>
    <row r="80" ht="13" spans="1:19">
      <c r="A80" s="63" t="s">
        <v>247</v>
      </c>
      <c r="B80" s="36">
        <v>2018</v>
      </c>
      <c r="C80" s="44">
        <v>50</v>
      </c>
      <c r="D80" s="44">
        <v>0.6</v>
      </c>
      <c r="E80" s="44">
        <v>44</v>
      </c>
      <c r="F80" s="44">
        <v>5</v>
      </c>
      <c r="G80" s="44">
        <v>28</v>
      </c>
      <c r="H80" s="44">
        <v>0.2</v>
      </c>
      <c r="I80" s="44">
        <v>25</v>
      </c>
      <c r="J80" s="44">
        <v>3</v>
      </c>
      <c r="K80" s="44">
        <v>6068</v>
      </c>
      <c r="L80" s="46"/>
      <c r="M80" s="44">
        <v>6095</v>
      </c>
      <c r="N80" s="112">
        <v>5863</v>
      </c>
      <c r="O80" s="51" cm="1">
        <f t="array" ref="O80">IFERROR(IF(G80&gt;10,G80/C80*0.876,""),“”)</f>
        <v>0.49056</v>
      </c>
      <c r="P80" s="51" t="str" cm="1">
        <f t="array" ref="P80">IFERROR(IF(H80&gt;10,H80/D80*0.876,""),“”)</f>
        <v/>
      </c>
      <c r="Q80" s="51" cm="1">
        <f t="array" ref="Q80">IFERROR(IF(I80&gt;10,I80/E80*0.876,""),“”)</f>
        <v>0.497727272727273</v>
      </c>
      <c r="R80" s="51" t="str" cm="1">
        <f t="array" ref="R80">IFERROR(IF(J80&gt;10,J80/F80*0.876,""),“”)</f>
        <v/>
      </c>
      <c r="S80" s="78" t="str">
        <f t="shared" si="6"/>
        <v/>
      </c>
    </row>
    <row r="81" ht="13" spans="1:19">
      <c r="A81" s="63" t="s">
        <v>248</v>
      </c>
      <c r="B81" s="36">
        <v>2018</v>
      </c>
      <c r="C81" s="44">
        <v>33</v>
      </c>
      <c r="D81" s="44">
        <v>1</v>
      </c>
      <c r="E81" s="44">
        <v>12</v>
      </c>
      <c r="F81" s="70">
        <v>21</v>
      </c>
      <c r="G81" s="44">
        <v>14</v>
      </c>
      <c r="H81" s="44">
        <v>0.4</v>
      </c>
      <c r="I81" s="44">
        <v>5</v>
      </c>
      <c r="J81" s="70">
        <v>9</v>
      </c>
      <c r="K81" s="44">
        <v>4575</v>
      </c>
      <c r="L81" s="46"/>
      <c r="M81" s="44">
        <v>5209</v>
      </c>
      <c r="N81" s="112">
        <v>4277</v>
      </c>
      <c r="O81" s="51" cm="1">
        <f t="array" ref="O81">IFERROR(IF(G81&gt;10,G81/C81*0.876,""),“”)</f>
        <v>0.371636363636364</v>
      </c>
      <c r="P81" s="51" t="str" cm="1">
        <f t="array" ref="P81">IFERROR(IF(H81&gt;10,H81/D81*0.876,""),“”)</f>
        <v/>
      </c>
      <c r="Q81" s="51" t="str" cm="1">
        <f t="array" ref="Q81">IFERROR(IF(I81&gt;10,I81/E81*0.876,""),“”)</f>
        <v/>
      </c>
      <c r="R81" s="51" t="str" cm="1">
        <f t="array" ref="R81">IFERROR(IF(J81&gt;10,J81/F81*0.876,""),“”)</f>
        <v/>
      </c>
      <c r="S81" s="78" t="str">
        <f t="shared" si="6"/>
        <v/>
      </c>
    </row>
    <row r="82" ht="13" spans="1:19">
      <c r="A82" s="63" t="s">
        <v>249</v>
      </c>
      <c r="B82" s="36">
        <v>2018</v>
      </c>
      <c r="C82" s="44">
        <v>263</v>
      </c>
      <c r="D82" s="44">
        <v>8</v>
      </c>
      <c r="E82" s="44">
        <v>108</v>
      </c>
      <c r="F82" s="70">
        <v>148</v>
      </c>
      <c r="G82" s="44">
        <v>135</v>
      </c>
      <c r="H82" s="44">
        <v>2</v>
      </c>
      <c r="I82" s="44">
        <v>51</v>
      </c>
      <c r="J82" s="70">
        <v>81</v>
      </c>
      <c r="K82" s="44">
        <v>5543</v>
      </c>
      <c r="L82" s="44">
        <v>3493</v>
      </c>
      <c r="M82" s="44">
        <v>5343</v>
      </c>
      <c r="N82" s="112">
        <v>5708</v>
      </c>
      <c r="O82" s="51" cm="1">
        <f t="array" ref="O82">IFERROR(IF(G82&gt;10,G82/C82*0.876,""),“”)</f>
        <v>0.449657794676806</v>
      </c>
      <c r="P82" s="51" t="str" cm="1">
        <f t="array" ref="P82">IFERROR(IF(H82&gt;10,H82/D82*0.876,""),“”)</f>
        <v/>
      </c>
      <c r="Q82" s="51" cm="1">
        <f t="array" ref="Q82">IFERROR(IF(I82&gt;10,I82/E82*0.876,""),“”)</f>
        <v>0.413666666666667</v>
      </c>
      <c r="R82" s="51" cm="1">
        <f t="array" ref="R82">IFERROR(IF(J82&gt;10,J82/F82*0.876,""),“”)</f>
        <v>0.479432432432432</v>
      </c>
      <c r="S82" s="78">
        <f t="shared" si="6"/>
        <v>0.474735483870968</v>
      </c>
    </row>
    <row r="83" ht="13" spans="1:19">
      <c r="A83" s="63" t="s">
        <v>250</v>
      </c>
      <c r="B83" s="36">
        <v>2018</v>
      </c>
      <c r="C83" s="44">
        <v>60</v>
      </c>
      <c r="D83" s="44">
        <v>4</v>
      </c>
      <c r="E83" s="44">
        <v>13</v>
      </c>
      <c r="F83" s="70">
        <v>44</v>
      </c>
      <c r="G83" s="44">
        <v>30</v>
      </c>
      <c r="H83" s="104"/>
      <c r="I83" s="44">
        <v>7</v>
      </c>
      <c r="J83" s="70">
        <v>23</v>
      </c>
      <c r="K83" s="44">
        <v>5113</v>
      </c>
      <c r="L83" s="46"/>
      <c r="M83" s="44">
        <v>5827</v>
      </c>
      <c r="N83" s="112">
        <v>5343</v>
      </c>
      <c r="O83" s="51" cm="1">
        <f t="array" ref="O83">IFERROR(IF(G83&gt;10,G83/C83*0.876,""),“”)</f>
        <v>0.438</v>
      </c>
      <c r="P83" s="51" t="str" cm="1">
        <f t="array" ref="P83">IFERROR(IF(H83&gt;10,H83/D83*0.876,""),“”)</f>
        <v/>
      </c>
      <c r="Q83" s="51" t="str" cm="1">
        <f t="array" ref="Q83">IFERROR(IF(I83&gt;10,I83/E83*0.876,""),“”)</f>
        <v/>
      </c>
      <c r="R83" s="51" cm="1">
        <f t="array" ref="R83">IFERROR(IF(J83&gt;10,J83/F83*0.876,""),“”)</f>
        <v>0.457909090909091</v>
      </c>
      <c r="S83" s="78">
        <f t="shared" si="6"/>
        <v>0.42868085106383</v>
      </c>
    </row>
    <row r="84" ht="13" spans="1:19">
      <c r="A84" s="63" t="s">
        <v>251</v>
      </c>
      <c r="B84" s="36">
        <v>2018</v>
      </c>
      <c r="C84" s="44">
        <v>75</v>
      </c>
      <c r="D84" s="44">
        <v>2</v>
      </c>
      <c r="E84" s="44">
        <v>24</v>
      </c>
      <c r="F84" s="70">
        <v>48</v>
      </c>
      <c r="G84" s="44">
        <v>25</v>
      </c>
      <c r="H84" s="44">
        <v>0.6</v>
      </c>
      <c r="I84" s="44">
        <v>14</v>
      </c>
      <c r="J84" s="70">
        <v>11</v>
      </c>
      <c r="K84" s="44">
        <v>3372</v>
      </c>
      <c r="L84" s="46"/>
      <c r="M84" s="44">
        <v>5689</v>
      </c>
      <c r="N84" s="112">
        <v>2216</v>
      </c>
      <c r="O84" s="51" cm="1">
        <f t="array" ref="O84">IFERROR(IF(G84&gt;10,G84/C84*0.876,""),“”)</f>
        <v>0.292</v>
      </c>
      <c r="P84" s="51" t="str" cm="1">
        <f t="array" ref="P84">IFERROR(IF(H84&gt;10,H84/D84*0.876,""),“”)</f>
        <v/>
      </c>
      <c r="Q84" s="51" cm="1">
        <f t="array" ref="Q84">IFERROR(IF(I84&gt;10,I84/E84*0.876,""),“”)</f>
        <v>0.511</v>
      </c>
      <c r="R84" s="51" cm="1">
        <f t="array" ref="R84">IFERROR(IF(J84&gt;10,J84/F84*0.876,""),“”)</f>
        <v>0.20075</v>
      </c>
      <c r="S84" s="78">
        <f t="shared" si="6"/>
        <v>0.188941176470588</v>
      </c>
    </row>
    <row r="85" ht="13" spans="1:19">
      <c r="A85" s="63" t="s">
        <v>252</v>
      </c>
      <c r="B85" s="36">
        <v>2018</v>
      </c>
      <c r="C85" s="44">
        <v>67</v>
      </c>
      <c r="D85" s="44">
        <v>3</v>
      </c>
      <c r="E85" s="44">
        <v>24</v>
      </c>
      <c r="F85" s="44">
        <v>41</v>
      </c>
      <c r="G85" s="44">
        <v>30</v>
      </c>
      <c r="H85" s="44">
        <v>1</v>
      </c>
      <c r="I85" s="44">
        <v>16</v>
      </c>
      <c r="J85" s="44">
        <v>13</v>
      </c>
      <c r="K85" s="44">
        <v>4661</v>
      </c>
      <c r="L85" s="44">
        <v>5444</v>
      </c>
      <c r="M85" s="44">
        <v>7153</v>
      </c>
      <c r="N85" s="113">
        <v>3251</v>
      </c>
      <c r="O85" s="51" cm="1">
        <f t="array" ref="O85">IFERROR(IF(G85&gt;10,G85/C85*0.876,""),“”)</f>
        <v>0.392238805970149</v>
      </c>
      <c r="P85" s="51" t="str" cm="1">
        <f t="array" ref="P85">IFERROR(IF(H85&gt;10,H85/D85*0.876,""),“”)</f>
        <v/>
      </c>
      <c r="Q85" s="51" cm="1">
        <f t="array" ref="Q85">IFERROR(IF(I85&gt;10,I85/E85*0.876,""),“”)</f>
        <v>0.584</v>
      </c>
      <c r="R85" s="51" cm="1">
        <f t="array" ref="R85">IFERROR(IF(J85&gt;10,J85/F85*0.876,""),“”)</f>
        <v>0.277756097560976</v>
      </c>
      <c r="S85" s="78">
        <f t="shared" si="6"/>
        <v>0.285209302325581</v>
      </c>
    </row>
    <row r="86" ht="13" spans="1:19">
      <c r="A86" s="63" t="s">
        <v>253</v>
      </c>
      <c r="B86" s="36">
        <v>2018</v>
      </c>
      <c r="C86" s="44">
        <v>141</v>
      </c>
      <c r="D86" s="44">
        <v>9</v>
      </c>
      <c r="E86" s="44">
        <v>110</v>
      </c>
      <c r="F86" s="70">
        <v>22</v>
      </c>
      <c r="G86" s="44">
        <v>81</v>
      </c>
      <c r="H86" s="44">
        <v>5</v>
      </c>
      <c r="I86" s="44">
        <v>61</v>
      </c>
      <c r="J86" s="70">
        <v>15</v>
      </c>
      <c r="K86" s="44">
        <v>6724</v>
      </c>
      <c r="L86" s="44">
        <v>7264</v>
      </c>
      <c r="M86" s="44">
        <v>6662</v>
      </c>
      <c r="N86" s="112">
        <v>6857</v>
      </c>
      <c r="O86" s="51" cm="1">
        <f t="array" ref="O86">IFERROR(IF(G86&gt;10,G86/C86*0.876,""),“”)</f>
        <v>0.503234042553191</v>
      </c>
      <c r="P86" s="51" t="str" cm="1">
        <f t="array" ref="P86">IFERROR(IF(H86&gt;10,H86/D86*0.876,""),“”)</f>
        <v/>
      </c>
      <c r="Q86" s="51" cm="1">
        <f t="array" ref="Q86">IFERROR(IF(I86&gt;10,I86/E86*0.876,""),“”)</f>
        <v>0.485781818181818</v>
      </c>
      <c r="R86" s="51" cm="1">
        <f t="array" ref="R86">IFERROR(IF(J86&gt;10,J86/F86*0.876,""),“”)</f>
        <v>0.597272727272727</v>
      </c>
      <c r="S86" s="78">
        <f t="shared" si="6"/>
        <v>0.565161290322581</v>
      </c>
    </row>
    <row r="87" ht="13" spans="1:19">
      <c r="A87" s="63" t="s">
        <v>254</v>
      </c>
      <c r="B87" s="36">
        <v>2018</v>
      </c>
      <c r="C87" s="44">
        <v>176</v>
      </c>
      <c r="D87" s="44">
        <v>2</v>
      </c>
      <c r="E87" s="44">
        <v>12</v>
      </c>
      <c r="F87" s="70">
        <v>162</v>
      </c>
      <c r="G87" s="44">
        <v>40</v>
      </c>
      <c r="H87" s="44">
        <v>1</v>
      </c>
      <c r="I87" s="44">
        <v>8</v>
      </c>
      <c r="J87" s="70">
        <v>31</v>
      </c>
      <c r="K87" s="44">
        <v>2435</v>
      </c>
      <c r="L87" s="46"/>
      <c r="M87" s="44">
        <v>6648</v>
      </c>
      <c r="N87" s="112">
        <v>2110</v>
      </c>
      <c r="O87" s="51" cm="1">
        <f t="array" ref="O87">IFERROR(IF(G87&gt;10,G87/C87*0.876,""),“”)</f>
        <v>0.199090909090909</v>
      </c>
      <c r="P87" s="51" t="str" cm="1">
        <f t="array" ref="P87">IFERROR(IF(H87&gt;10,H87/D87*0.876,""),“”)</f>
        <v/>
      </c>
      <c r="Q87" s="51" t="str" cm="1">
        <f t="array" ref="Q87">IFERROR(IF(I87&gt;10,I87/E87*0.876,""),“”)</f>
        <v/>
      </c>
      <c r="R87" s="51" cm="1">
        <f t="array" ref="R87">IFERROR(IF(J87&gt;10,J87/F87*0.876,""),“”)</f>
        <v>0.16762962962963</v>
      </c>
      <c r="S87" s="78">
        <f t="shared" si="6"/>
        <v>0.170926829268293</v>
      </c>
    </row>
    <row r="88" ht="13" spans="1:19">
      <c r="A88" s="63" t="s">
        <v>255</v>
      </c>
      <c r="B88" s="36">
        <v>2018</v>
      </c>
      <c r="C88" s="44">
        <v>32</v>
      </c>
      <c r="D88" s="44">
        <v>0.3</v>
      </c>
      <c r="E88" s="44">
        <v>8</v>
      </c>
      <c r="F88" s="70">
        <v>24</v>
      </c>
      <c r="G88" s="44">
        <v>20</v>
      </c>
      <c r="H88" s="44">
        <v>0.2</v>
      </c>
      <c r="I88" s="44">
        <v>5</v>
      </c>
      <c r="J88" s="70">
        <v>14</v>
      </c>
      <c r="K88" s="44">
        <v>6130</v>
      </c>
      <c r="L88" s="46"/>
      <c r="M88" s="44">
        <v>6710</v>
      </c>
      <c r="N88" s="112">
        <v>5945</v>
      </c>
      <c r="O88" s="51" cm="1">
        <f t="array" ref="O88">IFERROR(IF(G88&gt;10,G88/C88*0.876,""),“”)</f>
        <v>0.5475</v>
      </c>
      <c r="P88" s="51" t="str" cm="1">
        <f t="array" ref="P88">IFERROR(IF(H88&gt;10,H88/D88*0.876,""),“”)</f>
        <v/>
      </c>
      <c r="Q88" s="51" t="str" cm="1">
        <f t="array" ref="Q88">IFERROR(IF(I88&gt;10,I88/E88*0.876,""),“”)</f>
        <v/>
      </c>
      <c r="R88" s="51" cm="1">
        <f t="array" ref="R88">IFERROR(IF(J88&gt;10,J88/F88*0.876,""),“”)</f>
        <v>0.511</v>
      </c>
      <c r="S88" s="78">
        <f t="shared" si="6"/>
        <v>0.5475</v>
      </c>
    </row>
    <row r="89" ht="13" spans="1:19">
      <c r="A89" s="63" t="s">
        <v>256</v>
      </c>
      <c r="B89" s="36">
        <v>2018</v>
      </c>
      <c r="C89" s="44">
        <v>30</v>
      </c>
      <c r="D89" s="44">
        <v>1</v>
      </c>
      <c r="E89" s="44">
        <v>22</v>
      </c>
      <c r="F89" s="70">
        <v>7</v>
      </c>
      <c r="G89" s="44">
        <v>12</v>
      </c>
      <c r="H89" s="44">
        <v>0.5</v>
      </c>
      <c r="I89" s="44">
        <v>10</v>
      </c>
      <c r="J89" s="70">
        <v>1</v>
      </c>
      <c r="K89" s="44">
        <v>4655</v>
      </c>
      <c r="L89" s="46"/>
      <c r="M89" s="44">
        <v>5930</v>
      </c>
      <c r="N89" s="112">
        <v>1661</v>
      </c>
      <c r="O89" s="51" cm="1">
        <f t="array" ref="O89">IFERROR(IF(G89&gt;10,G89/C89*0.876,""),“”)</f>
        <v>0.3504</v>
      </c>
      <c r="P89" s="51" t="str" cm="1">
        <f t="array" ref="P89">IFERROR(IF(H89&gt;10,H89/D89*0.876,""),“”)</f>
        <v/>
      </c>
      <c r="Q89" s="51" t="str" cm="1">
        <f t="array" ref="Q89">IFERROR(IF(I89&gt;10,I89/E89*0.876,""),“”)</f>
        <v/>
      </c>
      <c r="R89" s="51" t="str" cm="1">
        <f t="array" ref="R89">IFERROR(IF(J89&gt;10,J89/F89*0.876,""),“”)</f>
        <v/>
      </c>
      <c r="S89" s="78" t="str">
        <f t="shared" si="6"/>
        <v/>
      </c>
    </row>
    <row r="90" ht="13" spans="1:19">
      <c r="A90" s="63" t="s">
        <v>258</v>
      </c>
      <c r="B90" s="36">
        <v>2018</v>
      </c>
      <c r="C90" s="44">
        <v>47</v>
      </c>
      <c r="D90" s="44">
        <v>3</v>
      </c>
      <c r="E90" s="44">
        <v>36</v>
      </c>
      <c r="F90" s="70">
        <v>9</v>
      </c>
      <c r="G90" s="44">
        <v>29</v>
      </c>
      <c r="H90" s="44">
        <v>2</v>
      </c>
      <c r="I90" s="44">
        <v>22</v>
      </c>
      <c r="J90" s="70">
        <v>6</v>
      </c>
      <c r="K90" s="44">
        <v>6522</v>
      </c>
      <c r="L90" s="44">
        <v>7317</v>
      </c>
      <c r="M90" s="44">
        <v>6477</v>
      </c>
      <c r="N90" s="112">
        <v>6499</v>
      </c>
      <c r="O90" s="51" cm="1">
        <f t="array" ref="O90">IFERROR(IF(G90&gt;10,G90/C90*0.876,""),“”)</f>
        <v>0.540510638297872</v>
      </c>
      <c r="P90" s="51" t="str" cm="1">
        <f t="array" ref="P90">IFERROR(IF(H90&gt;10,H90/D90*0.876,""),“”)</f>
        <v/>
      </c>
      <c r="Q90" s="51" cm="1">
        <f t="array" ref="Q90">IFERROR(IF(I90&gt;10,I90/E90*0.876,""),“”)</f>
        <v>0.535333333333333</v>
      </c>
      <c r="R90" s="51" t="str" cm="1">
        <f t="array" ref="R90">IFERROR(IF(J90&gt;10,J90/F90*0.876,""),“”)</f>
        <v/>
      </c>
      <c r="S90" s="78" t="str">
        <f t="shared" si="6"/>
        <v/>
      </c>
    </row>
    <row r="91" ht="13" spans="1:19">
      <c r="A91" s="63" t="s">
        <v>259</v>
      </c>
      <c r="B91" s="36">
        <v>2018</v>
      </c>
      <c r="C91" s="44">
        <v>21</v>
      </c>
      <c r="D91" s="104"/>
      <c r="E91" s="70">
        <v>12</v>
      </c>
      <c r="F91" s="70">
        <v>9</v>
      </c>
      <c r="G91" s="44">
        <v>9</v>
      </c>
      <c r="H91" s="104"/>
      <c r="I91" s="70">
        <v>6</v>
      </c>
      <c r="J91" s="70">
        <v>3</v>
      </c>
      <c r="K91" s="44">
        <v>4298</v>
      </c>
      <c r="L91" s="46"/>
      <c r="M91" s="70">
        <v>5107</v>
      </c>
      <c r="N91" s="112">
        <v>3239</v>
      </c>
      <c r="O91" s="51" t="str" cm="1">
        <f t="array" ref="O91">IFERROR(IF(G91&gt;10,G91/C91*0.876,""),“”)</f>
        <v/>
      </c>
      <c r="P91" s="51" t="str" cm="1">
        <f t="array" ref="P91">IFERROR(IF(H91&gt;10,H91/D91*0.876,""),“”)</f>
        <v/>
      </c>
      <c r="Q91" s="51" t="str" cm="1">
        <f t="array" ref="Q91">IFERROR(IF(I91&gt;10,I91/E91*0.876,""),“”)</f>
        <v/>
      </c>
      <c r="R91" s="51" t="str" cm="1">
        <f t="array" ref="R91">IFERROR(IF(J91&gt;10,J91/F91*0.876,""),“”)</f>
        <v/>
      </c>
      <c r="S91" s="78" t="str">
        <f t="shared" si="6"/>
        <v/>
      </c>
    </row>
    <row r="92" ht="13" spans="1:19">
      <c r="A92" s="63" t="s">
        <v>260</v>
      </c>
      <c r="B92" s="36">
        <v>2018</v>
      </c>
      <c r="C92" s="44">
        <v>42</v>
      </c>
      <c r="D92" s="104"/>
      <c r="E92" s="44">
        <v>17</v>
      </c>
      <c r="F92" s="70">
        <v>26</v>
      </c>
      <c r="G92" s="44">
        <v>9</v>
      </c>
      <c r="H92" s="104"/>
      <c r="I92" s="44">
        <v>7</v>
      </c>
      <c r="J92" s="70">
        <v>3</v>
      </c>
      <c r="K92" s="44">
        <v>2460</v>
      </c>
      <c r="L92" s="46"/>
      <c r="M92" s="44">
        <v>4004</v>
      </c>
      <c r="N92" s="112">
        <v>1031</v>
      </c>
      <c r="O92" s="51" t="str" cm="1">
        <f t="array" ref="O92">IFERROR(IF(G92&gt;10,G92/C92*0.876,""),“”)</f>
        <v/>
      </c>
      <c r="P92" s="51" t="str" cm="1">
        <f t="array" ref="P92">IFERROR(IF(H92&gt;10,H92/D92*0.876,""),“”)</f>
        <v/>
      </c>
      <c r="Q92" s="51" t="str" cm="1">
        <f t="array" ref="Q92">IFERROR(IF(I92&gt;10,I92/E92*0.876,""),“”)</f>
        <v/>
      </c>
      <c r="R92" s="51" t="str" cm="1">
        <f t="array" ref="R92">IFERROR(IF(J92&gt;10,J92/F92*0.876,""),“”)</f>
        <v/>
      </c>
      <c r="S92" s="78" t="str">
        <f t="shared" si="6"/>
        <v/>
      </c>
    </row>
    <row r="93" ht="13" spans="1:19">
      <c r="A93" s="63" t="s">
        <v>261</v>
      </c>
      <c r="B93" s="36">
        <v>2018</v>
      </c>
      <c r="C93" s="44">
        <v>2</v>
      </c>
      <c r="D93" s="105"/>
      <c r="E93" s="70">
        <v>2</v>
      </c>
      <c r="F93" s="46"/>
      <c r="G93" s="44">
        <v>1</v>
      </c>
      <c r="H93" s="105"/>
      <c r="I93" s="70">
        <v>1</v>
      </c>
      <c r="J93" s="86"/>
      <c r="K93" s="44">
        <v>4363</v>
      </c>
      <c r="L93" s="70"/>
      <c r="M93" s="70">
        <v>4363</v>
      </c>
      <c r="N93" s="111"/>
      <c r="O93" s="51" t="str" cm="1">
        <f t="array" ref="O93">IFERROR(IF(G93&gt;10,G93/C93*0.876,""),“”)</f>
        <v/>
      </c>
      <c r="P93" s="51" t="str" cm="1">
        <f t="array" ref="P93">IFERROR(IF(H93&gt;10,H93/D93*0.876,""),“”)</f>
        <v/>
      </c>
      <c r="Q93" s="51" t="str" cm="1">
        <f t="array" ref="Q93">IFERROR(IF(I93&gt;10,I93/E93*0.876,""),“”)</f>
        <v/>
      </c>
      <c r="R93" s="51" t="str" cm="1">
        <f t="array" ref="R93">IFERROR(IF(J93&gt;10,J93/F93*0.876,""),“”)</f>
        <v/>
      </c>
      <c r="S93" s="78" t="str">
        <f t="shared" si="6"/>
        <v/>
      </c>
    </row>
    <row r="94" ht="13" spans="1:19">
      <c r="A94" s="63" t="s">
        <v>262</v>
      </c>
      <c r="B94" s="36">
        <v>2018</v>
      </c>
      <c r="C94" s="44">
        <v>6</v>
      </c>
      <c r="D94" s="104"/>
      <c r="E94" s="44">
        <v>6</v>
      </c>
      <c r="F94" s="70"/>
      <c r="G94" s="44">
        <v>2</v>
      </c>
      <c r="H94" s="104"/>
      <c r="I94" s="44">
        <v>2</v>
      </c>
      <c r="J94" s="70"/>
      <c r="K94" s="44">
        <v>2424</v>
      </c>
      <c r="L94" s="46"/>
      <c r="M94" s="70">
        <v>2424</v>
      </c>
      <c r="N94" s="112"/>
      <c r="O94" s="51" t="str" cm="1">
        <f t="array" ref="O94">IFERROR(IF(G94&gt;10,G94/C94*0.876,""),“”)</f>
        <v/>
      </c>
      <c r="P94" s="51" t="str" cm="1">
        <f t="array" ref="P94">IFERROR(IF(H94&gt;10,H94/D94*0.876,""),“”)</f>
        <v/>
      </c>
      <c r="Q94" s="51" t="str" cm="1">
        <f t="array" ref="Q94">IFERROR(IF(I94&gt;10,I94/E94*0.876,""),“”)</f>
        <v/>
      </c>
      <c r="R94" s="51" t="str" cm="1">
        <f t="array" ref="R94">IFERROR(IF(J94&gt;10,J94/F94*0.876,""),“”)</f>
        <v/>
      </c>
      <c r="S94" s="78" t="str">
        <f t="shared" si="6"/>
        <v/>
      </c>
    </row>
    <row r="95" ht="13" spans="1:19">
      <c r="A95" s="63" t="s">
        <v>263</v>
      </c>
      <c r="B95" s="36">
        <v>2018</v>
      </c>
      <c r="C95" s="44">
        <v>10</v>
      </c>
      <c r="D95" s="104"/>
      <c r="E95" s="44">
        <v>7</v>
      </c>
      <c r="F95" s="70">
        <v>3</v>
      </c>
      <c r="G95" s="44">
        <v>5</v>
      </c>
      <c r="H95" s="104"/>
      <c r="I95" s="70">
        <v>4</v>
      </c>
      <c r="J95" s="70">
        <v>1</v>
      </c>
      <c r="K95" s="44">
        <v>4988</v>
      </c>
      <c r="L95" s="46"/>
      <c r="M95" s="70">
        <v>6011</v>
      </c>
      <c r="N95" s="112">
        <v>2771</v>
      </c>
      <c r="O95" s="51" t="str" cm="1">
        <f t="array" ref="O95">IFERROR(IF(G95&gt;10,G95/C95*0.876,""),“”)</f>
        <v/>
      </c>
      <c r="P95" s="51" t="str" cm="1">
        <f t="array" ref="P95">IFERROR(IF(H95&gt;10,H95/D95*0.876,""),“”)</f>
        <v/>
      </c>
      <c r="Q95" s="51" t="str" cm="1">
        <f t="array" ref="Q95">IFERROR(IF(I95&gt;10,I95/E95*0.876,""),“”)</f>
        <v/>
      </c>
      <c r="R95" s="51" t="str" cm="1">
        <f t="array" ref="R95">IFERROR(IF(J95&gt;10,J95/F95*0.876,""),“”)</f>
        <v/>
      </c>
      <c r="S95" s="78" t="str">
        <f t="shared" si="6"/>
        <v/>
      </c>
    </row>
    <row r="96" ht="13" spans="1:19">
      <c r="A96" s="63" t="s">
        <v>264</v>
      </c>
      <c r="B96" s="36">
        <v>2018</v>
      </c>
      <c r="C96" s="44">
        <v>0.4</v>
      </c>
      <c r="D96" s="44">
        <v>0.4</v>
      </c>
      <c r="E96" s="86"/>
      <c r="F96" s="70"/>
      <c r="G96" s="44">
        <v>0.2</v>
      </c>
      <c r="H96" s="44">
        <v>0.2</v>
      </c>
      <c r="I96" s="42"/>
      <c r="J96" s="70"/>
      <c r="K96" s="46"/>
      <c r="L96" s="46"/>
      <c r="M96" s="70"/>
      <c r="N96" s="112"/>
      <c r="O96" s="51" t="str" cm="1">
        <f t="array" ref="O96">IFERROR(IF(G96&gt;10,G96/C96*0.876,""),“”)</f>
        <v/>
      </c>
      <c r="P96" s="51" t="str" cm="1">
        <f t="array" ref="P96">IFERROR(IF(H96&gt;10,H96/D96*0.876,""),“”)</f>
        <v/>
      </c>
      <c r="Q96" s="51" t="str" cm="1">
        <f t="array" ref="Q96">IFERROR(IF(I96&gt;10,I96/E96*0.876,""),“”)</f>
        <v/>
      </c>
      <c r="R96" s="51" t="str" cm="1">
        <f t="array" ref="R96">IFERROR(IF(J96&gt;10,J96/F96*0.876,""),“”)</f>
        <v/>
      </c>
      <c r="S96" s="78" t="str">
        <f t="shared" si="6"/>
        <v/>
      </c>
    </row>
    <row r="97" ht="13" spans="1:19">
      <c r="A97" s="63" t="s">
        <v>265</v>
      </c>
      <c r="B97" s="36">
        <v>2018</v>
      </c>
      <c r="C97" s="44">
        <v>10</v>
      </c>
      <c r="D97" s="104"/>
      <c r="E97" s="44">
        <v>5</v>
      </c>
      <c r="F97" s="70">
        <v>5</v>
      </c>
      <c r="G97" s="44">
        <v>2</v>
      </c>
      <c r="H97" s="104"/>
      <c r="I97" s="44">
        <v>2</v>
      </c>
      <c r="J97" s="70">
        <v>0.1</v>
      </c>
      <c r="K97" s="44">
        <v>2214</v>
      </c>
      <c r="L97" s="46"/>
      <c r="M97" s="44">
        <v>4784</v>
      </c>
      <c r="N97" s="112">
        <v>105</v>
      </c>
      <c r="O97" s="51" t="str" cm="1">
        <f t="array" ref="O97">IFERROR(IF(G97&gt;10,G97/C97*0.876,""),“”)</f>
        <v/>
      </c>
      <c r="P97" s="51" t="str" cm="1">
        <f t="array" ref="P97">IFERROR(IF(H97&gt;10,H97/D97*0.876,""),“”)</f>
        <v/>
      </c>
      <c r="Q97" s="51" t="str" cm="1">
        <f t="array" ref="Q97">IFERROR(IF(I97&gt;10,I97/E97*0.876,""),“”)</f>
        <v/>
      </c>
      <c r="R97" s="51" t="str" cm="1">
        <f t="array" ref="R97">IFERROR(IF(J97&gt;10,J97/F97*0.876,""),“”)</f>
        <v/>
      </c>
      <c r="S97" s="78" t="str">
        <f t="shared" si="6"/>
        <v/>
      </c>
    </row>
    <row r="98" ht="13.75" spans="1:19">
      <c r="A98" s="65" t="s">
        <v>266</v>
      </c>
      <c r="B98" s="66">
        <v>2018</v>
      </c>
      <c r="C98" s="67">
        <v>2</v>
      </c>
      <c r="D98" s="116"/>
      <c r="E98" s="88"/>
      <c r="F98" s="84">
        <v>2</v>
      </c>
      <c r="G98" s="67">
        <v>2</v>
      </c>
      <c r="H98" s="116"/>
      <c r="I98" s="88"/>
      <c r="J98" s="84">
        <v>2</v>
      </c>
      <c r="K98" s="67">
        <v>7068</v>
      </c>
      <c r="L98" s="88"/>
      <c r="M98" s="88"/>
      <c r="N98" s="119">
        <v>7068</v>
      </c>
      <c r="O98" s="79" t="str" cm="1">
        <f t="array" ref="O98">IFERROR(IF(G98&gt;10,G98/C98*0.876,""),“”)</f>
        <v/>
      </c>
      <c r="P98" s="79" t="str" cm="1">
        <f t="array" ref="P98">IFERROR(IF(H98&gt;10,H98/D98*0.876,""),“”)</f>
        <v/>
      </c>
      <c r="Q98" s="79" t="str" cm="1">
        <f t="array" ref="Q98">IFERROR(IF(I98&gt;10,I98/E98*0.876,""),“”)</f>
        <v/>
      </c>
      <c r="R98" s="79" t="str" cm="1">
        <f t="array" ref="R98">IFERROR(IF(J98&gt;10,J98/F98*0.876,""),“”)</f>
        <v/>
      </c>
      <c r="S98" s="80" t="str">
        <f t="shared" si="6"/>
        <v/>
      </c>
    </row>
    <row r="99" ht="13" spans="1:19">
      <c r="A99" s="59" t="s">
        <v>234</v>
      </c>
      <c r="B99" s="60">
        <v>2019</v>
      </c>
      <c r="C99" s="85">
        <v>2361</v>
      </c>
      <c r="D99" s="117">
        <v>71.2</v>
      </c>
      <c r="E99" s="85">
        <v>1173</v>
      </c>
      <c r="F99" s="85">
        <v>1117</v>
      </c>
      <c r="G99" s="85">
        <v>1126</v>
      </c>
      <c r="H99" s="117">
        <v>30.3</v>
      </c>
      <c r="I99" s="85">
        <v>611</v>
      </c>
      <c r="J99" s="85">
        <v>485</v>
      </c>
      <c r="K99" s="85">
        <v>5201</v>
      </c>
      <c r="L99" s="85">
        <v>5220</v>
      </c>
      <c r="M99" s="85">
        <v>5831</v>
      </c>
      <c r="N99" s="121">
        <v>4579</v>
      </c>
      <c r="O99" s="76" cm="1">
        <f t="array" ref="O99">IFERROR(IF(G99&gt;10,G99/C99*0.876,""),“”)</f>
        <v>0.417778907242694</v>
      </c>
      <c r="P99" s="76" cm="1">
        <f t="array" ref="P99">IFERROR(IF(H99&gt;10,H99/D99*0.876,""),“”)</f>
        <v>0.372792134831461</v>
      </c>
      <c r="Q99" s="76" cm="1">
        <f t="array" ref="Q99">IFERROR(IF(I99&gt;10,I99/E99*0.876,""),“”)</f>
        <v>0.456296675191816</v>
      </c>
      <c r="R99" s="76" cm="1">
        <f t="array" ref="R99">IFERROR(IF(J99&gt;10,J99/F99*0.876,""),“”)</f>
        <v>0.380358102059087</v>
      </c>
      <c r="S99" s="77">
        <f t="shared" ref="S99:S130" si="7">IFERROR(IF((G99-I99)&gt;10,(G99-I99)/(C99-E99)*0.876,""),"")</f>
        <v>0.379747474747475</v>
      </c>
    </row>
    <row r="100" ht="13" spans="1:19">
      <c r="A100" s="63" t="s">
        <v>235</v>
      </c>
      <c r="B100" s="36">
        <v>2019</v>
      </c>
      <c r="C100" s="46">
        <v>35</v>
      </c>
      <c r="D100" s="104"/>
      <c r="E100" s="46">
        <v>35</v>
      </c>
      <c r="F100" s="46"/>
      <c r="G100" s="46">
        <v>19</v>
      </c>
      <c r="H100" s="104"/>
      <c r="I100" s="46">
        <v>19</v>
      </c>
      <c r="J100" s="46"/>
      <c r="K100" s="46">
        <v>6305</v>
      </c>
      <c r="L100" s="46"/>
      <c r="M100" s="46">
        <v>6305</v>
      </c>
      <c r="N100" s="111"/>
      <c r="O100" s="51" cm="1">
        <f t="array" ref="O100">IFERROR(IF(G100&gt;10,G100/C100*0.876,""),“”)</f>
        <v>0.475542857142857</v>
      </c>
      <c r="P100" s="51" t="str" cm="1">
        <f t="array" ref="P100">IFERROR(IF(H100&gt;10,H100/D100*0.876,""),“”)</f>
        <v/>
      </c>
      <c r="Q100" s="51" cm="1">
        <f t="array" ref="Q100">IFERROR(IF(I100&gt;10,I100/E100*0.876,""),“”)</f>
        <v>0.475542857142857</v>
      </c>
      <c r="R100" s="51" t="str" cm="1">
        <f t="array" ref="R100">IFERROR(IF(J100&gt;10,J100/F100*0.876,""),“”)</f>
        <v/>
      </c>
      <c r="S100" s="78" t="str">
        <f t="shared" si="7"/>
        <v/>
      </c>
    </row>
    <row r="101" ht="13" spans="1:19">
      <c r="A101" s="63" t="s">
        <v>236</v>
      </c>
      <c r="B101" s="36">
        <v>2019</v>
      </c>
      <c r="C101" s="46">
        <v>16</v>
      </c>
      <c r="D101" s="104"/>
      <c r="E101" s="46">
        <v>12</v>
      </c>
      <c r="F101" s="70">
        <v>4</v>
      </c>
      <c r="G101" s="46">
        <v>9</v>
      </c>
      <c r="H101" s="104"/>
      <c r="I101" s="46">
        <v>6</v>
      </c>
      <c r="J101" s="70">
        <v>3</v>
      </c>
      <c r="K101" s="46">
        <v>6107</v>
      </c>
      <c r="L101" s="46"/>
      <c r="M101" s="46">
        <v>5724</v>
      </c>
      <c r="N101" s="112">
        <v>7205</v>
      </c>
      <c r="O101" s="51" t="str" cm="1">
        <f t="array" ref="O101">IFERROR(IF(G101&gt;10,G101/C101*0.876,""),“”)</f>
        <v/>
      </c>
      <c r="P101" s="51" t="str" cm="1">
        <f t="array" ref="P101">IFERROR(IF(H101&gt;10,H101/D101*0.876,""),“”)</f>
        <v/>
      </c>
      <c r="Q101" s="51" t="str" cm="1">
        <f t="array" ref="Q101">IFERROR(IF(I101&gt;10,I101/E101*0.876,""),“”)</f>
        <v/>
      </c>
      <c r="R101" s="51" t="str" cm="1">
        <f t="array" ref="R101">IFERROR(IF(J101&gt;10,J101/F101*0.876,""),“”)</f>
        <v/>
      </c>
      <c r="S101" s="78" t="str">
        <f t="shared" si="7"/>
        <v/>
      </c>
    </row>
    <row r="102" ht="13" spans="1:19">
      <c r="A102" s="63" t="s">
        <v>237</v>
      </c>
      <c r="B102" s="36">
        <v>2019</v>
      </c>
      <c r="C102" s="46">
        <v>88</v>
      </c>
      <c r="D102" s="104">
        <v>0.7</v>
      </c>
      <c r="E102" s="46">
        <v>34</v>
      </c>
      <c r="F102" s="70">
        <v>53</v>
      </c>
      <c r="G102" s="46">
        <v>43</v>
      </c>
      <c r="H102" s="104">
        <v>0.3</v>
      </c>
      <c r="I102" s="46">
        <v>15</v>
      </c>
      <c r="J102" s="70">
        <v>27</v>
      </c>
      <c r="K102" s="46">
        <v>5171</v>
      </c>
      <c r="L102" s="46"/>
      <c r="M102" s="70">
        <v>4921</v>
      </c>
      <c r="N102" s="112">
        <v>5318</v>
      </c>
      <c r="O102" s="51" cm="1">
        <f t="array" ref="O102">IFERROR(IF(G102&gt;10,G102/C102*0.876,""),“”)</f>
        <v>0.428045454545455</v>
      </c>
      <c r="P102" s="51" t="str" cm="1">
        <f t="array" ref="P102">IFERROR(IF(H102&gt;10,H102/D102*0.876,""),“”)</f>
        <v/>
      </c>
      <c r="Q102" s="51" cm="1">
        <f t="array" ref="Q102">IFERROR(IF(I102&gt;10,I102/E102*0.876,""),“”)</f>
        <v>0.386470588235294</v>
      </c>
      <c r="R102" s="51" cm="1">
        <f t="array" ref="R102">IFERROR(IF(J102&gt;10,J102/F102*0.876,""),“”)</f>
        <v>0.446264150943396</v>
      </c>
      <c r="S102" s="78">
        <f t="shared" si="7"/>
        <v>0.454222222222222</v>
      </c>
    </row>
    <row r="103" ht="13" spans="1:19">
      <c r="A103" s="63" t="s">
        <v>238</v>
      </c>
      <c r="B103" s="36">
        <v>2019</v>
      </c>
      <c r="C103" s="46">
        <v>57</v>
      </c>
      <c r="D103" s="104">
        <v>11.4</v>
      </c>
      <c r="E103" s="46">
        <v>11</v>
      </c>
      <c r="F103" s="70">
        <v>35</v>
      </c>
      <c r="G103" s="46">
        <v>27</v>
      </c>
      <c r="H103" s="104">
        <v>3</v>
      </c>
      <c r="I103" s="46">
        <v>6</v>
      </c>
      <c r="J103" s="70">
        <v>19</v>
      </c>
      <c r="K103" s="46">
        <v>5630</v>
      </c>
      <c r="L103" s="46"/>
      <c r="M103" s="46">
        <v>5243</v>
      </c>
      <c r="N103" s="112">
        <v>5760</v>
      </c>
      <c r="O103" s="51" cm="1">
        <f t="array" ref="O103">IFERROR(IF(G103&gt;10,G103/C103*0.876,""),“”)</f>
        <v>0.414947368421053</v>
      </c>
      <c r="P103" s="51" t="str" cm="1">
        <f t="array" ref="P103">IFERROR(IF(H103&gt;10,H103/D103*0.876,""),“”)</f>
        <v/>
      </c>
      <c r="Q103" s="51" t="str" cm="1">
        <f t="array" ref="Q103">IFERROR(IF(I103&gt;10,I103/E103*0.876,""),“”)</f>
        <v/>
      </c>
      <c r="R103" s="51" cm="1">
        <f t="array" ref="R103">IFERROR(IF(J103&gt;10,J103/F103*0.876,""),“”)</f>
        <v>0.475542857142857</v>
      </c>
      <c r="S103" s="78">
        <f t="shared" si="7"/>
        <v>0.399913043478261</v>
      </c>
    </row>
    <row r="104" ht="13" spans="1:19">
      <c r="A104" s="63" t="s">
        <v>239</v>
      </c>
      <c r="B104" s="36">
        <v>2019</v>
      </c>
      <c r="C104" s="46">
        <v>20</v>
      </c>
      <c r="D104" s="104">
        <v>0.1</v>
      </c>
      <c r="E104" s="46">
        <v>7</v>
      </c>
      <c r="F104" s="70">
        <v>13</v>
      </c>
      <c r="G104" s="46">
        <v>8</v>
      </c>
      <c r="H104" s="118">
        <v>0.01</v>
      </c>
      <c r="I104" s="86">
        <v>2</v>
      </c>
      <c r="J104" s="70">
        <v>6</v>
      </c>
      <c r="K104" s="46">
        <v>4164</v>
      </c>
      <c r="L104" s="46"/>
      <c r="M104" s="46">
        <v>3599</v>
      </c>
      <c r="N104" s="112">
        <v>4470</v>
      </c>
      <c r="O104" s="51" t="str" cm="1">
        <f t="array" ref="O104">IFERROR(IF(G104&gt;10,G104/C104*0.876,""),“”)</f>
        <v/>
      </c>
      <c r="P104" s="51" t="str" cm="1">
        <f t="array" ref="P104">IFERROR(IF(H104&gt;10,H104/D104*0.876,""),“”)</f>
        <v/>
      </c>
      <c r="Q104" s="51" t="str" cm="1">
        <f t="array" ref="Q104">IFERROR(IF(I104&gt;10,I104/E104*0.876,""),“”)</f>
        <v/>
      </c>
      <c r="R104" s="51" t="str" cm="1">
        <f t="array" ref="R104">IFERROR(IF(J104&gt;10,J104/F104*0.876,""),“”)</f>
        <v/>
      </c>
      <c r="S104" s="78" t="str">
        <f t="shared" si="7"/>
        <v/>
      </c>
    </row>
    <row r="105" ht="13" spans="1:19">
      <c r="A105" s="63" t="s">
        <v>240</v>
      </c>
      <c r="B105" s="36">
        <v>2019</v>
      </c>
      <c r="C105" s="46">
        <v>26</v>
      </c>
      <c r="D105" s="104"/>
      <c r="E105" s="46">
        <v>13</v>
      </c>
      <c r="F105" s="46">
        <v>14</v>
      </c>
      <c r="G105" s="46">
        <v>13</v>
      </c>
      <c r="H105" s="104"/>
      <c r="I105" s="46">
        <v>6</v>
      </c>
      <c r="J105" s="46">
        <v>6</v>
      </c>
      <c r="K105" s="46">
        <v>5836</v>
      </c>
      <c r="L105" s="46"/>
      <c r="M105" s="46">
        <v>6332</v>
      </c>
      <c r="N105" s="111">
        <v>5421</v>
      </c>
      <c r="O105" s="51" cm="1">
        <f t="array" ref="O105">IFERROR(IF(G105&gt;10,G105/C105*0.876,""),“”)</f>
        <v>0.438</v>
      </c>
      <c r="P105" s="51" t="str" cm="1">
        <f t="array" ref="P105">IFERROR(IF(H105&gt;10,H105/D105*0.876,""),“”)</f>
        <v/>
      </c>
      <c r="Q105" s="51" t="str" cm="1">
        <f t="array" ref="Q105">IFERROR(IF(I105&gt;10,I105/E105*0.876,""),“”)</f>
        <v/>
      </c>
      <c r="R105" s="51" t="str" cm="1">
        <f t="array" ref="R105">IFERROR(IF(J105&gt;10,J105/F105*0.876,""),“”)</f>
        <v/>
      </c>
      <c r="S105" s="78" t="str">
        <f t="shared" si="7"/>
        <v/>
      </c>
    </row>
    <row r="106" ht="13" spans="1:19">
      <c r="A106" s="63" t="s">
        <v>241</v>
      </c>
      <c r="B106" s="36">
        <v>2019</v>
      </c>
      <c r="C106" s="46">
        <v>74</v>
      </c>
      <c r="D106" s="104">
        <v>0.3</v>
      </c>
      <c r="E106" s="46">
        <v>19</v>
      </c>
      <c r="F106" s="70">
        <v>55</v>
      </c>
      <c r="G106" s="46">
        <v>35</v>
      </c>
      <c r="H106" s="104"/>
      <c r="I106" s="42">
        <v>9</v>
      </c>
      <c r="J106" s="70">
        <v>26</v>
      </c>
      <c r="K106" s="46">
        <v>5007</v>
      </c>
      <c r="L106" s="46"/>
      <c r="M106" s="46">
        <v>4959</v>
      </c>
      <c r="N106" s="112">
        <v>5023</v>
      </c>
      <c r="O106" s="51" cm="1">
        <f t="array" ref="O106">IFERROR(IF(G106&gt;10,G106/C106*0.876,""),“”)</f>
        <v>0.414324324324324</v>
      </c>
      <c r="P106" s="51" t="str" cm="1">
        <f t="array" ref="P106">IFERROR(IF(H106&gt;10,H106/D106*0.876,""),“”)</f>
        <v/>
      </c>
      <c r="Q106" s="51" t="str" cm="1">
        <f t="array" ref="Q106">IFERROR(IF(I106&gt;10,I106/E106*0.876,""),“”)</f>
        <v/>
      </c>
      <c r="R106" s="51" cm="1">
        <f t="array" ref="R106">IFERROR(IF(J106&gt;10,J106/F106*0.876,""),“”)</f>
        <v>0.414109090909091</v>
      </c>
      <c r="S106" s="78">
        <f t="shared" si="7"/>
        <v>0.414109090909091</v>
      </c>
    </row>
    <row r="107" ht="13" spans="1:19">
      <c r="A107" s="63" t="s">
        <v>242</v>
      </c>
      <c r="B107" s="36">
        <v>2019</v>
      </c>
      <c r="C107" s="46">
        <v>114</v>
      </c>
      <c r="D107" s="104">
        <v>0.6</v>
      </c>
      <c r="E107" s="46">
        <v>13</v>
      </c>
      <c r="F107" s="46">
        <v>101</v>
      </c>
      <c r="G107" s="46">
        <v>58</v>
      </c>
      <c r="H107" s="104">
        <v>0.1</v>
      </c>
      <c r="I107" s="46">
        <v>5</v>
      </c>
      <c r="J107" s="70">
        <v>54</v>
      </c>
      <c r="K107" s="46">
        <v>5644</v>
      </c>
      <c r="L107" s="46"/>
      <c r="M107" s="46">
        <v>3941</v>
      </c>
      <c r="N107" s="112">
        <v>5873</v>
      </c>
      <c r="O107" s="51" cm="1">
        <f t="array" ref="O107">IFERROR(IF(G107&gt;10,G107/C107*0.876,""),“”)</f>
        <v>0.445684210526316</v>
      </c>
      <c r="P107" s="51" t="str" cm="1">
        <f t="array" ref="P107">IFERROR(IF(H107&gt;10,H107/D107*0.876,""),“”)</f>
        <v/>
      </c>
      <c r="Q107" s="51" t="str" cm="1">
        <f t="array" ref="Q107">IFERROR(IF(I107&gt;10,I107/E107*0.876,""),“”)</f>
        <v/>
      </c>
      <c r="R107" s="51" cm="1">
        <f t="array" ref="R107">IFERROR(IF(J107&gt;10,J107/F107*0.876,""),“”)</f>
        <v>0.468356435643564</v>
      </c>
      <c r="S107" s="78">
        <f t="shared" si="7"/>
        <v>0.459683168316832</v>
      </c>
    </row>
    <row r="108" ht="13" spans="1:19">
      <c r="A108" s="63" t="s">
        <v>243</v>
      </c>
      <c r="B108" s="36">
        <v>2019</v>
      </c>
      <c r="C108" s="46">
        <v>43</v>
      </c>
      <c r="D108" s="104">
        <v>1.8</v>
      </c>
      <c r="E108" s="46">
        <v>41</v>
      </c>
      <c r="F108" s="46"/>
      <c r="G108" s="46">
        <v>26</v>
      </c>
      <c r="H108" s="104">
        <v>1.3</v>
      </c>
      <c r="I108" s="46">
        <v>24</v>
      </c>
      <c r="J108" s="46"/>
      <c r="K108" s="46">
        <v>7720</v>
      </c>
      <c r="L108" s="46">
        <v>7265</v>
      </c>
      <c r="M108" s="46">
        <v>7744</v>
      </c>
      <c r="N108" s="111"/>
      <c r="O108" s="51" cm="1">
        <f t="array" ref="O108">IFERROR(IF(G108&gt;10,G108/C108*0.876,""),“”)</f>
        <v>0.529674418604651</v>
      </c>
      <c r="P108" s="51" t="str" cm="1">
        <f t="array" ref="P108">IFERROR(IF(H108&gt;10,H108/D108*0.876,""),“”)</f>
        <v/>
      </c>
      <c r="Q108" s="51" cm="1">
        <f t="array" ref="Q108">IFERROR(IF(I108&gt;10,I108/E108*0.876,""),“”)</f>
        <v>0.512780487804878</v>
      </c>
      <c r="R108" s="51" t="str" cm="1">
        <f t="array" ref="R108">IFERROR(IF(J108&gt;10,J108/F108*0.876,""),“”)</f>
        <v/>
      </c>
      <c r="S108" s="78" t="str">
        <f t="shared" si="7"/>
        <v/>
      </c>
    </row>
    <row r="109" ht="13" spans="1:19">
      <c r="A109" s="63" t="s">
        <v>244</v>
      </c>
      <c r="B109" s="36">
        <v>2019</v>
      </c>
      <c r="C109" s="46">
        <v>196</v>
      </c>
      <c r="D109" s="104">
        <v>6.8</v>
      </c>
      <c r="E109" s="46">
        <v>130</v>
      </c>
      <c r="F109" s="70">
        <v>59</v>
      </c>
      <c r="G109" s="46">
        <v>110</v>
      </c>
      <c r="H109" s="104">
        <v>2</v>
      </c>
      <c r="I109" s="46">
        <v>73</v>
      </c>
      <c r="J109" s="70">
        <v>35</v>
      </c>
      <c r="K109" s="46">
        <v>6468</v>
      </c>
      <c r="L109" s="46">
        <v>3423</v>
      </c>
      <c r="M109" s="46">
        <v>6669</v>
      </c>
      <c r="N109" s="112">
        <v>6228</v>
      </c>
      <c r="O109" s="51" cm="1">
        <f t="array" ref="O109">IFERROR(IF(G109&gt;10,G109/C109*0.876,""),“”)</f>
        <v>0.491632653061224</v>
      </c>
      <c r="P109" s="51" t="str" cm="1">
        <f t="array" ref="P109">IFERROR(IF(H109&gt;10,H109/D109*0.876,""),“”)</f>
        <v/>
      </c>
      <c r="Q109" s="51" cm="1">
        <f t="array" ref="Q109">IFERROR(IF(I109&gt;10,I109/E109*0.876,""),“”)</f>
        <v>0.491907692307692</v>
      </c>
      <c r="R109" s="51" cm="1">
        <f t="array" ref="R109">IFERROR(IF(J109&gt;10,J109/F109*0.876,""),“”)</f>
        <v>0.519661016949153</v>
      </c>
      <c r="S109" s="78">
        <f t="shared" si="7"/>
        <v>0.491090909090909</v>
      </c>
    </row>
    <row r="110" ht="13" spans="1:19">
      <c r="A110" s="63" t="s">
        <v>245</v>
      </c>
      <c r="B110" s="36">
        <v>2019</v>
      </c>
      <c r="C110" s="46">
        <v>190</v>
      </c>
      <c r="D110" s="104">
        <v>5.6</v>
      </c>
      <c r="E110" s="46">
        <v>161</v>
      </c>
      <c r="F110" s="46">
        <v>24</v>
      </c>
      <c r="G110" s="46">
        <v>107</v>
      </c>
      <c r="H110" s="104">
        <v>2.8</v>
      </c>
      <c r="I110" s="46">
        <v>92</v>
      </c>
      <c r="J110" s="42">
        <v>12</v>
      </c>
      <c r="K110" s="46">
        <v>5788</v>
      </c>
      <c r="L110" s="46">
        <v>7174</v>
      </c>
      <c r="M110" s="46">
        <v>5862</v>
      </c>
      <c r="N110" s="112">
        <v>5201</v>
      </c>
      <c r="O110" s="51" cm="1">
        <f t="array" ref="O110">IFERROR(IF(G110&gt;10,G110/C110*0.876,""),“”)</f>
        <v>0.493326315789474</v>
      </c>
      <c r="P110" s="51" t="str" cm="1">
        <f t="array" ref="P110">IFERROR(IF(H110&gt;10,H110/D110*0.876,""),“”)</f>
        <v/>
      </c>
      <c r="Q110" s="51" cm="1">
        <f t="array" ref="Q110">IFERROR(IF(I110&gt;10,I110/E110*0.876,""),“”)</f>
        <v>0.500571428571429</v>
      </c>
      <c r="R110" s="51" cm="1">
        <f t="array" ref="R110">IFERROR(IF(J110&gt;10,J110/F110*0.876,""),“”)</f>
        <v>0.438</v>
      </c>
      <c r="S110" s="78">
        <f t="shared" si="7"/>
        <v>0.453103448275862</v>
      </c>
    </row>
    <row r="111" ht="13" spans="1:19">
      <c r="A111" s="63" t="s">
        <v>246</v>
      </c>
      <c r="B111" s="36">
        <v>2019</v>
      </c>
      <c r="C111" s="46">
        <v>192</v>
      </c>
      <c r="D111" s="104">
        <v>1.3</v>
      </c>
      <c r="E111" s="46">
        <v>64</v>
      </c>
      <c r="F111" s="70">
        <v>127</v>
      </c>
      <c r="G111" s="46">
        <v>98</v>
      </c>
      <c r="H111" s="104">
        <v>0.5</v>
      </c>
      <c r="I111" s="46">
        <v>33</v>
      </c>
      <c r="J111" s="70">
        <v>64</v>
      </c>
      <c r="K111" s="46">
        <v>5550</v>
      </c>
      <c r="L111" s="46"/>
      <c r="M111" s="46">
        <v>5821</v>
      </c>
      <c r="N111" s="112">
        <v>5429</v>
      </c>
      <c r="O111" s="51" cm="1">
        <f t="array" ref="O111">IFERROR(IF(G111&gt;10,G111/C111*0.876,""),“”)</f>
        <v>0.447125</v>
      </c>
      <c r="P111" s="51" t="str" cm="1">
        <f t="array" ref="P111">IFERROR(IF(H111&gt;10,H111/D111*0.876,""),“”)</f>
        <v/>
      </c>
      <c r="Q111" s="51" cm="1">
        <f t="array" ref="Q111">IFERROR(IF(I111&gt;10,I111/E111*0.876,""),“”)</f>
        <v>0.4516875</v>
      </c>
      <c r="R111" s="51" cm="1">
        <f t="array" ref="R111">IFERROR(IF(J111&gt;10,J111/F111*0.876,""),“”)</f>
        <v>0.441448818897638</v>
      </c>
      <c r="S111" s="78">
        <f t="shared" si="7"/>
        <v>0.44484375</v>
      </c>
    </row>
    <row r="112" ht="13" spans="1:19">
      <c r="A112" s="63" t="s">
        <v>247</v>
      </c>
      <c r="B112" s="36">
        <v>2019</v>
      </c>
      <c r="C112" s="46">
        <v>58</v>
      </c>
      <c r="D112" s="104">
        <v>1</v>
      </c>
      <c r="E112" s="46">
        <v>51</v>
      </c>
      <c r="F112" s="46">
        <v>6</v>
      </c>
      <c r="G112" s="46">
        <v>31</v>
      </c>
      <c r="H112" s="104">
        <v>0.5</v>
      </c>
      <c r="I112" s="46">
        <v>27</v>
      </c>
      <c r="J112" s="87">
        <v>4</v>
      </c>
      <c r="K112" s="46">
        <v>6001</v>
      </c>
      <c r="L112" s="46"/>
      <c r="M112" s="46">
        <v>5987</v>
      </c>
      <c r="N112" s="112">
        <v>6112</v>
      </c>
      <c r="O112" s="51" cm="1">
        <f t="array" ref="O112">IFERROR(IF(G112&gt;10,G112/C112*0.876,""),“”)</f>
        <v>0.468206896551724</v>
      </c>
      <c r="P112" s="51" t="str" cm="1">
        <f t="array" ref="P112">IFERROR(IF(H112&gt;10,H112/D112*0.876,""),“”)</f>
        <v/>
      </c>
      <c r="Q112" s="51" cm="1">
        <f t="array" ref="Q112">IFERROR(IF(I112&gt;10,I112/E112*0.876,""),“”)</f>
        <v>0.463764705882353</v>
      </c>
      <c r="R112" s="51" t="str" cm="1">
        <f t="array" ref="R112">IFERROR(IF(J112&gt;10,J112/F112*0.876,""),“”)</f>
        <v/>
      </c>
      <c r="S112" s="78" t="str">
        <f t="shared" si="7"/>
        <v/>
      </c>
    </row>
    <row r="113" ht="13" spans="1:19">
      <c r="A113" s="63" t="s">
        <v>248</v>
      </c>
      <c r="B113" s="36">
        <v>2019</v>
      </c>
      <c r="C113" s="46">
        <v>47</v>
      </c>
      <c r="D113" s="104">
        <v>3.1</v>
      </c>
      <c r="E113" s="46">
        <v>17</v>
      </c>
      <c r="F113" s="70">
        <v>27</v>
      </c>
      <c r="G113" s="46">
        <v>20</v>
      </c>
      <c r="H113" s="104">
        <v>1.6</v>
      </c>
      <c r="I113" s="46">
        <v>9</v>
      </c>
      <c r="J113" s="70">
        <v>10</v>
      </c>
      <c r="K113" s="46">
        <v>5071</v>
      </c>
      <c r="L113" s="46">
        <v>2208</v>
      </c>
      <c r="M113" s="46">
        <v>5822</v>
      </c>
      <c r="N113" s="112">
        <v>4633</v>
      </c>
      <c r="O113" s="51" cm="1">
        <f t="array" ref="O113">IFERROR(IF(G113&gt;10,G113/C113*0.876,""),“”)</f>
        <v>0.372765957446809</v>
      </c>
      <c r="P113" s="51" t="str" cm="1">
        <f t="array" ref="P113">IFERROR(IF(H113&gt;10,H113/D113*0.876,""),“”)</f>
        <v/>
      </c>
      <c r="Q113" s="51" t="str" cm="1">
        <f t="array" ref="Q113">IFERROR(IF(I113&gt;10,I113/E113*0.876,""),“”)</f>
        <v/>
      </c>
      <c r="R113" s="51" t="str" cm="1">
        <f t="array" ref="R113">IFERROR(IF(J113&gt;10,J113/F113*0.876,""),“”)</f>
        <v/>
      </c>
      <c r="S113" s="78">
        <f t="shared" si="7"/>
        <v>0.3212</v>
      </c>
    </row>
    <row r="114" ht="13" spans="1:19">
      <c r="A114" s="63" t="s">
        <v>249</v>
      </c>
      <c r="B114" s="36">
        <v>2019</v>
      </c>
      <c r="C114" s="46">
        <v>293</v>
      </c>
      <c r="D114" s="104">
        <v>6.7</v>
      </c>
      <c r="E114" s="46">
        <v>140</v>
      </c>
      <c r="F114" s="70">
        <v>146</v>
      </c>
      <c r="G114" s="46">
        <v>141</v>
      </c>
      <c r="H114" s="104">
        <v>2.2</v>
      </c>
      <c r="I114" s="46">
        <v>64</v>
      </c>
      <c r="J114" s="70">
        <v>74</v>
      </c>
      <c r="K114" s="46">
        <v>5183</v>
      </c>
      <c r="L114" s="46">
        <v>3523</v>
      </c>
      <c r="M114" s="46">
        <v>5293</v>
      </c>
      <c r="N114" s="112">
        <v>5119</v>
      </c>
      <c r="O114" s="51" cm="1">
        <f t="array" ref="O114">IFERROR(IF(G114&gt;10,G114/C114*0.876,""),“”)</f>
        <v>0.421556313993174</v>
      </c>
      <c r="P114" s="51" t="str" cm="1">
        <f t="array" ref="P114">IFERROR(IF(H114&gt;10,H114/D114*0.876,""),“”)</f>
        <v/>
      </c>
      <c r="Q114" s="51" cm="1">
        <f t="array" ref="Q114">IFERROR(IF(I114&gt;10,I114/E114*0.876,""),“”)</f>
        <v>0.400457142857143</v>
      </c>
      <c r="R114" s="51" cm="1">
        <f t="array" ref="R114">IFERROR(IF(J114&gt;10,J114/F114*0.876,""),“”)</f>
        <v>0.444</v>
      </c>
      <c r="S114" s="78">
        <f t="shared" si="7"/>
        <v>0.440862745098039</v>
      </c>
    </row>
    <row r="115" ht="13" spans="1:19">
      <c r="A115" s="63" t="s">
        <v>250</v>
      </c>
      <c r="B115" s="36">
        <v>2019</v>
      </c>
      <c r="C115" s="46">
        <v>76</v>
      </c>
      <c r="D115" s="104">
        <v>3.6</v>
      </c>
      <c r="E115" s="46">
        <v>21</v>
      </c>
      <c r="F115" s="70">
        <v>52</v>
      </c>
      <c r="G115" s="46">
        <v>37</v>
      </c>
      <c r="H115" s="104"/>
      <c r="I115" s="46">
        <v>9</v>
      </c>
      <c r="J115" s="70">
        <v>28</v>
      </c>
      <c r="K115" s="46">
        <v>5342</v>
      </c>
      <c r="L115" s="46"/>
      <c r="M115" s="46">
        <v>5946</v>
      </c>
      <c r="N115" s="112">
        <v>5545</v>
      </c>
      <c r="O115" s="51" cm="1">
        <f t="array" ref="O115">IFERROR(IF(G115&gt;10,G115/C115*0.876,""),“”)</f>
        <v>0.426473684210526</v>
      </c>
      <c r="P115" s="51" t="str" cm="1">
        <f t="array" ref="P115">IFERROR(IF(H115&gt;10,H115/D115*0.876,""),“”)</f>
        <v/>
      </c>
      <c r="Q115" s="51" t="str" cm="1">
        <f t="array" ref="Q115">IFERROR(IF(I115&gt;10,I115/E115*0.876,""),“”)</f>
        <v/>
      </c>
      <c r="R115" s="51" cm="1">
        <f t="array" ref="R115">IFERROR(IF(J115&gt;10,J115/F115*0.876,""),“”)</f>
        <v>0.471692307692308</v>
      </c>
      <c r="S115" s="78">
        <f t="shared" si="7"/>
        <v>0.445963636363636</v>
      </c>
    </row>
    <row r="116" ht="13" spans="1:19">
      <c r="A116" s="63" t="s">
        <v>251</v>
      </c>
      <c r="B116" s="36">
        <v>2019</v>
      </c>
      <c r="C116" s="46">
        <v>92</v>
      </c>
      <c r="D116" s="104">
        <v>3.3</v>
      </c>
      <c r="E116" s="46">
        <v>26</v>
      </c>
      <c r="F116" s="70">
        <v>62</v>
      </c>
      <c r="G116" s="46">
        <v>30</v>
      </c>
      <c r="H116" s="104">
        <v>1.1</v>
      </c>
      <c r="I116" s="46">
        <v>15</v>
      </c>
      <c r="J116" s="70">
        <v>13</v>
      </c>
      <c r="K116" s="46">
        <v>3450</v>
      </c>
      <c r="L116" s="46"/>
      <c r="M116" s="46">
        <v>6000</v>
      </c>
      <c r="N116" s="112">
        <v>2331</v>
      </c>
      <c r="O116" s="51" cm="1">
        <f t="array" ref="O116">IFERROR(IF(G116&gt;10,G116/C116*0.876,""),“”)</f>
        <v>0.285652173913043</v>
      </c>
      <c r="P116" s="51" t="str" cm="1">
        <f t="array" ref="P116">IFERROR(IF(H116&gt;10,H116/D116*0.876,""),“”)</f>
        <v/>
      </c>
      <c r="Q116" s="51" cm="1">
        <f t="array" ref="Q116">IFERROR(IF(I116&gt;10,I116/E116*0.876,""),“”)</f>
        <v>0.505384615384615</v>
      </c>
      <c r="R116" s="51" cm="1">
        <f t="array" ref="R116">IFERROR(IF(J116&gt;10,J116/F116*0.876,""),“”)</f>
        <v>0.183677419354839</v>
      </c>
      <c r="S116" s="78">
        <f t="shared" si="7"/>
        <v>0.199090909090909</v>
      </c>
    </row>
    <row r="117" ht="13" spans="1:19">
      <c r="A117" s="63" t="s">
        <v>252</v>
      </c>
      <c r="B117" s="36">
        <v>2019</v>
      </c>
      <c r="C117" s="46">
        <v>76</v>
      </c>
      <c r="D117" s="104">
        <v>2.7</v>
      </c>
      <c r="E117" s="46">
        <v>30</v>
      </c>
      <c r="F117" s="46">
        <v>43</v>
      </c>
      <c r="G117" s="46">
        <v>32</v>
      </c>
      <c r="H117" s="104">
        <v>1.1</v>
      </c>
      <c r="I117" s="46">
        <v>19</v>
      </c>
      <c r="J117" s="46">
        <v>1</v>
      </c>
      <c r="K117" s="46">
        <v>4560</v>
      </c>
      <c r="L117" s="46">
        <v>4268</v>
      </c>
      <c r="M117" s="46">
        <v>7648</v>
      </c>
      <c r="N117" s="111">
        <v>2704</v>
      </c>
      <c r="O117" s="51" cm="1">
        <f t="array" ref="O117">IFERROR(IF(G117&gt;10,G117/C117*0.876,""),“”)</f>
        <v>0.368842105263158</v>
      </c>
      <c r="P117" s="51" t="str" cm="1">
        <f t="array" ref="P117">IFERROR(IF(H117&gt;10,H117/D117*0.876,""),“”)</f>
        <v/>
      </c>
      <c r="Q117" s="51" cm="1">
        <f t="array" ref="Q117">IFERROR(IF(I117&gt;10,I117/E117*0.876,""),“”)</f>
        <v>0.5548</v>
      </c>
      <c r="R117" s="51" t="str" cm="1">
        <f t="array" ref="R117">IFERROR(IF(J117&gt;10,J117/F117*0.876,""),“”)</f>
        <v/>
      </c>
      <c r="S117" s="78">
        <f t="shared" si="7"/>
        <v>0.247565217391304</v>
      </c>
    </row>
    <row r="118" ht="13" spans="1:19">
      <c r="A118" s="63" t="s">
        <v>253</v>
      </c>
      <c r="B118" s="36">
        <v>2019</v>
      </c>
      <c r="C118" s="46">
        <v>236</v>
      </c>
      <c r="D118" s="104">
        <v>13.3</v>
      </c>
      <c r="E118" s="46">
        <v>192</v>
      </c>
      <c r="F118" s="70">
        <v>31</v>
      </c>
      <c r="G118" s="46">
        <v>120</v>
      </c>
      <c r="H118" s="104">
        <v>8.2</v>
      </c>
      <c r="I118" s="46">
        <v>93</v>
      </c>
      <c r="J118" s="70">
        <v>19</v>
      </c>
      <c r="K118" s="46">
        <v>5444</v>
      </c>
      <c r="L118" s="46">
        <v>7899</v>
      </c>
      <c r="M118" s="46">
        <v>5195</v>
      </c>
      <c r="N118" s="112">
        <v>6387</v>
      </c>
      <c r="O118" s="51" cm="1">
        <f t="array" ref="O118">IFERROR(IF(G118&gt;10,G118/C118*0.876,""),“”)</f>
        <v>0.445423728813559</v>
      </c>
      <c r="P118" s="51" t="str" cm="1">
        <f t="array" ref="P118">IFERROR(IF(H118&gt;10,H118/D118*0.876,""),“”)</f>
        <v/>
      </c>
      <c r="Q118" s="51" cm="1">
        <f t="array" ref="Q118">IFERROR(IF(I118&gt;10,I118/E118*0.876,""),“”)</f>
        <v>0.4243125</v>
      </c>
      <c r="R118" s="51" cm="1">
        <f t="array" ref="R118">IFERROR(IF(J118&gt;10,J118/F118*0.876,""),“”)</f>
        <v>0.536903225806452</v>
      </c>
      <c r="S118" s="78">
        <f t="shared" si="7"/>
        <v>0.537545454545455</v>
      </c>
    </row>
    <row r="119" ht="13" spans="1:19">
      <c r="A119" s="63" t="s">
        <v>254</v>
      </c>
      <c r="B119" s="36">
        <v>2019</v>
      </c>
      <c r="C119" s="46">
        <v>185</v>
      </c>
      <c r="D119" s="104">
        <v>1.8</v>
      </c>
      <c r="E119" s="46">
        <v>16</v>
      </c>
      <c r="F119" s="70">
        <v>166</v>
      </c>
      <c r="G119" s="46">
        <v>52</v>
      </c>
      <c r="H119" s="104">
        <v>1.1</v>
      </c>
      <c r="I119" s="46">
        <v>11</v>
      </c>
      <c r="J119" s="70">
        <v>40</v>
      </c>
      <c r="K119" s="46">
        <v>2879</v>
      </c>
      <c r="L119" s="46"/>
      <c r="M119" s="46">
        <v>6869</v>
      </c>
      <c r="N119" s="112">
        <v>2475</v>
      </c>
      <c r="O119" s="51" cm="1">
        <f t="array" ref="O119">IFERROR(IF(G119&gt;10,G119/C119*0.876,""),“”)</f>
        <v>0.246227027027027</v>
      </c>
      <c r="P119" s="51" t="str" cm="1">
        <f t="array" ref="P119">IFERROR(IF(H119&gt;10,H119/D119*0.876,""),“”)</f>
        <v/>
      </c>
      <c r="Q119" s="51" cm="1">
        <f t="array" ref="Q119">IFERROR(IF(I119&gt;10,I119/E119*0.876,""),“”)</f>
        <v>0.60225</v>
      </c>
      <c r="R119" s="51" cm="1">
        <f t="array" ref="R119">IFERROR(IF(J119&gt;10,J119/F119*0.876,""),“”)</f>
        <v>0.211084337349398</v>
      </c>
      <c r="S119" s="78">
        <f t="shared" si="7"/>
        <v>0.212520710059172</v>
      </c>
    </row>
    <row r="120" ht="13" spans="1:19">
      <c r="A120" s="63" t="s">
        <v>255</v>
      </c>
      <c r="B120" s="36">
        <v>2019</v>
      </c>
      <c r="C120" s="46">
        <v>32</v>
      </c>
      <c r="D120" s="104">
        <v>0.5</v>
      </c>
      <c r="E120" s="46">
        <v>8</v>
      </c>
      <c r="F120" s="70">
        <v>24</v>
      </c>
      <c r="G120" s="46">
        <v>20</v>
      </c>
      <c r="H120" s="104">
        <v>0.3</v>
      </c>
      <c r="I120" s="46">
        <v>5</v>
      </c>
      <c r="J120" s="70">
        <v>14</v>
      </c>
      <c r="K120" s="46">
        <v>6054</v>
      </c>
      <c r="L120" s="46"/>
      <c r="M120" s="46">
        <v>6849</v>
      </c>
      <c r="N120" s="112">
        <v>5801</v>
      </c>
      <c r="O120" s="51" cm="1">
        <f t="array" ref="O120">IFERROR(IF(G120&gt;10,G120/C120*0.876,""),“”)</f>
        <v>0.5475</v>
      </c>
      <c r="P120" s="51" t="str" cm="1">
        <f t="array" ref="P120">IFERROR(IF(H120&gt;10,H120/D120*0.876,""),“”)</f>
        <v/>
      </c>
      <c r="Q120" s="51" t="str" cm="1">
        <f t="array" ref="Q120">IFERROR(IF(I120&gt;10,I120/E120*0.876,""),“”)</f>
        <v/>
      </c>
      <c r="R120" s="51" cm="1">
        <f t="array" ref="R120">IFERROR(IF(J120&gt;10,J120/F120*0.876,""),“”)</f>
        <v>0.511</v>
      </c>
      <c r="S120" s="78">
        <f t="shared" si="7"/>
        <v>0.5475</v>
      </c>
    </row>
    <row r="121" ht="13" spans="1:19">
      <c r="A121" s="63" t="s">
        <v>256</v>
      </c>
      <c r="B121" s="36">
        <v>2019</v>
      </c>
      <c r="C121" s="46">
        <v>33</v>
      </c>
      <c r="D121" s="104">
        <v>0.6</v>
      </c>
      <c r="E121" s="46">
        <v>25</v>
      </c>
      <c r="F121" s="70">
        <v>7</v>
      </c>
      <c r="G121" s="46">
        <v>19</v>
      </c>
      <c r="H121" s="104">
        <v>0.1</v>
      </c>
      <c r="I121" s="46">
        <v>17</v>
      </c>
      <c r="J121" s="70">
        <v>2</v>
      </c>
      <c r="K121" s="46">
        <v>5741</v>
      </c>
      <c r="L121" s="46"/>
      <c r="M121" s="46">
        <v>6579</v>
      </c>
      <c r="N121" s="112">
        <v>2864</v>
      </c>
      <c r="O121" s="51" cm="1">
        <f t="array" ref="O121">IFERROR(IF(G121&gt;10,G121/C121*0.876,""),“”)</f>
        <v>0.504363636363636</v>
      </c>
      <c r="P121" s="51" t="str" cm="1">
        <f t="array" ref="P121">IFERROR(IF(H121&gt;10,H121/D121*0.876,""),“”)</f>
        <v/>
      </c>
      <c r="Q121" s="51" cm="1">
        <f t="array" ref="Q121">IFERROR(IF(I121&gt;10,I121/E121*0.876,""),“”)</f>
        <v>0.59568</v>
      </c>
      <c r="R121" s="51" t="str" cm="1">
        <f t="array" ref="R121">IFERROR(IF(J121&gt;10,J121/F121*0.876,""),“”)</f>
        <v/>
      </c>
      <c r="S121" s="78" t="str">
        <f t="shared" si="7"/>
        <v/>
      </c>
    </row>
    <row r="122" ht="13" spans="1:19">
      <c r="A122" s="63" t="s">
        <v>258</v>
      </c>
      <c r="B122" s="36">
        <v>2019</v>
      </c>
      <c r="C122" s="46">
        <v>65</v>
      </c>
      <c r="D122" s="104">
        <v>3.5</v>
      </c>
      <c r="E122" s="46">
        <v>47</v>
      </c>
      <c r="F122" s="70">
        <v>15</v>
      </c>
      <c r="G122" s="46">
        <v>40</v>
      </c>
      <c r="H122" s="104">
        <v>2.5</v>
      </c>
      <c r="I122" s="46">
        <v>28</v>
      </c>
      <c r="J122" s="70">
        <v>9</v>
      </c>
      <c r="K122" s="46">
        <v>6982</v>
      </c>
      <c r="L122" s="46">
        <v>7830</v>
      </c>
      <c r="M122" s="46">
        <v>6811</v>
      </c>
      <c r="N122" s="112">
        <v>7335</v>
      </c>
      <c r="O122" s="51" cm="1">
        <f t="array" ref="O122">IFERROR(IF(G122&gt;10,G122/C122*0.876,""),“”)</f>
        <v>0.539076923076923</v>
      </c>
      <c r="P122" s="51" t="str" cm="1">
        <f t="array" ref="P122">IFERROR(IF(H122&gt;10,H122/D122*0.876,""),“”)</f>
        <v/>
      </c>
      <c r="Q122" s="51" cm="1">
        <f t="array" ref="Q122">IFERROR(IF(I122&gt;10,I122/E122*0.876,""),“”)</f>
        <v>0.521872340425532</v>
      </c>
      <c r="R122" s="51" t="str" cm="1">
        <f t="array" ref="R122">IFERROR(IF(J122&gt;10,J122/F122*0.876,""),“”)</f>
        <v/>
      </c>
      <c r="S122" s="78">
        <f t="shared" si="7"/>
        <v>0.584</v>
      </c>
    </row>
    <row r="123" ht="13" spans="1:19">
      <c r="A123" s="63" t="s">
        <v>259</v>
      </c>
      <c r="B123" s="36">
        <v>2019</v>
      </c>
      <c r="C123" s="46">
        <v>26</v>
      </c>
      <c r="D123" s="104"/>
      <c r="E123" s="70">
        <v>17</v>
      </c>
      <c r="F123" s="70">
        <v>9</v>
      </c>
      <c r="G123" s="46">
        <v>8</v>
      </c>
      <c r="H123" s="104"/>
      <c r="I123" s="70">
        <v>7</v>
      </c>
      <c r="J123" s="70">
        <v>1</v>
      </c>
      <c r="K123" s="46">
        <v>3978</v>
      </c>
      <c r="L123" s="46"/>
      <c r="M123" s="70">
        <v>6193</v>
      </c>
      <c r="N123" s="112">
        <v>902</v>
      </c>
      <c r="O123" s="51" t="str" cm="1">
        <f t="array" ref="O123">IFERROR(IF(G123&gt;10,G123/C123*0.876,""),“”)</f>
        <v/>
      </c>
      <c r="P123" s="51" t="str" cm="1">
        <f t="array" ref="P123">IFERROR(IF(H123&gt;10,H123/D123*0.876,""),“”)</f>
        <v/>
      </c>
      <c r="Q123" s="51" t="str" cm="1">
        <f t="array" ref="Q123">IFERROR(IF(I123&gt;10,I123/E123*0.876,""),“”)</f>
        <v/>
      </c>
      <c r="R123" s="51" t="str" cm="1">
        <f t="array" ref="R123">IFERROR(IF(J123&gt;10,J123/F123*0.876,""),“”)</f>
        <v/>
      </c>
      <c r="S123" s="78" t="str">
        <f t="shared" si="7"/>
        <v/>
      </c>
    </row>
    <row r="124" ht="13" spans="1:19">
      <c r="A124" s="63" t="s">
        <v>260</v>
      </c>
      <c r="B124" s="36">
        <v>2019</v>
      </c>
      <c r="C124" s="46">
        <v>44</v>
      </c>
      <c r="D124" s="104"/>
      <c r="E124" s="46">
        <v>17</v>
      </c>
      <c r="F124" s="70">
        <v>27</v>
      </c>
      <c r="G124" s="46">
        <v>9</v>
      </c>
      <c r="H124" s="104"/>
      <c r="I124" s="86">
        <v>6</v>
      </c>
      <c r="J124" s="70">
        <v>3</v>
      </c>
      <c r="K124" s="46">
        <v>2150</v>
      </c>
      <c r="L124" s="46"/>
      <c r="M124" s="46">
        <v>3498</v>
      </c>
      <c r="N124" s="112">
        <v>998</v>
      </c>
      <c r="O124" s="51" t="str" cm="1">
        <f t="array" ref="O124">IFERROR(IF(G124&gt;10,G124/C124*0.876,""),“”)</f>
        <v/>
      </c>
      <c r="P124" s="51" t="str" cm="1">
        <f t="array" ref="P124">IFERROR(IF(H124&gt;10,H124/D124*0.876,""),“”)</f>
        <v/>
      </c>
      <c r="Q124" s="51" t="str" cm="1">
        <f t="array" ref="Q124">IFERROR(IF(I124&gt;10,I124/E124*0.876,""),“”)</f>
        <v/>
      </c>
      <c r="R124" s="51" t="str" cm="1">
        <f t="array" ref="R124">IFERROR(IF(J124&gt;10,J124/F124*0.876,""),“”)</f>
        <v/>
      </c>
      <c r="S124" s="78" t="str">
        <f t="shared" si="7"/>
        <v/>
      </c>
    </row>
    <row r="125" ht="13" spans="1:19">
      <c r="A125" s="63" t="s">
        <v>261</v>
      </c>
      <c r="B125" s="36">
        <v>2019</v>
      </c>
      <c r="C125" s="46">
        <v>2</v>
      </c>
      <c r="D125" s="105"/>
      <c r="E125" s="70">
        <v>2</v>
      </c>
      <c r="F125" s="46"/>
      <c r="G125" s="46">
        <v>1</v>
      </c>
      <c r="H125" s="105"/>
      <c r="I125" s="70">
        <v>1</v>
      </c>
      <c r="J125" s="86"/>
      <c r="K125" s="46">
        <v>5272</v>
      </c>
      <c r="L125" s="70"/>
      <c r="M125" s="70">
        <v>5272</v>
      </c>
      <c r="N125" s="111"/>
      <c r="O125" s="51" t="str" cm="1">
        <f t="array" ref="O125">IFERROR(IF(G125&gt;10,G125/C125*0.876,""),“”)</f>
        <v/>
      </c>
      <c r="P125" s="51" t="str" cm="1">
        <f t="array" ref="P125">IFERROR(IF(H125&gt;10,H125/D125*0.876,""),“”)</f>
        <v/>
      </c>
      <c r="Q125" s="51" t="str" cm="1">
        <f t="array" ref="Q125">IFERROR(IF(I125&gt;10,I125/E125*0.876,""),“”)</f>
        <v/>
      </c>
      <c r="R125" s="51" t="str" cm="1">
        <f t="array" ref="R125">IFERROR(IF(J125&gt;10,J125/F125*0.876,""),“”)</f>
        <v/>
      </c>
      <c r="S125" s="78" t="str">
        <f t="shared" si="7"/>
        <v/>
      </c>
    </row>
    <row r="126" ht="13" spans="1:19">
      <c r="A126" s="63" t="s">
        <v>262</v>
      </c>
      <c r="B126" s="36">
        <v>2019</v>
      </c>
      <c r="C126" s="46">
        <v>16</v>
      </c>
      <c r="D126" s="104">
        <v>1.7</v>
      </c>
      <c r="E126" s="46">
        <v>7</v>
      </c>
      <c r="F126" s="70">
        <v>7</v>
      </c>
      <c r="G126" s="46">
        <v>3</v>
      </c>
      <c r="H126" s="104">
        <v>1.3</v>
      </c>
      <c r="I126" s="46">
        <v>1</v>
      </c>
      <c r="J126" s="70">
        <v>11</v>
      </c>
      <c r="K126" s="46"/>
      <c r="L126" s="46"/>
      <c r="M126" s="70"/>
      <c r="N126" s="112"/>
      <c r="O126" s="51" t="str" cm="1">
        <f t="array" ref="O126">IFERROR(IF(G126&gt;10,G126/C126*0.876,""),“”)</f>
        <v/>
      </c>
      <c r="P126" s="51" t="str" cm="1">
        <f t="array" ref="P126">IFERROR(IF(H126&gt;10,H126/D126*0.876,""),“”)</f>
        <v/>
      </c>
      <c r="Q126" s="51" t="str" cm="1">
        <f t="array" ref="Q126">IFERROR(IF(I126&gt;10,I126/E126*0.876,""),“”)</f>
        <v/>
      </c>
      <c r="R126" s="51" cm="1">
        <f t="array" ref="R126">IFERROR(IF(J126&gt;10,J126/F126*0.876,""),“”)</f>
        <v>1.37657142857143</v>
      </c>
      <c r="S126" s="78" t="str">
        <f t="shared" si="7"/>
        <v/>
      </c>
    </row>
    <row r="127" ht="13" spans="1:19">
      <c r="A127" s="63" t="s">
        <v>263</v>
      </c>
      <c r="B127" s="36">
        <v>2019</v>
      </c>
      <c r="C127" s="46">
        <v>10</v>
      </c>
      <c r="D127" s="104"/>
      <c r="E127" s="46">
        <v>7</v>
      </c>
      <c r="F127" s="70">
        <v>3</v>
      </c>
      <c r="G127" s="46">
        <v>6</v>
      </c>
      <c r="H127" s="104"/>
      <c r="I127" s="70">
        <v>5</v>
      </c>
      <c r="J127" s="70">
        <v>1</v>
      </c>
      <c r="K127" s="46">
        <v>5881</v>
      </c>
      <c r="L127" s="46"/>
      <c r="M127" s="70">
        <v>7056</v>
      </c>
      <c r="N127" s="112">
        <v>3140</v>
      </c>
      <c r="O127" s="51" t="str" cm="1">
        <f t="array" ref="O127">IFERROR(IF(G127&gt;10,G127/C127*0.876,""),“”)</f>
        <v/>
      </c>
      <c r="P127" s="51" t="str" cm="1">
        <f t="array" ref="P127">IFERROR(IF(H127&gt;10,H127/D127*0.876,""),“”)</f>
        <v/>
      </c>
      <c r="Q127" s="51" t="str" cm="1">
        <f t="array" ref="Q127">IFERROR(IF(I127&gt;10,I127/E127*0.876,""),“”)</f>
        <v/>
      </c>
      <c r="R127" s="51" t="str" cm="1">
        <f t="array" ref="R127">IFERROR(IF(J127&gt;10,J127/F127*0.876,""),“”)</f>
        <v/>
      </c>
      <c r="S127" s="78" t="str">
        <f t="shared" si="7"/>
        <v/>
      </c>
    </row>
    <row r="128" ht="13" spans="1:19">
      <c r="A128" s="63" t="s">
        <v>264</v>
      </c>
      <c r="B128" s="36">
        <v>2019</v>
      </c>
      <c r="C128" s="46">
        <v>0.4</v>
      </c>
      <c r="D128" s="104">
        <v>0.4</v>
      </c>
      <c r="E128" s="86"/>
      <c r="F128" s="70"/>
      <c r="G128" s="46">
        <v>0.1</v>
      </c>
      <c r="H128" s="104">
        <v>0.1</v>
      </c>
      <c r="I128" s="42"/>
      <c r="J128" s="70"/>
      <c r="K128" s="46"/>
      <c r="L128" s="46"/>
      <c r="M128" s="70"/>
      <c r="N128" s="112"/>
      <c r="O128" s="51" t="str" cm="1">
        <f t="array" ref="O128">IFERROR(IF(G128&gt;10,G128/C128*0.876,""),“”)</f>
        <v/>
      </c>
      <c r="P128" s="51" t="str" cm="1">
        <f t="array" ref="P128">IFERROR(IF(H128&gt;10,H128/D128*0.876,""),“”)</f>
        <v/>
      </c>
      <c r="Q128" s="51" t="str" cm="1">
        <f t="array" ref="Q128">IFERROR(IF(I128&gt;10,I128/E128*0.876,""),“”)</f>
        <v/>
      </c>
      <c r="R128" s="51" t="str" cm="1">
        <f t="array" ref="R128">IFERROR(IF(J128&gt;10,J128/F128*0.876,""),“”)</f>
        <v/>
      </c>
      <c r="S128" s="78" t="str">
        <f t="shared" si="7"/>
        <v/>
      </c>
    </row>
    <row r="129" ht="13" spans="1:19">
      <c r="A129" s="63" t="s">
        <v>265</v>
      </c>
      <c r="B129" s="36">
        <v>2019</v>
      </c>
      <c r="C129" s="46">
        <v>10</v>
      </c>
      <c r="D129" s="104"/>
      <c r="E129" s="46">
        <v>5</v>
      </c>
      <c r="F129" s="70">
        <v>5</v>
      </c>
      <c r="G129" s="46">
        <v>2</v>
      </c>
      <c r="H129" s="104"/>
      <c r="I129" s="46">
        <v>2</v>
      </c>
      <c r="J129" s="70">
        <v>0.02</v>
      </c>
      <c r="K129" s="46">
        <v>2379</v>
      </c>
      <c r="L129" s="46"/>
      <c r="M129" s="46">
        <v>4965</v>
      </c>
      <c r="N129" s="112"/>
      <c r="O129" s="51" t="str" cm="1">
        <f t="array" ref="O129">IFERROR(IF(G129&gt;10,G129/C129*0.876,""),“”)</f>
        <v/>
      </c>
      <c r="P129" s="51" t="str" cm="1">
        <f t="array" ref="P129">IFERROR(IF(H129&gt;10,H129/D129*0.876,""),“”)</f>
        <v/>
      </c>
      <c r="Q129" s="51" t="str" cm="1">
        <f t="array" ref="Q129">IFERROR(IF(I129&gt;10,I129/E129*0.876,""),“”)</f>
        <v/>
      </c>
      <c r="R129" s="51" t="str" cm="1">
        <f t="array" ref="R129">IFERROR(IF(J129&gt;10,J129/F129*0.876,""),“”)</f>
        <v/>
      </c>
      <c r="S129" s="78" t="str">
        <f t="shared" si="7"/>
        <v/>
      </c>
    </row>
    <row r="130" ht="13.75" spans="1:19">
      <c r="A130" s="122" t="s">
        <v>266</v>
      </c>
      <c r="B130" s="123">
        <v>2019</v>
      </c>
      <c r="C130" s="124">
        <v>8</v>
      </c>
      <c r="D130" s="125">
        <v>0.3</v>
      </c>
      <c r="E130" s="124">
        <v>5</v>
      </c>
      <c r="F130" s="126">
        <v>2</v>
      </c>
      <c r="G130" s="124">
        <v>3</v>
      </c>
      <c r="H130" s="125">
        <v>0.1</v>
      </c>
      <c r="I130" s="124">
        <v>1</v>
      </c>
      <c r="J130" s="126">
        <v>2</v>
      </c>
      <c r="K130" s="124">
        <v>6029</v>
      </c>
      <c r="L130" s="124">
        <v>4017</v>
      </c>
      <c r="M130" s="124">
        <v>3886</v>
      </c>
      <c r="N130" s="127">
        <v>7774</v>
      </c>
      <c r="O130" s="128" t="str" cm="1">
        <f t="array" ref="O130">IFERROR(IF(G130&gt;10,G130/C130*0.876,""),“”)</f>
        <v/>
      </c>
      <c r="P130" s="128" t="str" cm="1">
        <f t="array" ref="P130">IFERROR(IF(H130&gt;10,H130/D130*0.876,""),“”)</f>
        <v/>
      </c>
      <c r="Q130" s="128" t="str" cm="1">
        <f t="array" ref="Q130">IFERROR(IF(I130&gt;10,I130/E130*0.876,""),“”)</f>
        <v/>
      </c>
      <c r="R130" s="128" t="str" cm="1">
        <f t="array" ref="R130">IFERROR(IF(J130&gt;10,J130/F130*0.876,""),“”)</f>
        <v/>
      </c>
      <c r="S130" s="130" t="str">
        <f t="shared" si="7"/>
        <v/>
      </c>
    </row>
    <row r="131" ht="13" spans="1:19">
      <c r="A131" s="59" t="s">
        <v>234</v>
      </c>
      <c r="B131" s="60">
        <v>2020</v>
      </c>
      <c r="C131" s="61">
        <v>2987</v>
      </c>
      <c r="D131" s="61">
        <v>90</v>
      </c>
      <c r="E131" s="61">
        <v>1535</v>
      </c>
      <c r="F131" s="61">
        <v>1363</v>
      </c>
      <c r="G131" s="61">
        <v>1355</v>
      </c>
      <c r="H131" s="61">
        <v>38</v>
      </c>
      <c r="I131" s="61">
        <v>785</v>
      </c>
      <c r="J131" s="61">
        <v>533</v>
      </c>
      <c r="K131" s="61">
        <v>5196</v>
      </c>
      <c r="L131" s="61">
        <v>4890</v>
      </c>
      <c r="M131" s="61">
        <v>5896</v>
      </c>
      <c r="N131" s="61">
        <v>4430</v>
      </c>
      <c r="O131" s="76" cm="1">
        <f t="array" ref="O131">IFERROR(IF(G131&gt;10,G131/C131*0.876,""),“”)</f>
        <v>0.397381988617342</v>
      </c>
      <c r="P131" s="76" cm="1">
        <f t="array" ref="P131">IFERROR(IF(H131&gt;10,H131/D131*0.876,""),“”)</f>
        <v>0.369866666666667</v>
      </c>
      <c r="Q131" s="76" cm="1">
        <f t="array" ref="Q131">IFERROR(IF(I131&gt;10,I131/E131*0.876,""),“”)</f>
        <v>0.447986970684039</v>
      </c>
      <c r="R131" s="76" cm="1">
        <f t="array" ref="R131">IFERROR(IF(J131&gt;10,J131/F131*0.876,""),“”)</f>
        <v>0.342559060895084</v>
      </c>
      <c r="S131" s="77">
        <f t="shared" ref="S131:S162" si="8">IFERROR(IF((G131-I131)&gt;10,(G131-I131)/(C131-E131)*0.876,""),"")</f>
        <v>0.343884297520661</v>
      </c>
    </row>
    <row r="132" ht="13" spans="1:19">
      <c r="A132" s="63" t="s">
        <v>235</v>
      </c>
      <c r="B132" s="36">
        <v>2020</v>
      </c>
      <c r="C132" s="44">
        <v>39</v>
      </c>
      <c r="D132" s="44">
        <v>2</v>
      </c>
      <c r="E132" s="44">
        <v>37</v>
      </c>
      <c r="F132" s="46"/>
      <c r="G132" s="44">
        <v>24</v>
      </c>
      <c r="H132" s="44">
        <v>1</v>
      </c>
      <c r="I132" s="44">
        <v>23</v>
      </c>
      <c r="J132" s="46"/>
      <c r="K132" s="44">
        <v>6332</v>
      </c>
      <c r="L132" s="44">
        <v>5030</v>
      </c>
      <c r="M132" s="44">
        <v>6369</v>
      </c>
      <c r="N132" s="46"/>
      <c r="O132" s="51" cm="1">
        <f t="array" ref="O132">IFERROR(IF(G132&gt;10,G132/C132*0.876,""),“”)</f>
        <v>0.539076923076923</v>
      </c>
      <c r="P132" s="51" t="str" cm="1">
        <f t="array" ref="P132">IFERROR(IF(H132&gt;10,H132/D132*0.876,""),“”)</f>
        <v/>
      </c>
      <c r="Q132" s="51" cm="1">
        <f t="array" ref="Q132">IFERROR(IF(I132&gt;10,I132/E132*0.876,""),“”)</f>
        <v>0.544540540540541</v>
      </c>
      <c r="R132" s="51" t="str" cm="1">
        <f t="array" ref="R132">IFERROR(IF(J132&gt;10,J132/F132*0.876,""),“”)</f>
        <v/>
      </c>
      <c r="S132" s="78" t="str">
        <f t="shared" si="8"/>
        <v/>
      </c>
    </row>
    <row r="133" ht="13" spans="1:19">
      <c r="A133" s="63" t="s">
        <v>236</v>
      </c>
      <c r="B133" s="36">
        <v>2020</v>
      </c>
      <c r="C133" s="44">
        <v>33</v>
      </c>
      <c r="D133" s="104"/>
      <c r="E133" s="44">
        <v>30</v>
      </c>
      <c r="F133" s="70">
        <v>4</v>
      </c>
      <c r="G133" s="44">
        <v>10</v>
      </c>
      <c r="H133" s="104"/>
      <c r="I133" s="44">
        <v>8</v>
      </c>
      <c r="J133" s="70">
        <v>3</v>
      </c>
      <c r="K133" s="44">
        <v>5685</v>
      </c>
      <c r="L133" s="46"/>
      <c r="M133" s="44">
        <v>5282</v>
      </c>
      <c r="N133" s="70">
        <v>7162</v>
      </c>
      <c r="O133" s="51" t="str" cm="1">
        <f t="array" ref="O133">IFERROR(IF(G133&gt;10,G133/C133*0.876,""),“”)</f>
        <v/>
      </c>
      <c r="P133" s="51" t="str" cm="1">
        <f t="array" ref="P133">IFERROR(IF(H133&gt;10,H133/D133*0.876,""),“”)</f>
        <v/>
      </c>
      <c r="Q133" s="51" t="str" cm="1">
        <f t="array" ref="Q133">IFERROR(IF(I133&gt;10,I133/E133*0.876,""),“”)</f>
        <v/>
      </c>
      <c r="R133" s="51" t="str" cm="1">
        <f t="array" ref="R133">IFERROR(IF(J133&gt;10,J133/F133*0.876,""),“”)</f>
        <v/>
      </c>
      <c r="S133" s="78" t="str">
        <f t="shared" si="8"/>
        <v/>
      </c>
    </row>
    <row r="134" ht="13" spans="1:19">
      <c r="A134" s="63" t="s">
        <v>237</v>
      </c>
      <c r="B134" s="36">
        <v>2020</v>
      </c>
      <c r="C134" s="44">
        <v>115</v>
      </c>
      <c r="D134" s="44">
        <v>2</v>
      </c>
      <c r="E134" s="44">
        <v>46</v>
      </c>
      <c r="F134" s="70">
        <v>67</v>
      </c>
      <c r="G134" s="44">
        <v>51</v>
      </c>
      <c r="H134" s="104"/>
      <c r="I134" s="44">
        <v>22</v>
      </c>
      <c r="J134" s="70">
        <v>29</v>
      </c>
      <c r="K134" s="44">
        <v>5184</v>
      </c>
      <c r="L134" s="46"/>
      <c r="M134" s="70">
        <v>5870</v>
      </c>
      <c r="N134" s="70">
        <v>4755</v>
      </c>
      <c r="O134" s="51" cm="1">
        <f t="array" ref="O134">IFERROR(IF(G134&gt;10,G134/C134*0.876,""),“”)</f>
        <v>0.388486956521739</v>
      </c>
      <c r="P134" s="51" t="str" cm="1">
        <f t="array" ref="P134">IFERROR(IF(H134&gt;10,H134/D134*0.876,""),“”)</f>
        <v/>
      </c>
      <c r="Q134" s="51" cm="1">
        <f t="array" ref="Q134">IFERROR(IF(I134&gt;10,I134/E134*0.876,""),“”)</f>
        <v>0.41895652173913</v>
      </c>
      <c r="R134" s="51" cm="1">
        <f t="array" ref="R134">IFERROR(IF(J134&gt;10,J134/F134*0.876,""),“”)</f>
        <v>0.379164179104478</v>
      </c>
      <c r="S134" s="78">
        <f t="shared" si="8"/>
        <v>0.368173913043478</v>
      </c>
    </row>
    <row r="135" ht="13" spans="1:19">
      <c r="A135" s="63" t="s">
        <v>238</v>
      </c>
      <c r="B135" s="36">
        <v>2020</v>
      </c>
      <c r="C135" s="44">
        <v>64</v>
      </c>
      <c r="D135" s="44">
        <v>1</v>
      </c>
      <c r="E135" s="44">
        <v>26</v>
      </c>
      <c r="F135" s="70">
        <v>38</v>
      </c>
      <c r="G135" s="44">
        <v>27</v>
      </c>
      <c r="H135" s="44">
        <v>0.2</v>
      </c>
      <c r="I135" s="44">
        <v>9</v>
      </c>
      <c r="J135" s="70">
        <v>18</v>
      </c>
      <c r="K135" s="44">
        <v>4976</v>
      </c>
      <c r="L135" s="46"/>
      <c r="M135" s="44">
        <v>4421</v>
      </c>
      <c r="N135" s="70">
        <v>5280</v>
      </c>
      <c r="O135" s="51" cm="1">
        <f t="array" ref="O135">IFERROR(IF(G135&gt;10,G135/C135*0.876,""),“”)</f>
        <v>0.3695625</v>
      </c>
      <c r="P135" s="51" t="str" cm="1">
        <f t="array" ref="P135">IFERROR(IF(H135&gt;10,H135/D135*0.876,""),“”)</f>
        <v/>
      </c>
      <c r="Q135" s="51" t="str" cm="1">
        <f t="array" ref="Q135">IFERROR(IF(I135&gt;10,I135/E135*0.876,""),“”)</f>
        <v/>
      </c>
      <c r="R135" s="51" cm="1">
        <f t="array" ref="R135">IFERROR(IF(J135&gt;10,J135/F135*0.876,""),“”)</f>
        <v>0.414947368421053</v>
      </c>
      <c r="S135" s="78">
        <f t="shared" si="8"/>
        <v>0.414947368421053</v>
      </c>
    </row>
    <row r="136" ht="13" spans="1:19">
      <c r="A136" s="63" t="s">
        <v>239</v>
      </c>
      <c r="B136" s="36">
        <v>2020</v>
      </c>
      <c r="C136" s="44">
        <v>33</v>
      </c>
      <c r="D136" s="104">
        <v>0.1</v>
      </c>
      <c r="E136" s="44">
        <v>6</v>
      </c>
      <c r="F136" s="70">
        <v>27</v>
      </c>
      <c r="G136" s="44">
        <v>10</v>
      </c>
      <c r="H136" s="118">
        <v>0.1</v>
      </c>
      <c r="I136" s="44">
        <v>2</v>
      </c>
      <c r="J136" s="70">
        <v>8</v>
      </c>
      <c r="K136" s="44">
        <v>3517</v>
      </c>
      <c r="L136" s="46"/>
      <c r="M136" s="44">
        <v>3814</v>
      </c>
      <c r="N136" s="70">
        <v>3450</v>
      </c>
      <c r="O136" s="51" t="str" cm="1">
        <f t="array" ref="O136">IFERROR(IF(G136&gt;10,G136/C136*0.876,""),“”)</f>
        <v/>
      </c>
      <c r="P136" s="51" t="str" cm="1">
        <f t="array" ref="P136">IFERROR(IF(H136&gt;10,H136/D136*0.876,""),“”)</f>
        <v/>
      </c>
      <c r="Q136" s="51" t="str" cm="1">
        <f t="array" ref="Q136">IFERROR(IF(I136&gt;10,I136/E136*0.876,""),“”)</f>
        <v/>
      </c>
      <c r="R136" s="51" t="str" cm="1">
        <f t="array" ref="R136">IFERROR(IF(J136&gt;10,J136/F136*0.876,""),“”)</f>
        <v/>
      </c>
      <c r="S136" s="78" t="str">
        <f t="shared" si="8"/>
        <v/>
      </c>
    </row>
    <row r="137" ht="13" spans="1:19">
      <c r="A137" s="63" t="s">
        <v>240</v>
      </c>
      <c r="B137" s="36">
        <v>2020</v>
      </c>
      <c r="C137" s="44">
        <v>45</v>
      </c>
      <c r="D137" s="44">
        <v>2</v>
      </c>
      <c r="E137" s="44">
        <v>23</v>
      </c>
      <c r="F137" s="44">
        <v>20</v>
      </c>
      <c r="G137" s="44">
        <v>25</v>
      </c>
      <c r="H137" s="44">
        <v>1</v>
      </c>
      <c r="I137" s="44">
        <v>15</v>
      </c>
      <c r="J137" s="44">
        <v>9</v>
      </c>
      <c r="K137" s="44">
        <v>6095</v>
      </c>
      <c r="L137" s="44">
        <v>6521</v>
      </c>
      <c r="M137" s="44">
        <v>7043</v>
      </c>
      <c r="N137" s="44">
        <v>4999</v>
      </c>
      <c r="O137" s="51" cm="1">
        <f t="array" ref="O137">IFERROR(IF(G137&gt;10,G137/C137*0.876,""),“”)</f>
        <v>0.486666666666667</v>
      </c>
      <c r="P137" s="51" t="str" cm="1">
        <f t="array" ref="P137">IFERROR(IF(H137&gt;10,H137/D137*0.876,""),“”)</f>
        <v/>
      </c>
      <c r="Q137" s="51" cm="1">
        <f t="array" ref="Q137">IFERROR(IF(I137&gt;10,I137/E137*0.876,""),“”)</f>
        <v>0.571304347826087</v>
      </c>
      <c r="R137" s="51" t="str" cm="1">
        <f t="array" ref="R137">IFERROR(IF(J137&gt;10,J137/F137*0.876,""),“”)</f>
        <v/>
      </c>
      <c r="S137" s="78" t="str">
        <f t="shared" si="8"/>
        <v/>
      </c>
    </row>
    <row r="138" ht="13" spans="1:19">
      <c r="A138" s="63" t="s">
        <v>241</v>
      </c>
      <c r="B138" s="36">
        <v>2020</v>
      </c>
      <c r="C138" s="44">
        <v>80</v>
      </c>
      <c r="D138" s="44">
        <v>1</v>
      </c>
      <c r="E138" s="44">
        <v>19</v>
      </c>
      <c r="F138" s="70">
        <v>61</v>
      </c>
      <c r="G138" s="44">
        <v>33</v>
      </c>
      <c r="H138" s="44">
        <v>0.03</v>
      </c>
      <c r="I138" s="42">
        <v>9</v>
      </c>
      <c r="J138" s="70">
        <v>24</v>
      </c>
      <c r="K138" s="44">
        <v>4399</v>
      </c>
      <c r="L138" s="44">
        <v>72</v>
      </c>
      <c r="M138" s="44">
        <v>5097</v>
      </c>
      <c r="N138" s="70">
        <v>4216</v>
      </c>
      <c r="O138" s="51" cm="1">
        <f t="array" ref="O138">IFERROR(IF(G138&gt;10,G138/C138*0.876,""),“”)</f>
        <v>0.36135</v>
      </c>
      <c r="P138" s="51" t="str" cm="1">
        <f t="array" ref="P138">IFERROR(IF(H138&gt;10,H138/D138*0.876,""),“”)</f>
        <v/>
      </c>
      <c r="Q138" s="51" t="str" cm="1">
        <f t="array" ref="Q138">IFERROR(IF(I138&gt;10,I138/E138*0.876,""),“”)</f>
        <v/>
      </c>
      <c r="R138" s="51" cm="1">
        <f t="array" ref="R138">IFERROR(IF(J138&gt;10,J138/F138*0.876,""),“”)</f>
        <v>0.344655737704918</v>
      </c>
      <c r="S138" s="78">
        <f t="shared" si="8"/>
        <v>0.344655737704918</v>
      </c>
    </row>
    <row r="139" ht="13" spans="1:19">
      <c r="A139" s="63" t="s">
        <v>242</v>
      </c>
      <c r="B139" s="36">
        <v>2020</v>
      </c>
      <c r="C139" s="44">
        <v>150</v>
      </c>
      <c r="D139" s="44">
        <v>2</v>
      </c>
      <c r="E139" s="44">
        <v>15</v>
      </c>
      <c r="F139" s="44">
        <v>133</v>
      </c>
      <c r="G139" s="44">
        <v>65</v>
      </c>
      <c r="H139" s="44">
        <v>0.3</v>
      </c>
      <c r="I139" s="44">
        <v>5</v>
      </c>
      <c r="J139" s="70">
        <v>59</v>
      </c>
      <c r="K139" s="44">
        <v>5550</v>
      </c>
      <c r="L139" s="46"/>
      <c r="M139" s="44">
        <v>4388</v>
      </c>
      <c r="N139" s="70">
        <v>5689</v>
      </c>
      <c r="O139" s="51" cm="1">
        <f t="array" ref="O139">IFERROR(IF(G139&gt;10,G139/C139*0.876,""),“”)</f>
        <v>0.3796</v>
      </c>
      <c r="P139" s="51" t="str" cm="1">
        <f t="array" ref="P139">IFERROR(IF(H139&gt;10,H139/D139*0.876,""),“”)</f>
        <v/>
      </c>
      <c r="Q139" s="51" t="str" cm="1">
        <f t="array" ref="Q139">IFERROR(IF(I139&gt;10,I139/E139*0.876,""),“”)</f>
        <v/>
      </c>
      <c r="R139" s="51" cm="1">
        <f t="array" ref="R139">IFERROR(IF(J139&gt;10,J139/F139*0.876,""),“”)</f>
        <v>0.388601503759398</v>
      </c>
      <c r="S139" s="78">
        <f t="shared" si="8"/>
        <v>0.389333333333333</v>
      </c>
    </row>
    <row r="140" ht="13" spans="1:19">
      <c r="A140" s="63" t="s">
        <v>243</v>
      </c>
      <c r="B140" s="36">
        <v>2020</v>
      </c>
      <c r="C140" s="44">
        <v>43</v>
      </c>
      <c r="D140" s="44">
        <v>2</v>
      </c>
      <c r="E140" s="44">
        <v>41</v>
      </c>
      <c r="F140" s="46"/>
      <c r="G140" s="44">
        <v>33</v>
      </c>
      <c r="H140" s="44">
        <v>1</v>
      </c>
      <c r="I140" s="44">
        <v>32</v>
      </c>
      <c r="J140" s="46"/>
      <c r="K140" s="44">
        <v>7769</v>
      </c>
      <c r="L140" s="44">
        <v>6810</v>
      </c>
      <c r="M140" s="44">
        <v>7804</v>
      </c>
      <c r="N140" s="46"/>
      <c r="O140" s="51" cm="1">
        <f t="array" ref="O140">IFERROR(IF(G140&gt;10,G140/C140*0.876,""),“”)</f>
        <v>0.672279069767442</v>
      </c>
      <c r="P140" s="51" t="str" cm="1">
        <f t="array" ref="P140">IFERROR(IF(H140&gt;10,H140/D140*0.876,""),“”)</f>
        <v/>
      </c>
      <c r="Q140" s="51" cm="1">
        <f t="array" ref="Q140">IFERROR(IF(I140&gt;10,I140/E140*0.876,""),“”)</f>
        <v>0.683707317073171</v>
      </c>
      <c r="R140" s="51" t="str" cm="1">
        <f t="array" ref="R140">IFERROR(IF(J140&gt;10,J140/F140*0.876,""),“”)</f>
        <v/>
      </c>
      <c r="S140" s="78" t="str">
        <f t="shared" si="8"/>
        <v/>
      </c>
    </row>
    <row r="141" ht="13" spans="1:19">
      <c r="A141" s="63" t="s">
        <v>244</v>
      </c>
      <c r="B141" s="36">
        <v>2020</v>
      </c>
      <c r="C141" s="44">
        <v>242</v>
      </c>
      <c r="D141" s="44">
        <v>8</v>
      </c>
      <c r="E141" s="44">
        <v>154</v>
      </c>
      <c r="F141" s="70">
        <v>80</v>
      </c>
      <c r="G141" s="44">
        <v>126</v>
      </c>
      <c r="H141" s="44">
        <v>2</v>
      </c>
      <c r="I141" s="44">
        <v>86</v>
      </c>
      <c r="J141" s="70">
        <v>37</v>
      </c>
      <c r="K141" s="44">
        <v>5950</v>
      </c>
      <c r="L141" s="44">
        <v>2900</v>
      </c>
      <c r="M141" s="44">
        <v>6052</v>
      </c>
      <c r="N141" s="70">
        <v>5857</v>
      </c>
      <c r="O141" s="51" cm="1">
        <f t="array" ref="O141">IFERROR(IF(G141&gt;10,G141/C141*0.876,""),“”)</f>
        <v>0.456099173553719</v>
      </c>
      <c r="P141" s="51" t="str" cm="1">
        <f t="array" ref="P141">IFERROR(IF(H141&gt;10,H141/D141*0.876,""),“”)</f>
        <v/>
      </c>
      <c r="Q141" s="51" cm="1">
        <f t="array" ref="Q141">IFERROR(IF(I141&gt;10,I141/E141*0.876,""),“”)</f>
        <v>0.489194805194805</v>
      </c>
      <c r="R141" s="51" cm="1">
        <f t="array" ref="R141">IFERROR(IF(J141&gt;10,J141/F141*0.876,""),“”)</f>
        <v>0.40515</v>
      </c>
      <c r="S141" s="78">
        <f t="shared" si="8"/>
        <v>0.398181818181818</v>
      </c>
    </row>
    <row r="142" ht="13" spans="1:19">
      <c r="A142" s="63" t="s">
        <v>245</v>
      </c>
      <c r="B142" s="36">
        <v>2020</v>
      </c>
      <c r="C142" s="44">
        <v>240</v>
      </c>
      <c r="D142" s="44">
        <v>6</v>
      </c>
      <c r="E142" s="44">
        <v>210</v>
      </c>
      <c r="F142" s="44">
        <v>24</v>
      </c>
      <c r="G142" s="44">
        <v>111</v>
      </c>
      <c r="H142" s="44">
        <v>3</v>
      </c>
      <c r="I142" s="44">
        <v>96</v>
      </c>
      <c r="J142" s="42">
        <v>13</v>
      </c>
      <c r="K142" s="44">
        <v>5377</v>
      </c>
      <c r="L142" s="44">
        <v>7658</v>
      </c>
      <c r="M142" s="44">
        <v>5336</v>
      </c>
      <c r="N142" s="70">
        <v>5530</v>
      </c>
      <c r="O142" s="51" cm="1">
        <f t="array" ref="O142">IFERROR(IF(G142&gt;10,G142/C142*0.876,""),“”)</f>
        <v>0.40515</v>
      </c>
      <c r="P142" s="51" t="str" cm="1">
        <f t="array" ref="P142">IFERROR(IF(H142&gt;10,H142/D142*0.876,""),“”)</f>
        <v/>
      </c>
      <c r="Q142" s="51" cm="1">
        <f t="array" ref="Q142">IFERROR(IF(I142&gt;10,I142/E142*0.876,""),“”)</f>
        <v>0.400457142857143</v>
      </c>
      <c r="R142" s="51" cm="1">
        <f t="array" ref="R142">IFERROR(IF(J142&gt;10,J142/F142*0.876,""),“”)</f>
        <v>0.4745</v>
      </c>
      <c r="S142" s="78">
        <f t="shared" si="8"/>
        <v>0.438</v>
      </c>
    </row>
    <row r="143" ht="13" spans="1:19">
      <c r="A143" s="63" t="s">
        <v>246</v>
      </c>
      <c r="B143" s="36">
        <v>2020</v>
      </c>
      <c r="C143" s="44">
        <v>214</v>
      </c>
      <c r="D143" s="104">
        <v>1</v>
      </c>
      <c r="E143" s="44">
        <v>73</v>
      </c>
      <c r="F143" s="70">
        <v>139</v>
      </c>
      <c r="G143" s="44">
        <v>111</v>
      </c>
      <c r="H143" s="44">
        <v>0.4</v>
      </c>
      <c r="I143" s="44">
        <v>42</v>
      </c>
      <c r="J143" s="70">
        <v>69</v>
      </c>
      <c r="K143" s="44">
        <v>5543</v>
      </c>
      <c r="L143" s="46"/>
      <c r="M143" s="44">
        <v>6089</v>
      </c>
      <c r="N143" s="70">
        <v>5273</v>
      </c>
      <c r="O143" s="51" cm="1">
        <f t="array" ref="O143">IFERROR(IF(G143&gt;10,G143/C143*0.876,""),“”)</f>
        <v>0.454373831775701</v>
      </c>
      <c r="P143" s="51" t="str" cm="1">
        <f t="array" ref="P143">IFERROR(IF(H143&gt;10,H143/D143*0.876,""),“”)</f>
        <v/>
      </c>
      <c r="Q143" s="51" cm="1">
        <f t="array" ref="Q143">IFERROR(IF(I143&gt;10,I143/E143*0.876,""),“”)</f>
        <v>0.504</v>
      </c>
      <c r="R143" s="51" cm="1">
        <f t="array" ref="R143">IFERROR(IF(J143&gt;10,J143/F143*0.876,""),“”)</f>
        <v>0.434848920863309</v>
      </c>
      <c r="S143" s="78">
        <f t="shared" si="8"/>
        <v>0.42868085106383</v>
      </c>
    </row>
    <row r="144" ht="13" spans="1:19">
      <c r="A144" s="63" t="s">
        <v>247</v>
      </c>
      <c r="B144" s="36">
        <v>2020</v>
      </c>
      <c r="C144" s="44">
        <v>80</v>
      </c>
      <c r="D144" s="44">
        <v>2</v>
      </c>
      <c r="E144" s="44">
        <v>72</v>
      </c>
      <c r="F144" s="44">
        <v>6</v>
      </c>
      <c r="G144" s="44">
        <v>39</v>
      </c>
      <c r="H144" s="44">
        <v>1</v>
      </c>
      <c r="I144" s="44">
        <v>35</v>
      </c>
      <c r="J144" s="44">
        <v>4</v>
      </c>
      <c r="K144" s="44">
        <v>6097</v>
      </c>
      <c r="L144" s="44">
        <v>2020</v>
      </c>
      <c r="M144" s="44">
        <v>6161</v>
      </c>
      <c r="N144" s="70">
        <v>6234</v>
      </c>
      <c r="O144" s="51" cm="1">
        <f t="array" ref="O144">IFERROR(IF(G144&gt;10,G144/C144*0.876,""),“”)</f>
        <v>0.42705</v>
      </c>
      <c r="P144" s="51" t="str" cm="1">
        <f t="array" ref="P144">IFERROR(IF(H144&gt;10,H144/D144*0.876,""),“”)</f>
        <v/>
      </c>
      <c r="Q144" s="51" cm="1">
        <f t="array" ref="Q144">IFERROR(IF(I144&gt;10,I144/E144*0.876,""),“”)</f>
        <v>0.425833333333333</v>
      </c>
      <c r="R144" s="51" t="str" cm="1">
        <f t="array" ref="R144">IFERROR(IF(J144&gt;10,J144/F144*0.876,""),“”)</f>
        <v/>
      </c>
      <c r="S144" s="78" t="str">
        <f t="shared" si="8"/>
        <v/>
      </c>
    </row>
    <row r="145" ht="13" spans="1:19">
      <c r="A145" s="63" t="s">
        <v>248</v>
      </c>
      <c r="B145" s="36">
        <v>2020</v>
      </c>
      <c r="C145" s="44">
        <v>80</v>
      </c>
      <c r="D145" s="44">
        <v>4</v>
      </c>
      <c r="E145" s="44">
        <v>43</v>
      </c>
      <c r="F145" s="70">
        <v>33</v>
      </c>
      <c r="G145" s="44">
        <v>32</v>
      </c>
      <c r="H145" s="44">
        <v>2</v>
      </c>
      <c r="I145" s="44">
        <v>17</v>
      </c>
      <c r="J145" s="70">
        <v>13</v>
      </c>
      <c r="K145" s="44">
        <v>5058</v>
      </c>
      <c r="L145" s="44">
        <v>2743</v>
      </c>
      <c r="M145" s="44">
        <v>5488</v>
      </c>
      <c r="N145" s="70">
        <v>4687</v>
      </c>
      <c r="O145" s="51" cm="1">
        <f t="array" ref="O145">IFERROR(IF(G145&gt;10,G145/C145*0.876,""),“”)</f>
        <v>0.3504</v>
      </c>
      <c r="P145" s="51" t="str" cm="1">
        <f t="array" ref="P145">IFERROR(IF(H145&gt;10,H145/D145*0.876,""),“”)</f>
        <v/>
      </c>
      <c r="Q145" s="51" cm="1">
        <f t="array" ref="Q145">IFERROR(IF(I145&gt;10,I145/E145*0.876,""),“”)</f>
        <v>0.346325581395349</v>
      </c>
      <c r="R145" s="51" cm="1">
        <f t="array" ref="R145">IFERROR(IF(J145&gt;10,J145/F145*0.876,""),“”)</f>
        <v>0.345090909090909</v>
      </c>
      <c r="S145" s="78">
        <f t="shared" si="8"/>
        <v>0.355135135135135</v>
      </c>
    </row>
    <row r="146" ht="13" spans="1:19">
      <c r="A146" s="63" t="s">
        <v>249</v>
      </c>
      <c r="B146" s="36">
        <v>2020</v>
      </c>
      <c r="C146" s="44">
        <v>365</v>
      </c>
      <c r="D146" s="44">
        <v>10</v>
      </c>
      <c r="E146" s="44">
        <v>170</v>
      </c>
      <c r="F146" s="70">
        <v>185</v>
      </c>
      <c r="G146" s="44">
        <v>159</v>
      </c>
      <c r="H146" s="44">
        <v>3</v>
      </c>
      <c r="I146" s="44">
        <v>81</v>
      </c>
      <c r="J146" s="70">
        <v>75</v>
      </c>
      <c r="K146" s="44">
        <v>5083</v>
      </c>
      <c r="L146" s="44">
        <v>4353</v>
      </c>
      <c r="M146" s="44">
        <v>5374</v>
      </c>
      <c r="N146" s="70">
        <v>4811</v>
      </c>
      <c r="O146" s="51" cm="1">
        <f t="array" ref="O146">IFERROR(IF(G146&gt;10,G146/C146*0.876,""),“”)</f>
        <v>0.3816</v>
      </c>
      <c r="P146" s="51" t="str" cm="1">
        <f t="array" ref="P146">IFERROR(IF(H146&gt;10,H146/D146*0.876,""),“”)</f>
        <v/>
      </c>
      <c r="Q146" s="51" cm="1">
        <f t="array" ref="Q146">IFERROR(IF(I146&gt;10,I146/E146*0.876,""),“”)</f>
        <v>0.417388235294118</v>
      </c>
      <c r="R146" s="51" cm="1">
        <f t="array" ref="R146">IFERROR(IF(J146&gt;10,J146/F146*0.876,""),“”)</f>
        <v>0.355135135135135</v>
      </c>
      <c r="S146" s="78">
        <f t="shared" si="8"/>
        <v>0.3504</v>
      </c>
    </row>
    <row r="147" ht="13" spans="1:19">
      <c r="A147" s="63" t="s">
        <v>250</v>
      </c>
      <c r="B147" s="36">
        <v>2020</v>
      </c>
      <c r="C147" s="44">
        <v>150</v>
      </c>
      <c r="D147" s="44">
        <v>9</v>
      </c>
      <c r="E147" s="44">
        <v>44</v>
      </c>
      <c r="F147" s="70">
        <v>98</v>
      </c>
      <c r="G147" s="44">
        <v>51</v>
      </c>
      <c r="H147" s="44">
        <v>2</v>
      </c>
      <c r="I147" s="44">
        <v>12</v>
      </c>
      <c r="J147" s="70">
        <v>37</v>
      </c>
      <c r="K147" s="44">
        <v>4838</v>
      </c>
      <c r="L147" s="46"/>
      <c r="M147" s="44">
        <v>5172</v>
      </c>
      <c r="N147" s="70">
        <v>4967</v>
      </c>
      <c r="O147" s="51" cm="1">
        <f t="array" ref="O147">IFERROR(IF(G147&gt;10,G147/C147*0.876,""),“”)</f>
        <v>0.29784</v>
      </c>
      <c r="P147" s="51" t="str" cm="1">
        <f t="array" ref="P147">IFERROR(IF(H147&gt;10,H147/D147*0.876,""),“”)</f>
        <v/>
      </c>
      <c r="Q147" s="51" cm="1">
        <f t="array" ref="Q147">IFERROR(IF(I147&gt;10,I147/E147*0.876,""),“”)</f>
        <v>0.238909090909091</v>
      </c>
      <c r="R147" s="51" cm="1">
        <f t="array" ref="R147">IFERROR(IF(J147&gt;10,J147/F147*0.876,""),“”)</f>
        <v>0.330734693877551</v>
      </c>
      <c r="S147" s="78">
        <f t="shared" si="8"/>
        <v>0.322301886792453</v>
      </c>
    </row>
    <row r="148" ht="13" spans="1:19">
      <c r="A148" s="63" t="s">
        <v>251</v>
      </c>
      <c r="B148" s="36">
        <v>2020</v>
      </c>
      <c r="C148" s="44">
        <v>110</v>
      </c>
      <c r="D148" s="44">
        <v>4</v>
      </c>
      <c r="E148" s="44">
        <v>38</v>
      </c>
      <c r="F148" s="70">
        <v>68</v>
      </c>
      <c r="G148" s="44">
        <v>37</v>
      </c>
      <c r="H148" s="44">
        <v>2</v>
      </c>
      <c r="I148" s="44">
        <v>19</v>
      </c>
      <c r="J148" s="70">
        <v>17</v>
      </c>
      <c r="K148" s="44">
        <v>3814</v>
      </c>
      <c r="L148" s="46"/>
      <c r="M148" s="44">
        <v>6081</v>
      </c>
      <c r="N148" s="70">
        <v>2706</v>
      </c>
      <c r="O148" s="51" cm="1">
        <f t="array" ref="O148">IFERROR(IF(G148&gt;10,G148/C148*0.876,""),“”)</f>
        <v>0.294654545454545</v>
      </c>
      <c r="P148" s="51" t="str" cm="1">
        <f t="array" ref="P148">IFERROR(IF(H148&gt;10,H148/D148*0.876,""),“”)</f>
        <v/>
      </c>
      <c r="Q148" s="51" cm="1">
        <f t="array" ref="Q148">IFERROR(IF(I148&gt;10,I148/E148*0.876,""),“”)</f>
        <v>0.438</v>
      </c>
      <c r="R148" s="51" cm="1">
        <f t="array" ref="R148">IFERROR(IF(J148&gt;10,J148/F148*0.876,""),“”)</f>
        <v>0.219</v>
      </c>
      <c r="S148" s="78">
        <f t="shared" si="8"/>
        <v>0.219</v>
      </c>
    </row>
    <row r="149" ht="13" spans="1:19">
      <c r="A149" s="63" t="s">
        <v>252</v>
      </c>
      <c r="B149" s="36">
        <v>2020</v>
      </c>
      <c r="C149" s="44">
        <v>85</v>
      </c>
      <c r="D149" s="44">
        <v>6</v>
      </c>
      <c r="E149" s="44">
        <v>35</v>
      </c>
      <c r="F149" s="44">
        <v>43</v>
      </c>
      <c r="G149" s="44">
        <v>39</v>
      </c>
      <c r="H149" s="44">
        <v>2</v>
      </c>
      <c r="I149" s="44">
        <v>25</v>
      </c>
      <c r="J149" s="44">
        <v>12</v>
      </c>
      <c r="K149" s="44">
        <v>4790</v>
      </c>
      <c r="L149" s="44">
        <v>3517</v>
      </c>
      <c r="M149" s="44">
        <v>7684</v>
      </c>
      <c r="N149" s="44">
        <v>2662</v>
      </c>
      <c r="O149" s="51" cm="1">
        <f t="array" ref="O149">IFERROR(IF(G149&gt;10,G149/C149*0.876,""),“”)</f>
        <v>0.401929411764706</v>
      </c>
      <c r="P149" s="51" t="str" cm="1">
        <f t="array" ref="P149">IFERROR(IF(H149&gt;10,H149/D149*0.876,""),“”)</f>
        <v/>
      </c>
      <c r="Q149" s="51" cm="1">
        <f t="array" ref="Q149">IFERROR(IF(I149&gt;10,I149/E149*0.876,""),“”)</f>
        <v>0.625714285714286</v>
      </c>
      <c r="R149" s="51" cm="1">
        <f t="array" ref="R149">IFERROR(IF(J149&gt;10,J149/F149*0.876,""),“”)</f>
        <v>0.24446511627907</v>
      </c>
      <c r="S149" s="78">
        <f t="shared" si="8"/>
        <v>0.24528</v>
      </c>
    </row>
    <row r="150" ht="13" spans="1:19">
      <c r="A150" s="63" t="s">
        <v>253</v>
      </c>
      <c r="B150" s="36">
        <v>2020</v>
      </c>
      <c r="C150" s="44">
        <v>282</v>
      </c>
      <c r="D150" s="44">
        <v>16</v>
      </c>
      <c r="E150" s="44">
        <v>224</v>
      </c>
      <c r="F150" s="70">
        <v>43</v>
      </c>
      <c r="G150" s="44">
        <v>166</v>
      </c>
      <c r="H150" s="44">
        <v>10</v>
      </c>
      <c r="I150" s="44">
        <v>131</v>
      </c>
      <c r="J150" s="70">
        <v>25</v>
      </c>
      <c r="K150" s="44">
        <v>6035</v>
      </c>
      <c r="L150" s="44">
        <v>7039</v>
      </c>
      <c r="M150" s="44">
        <v>6017</v>
      </c>
      <c r="N150" s="70">
        <v>5908</v>
      </c>
      <c r="O150" s="51" cm="1">
        <f t="array" ref="O150">IFERROR(IF(G150&gt;10,G150/C150*0.876,""),“”)</f>
        <v>0.515659574468085</v>
      </c>
      <c r="P150" s="51" t="str" cm="1">
        <f t="array" ref="P150">IFERROR(IF(H150&gt;10,H150/D150*0.876,""),“”)</f>
        <v/>
      </c>
      <c r="Q150" s="51" cm="1">
        <f t="array" ref="Q150">IFERROR(IF(I150&gt;10,I150/E150*0.876,""),“”)</f>
        <v>0.512303571428571</v>
      </c>
      <c r="R150" s="51" cm="1">
        <f t="array" ref="R150">IFERROR(IF(J150&gt;10,J150/F150*0.876,""),“”)</f>
        <v>0.509302325581395</v>
      </c>
      <c r="S150" s="78">
        <f t="shared" si="8"/>
        <v>0.528620689655172</v>
      </c>
    </row>
    <row r="151" ht="13" spans="1:19">
      <c r="A151" s="63" t="s">
        <v>254</v>
      </c>
      <c r="B151" s="36">
        <v>2020</v>
      </c>
      <c r="C151" s="44">
        <v>207</v>
      </c>
      <c r="D151" s="44">
        <v>3</v>
      </c>
      <c r="E151" s="44">
        <v>23</v>
      </c>
      <c r="F151" s="70">
        <v>181</v>
      </c>
      <c r="G151" s="44">
        <v>58</v>
      </c>
      <c r="H151" s="44">
        <v>1</v>
      </c>
      <c r="I151" s="44">
        <v>13</v>
      </c>
      <c r="J151" s="70">
        <v>43</v>
      </c>
      <c r="K151" s="44">
        <v>2855</v>
      </c>
      <c r="L151" s="46"/>
      <c r="M151" s="44">
        <v>6685</v>
      </c>
      <c r="N151" s="70">
        <v>2410</v>
      </c>
      <c r="O151" s="51" cm="1">
        <f t="array" ref="O151">IFERROR(IF(G151&gt;10,G151/C151*0.876,""),“”)</f>
        <v>0.245449275362319</v>
      </c>
      <c r="P151" s="51" t="str" cm="1">
        <f t="array" ref="P151">IFERROR(IF(H151&gt;10,H151/D151*0.876,""),“”)</f>
        <v/>
      </c>
      <c r="Q151" s="51" cm="1">
        <f t="array" ref="Q151">IFERROR(IF(I151&gt;10,I151/E151*0.876,""),“”)</f>
        <v>0.495130434782609</v>
      </c>
      <c r="R151" s="51" cm="1">
        <f t="array" ref="R151">IFERROR(IF(J151&gt;10,J151/F151*0.876,""),“”)</f>
        <v>0.208110497237569</v>
      </c>
      <c r="S151" s="78">
        <f t="shared" si="8"/>
        <v>0.214239130434783</v>
      </c>
    </row>
    <row r="152" ht="13" spans="1:19">
      <c r="A152" s="63" t="s">
        <v>255</v>
      </c>
      <c r="B152" s="36">
        <v>2020</v>
      </c>
      <c r="C152" s="44">
        <v>45</v>
      </c>
      <c r="D152" s="104">
        <v>1</v>
      </c>
      <c r="E152" s="44">
        <v>21</v>
      </c>
      <c r="F152" s="70">
        <v>24</v>
      </c>
      <c r="G152" s="44">
        <v>22</v>
      </c>
      <c r="H152" s="44">
        <v>0.4</v>
      </c>
      <c r="I152" s="44">
        <v>7</v>
      </c>
      <c r="J152" s="70">
        <v>14</v>
      </c>
      <c r="K152" s="44">
        <v>5593</v>
      </c>
      <c r="L152" s="46"/>
      <c r="M152" s="44">
        <v>5349</v>
      </c>
      <c r="N152" s="70">
        <v>5735</v>
      </c>
      <c r="O152" s="51" cm="1">
        <f t="array" ref="O152">IFERROR(IF(G152&gt;10,G152/C152*0.876,""),“”)</f>
        <v>0.428266666666667</v>
      </c>
      <c r="P152" s="51" t="str" cm="1">
        <f t="array" ref="P152">IFERROR(IF(H152&gt;10,H152/D152*0.876,""),“”)</f>
        <v/>
      </c>
      <c r="Q152" s="51" t="str" cm="1">
        <f t="array" ref="Q152">IFERROR(IF(I152&gt;10,I152/E152*0.876,""),“”)</f>
        <v/>
      </c>
      <c r="R152" s="51" cm="1">
        <f t="array" ref="R152">IFERROR(IF(J152&gt;10,J152/F152*0.876,""),“”)</f>
        <v>0.511</v>
      </c>
      <c r="S152" s="78">
        <f t="shared" si="8"/>
        <v>0.5475</v>
      </c>
    </row>
    <row r="153" ht="13" spans="1:19">
      <c r="A153" s="63" t="s">
        <v>256</v>
      </c>
      <c r="B153" s="36">
        <v>2020</v>
      </c>
      <c r="C153" s="44">
        <v>35</v>
      </c>
      <c r="D153" s="44">
        <v>1</v>
      </c>
      <c r="E153" s="44">
        <v>28</v>
      </c>
      <c r="F153" s="70">
        <v>7</v>
      </c>
      <c r="G153" s="44">
        <v>21</v>
      </c>
      <c r="H153" s="104">
        <v>0.1</v>
      </c>
      <c r="I153" s="44">
        <v>19</v>
      </c>
      <c r="J153" s="70">
        <v>2</v>
      </c>
      <c r="K153" s="44">
        <v>6480</v>
      </c>
      <c r="L153" s="46"/>
      <c r="M153" s="44">
        <v>7466</v>
      </c>
      <c r="N153" s="70">
        <v>3062</v>
      </c>
      <c r="O153" s="51" cm="1">
        <f t="array" ref="O153">IFERROR(IF(G153&gt;10,G153/C153*0.876,""),“”)</f>
        <v>0.5256</v>
      </c>
      <c r="P153" s="51" t="str" cm="1">
        <f t="array" ref="P153">IFERROR(IF(H153&gt;10,H153/D153*0.876,""),“”)</f>
        <v/>
      </c>
      <c r="Q153" s="51" cm="1">
        <f t="array" ref="Q153">IFERROR(IF(I153&gt;10,I153/E153*0.876,""),“”)</f>
        <v>0.594428571428571</v>
      </c>
      <c r="R153" s="51" t="str" cm="1">
        <f t="array" ref="R153">IFERROR(IF(J153&gt;10,J153/F153*0.876,""),“”)</f>
        <v/>
      </c>
      <c r="S153" s="78" t="str">
        <f t="shared" si="8"/>
        <v/>
      </c>
    </row>
    <row r="154" ht="13" spans="1:19">
      <c r="A154" s="63" t="s">
        <v>258</v>
      </c>
      <c r="B154" s="36">
        <v>2020</v>
      </c>
      <c r="C154" s="44">
        <v>84</v>
      </c>
      <c r="D154" s="44">
        <v>5</v>
      </c>
      <c r="E154" s="44">
        <v>61</v>
      </c>
      <c r="F154" s="70">
        <v>18</v>
      </c>
      <c r="G154" s="44">
        <v>50</v>
      </c>
      <c r="H154" s="44">
        <v>3</v>
      </c>
      <c r="I154" s="44">
        <v>35</v>
      </c>
      <c r="J154" s="70">
        <v>12</v>
      </c>
      <c r="K154" s="44">
        <v>6933</v>
      </c>
      <c r="L154" s="44">
        <v>6748</v>
      </c>
      <c r="M154" s="44">
        <v>6859</v>
      </c>
      <c r="N154" s="70">
        <v>7203</v>
      </c>
      <c r="O154" s="51" cm="1">
        <f t="array" ref="O154">IFERROR(IF(G154&gt;10,G154/C154*0.876,""),“”)</f>
        <v>0.521428571428571</v>
      </c>
      <c r="P154" s="51" t="str" cm="1">
        <f t="array" ref="P154">IFERROR(IF(H154&gt;10,H154/D154*0.876,""),“”)</f>
        <v/>
      </c>
      <c r="Q154" s="51" cm="1">
        <f t="array" ref="Q154">IFERROR(IF(I154&gt;10,I154/E154*0.876,""),“”)</f>
        <v>0.502622950819672</v>
      </c>
      <c r="R154" s="51" cm="1">
        <f t="array" ref="R154">IFERROR(IF(J154&gt;10,J154/F154*0.876,""),“”)</f>
        <v>0.584</v>
      </c>
      <c r="S154" s="78">
        <f t="shared" si="8"/>
        <v>0.571304347826087</v>
      </c>
    </row>
    <row r="155" ht="13" spans="1:19">
      <c r="A155" s="63" t="s">
        <v>259</v>
      </c>
      <c r="B155" s="36">
        <v>2020</v>
      </c>
      <c r="C155" s="44">
        <v>35</v>
      </c>
      <c r="D155" s="104"/>
      <c r="E155" s="70">
        <v>23</v>
      </c>
      <c r="F155" s="70">
        <v>12</v>
      </c>
      <c r="G155" s="44">
        <v>12</v>
      </c>
      <c r="H155" s="104"/>
      <c r="I155" s="70">
        <v>11</v>
      </c>
      <c r="J155" s="70">
        <v>1</v>
      </c>
      <c r="K155" s="44">
        <v>3808</v>
      </c>
      <c r="L155" s="46"/>
      <c r="M155" s="70">
        <v>5670</v>
      </c>
      <c r="N155" s="70">
        <v>829</v>
      </c>
      <c r="O155" s="51" cm="1">
        <f t="array" ref="O155">IFERROR(IF(G155&gt;10,G155/C155*0.876,""),“”)</f>
        <v>0.300342857142857</v>
      </c>
      <c r="P155" s="51" t="str" cm="1">
        <f t="array" ref="P155">IFERROR(IF(H155&gt;10,H155/D155*0.876,""),“”)</f>
        <v/>
      </c>
      <c r="Q155" s="51" cm="1">
        <f t="array" ref="Q155">IFERROR(IF(I155&gt;10,I155/E155*0.876,""),“”)</f>
        <v>0.41895652173913</v>
      </c>
      <c r="R155" s="51" t="str" cm="1">
        <f t="array" ref="R155">IFERROR(IF(J155&gt;10,J155/F155*0.876,""),“”)</f>
        <v/>
      </c>
      <c r="S155" s="78" t="str">
        <f t="shared" si="8"/>
        <v/>
      </c>
    </row>
    <row r="156" ht="13" spans="1:19">
      <c r="A156" s="63" t="s">
        <v>260</v>
      </c>
      <c r="B156" s="36">
        <v>2020</v>
      </c>
      <c r="C156" s="44">
        <v>49</v>
      </c>
      <c r="D156" s="44">
        <v>0.2</v>
      </c>
      <c r="E156" s="44">
        <v>22</v>
      </c>
      <c r="F156" s="70">
        <v>27</v>
      </c>
      <c r="G156" s="44">
        <v>14</v>
      </c>
      <c r="H156" s="104">
        <v>0.1</v>
      </c>
      <c r="I156" s="44">
        <v>7</v>
      </c>
      <c r="J156" s="70">
        <v>7</v>
      </c>
      <c r="K156" s="44">
        <v>3455</v>
      </c>
      <c r="L156" s="46"/>
      <c r="M156" s="44">
        <v>3686</v>
      </c>
      <c r="N156" s="70">
        <v>3242</v>
      </c>
      <c r="O156" s="51" cm="1">
        <f t="array" ref="O156">IFERROR(IF(G156&gt;10,G156/C156*0.876,""),“”)</f>
        <v>0.250285714285714</v>
      </c>
      <c r="P156" s="51" t="str" cm="1">
        <f t="array" ref="P156">IFERROR(IF(H156&gt;10,H156/D156*0.876,""),“”)</f>
        <v/>
      </c>
      <c r="Q156" s="51" t="str" cm="1">
        <f t="array" ref="Q156">IFERROR(IF(I156&gt;10,I156/E156*0.876,""),“”)</f>
        <v/>
      </c>
      <c r="R156" s="51" t="str" cm="1">
        <f t="array" ref="R156">IFERROR(IF(J156&gt;10,J156/F156*0.876,""),“”)</f>
        <v/>
      </c>
      <c r="S156" s="78" t="str">
        <f t="shared" si="8"/>
        <v/>
      </c>
    </row>
    <row r="157" ht="13" spans="1:19">
      <c r="A157" s="63" t="s">
        <v>261</v>
      </c>
      <c r="B157" s="36">
        <v>2020</v>
      </c>
      <c r="C157" s="44">
        <v>2</v>
      </c>
      <c r="D157" s="105"/>
      <c r="E157" s="70">
        <v>2</v>
      </c>
      <c r="F157" s="46"/>
      <c r="G157" s="44">
        <v>1</v>
      </c>
      <c r="H157" s="105"/>
      <c r="I157" s="70">
        <v>1</v>
      </c>
      <c r="J157" s="86"/>
      <c r="K157" s="44">
        <v>3644</v>
      </c>
      <c r="L157" s="70"/>
      <c r="M157" s="70">
        <v>3644</v>
      </c>
      <c r="N157" s="46"/>
      <c r="O157" s="51" t="str" cm="1">
        <f t="array" ref="O157">IFERROR(IF(G157&gt;10,G157/C157*0.876,""),“”)</f>
        <v/>
      </c>
      <c r="P157" s="51" t="str" cm="1">
        <f t="array" ref="P157">IFERROR(IF(H157&gt;10,H157/D157*0.876,""),“”)</f>
        <v/>
      </c>
      <c r="Q157" s="51" t="str" cm="1">
        <f t="array" ref="Q157">IFERROR(IF(I157&gt;10,I157/E157*0.876,""),“”)</f>
        <v/>
      </c>
      <c r="R157" s="51" t="str" cm="1">
        <f t="array" ref="R157">IFERROR(IF(J157&gt;10,J157/F157*0.876,""),“”)</f>
        <v/>
      </c>
      <c r="S157" s="78" t="str">
        <f t="shared" si="8"/>
        <v/>
      </c>
    </row>
    <row r="158" ht="13" spans="1:19">
      <c r="A158" s="63" t="s">
        <v>262</v>
      </c>
      <c r="B158" s="36">
        <v>2020</v>
      </c>
      <c r="C158" s="44">
        <v>42</v>
      </c>
      <c r="D158" s="44">
        <v>2</v>
      </c>
      <c r="E158" s="44">
        <v>33</v>
      </c>
      <c r="F158" s="70">
        <v>7</v>
      </c>
      <c r="G158" s="44">
        <v>16</v>
      </c>
      <c r="H158" s="44">
        <v>1</v>
      </c>
      <c r="I158" s="44">
        <v>13</v>
      </c>
      <c r="J158" s="70">
        <v>1</v>
      </c>
      <c r="K158" s="44">
        <v>4445</v>
      </c>
      <c r="L158" s="46"/>
      <c r="M158" s="70">
        <v>5487</v>
      </c>
      <c r="N158" s="70">
        <v>1652</v>
      </c>
      <c r="O158" s="51" cm="1">
        <f t="array" ref="O158">IFERROR(IF(G158&gt;10,G158/C158*0.876,""),“”)</f>
        <v>0.333714285714286</v>
      </c>
      <c r="P158" s="51" t="str" cm="1">
        <f t="array" ref="P158">IFERROR(IF(H158&gt;10,H158/D158*0.876,""),“”)</f>
        <v/>
      </c>
      <c r="Q158" s="51" cm="1">
        <f t="array" ref="Q158">IFERROR(IF(I158&gt;10,I158/E158*0.876,""),“”)</f>
        <v>0.345090909090909</v>
      </c>
      <c r="R158" s="51" t="str" cm="1">
        <f t="array" ref="R158">IFERROR(IF(J158&gt;10,J158/F158*0.876,""),“”)</f>
        <v/>
      </c>
      <c r="S158" s="78" t="str">
        <f t="shared" si="8"/>
        <v/>
      </c>
    </row>
    <row r="159" ht="13" spans="1:19">
      <c r="A159" s="63" t="s">
        <v>263</v>
      </c>
      <c r="B159" s="36">
        <v>2020</v>
      </c>
      <c r="C159" s="44">
        <v>14</v>
      </c>
      <c r="D159" s="104"/>
      <c r="E159" s="44">
        <v>8</v>
      </c>
      <c r="F159" s="70">
        <v>6</v>
      </c>
      <c r="G159" s="44">
        <v>6</v>
      </c>
      <c r="H159" s="104"/>
      <c r="I159" s="70">
        <v>6</v>
      </c>
      <c r="J159" s="70">
        <v>0.1</v>
      </c>
      <c r="K159" s="44">
        <v>5776</v>
      </c>
      <c r="L159" s="46"/>
      <c r="M159" s="70">
        <v>6851</v>
      </c>
      <c r="N159" s="70">
        <v>362</v>
      </c>
      <c r="O159" s="51" t="str" cm="1">
        <f t="array" ref="O159">IFERROR(IF(G159&gt;10,G159/C159*0.876,""),“”)</f>
        <v/>
      </c>
      <c r="P159" s="51" t="str" cm="1">
        <f t="array" ref="P159">IFERROR(IF(H159&gt;10,H159/D159*0.876,""),“”)</f>
        <v/>
      </c>
      <c r="Q159" s="51" t="str" cm="1">
        <f t="array" ref="Q159">IFERROR(IF(I159&gt;10,I159/E159*0.876,""),“”)</f>
        <v/>
      </c>
      <c r="R159" s="51" t="str" cm="1">
        <f t="array" ref="R159">IFERROR(IF(J159&gt;10,J159/F159*0.876,""),“”)</f>
        <v/>
      </c>
      <c r="S159" s="78" t="str">
        <f t="shared" si="8"/>
        <v/>
      </c>
    </row>
    <row r="160" ht="13" spans="1:19">
      <c r="A160" s="63" t="s">
        <v>264</v>
      </c>
      <c r="B160" s="36">
        <v>2020</v>
      </c>
      <c r="C160" s="44">
        <v>0.5</v>
      </c>
      <c r="D160" s="44">
        <v>1</v>
      </c>
      <c r="E160" s="86"/>
      <c r="F160" s="70"/>
      <c r="G160" s="46">
        <v>0.1</v>
      </c>
      <c r="H160" s="104">
        <v>0.1</v>
      </c>
      <c r="I160" s="36"/>
      <c r="J160" s="36"/>
      <c r="K160" s="36"/>
      <c r="L160" s="36"/>
      <c r="M160" s="36"/>
      <c r="N160" s="36"/>
      <c r="O160" s="51" t="str" cm="1">
        <f t="array" ref="O160">IFERROR(IF(G160&gt;10,G160/C160*0.876,""),“”)</f>
        <v/>
      </c>
      <c r="P160" s="51" t="str" cm="1">
        <f t="array" ref="P160">IFERROR(IF(H160&gt;10,H160/D160*0.876,""),“”)</f>
        <v/>
      </c>
      <c r="Q160" s="51" t="str" cm="1">
        <f t="array" ref="Q160">IFERROR(IF(I160&gt;10,I160/E160*0.876,""),“”)</f>
        <v/>
      </c>
      <c r="R160" s="51" t="str" cm="1">
        <f t="array" ref="R160">IFERROR(IF(J160&gt;10,J160/F160*0.876,""),“”)</f>
        <v/>
      </c>
      <c r="S160" s="78" t="str">
        <f t="shared" si="8"/>
        <v/>
      </c>
    </row>
    <row r="161" ht="13" spans="1:19">
      <c r="A161" s="63" t="s">
        <v>265</v>
      </c>
      <c r="B161" s="36">
        <v>2020</v>
      </c>
      <c r="C161" s="44">
        <v>13</v>
      </c>
      <c r="D161" s="104"/>
      <c r="E161" s="44">
        <v>5</v>
      </c>
      <c r="F161" s="70">
        <v>8</v>
      </c>
      <c r="G161" s="44">
        <v>3</v>
      </c>
      <c r="H161" s="36"/>
      <c r="I161" s="42">
        <v>3</v>
      </c>
      <c r="J161" s="70">
        <v>0.1</v>
      </c>
      <c r="K161" s="44">
        <v>2483</v>
      </c>
      <c r="L161" s="46"/>
      <c r="M161" s="70">
        <v>5776</v>
      </c>
      <c r="N161" s="70">
        <v>155</v>
      </c>
      <c r="O161" s="51" t="str" cm="1">
        <f t="array" ref="O161">IFERROR(IF(G161&gt;10,G161/C161*0.876,""),“”)</f>
        <v/>
      </c>
      <c r="P161" s="51" t="str" cm="1">
        <f t="array" ref="P161">IFERROR(IF(H161&gt;10,H161/D161*0.876,""),“”)</f>
        <v/>
      </c>
      <c r="Q161" s="51" t="str" cm="1">
        <f t="array" ref="Q161">IFERROR(IF(I161&gt;10,I161/E161*0.876,""),“”)</f>
        <v/>
      </c>
      <c r="R161" s="51" t="str" cm="1">
        <f t="array" ref="R161">IFERROR(IF(J161&gt;10,J161/F161*0.876,""),“”)</f>
        <v/>
      </c>
      <c r="S161" s="78" t="str">
        <f t="shared" si="8"/>
        <v/>
      </c>
    </row>
    <row r="162" ht="13.75" spans="1:19">
      <c r="A162" s="65" t="s">
        <v>266</v>
      </c>
      <c r="B162" s="66">
        <v>2020</v>
      </c>
      <c r="C162" s="67">
        <v>9</v>
      </c>
      <c r="D162" s="67">
        <v>0.3</v>
      </c>
      <c r="E162" s="67">
        <v>6</v>
      </c>
      <c r="F162" s="84">
        <v>2</v>
      </c>
      <c r="G162" s="67">
        <v>4</v>
      </c>
      <c r="H162" s="116">
        <v>0.1</v>
      </c>
      <c r="I162" s="67">
        <v>2</v>
      </c>
      <c r="J162" s="129">
        <v>2</v>
      </c>
      <c r="K162" s="67">
        <v>4916</v>
      </c>
      <c r="L162" s="67">
        <v>3988</v>
      </c>
      <c r="M162" s="67">
        <v>3798</v>
      </c>
      <c r="N162" s="129">
        <v>7910</v>
      </c>
      <c r="O162" s="79" t="str" cm="1">
        <f t="array" ref="O162">IFERROR(IF(G162&gt;10,G162/C162*0.876,""),“”)</f>
        <v/>
      </c>
      <c r="P162" s="79" t="str" cm="1">
        <f t="array" ref="P162">IFERROR(IF(H162&gt;10,H162/D162*0.876,""),“”)</f>
        <v/>
      </c>
      <c r="Q162" s="79" t="str" cm="1">
        <f t="array" ref="Q162">IFERROR(IF(I162&gt;10,I162/E162*0.876,""),“”)</f>
        <v/>
      </c>
      <c r="R162" s="79" t="str" cm="1">
        <f t="array" ref="R162">IFERROR(IF(J162&gt;10,J162/F162*0.876,""),“”)</f>
        <v/>
      </c>
      <c r="S162" s="80" t="str">
        <f t="shared" si="8"/>
        <v/>
      </c>
    </row>
    <row r="163" ht="13" spans="1:19">
      <c r="A163" s="59" t="s">
        <v>234</v>
      </c>
      <c r="B163" s="60">
        <v>2021</v>
      </c>
      <c r="C163" s="61">
        <v>3807</v>
      </c>
      <c r="D163" s="61">
        <v>111</v>
      </c>
      <c r="E163" s="61">
        <v>2139</v>
      </c>
      <c r="F163" s="61">
        <v>1557</v>
      </c>
      <c r="G163" s="61">
        <v>1658</v>
      </c>
      <c r="H163" s="61">
        <v>37</v>
      </c>
      <c r="I163" s="61">
        <v>1089</v>
      </c>
      <c r="J163" s="61">
        <v>533</v>
      </c>
      <c r="K163" s="61">
        <v>4925</v>
      </c>
      <c r="L163" s="61">
        <v>3560</v>
      </c>
      <c r="M163" s="61">
        <v>5907</v>
      </c>
      <c r="N163" s="61">
        <v>3704</v>
      </c>
      <c r="O163" s="76" cm="1">
        <f t="array" ref="O163">IFERROR(IF(G163&gt;10,G163/C163*0.876,""),“”)</f>
        <v>0.381509850275808</v>
      </c>
      <c r="P163" s="76" cm="1">
        <f t="array" ref="P163">IFERROR(IF(H163&gt;10,H163/D163*0.876,""),“”)</f>
        <v>0.292</v>
      </c>
      <c r="Q163" s="76" cm="1">
        <f t="array" ref="Q163">IFERROR(IF(I163&gt;10,I163/E163*0.876,""),“”)</f>
        <v>0.445985974754558</v>
      </c>
      <c r="R163" s="76" cm="1">
        <f t="array" ref="R163">IFERROR(IF(J163&gt;10,J163/F163*0.876,""),“”)</f>
        <v>0.299876685934489</v>
      </c>
      <c r="S163" s="77">
        <f t="shared" ref="S163:S226" si="9">IFERROR(IF((G163-I163)&gt;10,(G163-I163)/(C163-E163)*0.876,""),"")</f>
        <v>0.298827338129496</v>
      </c>
    </row>
    <row r="164" ht="13" spans="1:19">
      <c r="A164" s="63" t="s">
        <v>235</v>
      </c>
      <c r="B164" s="36">
        <v>2021</v>
      </c>
      <c r="C164" s="44">
        <v>39</v>
      </c>
      <c r="D164" s="44">
        <v>2</v>
      </c>
      <c r="E164" s="44">
        <v>37</v>
      </c>
      <c r="F164" s="46"/>
      <c r="G164" s="44">
        <v>26</v>
      </c>
      <c r="H164" s="44">
        <v>1</v>
      </c>
      <c r="I164" s="44">
        <v>25</v>
      </c>
      <c r="J164" s="46"/>
      <c r="K164" s="44">
        <v>6655</v>
      </c>
      <c r="L164" s="44">
        <v>2639</v>
      </c>
      <c r="M164" s="44">
        <v>6832</v>
      </c>
      <c r="N164" s="46"/>
      <c r="O164" s="51" cm="1">
        <f t="array" ref="O164">IFERROR(IF(G164&gt;10,G164/C164*0.876,""),“”)</f>
        <v>0.584</v>
      </c>
      <c r="P164" s="51" t="str" cm="1">
        <f t="array" ref="P164">IFERROR(IF(H164&gt;10,H164/D164*0.876,""),“”)</f>
        <v/>
      </c>
      <c r="Q164" s="51" cm="1">
        <f t="array" ref="Q164">IFERROR(IF(I164&gt;10,I164/E164*0.876,""),“”)</f>
        <v>0.591891891891892</v>
      </c>
      <c r="R164" s="51" t="str" cm="1">
        <f t="array" ref="R164">IFERROR(IF(J164&gt;10,J164/F164*0.876,""),“”)</f>
        <v/>
      </c>
      <c r="S164" s="78" t="str">
        <f t="shared" si="9"/>
        <v/>
      </c>
    </row>
    <row r="165" ht="13" spans="1:19">
      <c r="A165" s="63" t="s">
        <v>236</v>
      </c>
      <c r="B165" s="36">
        <v>2021</v>
      </c>
      <c r="C165" s="44">
        <v>44</v>
      </c>
      <c r="D165" s="104"/>
      <c r="E165" s="44">
        <v>41</v>
      </c>
      <c r="F165" s="70">
        <v>4</v>
      </c>
      <c r="G165" s="44">
        <v>18</v>
      </c>
      <c r="H165" s="104"/>
      <c r="I165" s="44">
        <v>17</v>
      </c>
      <c r="J165" s="70">
        <v>1</v>
      </c>
      <c r="K165" s="44">
        <v>4434</v>
      </c>
      <c r="L165" s="46"/>
      <c r="M165" s="44">
        <v>4671</v>
      </c>
      <c r="N165" s="70">
        <v>2162</v>
      </c>
      <c r="O165" s="51" cm="1">
        <f t="array" ref="O165">IFERROR(IF(G165&gt;10,G165/C165*0.876,""),“”)</f>
        <v>0.358363636363636</v>
      </c>
      <c r="P165" s="51" t="str" cm="1">
        <f t="array" ref="P165">IFERROR(IF(H165&gt;10,H165/D165*0.876,""),“”)</f>
        <v/>
      </c>
      <c r="Q165" s="51" cm="1">
        <f t="array" ref="Q165">IFERROR(IF(I165&gt;10,I165/E165*0.876,""),“”)</f>
        <v>0.363219512195122</v>
      </c>
      <c r="R165" s="51" t="str" cm="1">
        <f t="array" ref="R165">IFERROR(IF(J165&gt;10,J165/F165*0.876,""),“”)</f>
        <v/>
      </c>
      <c r="S165" s="78" t="str">
        <f t="shared" si="9"/>
        <v/>
      </c>
    </row>
    <row r="166" ht="13" spans="1:19">
      <c r="A166" s="63" t="s">
        <v>237</v>
      </c>
      <c r="B166" s="36">
        <v>2021</v>
      </c>
      <c r="C166" s="44">
        <v>210</v>
      </c>
      <c r="D166" s="44">
        <v>2</v>
      </c>
      <c r="E166" s="44">
        <v>137</v>
      </c>
      <c r="F166" s="70">
        <v>71</v>
      </c>
      <c r="G166" s="44">
        <v>67</v>
      </c>
      <c r="H166" s="104">
        <v>1</v>
      </c>
      <c r="I166" s="44">
        <v>44</v>
      </c>
      <c r="J166" s="70">
        <v>23</v>
      </c>
      <c r="K166" s="44">
        <v>4155</v>
      </c>
      <c r="L166" s="46"/>
      <c r="M166" s="70">
        <v>4731</v>
      </c>
      <c r="N166" s="70">
        <v>3357</v>
      </c>
      <c r="O166" s="51" cm="1">
        <f t="array" ref="O166">IFERROR(IF(G166&gt;10,G166/C166*0.876,""),“”)</f>
        <v>0.279485714285714</v>
      </c>
      <c r="P166" s="51" t="str" cm="1">
        <f t="array" ref="P166">IFERROR(IF(H166&gt;10,H166/D166*0.876,""),“”)</f>
        <v/>
      </c>
      <c r="Q166" s="51" cm="1">
        <f t="array" ref="Q166">IFERROR(IF(I166&gt;10,I166/E166*0.876,""),“”)</f>
        <v>0.281343065693431</v>
      </c>
      <c r="R166" s="51" cm="1">
        <f t="array" ref="R166">IFERROR(IF(J166&gt;10,J166/F166*0.876,""),“”)</f>
        <v>0.283774647887324</v>
      </c>
      <c r="S166" s="78">
        <f t="shared" si="9"/>
        <v>0.276</v>
      </c>
    </row>
    <row r="167" ht="13" spans="1:19">
      <c r="A167" s="63" t="s">
        <v>238</v>
      </c>
      <c r="B167" s="36">
        <v>2021</v>
      </c>
      <c r="C167" s="44">
        <v>85</v>
      </c>
      <c r="D167" s="44">
        <v>1</v>
      </c>
      <c r="E167" s="44">
        <v>32</v>
      </c>
      <c r="F167" s="70">
        <v>53</v>
      </c>
      <c r="G167" s="44">
        <v>30</v>
      </c>
      <c r="H167" s="44">
        <v>0.2</v>
      </c>
      <c r="I167" s="44">
        <v>13</v>
      </c>
      <c r="J167" s="70">
        <v>17</v>
      </c>
      <c r="K167" s="44">
        <v>3760</v>
      </c>
      <c r="L167" s="46"/>
      <c r="M167" s="44">
        <v>4408</v>
      </c>
      <c r="N167" s="70">
        <v>3391</v>
      </c>
      <c r="O167" s="51" cm="1">
        <f t="array" ref="O167">IFERROR(IF(G167&gt;10,G167/C167*0.876,""),“”)</f>
        <v>0.309176470588235</v>
      </c>
      <c r="P167" s="51" t="str" cm="1">
        <f t="array" ref="P167">IFERROR(IF(H167&gt;10,H167/D167*0.876,""),“”)</f>
        <v/>
      </c>
      <c r="Q167" s="51" cm="1">
        <f t="array" ref="Q167">IFERROR(IF(I167&gt;10,I167/E167*0.876,""),“”)</f>
        <v>0.355875</v>
      </c>
      <c r="R167" s="51" cm="1">
        <f t="array" ref="R167">IFERROR(IF(J167&gt;10,J167/F167*0.876,""),“”)</f>
        <v>0.280981132075472</v>
      </c>
      <c r="S167" s="78">
        <f t="shared" si="9"/>
        <v>0.280981132075472</v>
      </c>
    </row>
    <row r="168" ht="13" spans="1:19">
      <c r="A168" s="63" t="s">
        <v>239</v>
      </c>
      <c r="B168" s="36">
        <v>2021</v>
      </c>
      <c r="C168" s="44">
        <v>38</v>
      </c>
      <c r="D168" s="104">
        <v>0.3</v>
      </c>
      <c r="E168" s="44">
        <v>9</v>
      </c>
      <c r="F168" s="70">
        <v>29</v>
      </c>
      <c r="G168" s="44">
        <v>12</v>
      </c>
      <c r="H168" s="118">
        <v>0.1</v>
      </c>
      <c r="I168" s="44">
        <v>5</v>
      </c>
      <c r="J168" s="70">
        <v>7</v>
      </c>
      <c r="K168" s="44">
        <v>3453</v>
      </c>
      <c r="L168" s="46"/>
      <c r="M168" s="44">
        <v>5972</v>
      </c>
      <c r="N168" s="70">
        <v>2628</v>
      </c>
      <c r="O168" s="51" cm="1">
        <f t="array" ref="O168">IFERROR(IF(G168&gt;10,G168/C168*0.876,""),“”)</f>
        <v>0.276631578947368</v>
      </c>
      <c r="P168" s="51" t="str" cm="1">
        <f t="array" ref="P168">IFERROR(IF(H168&gt;10,H168/D168*0.876,""),“”)</f>
        <v/>
      </c>
      <c r="Q168" s="51" t="str" cm="1">
        <f t="array" ref="Q168">IFERROR(IF(I168&gt;10,I168/E168*0.876,""),“”)</f>
        <v/>
      </c>
      <c r="R168" s="51" t="str" cm="1">
        <f t="array" ref="R168">IFERROR(IF(J168&gt;10,J168/F168*0.876,""),“”)</f>
        <v/>
      </c>
      <c r="S168" s="78" t="str">
        <f t="shared" si="9"/>
        <v/>
      </c>
    </row>
    <row r="169" ht="13" spans="1:19">
      <c r="A169" s="63" t="s">
        <v>240</v>
      </c>
      <c r="B169" s="36">
        <v>2021</v>
      </c>
      <c r="C169" s="44">
        <v>76</v>
      </c>
      <c r="D169" s="44">
        <v>3</v>
      </c>
      <c r="E169" s="44">
        <v>43</v>
      </c>
      <c r="F169" s="44">
        <v>30</v>
      </c>
      <c r="G169" s="44">
        <v>30</v>
      </c>
      <c r="H169" s="44">
        <v>1</v>
      </c>
      <c r="I169" s="44">
        <v>19</v>
      </c>
      <c r="J169" s="44">
        <v>9</v>
      </c>
      <c r="K169" s="44">
        <v>4738</v>
      </c>
      <c r="L169" s="44">
        <v>5247</v>
      </c>
      <c r="M169" s="44">
        <v>6026</v>
      </c>
      <c r="N169" s="44">
        <v>3139</v>
      </c>
      <c r="O169" s="51" cm="1">
        <f t="array" ref="O169">IFERROR(IF(G169&gt;10,G169/C169*0.876,""),“”)</f>
        <v>0.345789473684211</v>
      </c>
      <c r="P169" s="51" t="str" cm="1">
        <f t="array" ref="P169">IFERROR(IF(H169&gt;10,H169/D169*0.876,""),“”)</f>
        <v/>
      </c>
      <c r="Q169" s="51" cm="1">
        <f t="array" ref="Q169">IFERROR(IF(I169&gt;10,I169/E169*0.876,""),“”)</f>
        <v>0.38706976744186</v>
      </c>
      <c r="R169" s="51" t="str" cm="1">
        <f t="array" ref="R169">IFERROR(IF(J169&gt;10,J169/F169*0.876,""),“”)</f>
        <v/>
      </c>
      <c r="S169" s="78">
        <f t="shared" si="9"/>
        <v>0.292</v>
      </c>
    </row>
    <row r="170" ht="13" spans="1:19">
      <c r="A170" s="63" t="s">
        <v>241</v>
      </c>
      <c r="B170" s="36">
        <v>2021</v>
      </c>
      <c r="C170" s="44">
        <v>110</v>
      </c>
      <c r="D170" s="44">
        <v>1</v>
      </c>
      <c r="E170" s="44">
        <v>25</v>
      </c>
      <c r="F170" s="70">
        <v>83</v>
      </c>
      <c r="G170" s="44">
        <v>31</v>
      </c>
      <c r="H170" s="44">
        <v>0.2</v>
      </c>
      <c r="I170" s="42">
        <v>11</v>
      </c>
      <c r="J170" s="70">
        <v>20</v>
      </c>
      <c r="K170" s="44">
        <v>3419</v>
      </c>
      <c r="L170" s="44">
        <v>1995</v>
      </c>
      <c r="M170" s="44">
        <v>5496</v>
      </c>
      <c r="N170" s="70">
        <v>2839</v>
      </c>
      <c r="O170" s="51" cm="1">
        <f t="array" ref="O170">IFERROR(IF(G170&gt;10,G170/C170*0.876,""),“”)</f>
        <v>0.246872727272727</v>
      </c>
      <c r="P170" s="51" t="str" cm="1">
        <f t="array" ref="P170">IFERROR(IF(H170&gt;10,H170/D170*0.876,""),“”)</f>
        <v/>
      </c>
      <c r="Q170" s="51" cm="1">
        <f t="array" ref="Q170">IFERROR(IF(I170&gt;10,I170/E170*0.876,""),“”)</f>
        <v>0.38544</v>
      </c>
      <c r="R170" s="51" cm="1">
        <f t="array" ref="R170">IFERROR(IF(J170&gt;10,J170/F170*0.876,""),“”)</f>
        <v>0.211084337349398</v>
      </c>
      <c r="S170" s="78">
        <f t="shared" si="9"/>
        <v>0.206117647058824</v>
      </c>
    </row>
    <row r="171" ht="13" spans="1:19">
      <c r="A171" s="63" t="s">
        <v>242</v>
      </c>
      <c r="B171" s="36">
        <v>2021</v>
      </c>
      <c r="C171" s="44">
        <v>223</v>
      </c>
      <c r="D171" s="44">
        <v>2</v>
      </c>
      <c r="E171" s="44">
        <v>16</v>
      </c>
      <c r="F171" s="44">
        <v>205</v>
      </c>
      <c r="G171" s="44">
        <v>80</v>
      </c>
      <c r="H171" s="44">
        <v>0.4</v>
      </c>
      <c r="I171" s="44">
        <v>7</v>
      </c>
      <c r="J171" s="70">
        <v>72</v>
      </c>
      <c r="K171" s="44">
        <v>4480</v>
      </c>
      <c r="L171" s="46">
        <v>1728</v>
      </c>
      <c r="M171" s="44">
        <v>4964</v>
      </c>
      <c r="N171" s="70">
        <v>4444</v>
      </c>
      <c r="O171" s="51" cm="1">
        <f t="array" ref="O171">IFERROR(IF(G171&gt;10,G171/C171*0.876,""),“”)</f>
        <v>0.314260089686099</v>
      </c>
      <c r="P171" s="51" t="str" cm="1">
        <f t="array" ref="P171">IFERROR(IF(H171&gt;10,H171/D171*0.876,""),“”)</f>
        <v/>
      </c>
      <c r="Q171" s="51" t="str" cm="1">
        <f t="array" ref="Q171">IFERROR(IF(I171&gt;10,I171/E171*0.876,""),“”)</f>
        <v/>
      </c>
      <c r="R171" s="51" cm="1">
        <f t="array" ref="R171">IFERROR(IF(J171&gt;10,J171/F171*0.876,""),“”)</f>
        <v>0.307668292682927</v>
      </c>
      <c r="S171" s="78">
        <f t="shared" si="9"/>
        <v>0.308927536231884</v>
      </c>
    </row>
    <row r="172" ht="13" spans="1:19">
      <c r="A172" s="63" t="s">
        <v>243</v>
      </c>
      <c r="B172" s="36">
        <v>2021</v>
      </c>
      <c r="C172" s="44">
        <v>55</v>
      </c>
      <c r="D172" s="44">
        <v>3</v>
      </c>
      <c r="E172" s="44">
        <v>53</v>
      </c>
      <c r="F172" s="46"/>
      <c r="G172" s="44">
        <v>35</v>
      </c>
      <c r="H172" s="44">
        <v>1</v>
      </c>
      <c r="I172" s="44">
        <v>34</v>
      </c>
      <c r="J172" s="46"/>
      <c r="K172" s="44">
        <v>6829</v>
      </c>
      <c r="L172" s="44">
        <v>3553</v>
      </c>
      <c r="M172" s="44">
        <v>6969</v>
      </c>
      <c r="N172" s="46"/>
      <c r="O172" s="51" cm="1">
        <f t="array" ref="O172">IFERROR(IF(G172&gt;10,G172/C172*0.876,""),“”)</f>
        <v>0.557454545454545</v>
      </c>
      <c r="P172" s="51" t="str" cm="1">
        <f t="array" ref="P172">IFERROR(IF(H172&gt;10,H172/D172*0.876,""),“”)</f>
        <v/>
      </c>
      <c r="Q172" s="51" cm="1">
        <f t="array" ref="Q172">IFERROR(IF(I172&gt;10,I172/E172*0.876,""),“”)</f>
        <v>0.561962264150943</v>
      </c>
      <c r="R172" s="51" t="str" cm="1">
        <f t="array" ref="R172">IFERROR(IF(J172&gt;10,J172/F172*0.876,""),“”)</f>
        <v/>
      </c>
      <c r="S172" s="78" t="str">
        <f t="shared" si="9"/>
        <v/>
      </c>
    </row>
    <row r="173" ht="13" spans="1:19">
      <c r="A173" s="63" t="s">
        <v>244</v>
      </c>
      <c r="B173" s="36">
        <v>2021</v>
      </c>
      <c r="C173" s="44">
        <v>288</v>
      </c>
      <c r="D173" s="44">
        <v>9</v>
      </c>
      <c r="E173" s="44">
        <v>191</v>
      </c>
      <c r="F173" s="70">
        <v>88</v>
      </c>
      <c r="G173" s="44">
        <v>134</v>
      </c>
      <c r="H173" s="44">
        <v>2</v>
      </c>
      <c r="I173" s="44">
        <v>99</v>
      </c>
      <c r="J173" s="70">
        <v>32</v>
      </c>
      <c r="K173" s="44">
        <v>5275</v>
      </c>
      <c r="L173" s="44">
        <v>3369</v>
      </c>
      <c r="M173" s="44">
        <v>5988</v>
      </c>
      <c r="N173" s="70">
        <v>3914</v>
      </c>
      <c r="O173" s="51" cm="1">
        <f t="array" ref="O173">IFERROR(IF(G173&gt;10,G173/C173*0.876,""),“”)</f>
        <v>0.407583333333333</v>
      </c>
      <c r="P173" s="51" t="str" cm="1">
        <f t="array" ref="P173">IFERROR(IF(H173&gt;10,H173/D173*0.876,""),“”)</f>
        <v/>
      </c>
      <c r="Q173" s="51" cm="1">
        <f t="array" ref="Q173">IFERROR(IF(I173&gt;10,I173/E173*0.876,""),“”)</f>
        <v>0.454052356020942</v>
      </c>
      <c r="R173" s="51" cm="1">
        <f t="array" ref="R173">IFERROR(IF(J173&gt;10,J173/F173*0.876,""),“”)</f>
        <v>0.318545454545455</v>
      </c>
      <c r="S173" s="78">
        <f t="shared" si="9"/>
        <v>0.316082474226804</v>
      </c>
    </row>
    <row r="174" ht="13" spans="1:19">
      <c r="A174" s="63" t="s">
        <v>245</v>
      </c>
      <c r="B174" s="36">
        <v>2021</v>
      </c>
      <c r="C174" s="44">
        <v>292</v>
      </c>
      <c r="D174" s="44">
        <v>7</v>
      </c>
      <c r="E174" s="44">
        <v>261</v>
      </c>
      <c r="F174" s="44">
        <v>24</v>
      </c>
      <c r="G174" s="44">
        <v>144</v>
      </c>
      <c r="H174" s="44">
        <v>3</v>
      </c>
      <c r="I174" s="44">
        <v>129</v>
      </c>
      <c r="J174" s="42">
        <v>12</v>
      </c>
      <c r="K174" s="44">
        <v>5201</v>
      </c>
      <c r="L174" s="44">
        <v>7581</v>
      </c>
      <c r="M174" s="44">
        <v>5183</v>
      </c>
      <c r="N174" s="70">
        <v>5222</v>
      </c>
      <c r="O174" s="51" cm="1">
        <f t="array" ref="O174">IFERROR(IF(G174&gt;10,G174/C174*0.876,""),“”)</f>
        <v>0.432</v>
      </c>
      <c r="P174" s="51" t="str" cm="1">
        <f t="array" ref="P174">IFERROR(IF(H174&gt;10,H174/D174*0.876,""),“”)</f>
        <v/>
      </c>
      <c r="Q174" s="51" cm="1">
        <f t="array" ref="Q174">IFERROR(IF(I174&gt;10,I174/E174*0.876,""),“”)</f>
        <v>0.432965517241379</v>
      </c>
      <c r="R174" s="51" cm="1">
        <f t="array" ref="R174">IFERROR(IF(J174&gt;10,J174/F174*0.876,""),“”)</f>
        <v>0.438</v>
      </c>
      <c r="S174" s="78">
        <f t="shared" si="9"/>
        <v>0.423870967741936</v>
      </c>
    </row>
    <row r="175" ht="13" spans="1:19">
      <c r="A175" s="63" t="s">
        <v>246</v>
      </c>
      <c r="B175" s="36">
        <v>2021</v>
      </c>
      <c r="C175" s="44">
        <v>239</v>
      </c>
      <c r="D175" s="104">
        <v>2</v>
      </c>
      <c r="E175" s="44">
        <v>93</v>
      </c>
      <c r="F175" s="70">
        <v>144</v>
      </c>
      <c r="G175" s="44">
        <v>117</v>
      </c>
      <c r="H175" s="44">
        <v>0.4</v>
      </c>
      <c r="I175" s="44">
        <v>52</v>
      </c>
      <c r="J175" s="70">
        <v>65</v>
      </c>
      <c r="K175" s="44">
        <v>5185</v>
      </c>
      <c r="L175" s="46"/>
      <c r="M175" s="44">
        <v>6124</v>
      </c>
      <c r="N175" s="70">
        <v>4646</v>
      </c>
      <c r="O175" s="51" cm="1">
        <f t="array" ref="O175">IFERROR(IF(G175&gt;10,G175/C175*0.876,""),“”)</f>
        <v>0.428836820083682</v>
      </c>
      <c r="P175" s="51" t="str" cm="1">
        <f t="array" ref="P175">IFERROR(IF(H175&gt;10,H175/D175*0.876,""),“”)</f>
        <v/>
      </c>
      <c r="Q175" s="51" cm="1">
        <f t="array" ref="Q175">IFERROR(IF(I175&gt;10,I175/E175*0.876,""),“”)</f>
        <v>0.489806451612903</v>
      </c>
      <c r="R175" s="51" cm="1">
        <f t="array" ref="R175">IFERROR(IF(J175&gt;10,J175/F175*0.876,""),“”)</f>
        <v>0.395416666666667</v>
      </c>
      <c r="S175" s="78">
        <f t="shared" si="9"/>
        <v>0.39</v>
      </c>
    </row>
    <row r="176" ht="13" spans="1:19">
      <c r="A176" s="63" t="s">
        <v>247</v>
      </c>
      <c r="B176" s="36">
        <v>2021</v>
      </c>
      <c r="C176" s="44">
        <v>94</v>
      </c>
      <c r="D176" s="44">
        <v>3</v>
      </c>
      <c r="E176" s="44">
        <v>84</v>
      </c>
      <c r="F176" s="44">
        <v>6</v>
      </c>
      <c r="G176" s="44">
        <v>53</v>
      </c>
      <c r="H176" s="44">
        <v>1</v>
      </c>
      <c r="I176" s="44">
        <v>48</v>
      </c>
      <c r="J176" s="44">
        <v>4</v>
      </c>
      <c r="K176" s="44">
        <v>5906</v>
      </c>
      <c r="L176" s="44">
        <v>2037</v>
      </c>
      <c r="M176" s="44">
        <v>5978</v>
      </c>
      <c r="N176" s="70">
        <v>5658</v>
      </c>
      <c r="O176" s="51" cm="1">
        <f t="array" ref="O176">IFERROR(IF(G176&gt;10,G176/C176*0.876,""),“”)</f>
        <v>0.493914893617021</v>
      </c>
      <c r="P176" s="51" t="str" cm="1">
        <f t="array" ref="P176">IFERROR(IF(H176&gt;10,H176/D176*0.876,""),“”)</f>
        <v/>
      </c>
      <c r="Q176" s="51" cm="1">
        <f t="array" ref="Q176">IFERROR(IF(I176&gt;10,I176/E176*0.876,""),“”)</f>
        <v>0.500571428571429</v>
      </c>
      <c r="R176" s="51" t="str" cm="1">
        <f t="array" ref="R176">IFERROR(IF(J176&gt;10,J176/F176*0.876,""),“”)</f>
        <v/>
      </c>
      <c r="S176" s="78" t="str">
        <f t="shared" si="9"/>
        <v/>
      </c>
    </row>
    <row r="177" ht="13" spans="1:19">
      <c r="A177" s="63" t="s">
        <v>248</v>
      </c>
      <c r="B177" s="36">
        <v>2021</v>
      </c>
      <c r="C177" s="44">
        <v>113</v>
      </c>
      <c r="D177" s="44">
        <v>4</v>
      </c>
      <c r="E177" s="44">
        <v>73</v>
      </c>
      <c r="F177" s="70">
        <v>36</v>
      </c>
      <c r="G177" s="44">
        <v>52</v>
      </c>
      <c r="H177" s="44">
        <v>1</v>
      </c>
      <c r="I177" s="44">
        <v>35</v>
      </c>
      <c r="J177" s="70">
        <v>16</v>
      </c>
      <c r="K177" s="44">
        <v>5260</v>
      </c>
      <c r="L177" s="44">
        <v>2214</v>
      </c>
      <c r="M177" s="44">
        <v>5731</v>
      </c>
      <c r="N177" s="70">
        <v>4586</v>
      </c>
      <c r="O177" s="51" cm="1">
        <f t="array" ref="O177">IFERROR(IF(G177&gt;10,G177/C177*0.876,""),“”)</f>
        <v>0.403115044247788</v>
      </c>
      <c r="P177" s="51" t="str" cm="1">
        <f t="array" ref="P177">IFERROR(IF(H177&gt;10,H177/D177*0.876,""),“”)</f>
        <v/>
      </c>
      <c r="Q177" s="51" cm="1">
        <f t="array" ref="Q177">IFERROR(IF(I177&gt;10,I177/E177*0.876,""),“”)</f>
        <v>0.42</v>
      </c>
      <c r="R177" s="51" cm="1">
        <f t="array" ref="R177">IFERROR(IF(J177&gt;10,J177/F177*0.876,""),“”)</f>
        <v>0.389333333333333</v>
      </c>
      <c r="S177" s="78">
        <f t="shared" si="9"/>
        <v>0.3723</v>
      </c>
    </row>
    <row r="178" ht="13" spans="1:19">
      <c r="A178" s="63" t="s">
        <v>249</v>
      </c>
      <c r="B178" s="36">
        <v>2021</v>
      </c>
      <c r="C178" s="44">
        <v>396</v>
      </c>
      <c r="D178" s="44">
        <v>11</v>
      </c>
      <c r="E178" s="44">
        <v>194</v>
      </c>
      <c r="F178" s="70">
        <v>191</v>
      </c>
      <c r="G178" s="44">
        <v>180</v>
      </c>
      <c r="H178" s="44">
        <v>3</v>
      </c>
      <c r="I178" s="44">
        <v>104</v>
      </c>
      <c r="J178" s="70">
        <v>73</v>
      </c>
      <c r="K178" s="44">
        <v>4848</v>
      </c>
      <c r="L178" s="44">
        <v>3203</v>
      </c>
      <c r="M178" s="44">
        <v>5779</v>
      </c>
      <c r="N178" s="70">
        <v>3978</v>
      </c>
      <c r="O178" s="51" cm="1">
        <f t="array" ref="O178">IFERROR(IF(G178&gt;10,G178/C178*0.876,""),“”)</f>
        <v>0.398181818181818</v>
      </c>
      <c r="P178" s="51" t="str" cm="1">
        <f t="array" ref="P178">IFERROR(IF(H178&gt;10,H178/D178*0.876,""),“”)</f>
        <v/>
      </c>
      <c r="Q178" s="51" cm="1">
        <f t="array" ref="Q178">IFERROR(IF(I178&gt;10,I178/E178*0.876,""),“”)</f>
        <v>0.46960824742268</v>
      </c>
      <c r="R178" s="51" cm="1">
        <f t="array" ref="R178">IFERROR(IF(J178&gt;10,J178/F178*0.876,""),“”)</f>
        <v>0.334806282722513</v>
      </c>
      <c r="S178" s="78">
        <f t="shared" si="9"/>
        <v>0.329584158415842</v>
      </c>
    </row>
    <row r="179" ht="13" spans="1:19">
      <c r="A179" s="63" t="s">
        <v>250</v>
      </c>
      <c r="B179" s="36">
        <v>2021</v>
      </c>
      <c r="C179" s="44">
        <v>227</v>
      </c>
      <c r="D179" s="44">
        <v>9</v>
      </c>
      <c r="E179" s="44">
        <v>96</v>
      </c>
      <c r="F179" s="70">
        <v>122</v>
      </c>
      <c r="G179" s="44">
        <v>79</v>
      </c>
      <c r="H179" s="44">
        <v>2</v>
      </c>
      <c r="I179" s="44">
        <v>35</v>
      </c>
      <c r="J179" s="70">
        <v>42</v>
      </c>
      <c r="K179" s="44">
        <v>4375</v>
      </c>
      <c r="L179" s="46"/>
      <c r="M179" s="44">
        <v>5662</v>
      </c>
      <c r="N179" s="70">
        <v>3809</v>
      </c>
      <c r="O179" s="51" cm="1">
        <f t="array" ref="O179">IFERROR(IF(G179&gt;10,G179/C179*0.876,""),“”)</f>
        <v>0.304863436123348</v>
      </c>
      <c r="P179" s="51" t="str" cm="1">
        <f t="array" ref="P179">IFERROR(IF(H179&gt;10,H179/D179*0.876,""),“”)</f>
        <v/>
      </c>
      <c r="Q179" s="51" cm="1">
        <f t="array" ref="Q179">IFERROR(IF(I179&gt;10,I179/E179*0.876,""),“”)</f>
        <v>0.319375</v>
      </c>
      <c r="R179" s="51" cm="1">
        <f t="array" ref="R179">IFERROR(IF(J179&gt;10,J179/F179*0.876,""),“”)</f>
        <v>0.301573770491803</v>
      </c>
      <c r="S179" s="78">
        <f t="shared" si="9"/>
        <v>0.294229007633588</v>
      </c>
    </row>
    <row r="180" ht="13" spans="1:19">
      <c r="A180" s="63" t="s">
        <v>251</v>
      </c>
      <c r="B180" s="36">
        <v>2021</v>
      </c>
      <c r="C180" s="44">
        <v>123</v>
      </c>
      <c r="D180" s="44">
        <v>5</v>
      </c>
      <c r="E180" s="44">
        <v>49</v>
      </c>
      <c r="F180" s="70">
        <v>69</v>
      </c>
      <c r="G180" s="44">
        <v>42</v>
      </c>
      <c r="H180" s="44">
        <v>2</v>
      </c>
      <c r="I180" s="44">
        <v>26</v>
      </c>
      <c r="J180" s="70">
        <v>14</v>
      </c>
      <c r="K180" s="44">
        <v>3618</v>
      </c>
      <c r="L180" s="46"/>
      <c r="M180" s="44">
        <v>6275</v>
      </c>
      <c r="N180" s="70">
        <v>1968</v>
      </c>
      <c r="O180" s="51" cm="1">
        <f t="array" ref="O180">IFERROR(IF(G180&gt;10,G180/C180*0.876,""),“”)</f>
        <v>0.299121951219512</v>
      </c>
      <c r="P180" s="51" t="str" cm="1">
        <f t="array" ref="P180">IFERROR(IF(H180&gt;10,H180/D180*0.876,""),“”)</f>
        <v/>
      </c>
      <c r="Q180" s="51" cm="1">
        <f t="array" ref="Q180">IFERROR(IF(I180&gt;10,I180/E180*0.876,""),“”)</f>
        <v>0.464816326530612</v>
      </c>
      <c r="R180" s="51" cm="1">
        <f t="array" ref="R180">IFERROR(IF(J180&gt;10,J180/F180*0.876,""),“”)</f>
        <v>0.177739130434783</v>
      </c>
      <c r="S180" s="78">
        <f t="shared" si="9"/>
        <v>0.189405405405405</v>
      </c>
    </row>
    <row r="181" ht="13" spans="1:19">
      <c r="A181" s="63" t="s">
        <v>252</v>
      </c>
      <c r="B181" s="36">
        <v>2021</v>
      </c>
      <c r="C181" s="44">
        <v>111</v>
      </c>
      <c r="D181" s="44">
        <v>9</v>
      </c>
      <c r="E181" s="44">
        <v>59</v>
      </c>
      <c r="F181" s="44">
        <v>43</v>
      </c>
      <c r="G181" s="44">
        <v>47</v>
      </c>
      <c r="H181" s="44">
        <v>2</v>
      </c>
      <c r="I181" s="44">
        <v>32</v>
      </c>
      <c r="J181" s="44">
        <v>13</v>
      </c>
      <c r="K181" s="44">
        <v>5017</v>
      </c>
      <c r="L181" s="44">
        <v>1943</v>
      </c>
      <c r="M181" s="44">
        <v>7247</v>
      </c>
      <c r="N181" s="44">
        <v>3011</v>
      </c>
      <c r="O181" s="51" cm="1">
        <f t="array" ref="O181">IFERROR(IF(G181&gt;10,G181/C181*0.876,""),“”)</f>
        <v>0.370918918918919</v>
      </c>
      <c r="P181" s="51" t="str" cm="1">
        <f t="array" ref="P181">IFERROR(IF(H181&gt;10,H181/D181*0.876,""),“”)</f>
        <v/>
      </c>
      <c r="Q181" s="51" cm="1">
        <f t="array" ref="Q181">IFERROR(IF(I181&gt;10,I181/E181*0.876,""),“”)</f>
        <v>0.475118644067797</v>
      </c>
      <c r="R181" s="51" cm="1">
        <f t="array" ref="R181">IFERROR(IF(J181&gt;10,J181/F181*0.876,""),“”)</f>
        <v>0.264837209302326</v>
      </c>
      <c r="S181" s="78">
        <f t="shared" si="9"/>
        <v>0.252692307692308</v>
      </c>
    </row>
    <row r="182" ht="13" spans="1:19">
      <c r="A182" s="63" t="s">
        <v>253</v>
      </c>
      <c r="B182" s="36">
        <v>2021</v>
      </c>
      <c r="C182" s="44">
        <v>377</v>
      </c>
      <c r="D182" s="44">
        <v>26</v>
      </c>
      <c r="E182" s="44">
        <v>301</v>
      </c>
      <c r="F182" s="70">
        <v>50</v>
      </c>
      <c r="G182" s="44">
        <v>207</v>
      </c>
      <c r="H182" s="44">
        <v>9</v>
      </c>
      <c r="I182" s="44">
        <v>168</v>
      </c>
      <c r="J182" s="70">
        <v>30</v>
      </c>
      <c r="K182" s="44">
        <v>6345</v>
      </c>
      <c r="L182" s="44">
        <v>4379</v>
      </c>
      <c r="M182" s="44">
        <v>6522</v>
      </c>
      <c r="N182" s="70">
        <v>5931</v>
      </c>
      <c r="O182" s="51" cm="1">
        <f t="array" ref="O182">IFERROR(IF(G182&gt;10,G182/C182*0.876,""),“”)</f>
        <v>0.480986737400531</v>
      </c>
      <c r="P182" s="51" t="str" cm="1">
        <f t="array" ref="P182">IFERROR(IF(H182&gt;10,H182/D182*0.876,""),“”)</f>
        <v/>
      </c>
      <c r="Q182" s="51" cm="1">
        <f t="array" ref="Q182">IFERROR(IF(I182&gt;10,I182/E182*0.876,""),“”)</f>
        <v>0.48893023255814</v>
      </c>
      <c r="R182" s="51" cm="1">
        <f t="array" ref="R182">IFERROR(IF(J182&gt;10,J182/F182*0.876,""),“”)</f>
        <v>0.5256</v>
      </c>
      <c r="S182" s="78">
        <f t="shared" si="9"/>
        <v>0.449526315789474</v>
      </c>
    </row>
    <row r="183" ht="13" spans="1:19">
      <c r="A183" s="63" t="s">
        <v>254</v>
      </c>
      <c r="B183" s="36">
        <v>2021</v>
      </c>
      <c r="C183" s="44">
        <v>234</v>
      </c>
      <c r="D183" s="44">
        <v>2</v>
      </c>
      <c r="E183" s="44">
        <v>43</v>
      </c>
      <c r="F183" s="70">
        <v>189</v>
      </c>
      <c r="G183" s="44">
        <v>67</v>
      </c>
      <c r="H183" s="44">
        <v>1</v>
      </c>
      <c r="I183" s="44">
        <v>19</v>
      </c>
      <c r="J183" s="70">
        <v>47</v>
      </c>
      <c r="K183" s="44">
        <v>3213</v>
      </c>
      <c r="L183" s="46"/>
      <c r="M183" s="44">
        <v>7254</v>
      </c>
      <c r="N183" s="70">
        <v>2628</v>
      </c>
      <c r="O183" s="51" cm="1">
        <f t="array" ref="O183">IFERROR(IF(G183&gt;10,G183/C183*0.876,""),“”)</f>
        <v>0.250820512820513</v>
      </c>
      <c r="P183" s="51" t="str" cm="1">
        <f t="array" ref="P183">IFERROR(IF(H183&gt;10,H183/D183*0.876,""),“”)</f>
        <v/>
      </c>
      <c r="Q183" s="51" cm="1">
        <f t="array" ref="Q183">IFERROR(IF(I183&gt;10,I183/E183*0.876,""),“”)</f>
        <v>0.38706976744186</v>
      </c>
      <c r="R183" s="51" cm="1">
        <f t="array" ref="R183">IFERROR(IF(J183&gt;10,J183/F183*0.876,""),“”)</f>
        <v>0.21784126984127</v>
      </c>
      <c r="S183" s="78">
        <f t="shared" si="9"/>
        <v>0.220146596858639</v>
      </c>
    </row>
    <row r="184" ht="13" spans="1:19">
      <c r="A184" s="63" t="s">
        <v>255</v>
      </c>
      <c r="B184" s="36">
        <v>2021</v>
      </c>
      <c r="C184" s="44">
        <v>52</v>
      </c>
      <c r="D184" s="104">
        <v>1</v>
      </c>
      <c r="E184" s="44">
        <v>27</v>
      </c>
      <c r="F184" s="70">
        <v>24</v>
      </c>
      <c r="G184" s="44">
        <v>31</v>
      </c>
      <c r="H184" s="44">
        <v>0.3</v>
      </c>
      <c r="I184" s="44">
        <v>17</v>
      </c>
      <c r="J184" s="70">
        <v>14</v>
      </c>
      <c r="K184" s="44">
        <v>6079</v>
      </c>
      <c r="L184" s="46"/>
      <c r="M184" s="44">
        <v>6249</v>
      </c>
      <c r="N184" s="70">
        <v>5892</v>
      </c>
      <c r="O184" s="51" cm="1">
        <f t="array" ref="O184">IFERROR(IF(G184&gt;10,G184/C184*0.876,""),“”)</f>
        <v>0.522230769230769</v>
      </c>
      <c r="P184" s="51" t="str" cm="1">
        <f t="array" ref="P184">IFERROR(IF(H184&gt;10,H184/D184*0.876,""),“”)</f>
        <v/>
      </c>
      <c r="Q184" s="51" cm="1">
        <f t="array" ref="Q184">IFERROR(IF(I184&gt;10,I184/E184*0.876,""),“”)</f>
        <v>0.551555555555556</v>
      </c>
      <c r="R184" s="51" cm="1">
        <f t="array" ref="R184">IFERROR(IF(J184&gt;10,J184/F184*0.876,""),“”)</f>
        <v>0.511</v>
      </c>
      <c r="S184" s="78">
        <f t="shared" si="9"/>
        <v>0.49056</v>
      </c>
    </row>
    <row r="185" ht="13" spans="1:19">
      <c r="A185" s="63" t="s">
        <v>256</v>
      </c>
      <c r="B185" s="36">
        <v>2021</v>
      </c>
      <c r="C185" s="44">
        <v>53</v>
      </c>
      <c r="D185" s="44">
        <v>1</v>
      </c>
      <c r="E185" s="44">
        <v>45</v>
      </c>
      <c r="F185" s="70">
        <v>7</v>
      </c>
      <c r="G185" s="44">
        <v>26</v>
      </c>
      <c r="H185" s="104">
        <v>0.001</v>
      </c>
      <c r="I185" s="44">
        <v>24</v>
      </c>
      <c r="J185" s="70">
        <v>1</v>
      </c>
      <c r="K185" s="44">
        <v>6157</v>
      </c>
      <c r="L185" s="46"/>
      <c r="M185" s="44">
        <v>7081</v>
      </c>
      <c r="N185" s="70">
        <v>1843</v>
      </c>
      <c r="O185" s="51" cm="1">
        <f t="array" ref="O185">IFERROR(IF(G185&gt;10,G185/C185*0.876,""),“”)</f>
        <v>0.429735849056604</v>
      </c>
      <c r="P185" s="51" t="str" cm="1">
        <f t="array" ref="P185">IFERROR(IF(H185&gt;10,H185/D185*0.876,""),“”)</f>
        <v/>
      </c>
      <c r="Q185" s="51" cm="1">
        <f t="array" ref="Q185">IFERROR(IF(I185&gt;10,I185/E185*0.876,""),“”)</f>
        <v>0.4672</v>
      </c>
      <c r="R185" s="51" t="str" cm="1">
        <f t="array" ref="R185">IFERROR(IF(J185&gt;10,J185/F185*0.876,""),“”)</f>
        <v/>
      </c>
      <c r="S185" s="78" t="str">
        <f t="shared" si="9"/>
        <v/>
      </c>
    </row>
    <row r="186" ht="13" spans="1:19">
      <c r="A186" s="63" t="s">
        <v>258</v>
      </c>
      <c r="B186" s="36">
        <v>2021</v>
      </c>
      <c r="C186" s="44">
        <v>118</v>
      </c>
      <c r="D186" s="44">
        <v>5</v>
      </c>
      <c r="E186" s="44">
        <v>95</v>
      </c>
      <c r="F186" s="70">
        <v>18</v>
      </c>
      <c r="G186" s="44">
        <v>73</v>
      </c>
      <c r="H186" s="44">
        <v>3</v>
      </c>
      <c r="I186" s="44">
        <v>58</v>
      </c>
      <c r="J186" s="70">
        <v>12</v>
      </c>
      <c r="K186" s="44">
        <v>6682</v>
      </c>
      <c r="L186" s="44">
        <v>6829</v>
      </c>
      <c r="M186" s="44">
        <v>6671</v>
      </c>
      <c r="N186" s="70">
        <v>6706</v>
      </c>
      <c r="O186" s="51" cm="1">
        <f t="array" ref="O186">IFERROR(IF(G186&gt;10,G186/C186*0.876,""),“”)</f>
        <v>0.541932203389831</v>
      </c>
      <c r="P186" s="51" t="str" cm="1">
        <f t="array" ref="P186">IFERROR(IF(H186&gt;10,H186/D186*0.876,""),“”)</f>
        <v/>
      </c>
      <c r="Q186" s="51" cm="1">
        <f t="array" ref="Q186">IFERROR(IF(I186&gt;10,I186/E186*0.876,""),“”)</f>
        <v>0.534821052631579</v>
      </c>
      <c r="R186" s="51" cm="1">
        <f t="array" ref="R186">IFERROR(IF(J186&gt;10,J186/F186*0.876,""),“”)</f>
        <v>0.584</v>
      </c>
      <c r="S186" s="78">
        <f t="shared" si="9"/>
        <v>0.571304347826087</v>
      </c>
    </row>
    <row r="187" ht="13" spans="1:19">
      <c r="A187" s="63" t="s">
        <v>259</v>
      </c>
      <c r="B187" s="36">
        <v>2021</v>
      </c>
      <c r="C187" s="44">
        <v>42</v>
      </c>
      <c r="D187" s="104"/>
      <c r="E187" s="70">
        <v>30</v>
      </c>
      <c r="F187" s="70">
        <v>12</v>
      </c>
      <c r="G187" s="44">
        <v>18</v>
      </c>
      <c r="H187" s="104"/>
      <c r="I187" s="70">
        <v>16</v>
      </c>
      <c r="J187" s="70">
        <v>2</v>
      </c>
      <c r="K187" s="44">
        <v>4393</v>
      </c>
      <c r="L187" s="46"/>
      <c r="M187" s="70">
        <v>5446</v>
      </c>
      <c r="N187" s="70">
        <v>1821</v>
      </c>
      <c r="O187" s="51" cm="1">
        <f t="array" ref="O187">IFERROR(IF(G187&gt;10,G187/C187*0.876,""),“”)</f>
        <v>0.375428571428571</v>
      </c>
      <c r="P187" s="51" t="str" cm="1">
        <f t="array" ref="P187">IFERROR(IF(H187&gt;10,H187/D187*0.876,""),“”)</f>
        <v/>
      </c>
      <c r="Q187" s="51" cm="1">
        <f t="array" ref="Q187">IFERROR(IF(I187&gt;10,I187/E187*0.876,""),“”)</f>
        <v>0.4672</v>
      </c>
      <c r="R187" s="51" t="str" cm="1">
        <f t="array" ref="R187">IFERROR(IF(J187&gt;10,J187/F187*0.876,""),“”)</f>
        <v/>
      </c>
      <c r="S187" s="78" t="str">
        <f t="shared" si="9"/>
        <v/>
      </c>
    </row>
    <row r="188" ht="13" spans="1:19">
      <c r="A188" s="63" t="s">
        <v>260</v>
      </c>
      <c r="B188" s="36">
        <v>2021</v>
      </c>
      <c r="C188" s="44">
        <v>60</v>
      </c>
      <c r="D188" s="44">
        <v>0.4</v>
      </c>
      <c r="E188" s="44">
        <v>33</v>
      </c>
      <c r="F188" s="70">
        <v>27</v>
      </c>
      <c r="G188" s="44">
        <v>15</v>
      </c>
      <c r="H188" s="104">
        <v>0.1</v>
      </c>
      <c r="I188" s="44">
        <v>12</v>
      </c>
      <c r="J188" s="70">
        <v>3</v>
      </c>
      <c r="K188" s="44">
        <v>2979</v>
      </c>
      <c r="L188" s="46"/>
      <c r="M188" s="44">
        <v>4246</v>
      </c>
      <c r="N188" s="70">
        <v>1183</v>
      </c>
      <c r="O188" s="51" cm="1">
        <f t="array" ref="O188">IFERROR(IF(G188&gt;10,G188/C188*0.876,""),“”)</f>
        <v>0.219</v>
      </c>
      <c r="P188" s="51" t="str" cm="1">
        <f t="array" ref="P188">IFERROR(IF(H188&gt;10,H188/D188*0.876,""),“”)</f>
        <v/>
      </c>
      <c r="Q188" s="51" cm="1">
        <f t="array" ref="Q188">IFERROR(IF(I188&gt;10,I188/E188*0.876,""),“”)</f>
        <v>0.318545454545455</v>
      </c>
      <c r="R188" s="51" t="str" cm="1">
        <f t="array" ref="R188">IFERROR(IF(J188&gt;10,J188/F188*0.876,""),“”)</f>
        <v/>
      </c>
      <c r="S188" s="78" t="str">
        <f t="shared" si="9"/>
        <v/>
      </c>
    </row>
    <row r="189" ht="13" spans="1:19">
      <c r="A189" s="63" t="s">
        <v>261</v>
      </c>
      <c r="B189" s="36">
        <v>2021</v>
      </c>
      <c r="C189" s="44">
        <v>2</v>
      </c>
      <c r="D189" s="105"/>
      <c r="E189" s="70">
        <v>2</v>
      </c>
      <c r="F189" s="46"/>
      <c r="G189" s="44">
        <v>1</v>
      </c>
      <c r="H189" s="105"/>
      <c r="I189" s="70">
        <v>1</v>
      </c>
      <c r="J189" s="86"/>
      <c r="K189" s="44">
        <v>4385</v>
      </c>
      <c r="L189" s="70"/>
      <c r="M189" s="70">
        <v>4385</v>
      </c>
      <c r="N189" s="46"/>
      <c r="O189" s="51" t="str" cm="1">
        <f t="array" ref="O189">IFERROR(IF(G189&gt;10,G189/C189*0.876,""),“”)</f>
        <v/>
      </c>
      <c r="P189" s="51" t="str" cm="1">
        <f t="array" ref="P189">IFERROR(IF(H189&gt;10,H189/D189*0.876,""),“”)</f>
        <v/>
      </c>
      <c r="Q189" s="51" t="str" cm="1">
        <f t="array" ref="Q189">IFERROR(IF(I189&gt;10,I189/E189*0.876,""),“”)</f>
        <v/>
      </c>
      <c r="R189" s="51" t="str" cm="1">
        <f t="array" ref="R189">IFERROR(IF(J189&gt;10,J189/F189*0.876,""),“”)</f>
        <v/>
      </c>
      <c r="S189" s="78" t="str">
        <f t="shared" si="9"/>
        <v/>
      </c>
    </row>
    <row r="190" ht="13" spans="1:19">
      <c r="A190" s="63" t="s">
        <v>262</v>
      </c>
      <c r="B190" s="36">
        <v>2021</v>
      </c>
      <c r="C190" s="44">
        <v>51</v>
      </c>
      <c r="D190" s="44">
        <v>2</v>
      </c>
      <c r="E190" s="44">
        <v>35</v>
      </c>
      <c r="F190" s="70">
        <v>14</v>
      </c>
      <c r="G190" s="44">
        <v>23</v>
      </c>
      <c r="H190" s="44">
        <v>1</v>
      </c>
      <c r="I190" s="44">
        <v>21</v>
      </c>
      <c r="J190" s="70">
        <v>1</v>
      </c>
      <c r="K190" s="44">
        <v>5043</v>
      </c>
      <c r="L190" s="46"/>
      <c r="M190" s="70">
        <v>6207</v>
      </c>
      <c r="N190" s="70">
        <v>1152</v>
      </c>
      <c r="O190" s="51" cm="1">
        <f t="array" ref="O190">IFERROR(IF(G190&gt;10,G190/C190*0.876,""),“”)</f>
        <v>0.395058823529412</v>
      </c>
      <c r="P190" s="51" t="str" cm="1">
        <f t="array" ref="P190">IFERROR(IF(H190&gt;10,H190/D190*0.876,""),“”)</f>
        <v/>
      </c>
      <c r="Q190" s="51" cm="1">
        <f t="array" ref="Q190">IFERROR(IF(I190&gt;10,I190/E190*0.876,""),“”)</f>
        <v>0.5256</v>
      </c>
      <c r="R190" s="51" t="str" cm="1">
        <f t="array" ref="R190">IFERROR(IF(J190&gt;10,J190/F190*0.876,""),“”)</f>
        <v/>
      </c>
      <c r="S190" s="78" t="str">
        <f t="shared" si="9"/>
        <v/>
      </c>
    </row>
    <row r="191" ht="13" spans="1:19">
      <c r="A191" s="63" t="s">
        <v>263</v>
      </c>
      <c r="B191" s="36">
        <v>2021</v>
      </c>
      <c r="C191" s="44">
        <v>20</v>
      </c>
      <c r="D191" s="104"/>
      <c r="E191" s="44">
        <v>14</v>
      </c>
      <c r="F191" s="70">
        <v>6</v>
      </c>
      <c r="G191" s="44">
        <v>7</v>
      </c>
      <c r="H191" s="104"/>
      <c r="I191" s="70">
        <v>7</v>
      </c>
      <c r="J191" s="70">
        <v>0.1</v>
      </c>
      <c r="K191" s="44">
        <v>5785</v>
      </c>
      <c r="L191" s="46"/>
      <c r="M191" s="70">
        <v>6633</v>
      </c>
      <c r="N191" s="70">
        <v>369</v>
      </c>
      <c r="O191" s="51" t="str" cm="1">
        <f t="array" ref="O191">IFERROR(IF(G191&gt;10,G191/C191*0.876,""),“”)</f>
        <v/>
      </c>
      <c r="P191" s="51" t="str" cm="1">
        <f t="array" ref="P191">IFERROR(IF(H191&gt;10,H191/D191*0.876,""),“”)</f>
        <v/>
      </c>
      <c r="Q191" s="51" t="str" cm="1">
        <f t="array" ref="Q191">IFERROR(IF(I191&gt;10,I191/E191*0.876,""),“”)</f>
        <v/>
      </c>
      <c r="R191" s="51" t="str" cm="1">
        <f t="array" ref="R191">IFERROR(IF(J191&gt;10,J191/F191*0.876,""),“”)</f>
        <v/>
      </c>
      <c r="S191" s="78" t="str">
        <f t="shared" si="9"/>
        <v/>
      </c>
    </row>
    <row r="192" ht="13" spans="1:19">
      <c r="A192" s="63" t="s">
        <v>264</v>
      </c>
      <c r="B192" s="36">
        <v>2021</v>
      </c>
      <c r="C192" s="44">
        <v>1</v>
      </c>
      <c r="D192" s="44">
        <v>1</v>
      </c>
      <c r="E192" s="86"/>
      <c r="F192" s="70"/>
      <c r="G192" s="46">
        <v>0.2</v>
      </c>
      <c r="H192" s="104">
        <v>0.2</v>
      </c>
      <c r="I192" s="36"/>
      <c r="J192" s="36"/>
      <c r="K192" s="36"/>
      <c r="L192" s="36"/>
      <c r="M192" s="36"/>
      <c r="N192" s="36"/>
      <c r="O192" s="51" t="str" cm="1">
        <f t="array" ref="O192">IFERROR(IF(G192&gt;10,G192/C192*0.876,""),“”)</f>
        <v/>
      </c>
      <c r="P192" s="51" t="str" cm="1">
        <f t="array" ref="P192">IFERROR(IF(H192&gt;10,H192/D192*0.876,""),“”)</f>
        <v/>
      </c>
      <c r="Q192" s="51" t="str" cm="1">
        <f t="array" ref="Q192">IFERROR(IF(I192&gt;10,I192/E192*0.876,""),“”)</f>
        <v/>
      </c>
      <c r="R192" s="51" t="str" cm="1">
        <f t="array" ref="R192">IFERROR(IF(J192&gt;10,J192/F192*0.876,""),“”)</f>
        <v/>
      </c>
      <c r="S192" s="78" t="str">
        <f t="shared" si="9"/>
        <v/>
      </c>
    </row>
    <row r="193" ht="13" spans="1:19">
      <c r="A193" s="63" t="s">
        <v>265</v>
      </c>
      <c r="B193" s="36">
        <v>2021</v>
      </c>
      <c r="C193" s="44">
        <v>13</v>
      </c>
      <c r="D193" s="104"/>
      <c r="E193" s="44">
        <v>5</v>
      </c>
      <c r="F193" s="70">
        <v>8</v>
      </c>
      <c r="G193" s="44">
        <v>3</v>
      </c>
      <c r="H193" s="36"/>
      <c r="I193" s="42">
        <v>3</v>
      </c>
      <c r="J193" s="70">
        <v>0.1</v>
      </c>
      <c r="K193" s="44">
        <v>2566</v>
      </c>
      <c r="L193" s="46"/>
      <c r="M193" s="70">
        <v>6865</v>
      </c>
      <c r="N193" s="70">
        <v>94</v>
      </c>
      <c r="O193" s="51" t="str" cm="1">
        <f t="array" ref="O193">IFERROR(IF(G193&gt;10,G193/C193*0.876,""),“”)</f>
        <v/>
      </c>
      <c r="P193" s="51" t="str" cm="1">
        <f t="array" ref="P193">IFERROR(IF(H193&gt;10,H193/D193*0.876,""),“”)</f>
        <v/>
      </c>
      <c r="Q193" s="51" t="str" cm="1">
        <f t="array" ref="Q193">IFERROR(IF(I193&gt;10,I193/E193*0.876,""),“”)</f>
        <v/>
      </c>
      <c r="R193" s="51" t="str" cm="1">
        <f t="array" ref="R193">IFERROR(IF(J193&gt;10,J193/F193*0.876,""),“”)</f>
        <v/>
      </c>
      <c r="S193" s="78" t="str">
        <f t="shared" si="9"/>
        <v/>
      </c>
    </row>
    <row r="194" ht="13.75" spans="1:19">
      <c r="A194" s="65" t="s">
        <v>266</v>
      </c>
      <c r="B194" s="66">
        <v>2021</v>
      </c>
      <c r="C194" s="67">
        <v>22</v>
      </c>
      <c r="D194" s="67"/>
      <c r="E194" s="67">
        <v>17</v>
      </c>
      <c r="F194" s="84">
        <v>5</v>
      </c>
      <c r="G194" s="67">
        <v>9</v>
      </c>
      <c r="H194" s="116"/>
      <c r="I194" s="67">
        <v>6</v>
      </c>
      <c r="J194" s="129">
        <v>3</v>
      </c>
      <c r="K194" s="67">
        <v>4915</v>
      </c>
      <c r="L194" s="67"/>
      <c r="M194" s="67">
        <v>4471</v>
      </c>
      <c r="N194" s="129">
        <v>6439</v>
      </c>
      <c r="O194" s="79" t="str" cm="1">
        <f t="array" ref="O194">IFERROR(IF(G194&gt;10,G194/C194*0.876,""),“”)</f>
        <v/>
      </c>
      <c r="P194" s="79" t="str" cm="1">
        <f t="array" ref="P194">IFERROR(IF(H194&gt;10,H194/D194*0.876,""),“”)</f>
        <v/>
      </c>
      <c r="Q194" s="79" t="str" cm="1">
        <f t="array" ref="Q194">IFERROR(IF(I194&gt;10,I194/E194*0.876,""),“”)</f>
        <v/>
      </c>
      <c r="R194" s="79" t="str" cm="1">
        <f t="array" ref="R194">IFERROR(IF(J194&gt;10,J194/F194*0.876,""),“”)</f>
        <v/>
      </c>
      <c r="S194" s="80" t="str">
        <f t="shared" si="9"/>
        <v/>
      </c>
    </row>
    <row r="195" ht="13.75" spans="1:19">
      <c r="A195" s="59" t="s">
        <v>234</v>
      </c>
      <c r="B195" s="60">
        <v>2022</v>
      </c>
      <c r="C195" s="89">
        <v>4135</v>
      </c>
      <c r="D195" s="89">
        <v>124</v>
      </c>
      <c r="E195" s="89">
        <v>2384</v>
      </c>
      <c r="F195" s="89">
        <v>1628</v>
      </c>
      <c r="G195" s="89">
        <v>1842</v>
      </c>
      <c r="H195" s="89">
        <v>40</v>
      </c>
      <c r="I195" s="89">
        <v>1267</v>
      </c>
      <c r="J195" s="89">
        <v>535</v>
      </c>
      <c r="K195" s="131">
        <v>4654</v>
      </c>
      <c r="L195" s="131">
        <v>3915</v>
      </c>
      <c r="M195" s="131">
        <v>5562</v>
      </c>
      <c r="N195" s="131">
        <v>3368</v>
      </c>
      <c r="O195" s="79" cm="1">
        <f t="array" ref="O195">IFERROR(IF(G195&gt;10,G195/C195*0.876,""),“”)</f>
        <v>0.390227811366385</v>
      </c>
      <c r="P195" s="79" cm="1">
        <f t="array" ref="P195">IFERROR(IF(H195&gt;10,H195/D195*0.876,""),“”)</f>
        <v>0.28258064516129</v>
      </c>
      <c r="Q195" s="79" cm="1">
        <f t="array" ref="Q195">IFERROR(IF(I195&gt;10,I195/E195*0.876,""),“”)</f>
        <v>0.465558724832215</v>
      </c>
      <c r="R195" s="79" cm="1">
        <f t="array" ref="R195">IFERROR(IF(J195&gt;10,J195/F195*0.876,""),“”)</f>
        <v>0.287874692874693</v>
      </c>
      <c r="S195" s="80">
        <f t="shared" si="9"/>
        <v>0.287664191890348</v>
      </c>
    </row>
    <row r="196" ht="13.75" spans="1:19">
      <c r="A196" s="63" t="s">
        <v>235</v>
      </c>
      <c r="B196" s="60">
        <v>2022</v>
      </c>
      <c r="C196" s="89">
        <v>40</v>
      </c>
      <c r="D196" s="89">
        <v>3</v>
      </c>
      <c r="E196" s="89">
        <v>37</v>
      </c>
      <c r="F196" s="44"/>
      <c r="G196" s="89">
        <v>27</v>
      </c>
      <c r="H196" s="89">
        <v>1</v>
      </c>
      <c r="I196" s="89">
        <v>26</v>
      </c>
      <c r="J196" s="44"/>
      <c r="K196" s="131">
        <v>6887</v>
      </c>
      <c r="L196" s="131">
        <v>1860</v>
      </c>
      <c r="M196" s="131">
        <v>7108</v>
      </c>
      <c r="N196" s="70"/>
      <c r="O196" s="79" cm="1">
        <f t="array" ref="O196">IFERROR(IF(G196&gt;10,G196/C196*0.876,""),“”)</f>
        <v>0.5913</v>
      </c>
      <c r="P196" s="79" t="str" cm="1">
        <f t="array" ref="P196">IFERROR(IF(H196&gt;10,H196/D196*0.876,""),“”)</f>
        <v/>
      </c>
      <c r="Q196" s="79" cm="1">
        <f t="array" ref="Q196">IFERROR(IF(I196&gt;10,I196/E196*0.876,""),“”)</f>
        <v>0.615567567567568</v>
      </c>
      <c r="R196" s="79" t="str" cm="1">
        <f t="array" ref="R196">IFERROR(IF(J196&gt;10,J196/F196*0.876,""),“”)</f>
        <v/>
      </c>
      <c r="S196" s="80" t="str">
        <f t="shared" si="9"/>
        <v/>
      </c>
    </row>
    <row r="197" ht="13.75" spans="1:19">
      <c r="A197" s="63" t="s">
        <v>236</v>
      </c>
      <c r="B197" s="60">
        <v>2022</v>
      </c>
      <c r="C197" s="89">
        <v>45</v>
      </c>
      <c r="D197" s="89">
        <v>0.2</v>
      </c>
      <c r="E197" s="89">
        <v>42</v>
      </c>
      <c r="F197" s="89">
        <v>3</v>
      </c>
      <c r="G197" s="89">
        <v>19</v>
      </c>
      <c r="H197" s="44">
        <v>0.04</v>
      </c>
      <c r="I197" s="89">
        <v>19</v>
      </c>
      <c r="J197" s="44">
        <v>0.2</v>
      </c>
      <c r="K197" s="131">
        <v>4405</v>
      </c>
      <c r="L197" s="70"/>
      <c r="M197" s="131">
        <v>4708</v>
      </c>
      <c r="N197" s="70">
        <v>543</v>
      </c>
      <c r="O197" s="79" cm="1">
        <f t="array" ref="O197">IFERROR(IF(G197&gt;10,G197/C197*0.876,""),“”)</f>
        <v>0.369866666666667</v>
      </c>
      <c r="P197" s="79" t="str" cm="1">
        <f t="array" ref="P197">IFERROR(IF(H197&gt;10,H197/D197*0.876,""),“”)</f>
        <v/>
      </c>
      <c r="Q197" s="79" cm="1">
        <f t="array" ref="Q197">IFERROR(IF(I197&gt;10,I197/E197*0.876,""),“”)</f>
        <v>0.396285714285714</v>
      </c>
      <c r="R197" s="79" t="str" cm="1">
        <f t="array" ref="R197">IFERROR(IF(J197&gt;10,J197/F197*0.876,""),“”)</f>
        <v/>
      </c>
      <c r="S197" s="80" t="str">
        <f t="shared" si="9"/>
        <v/>
      </c>
    </row>
    <row r="198" ht="13.75" spans="1:19">
      <c r="A198" s="63" t="s">
        <v>237</v>
      </c>
      <c r="B198" s="60">
        <v>2022</v>
      </c>
      <c r="C198" s="89">
        <v>219</v>
      </c>
      <c r="D198" s="89">
        <v>3</v>
      </c>
      <c r="E198" s="89">
        <v>142</v>
      </c>
      <c r="F198" s="89">
        <v>74</v>
      </c>
      <c r="G198" s="89">
        <v>87</v>
      </c>
      <c r="H198" s="89">
        <v>1</v>
      </c>
      <c r="I198" s="89">
        <v>64</v>
      </c>
      <c r="J198" s="89">
        <v>21</v>
      </c>
      <c r="K198" s="131">
        <v>4055</v>
      </c>
      <c r="L198" s="70"/>
      <c r="M198" s="131">
        <v>4680</v>
      </c>
      <c r="N198" s="131">
        <v>2875</v>
      </c>
      <c r="O198" s="79" cm="1">
        <f t="array" ref="O198">IFERROR(IF(G198&gt;10,G198/C198*0.876,""),“”)</f>
        <v>0.348</v>
      </c>
      <c r="P198" s="79" t="str" cm="1">
        <f t="array" ref="P198">IFERROR(IF(H198&gt;10,H198/D198*0.876,""),“”)</f>
        <v/>
      </c>
      <c r="Q198" s="79" cm="1">
        <f t="array" ref="Q198">IFERROR(IF(I198&gt;10,I198/E198*0.876,""),“”)</f>
        <v>0.394816901408451</v>
      </c>
      <c r="R198" s="79" cm="1">
        <f t="array" ref="R198">IFERROR(IF(J198&gt;10,J198/F198*0.876,""),“”)</f>
        <v>0.248594594594595</v>
      </c>
      <c r="S198" s="80">
        <f t="shared" si="9"/>
        <v>0.261662337662338</v>
      </c>
    </row>
    <row r="199" ht="13.75" spans="1:19">
      <c r="A199" s="63" t="s">
        <v>238</v>
      </c>
      <c r="B199" s="60">
        <v>2022</v>
      </c>
      <c r="C199" s="89">
        <v>93</v>
      </c>
      <c r="D199" s="89">
        <v>1</v>
      </c>
      <c r="E199" s="89">
        <v>36</v>
      </c>
      <c r="F199" s="89">
        <v>56</v>
      </c>
      <c r="G199" s="89">
        <v>35</v>
      </c>
      <c r="H199" s="44">
        <v>0.3</v>
      </c>
      <c r="I199" s="89">
        <v>15</v>
      </c>
      <c r="J199" s="89">
        <v>20</v>
      </c>
      <c r="K199" s="131">
        <v>4010</v>
      </c>
      <c r="L199" s="70"/>
      <c r="M199" s="131">
        <v>4516</v>
      </c>
      <c r="N199" s="131">
        <v>3708</v>
      </c>
      <c r="O199" s="79" cm="1">
        <f t="array" ref="O199">IFERROR(IF(G199&gt;10,G199/C199*0.876,""),“”)</f>
        <v>0.329677419354839</v>
      </c>
      <c r="P199" s="79" t="str" cm="1">
        <f t="array" ref="P199">IFERROR(IF(H199&gt;10,H199/D199*0.876,""),“”)</f>
        <v/>
      </c>
      <c r="Q199" s="79" cm="1">
        <f t="array" ref="Q199">IFERROR(IF(I199&gt;10,I199/E199*0.876,""),“”)</f>
        <v>0.365</v>
      </c>
      <c r="R199" s="79" cm="1">
        <f t="array" ref="R199">IFERROR(IF(J199&gt;10,J199/F199*0.876,""),“”)</f>
        <v>0.312857142857143</v>
      </c>
      <c r="S199" s="80">
        <f t="shared" si="9"/>
        <v>0.307368421052632</v>
      </c>
    </row>
    <row r="200" ht="13.75" spans="1:19">
      <c r="A200" s="63" t="s">
        <v>239</v>
      </c>
      <c r="B200" s="60">
        <v>2022</v>
      </c>
      <c r="C200" s="89">
        <v>46</v>
      </c>
      <c r="D200" s="44">
        <v>0.3</v>
      </c>
      <c r="E200" s="89">
        <v>13</v>
      </c>
      <c r="F200" s="89">
        <v>33</v>
      </c>
      <c r="G200" s="89">
        <v>14</v>
      </c>
      <c r="H200" s="44">
        <v>0.1</v>
      </c>
      <c r="I200" s="89">
        <v>6</v>
      </c>
      <c r="J200" s="89">
        <v>7</v>
      </c>
      <c r="K200" s="131">
        <v>3006</v>
      </c>
      <c r="L200" s="70"/>
      <c r="M200" s="131">
        <v>4779</v>
      </c>
      <c r="N200" s="131">
        <v>2315</v>
      </c>
      <c r="O200" s="79" cm="1">
        <f t="array" ref="O200">IFERROR(IF(G200&gt;10,G200/C200*0.876,""),“”)</f>
        <v>0.266608695652174</v>
      </c>
      <c r="P200" s="79" t="str" cm="1">
        <f t="array" ref="P200">IFERROR(IF(H200&gt;10,H200/D200*0.876,""),“”)</f>
        <v/>
      </c>
      <c r="Q200" s="79" t="str" cm="1">
        <f t="array" ref="Q200">IFERROR(IF(I200&gt;10,I200/E200*0.876,""),“”)</f>
        <v/>
      </c>
      <c r="R200" s="79" t="str" cm="1">
        <f t="array" ref="R200">IFERROR(IF(J200&gt;10,J200/F200*0.876,""),“”)</f>
        <v/>
      </c>
      <c r="S200" s="80" t="str">
        <f t="shared" si="9"/>
        <v/>
      </c>
    </row>
    <row r="201" ht="13.75" spans="1:19">
      <c r="A201" s="63" t="s">
        <v>240</v>
      </c>
      <c r="B201" s="60">
        <v>2022</v>
      </c>
      <c r="C201" s="89">
        <v>109</v>
      </c>
      <c r="D201" s="89">
        <v>3</v>
      </c>
      <c r="E201" s="89">
        <v>57</v>
      </c>
      <c r="F201" s="89">
        <v>49</v>
      </c>
      <c r="G201" s="89">
        <v>40</v>
      </c>
      <c r="H201" s="89">
        <v>1</v>
      </c>
      <c r="I201" s="89">
        <v>27</v>
      </c>
      <c r="J201" s="89">
        <v>12</v>
      </c>
      <c r="K201" s="131">
        <v>4136</v>
      </c>
      <c r="L201" s="131">
        <v>4344</v>
      </c>
      <c r="M201" s="131">
        <v>5058</v>
      </c>
      <c r="N201" s="131">
        <v>2821</v>
      </c>
      <c r="O201" s="79" cm="1">
        <f t="array" ref="O201">IFERROR(IF(G201&gt;10,G201/C201*0.876,""),“”)</f>
        <v>0.321467889908257</v>
      </c>
      <c r="P201" s="79" t="str" cm="1">
        <f t="array" ref="P201">IFERROR(IF(H201&gt;10,H201/D201*0.876,""),“”)</f>
        <v/>
      </c>
      <c r="Q201" s="79" cm="1">
        <f t="array" ref="Q201">IFERROR(IF(I201&gt;10,I201/E201*0.876,""),“”)</f>
        <v>0.414947368421053</v>
      </c>
      <c r="R201" s="79" cm="1">
        <f t="array" ref="R201">IFERROR(IF(J201&gt;10,J201/F201*0.876,""),“”)</f>
        <v>0.214530612244898</v>
      </c>
      <c r="S201" s="80">
        <f t="shared" si="9"/>
        <v>0.219</v>
      </c>
    </row>
    <row r="202" ht="13.75" spans="1:19">
      <c r="A202" s="63" t="s">
        <v>241</v>
      </c>
      <c r="B202" s="60">
        <v>2022</v>
      </c>
      <c r="C202" s="89">
        <v>111</v>
      </c>
      <c r="D202" s="89">
        <v>1</v>
      </c>
      <c r="E202" s="89">
        <v>25</v>
      </c>
      <c r="F202" s="89">
        <v>84</v>
      </c>
      <c r="G202" s="89">
        <v>34</v>
      </c>
      <c r="H202" s="44">
        <v>0.4</v>
      </c>
      <c r="I202" s="89">
        <v>15</v>
      </c>
      <c r="J202" s="89">
        <v>19</v>
      </c>
      <c r="K202" s="131">
        <v>3034</v>
      </c>
      <c r="L202" s="131">
        <v>2642</v>
      </c>
      <c r="M202" s="131">
        <v>5855</v>
      </c>
      <c r="N202" s="131">
        <v>2198</v>
      </c>
      <c r="O202" s="79" cm="1">
        <f t="array" ref="O202">IFERROR(IF(G202&gt;10,G202/C202*0.876,""),“”)</f>
        <v>0.268324324324324</v>
      </c>
      <c r="P202" s="79" t="str" cm="1">
        <f t="array" ref="P202">IFERROR(IF(H202&gt;10,H202/D202*0.876,""),“”)</f>
        <v/>
      </c>
      <c r="Q202" s="79" cm="1">
        <f t="array" ref="Q202">IFERROR(IF(I202&gt;10,I202/E202*0.876,""),“”)</f>
        <v>0.5256</v>
      </c>
      <c r="R202" s="79" cm="1">
        <f t="array" ref="R202">IFERROR(IF(J202&gt;10,J202/F202*0.876,""),“”)</f>
        <v>0.198142857142857</v>
      </c>
      <c r="S202" s="80">
        <f t="shared" si="9"/>
        <v>0.19353488372093</v>
      </c>
    </row>
    <row r="203" ht="13.75" spans="1:19">
      <c r="A203" s="63" t="s">
        <v>242</v>
      </c>
      <c r="B203" s="60">
        <v>2022</v>
      </c>
      <c r="C203" s="89">
        <v>260</v>
      </c>
      <c r="D203" s="89">
        <v>2</v>
      </c>
      <c r="E203" s="89">
        <v>26</v>
      </c>
      <c r="F203" s="89">
        <v>232</v>
      </c>
      <c r="G203" s="89">
        <v>86</v>
      </c>
      <c r="H203" s="44">
        <v>0.3</v>
      </c>
      <c r="I203" s="89">
        <v>11</v>
      </c>
      <c r="J203" s="89">
        <v>75</v>
      </c>
      <c r="K203" s="131">
        <v>3451</v>
      </c>
      <c r="L203" s="131">
        <v>488</v>
      </c>
      <c r="M203" s="131">
        <v>4907</v>
      </c>
      <c r="N203" s="131">
        <v>3310</v>
      </c>
      <c r="O203" s="79" cm="1">
        <f t="array" ref="O203">IFERROR(IF(G203&gt;10,G203/C203*0.876,""),“”)</f>
        <v>0.289753846153846</v>
      </c>
      <c r="P203" s="79" t="str" cm="1">
        <f t="array" ref="P203">IFERROR(IF(H203&gt;10,H203/D203*0.876,""),“”)</f>
        <v/>
      </c>
      <c r="Q203" s="79" cm="1">
        <f t="array" ref="Q203">IFERROR(IF(I203&gt;10,I203/E203*0.876,""),“”)</f>
        <v>0.370615384615385</v>
      </c>
      <c r="R203" s="79" cm="1">
        <f t="array" ref="R203">IFERROR(IF(J203&gt;10,J203/F203*0.876,""),“”)</f>
        <v>0.283189655172414</v>
      </c>
      <c r="S203" s="80">
        <f t="shared" si="9"/>
        <v>0.280769230769231</v>
      </c>
    </row>
    <row r="204" ht="13.75" spans="1:19">
      <c r="A204" s="63" t="s">
        <v>243</v>
      </c>
      <c r="B204" s="60">
        <v>2022</v>
      </c>
      <c r="C204" s="89">
        <v>69</v>
      </c>
      <c r="D204" s="89">
        <v>3</v>
      </c>
      <c r="E204" s="89">
        <v>65</v>
      </c>
      <c r="F204" s="44"/>
      <c r="G204" s="89">
        <v>39</v>
      </c>
      <c r="H204" s="89">
        <v>1</v>
      </c>
      <c r="I204" s="89">
        <v>38</v>
      </c>
      <c r="J204" s="44"/>
      <c r="K204" s="131">
        <v>6107</v>
      </c>
      <c r="L204" s="131">
        <v>1111</v>
      </c>
      <c r="M204" s="131">
        <v>6298</v>
      </c>
      <c r="N204" s="70"/>
      <c r="O204" s="79" cm="1">
        <f t="array" ref="O204">IFERROR(IF(G204&gt;10,G204/C204*0.876,""),“”)</f>
        <v>0.495130434782609</v>
      </c>
      <c r="P204" s="79" t="str" cm="1">
        <f t="array" ref="P204">IFERROR(IF(H204&gt;10,H204/D204*0.876,""),“”)</f>
        <v/>
      </c>
      <c r="Q204" s="79" cm="1">
        <f t="array" ref="Q204">IFERROR(IF(I204&gt;10,I204/E204*0.876,""),“”)</f>
        <v>0.512123076923077</v>
      </c>
      <c r="R204" s="79" t="str" cm="1">
        <f t="array" ref="R204">IFERROR(IF(J204&gt;10,J204/F204*0.876,""),“”)</f>
        <v/>
      </c>
      <c r="S204" s="80" t="str">
        <f t="shared" si="9"/>
        <v/>
      </c>
    </row>
    <row r="205" ht="13.75" spans="1:19">
      <c r="A205" s="63" t="s">
        <v>244</v>
      </c>
      <c r="B205" s="60">
        <v>2022</v>
      </c>
      <c r="C205" s="89">
        <v>297</v>
      </c>
      <c r="D205" s="89">
        <v>9</v>
      </c>
      <c r="E205" s="89">
        <v>199</v>
      </c>
      <c r="F205" s="89">
        <v>89</v>
      </c>
      <c r="G205" s="44">
        <v>136</v>
      </c>
      <c r="H205" s="89">
        <v>2</v>
      </c>
      <c r="I205" s="89">
        <v>108</v>
      </c>
      <c r="J205" s="89">
        <v>26</v>
      </c>
      <c r="K205" s="131">
        <v>4707</v>
      </c>
      <c r="L205" s="131">
        <v>2489</v>
      </c>
      <c r="M205" s="131">
        <v>5511</v>
      </c>
      <c r="N205" s="131">
        <v>2986</v>
      </c>
      <c r="O205" s="79" cm="1">
        <f t="array" ref="O205">IFERROR(IF(G205&gt;10,G205/C205*0.876,""),“”)</f>
        <v>0.401131313131313</v>
      </c>
      <c r="P205" s="79" t="str" cm="1">
        <f t="array" ref="P205">IFERROR(IF(H205&gt;10,H205/D205*0.876,""),“”)</f>
        <v/>
      </c>
      <c r="Q205" s="79" cm="1">
        <f t="array" ref="Q205">IFERROR(IF(I205&gt;10,I205/E205*0.876,""),“”)</f>
        <v>0.475417085427136</v>
      </c>
      <c r="R205" s="79" cm="1">
        <f t="array" ref="R205">IFERROR(IF(J205&gt;10,J205/F205*0.876,""),“”)</f>
        <v>0.255910112359551</v>
      </c>
      <c r="S205" s="80">
        <f t="shared" si="9"/>
        <v>0.250285714285714</v>
      </c>
    </row>
    <row r="206" ht="13.75" spans="1:19">
      <c r="A206" s="63" t="s">
        <v>245</v>
      </c>
      <c r="B206" s="60">
        <v>2022</v>
      </c>
      <c r="C206" s="89">
        <v>284</v>
      </c>
      <c r="D206" s="89">
        <v>7</v>
      </c>
      <c r="E206" s="89">
        <v>248</v>
      </c>
      <c r="F206" s="89">
        <v>29</v>
      </c>
      <c r="G206" s="89">
        <v>145</v>
      </c>
      <c r="H206" s="89">
        <v>2</v>
      </c>
      <c r="I206" s="89">
        <v>130</v>
      </c>
      <c r="J206" s="89">
        <v>12</v>
      </c>
      <c r="K206" s="131">
        <v>5249</v>
      </c>
      <c r="L206" s="131">
        <v>7667</v>
      </c>
      <c r="M206" s="131">
        <v>5321</v>
      </c>
      <c r="N206" s="131">
        <v>4468</v>
      </c>
      <c r="O206" s="79" cm="1">
        <f t="array" ref="O206">IFERROR(IF(G206&gt;10,G206/C206*0.876,""),“”)</f>
        <v>0.447253521126761</v>
      </c>
      <c r="P206" s="79" t="str" cm="1">
        <f t="array" ref="P206">IFERROR(IF(H206&gt;10,H206/D206*0.876,""),“”)</f>
        <v/>
      </c>
      <c r="Q206" s="79" cm="1">
        <f t="array" ref="Q206">IFERROR(IF(I206&gt;10,I206/E206*0.876,""),“”)</f>
        <v>0.459193548387097</v>
      </c>
      <c r="R206" s="79" cm="1">
        <f t="array" ref="R206">IFERROR(IF(J206&gt;10,J206/F206*0.876,""),“”)</f>
        <v>0.36248275862069</v>
      </c>
      <c r="S206" s="80">
        <f t="shared" si="9"/>
        <v>0.365</v>
      </c>
    </row>
    <row r="207" ht="13.75" spans="1:19">
      <c r="A207" s="63" t="s">
        <v>246</v>
      </c>
      <c r="B207" s="60">
        <v>2022</v>
      </c>
      <c r="C207" s="89">
        <v>245</v>
      </c>
      <c r="D207" s="89">
        <v>3</v>
      </c>
      <c r="E207" s="89">
        <v>99</v>
      </c>
      <c r="F207" s="89">
        <v>143</v>
      </c>
      <c r="G207" s="89">
        <v>124</v>
      </c>
      <c r="H207" s="89">
        <v>0.4</v>
      </c>
      <c r="I207" s="89">
        <v>55</v>
      </c>
      <c r="J207" s="89">
        <v>69</v>
      </c>
      <c r="K207" s="131">
        <v>5228</v>
      </c>
      <c r="L207" s="131">
        <v>5732</v>
      </c>
      <c r="M207" s="131">
        <v>5688</v>
      </c>
      <c r="N207" s="131">
        <v>4907</v>
      </c>
      <c r="O207" s="79" cm="1">
        <f t="array" ref="O207">IFERROR(IF(G207&gt;10,G207/C207*0.876,""),“”)</f>
        <v>0.443363265306122</v>
      </c>
      <c r="P207" s="79" t="str" cm="1">
        <f t="array" ref="P207">IFERROR(IF(H207&gt;10,H207/D207*0.876,""),“”)</f>
        <v/>
      </c>
      <c r="Q207" s="79" cm="1">
        <f t="array" ref="Q207">IFERROR(IF(I207&gt;10,I207/E207*0.876,""),“”)</f>
        <v>0.486666666666667</v>
      </c>
      <c r="R207" s="79" cm="1">
        <f t="array" ref="R207">IFERROR(IF(J207&gt;10,J207/F207*0.876,""),“”)</f>
        <v>0.422685314685315</v>
      </c>
      <c r="S207" s="80">
        <f t="shared" si="9"/>
        <v>0.414</v>
      </c>
    </row>
    <row r="208" ht="13.75" spans="1:19">
      <c r="A208" s="63" t="s">
        <v>247</v>
      </c>
      <c r="B208" s="60">
        <v>2022</v>
      </c>
      <c r="C208" s="89">
        <v>103</v>
      </c>
      <c r="D208" s="89">
        <v>4</v>
      </c>
      <c r="E208" s="89">
        <v>90</v>
      </c>
      <c r="F208" s="89">
        <v>9</v>
      </c>
      <c r="G208" s="89">
        <v>55</v>
      </c>
      <c r="H208" s="89">
        <v>1</v>
      </c>
      <c r="I208" s="89">
        <v>50</v>
      </c>
      <c r="J208" s="89">
        <v>3</v>
      </c>
      <c r="K208" s="131">
        <v>5757</v>
      </c>
      <c r="L208" s="131">
        <v>3640</v>
      </c>
      <c r="M208" s="131">
        <v>5854</v>
      </c>
      <c r="N208" s="131">
        <v>4849</v>
      </c>
      <c r="O208" s="79" cm="1">
        <f t="array" ref="O208">IFERROR(IF(G208&gt;10,G208/C208*0.876,""),“”)</f>
        <v>0.467766990291262</v>
      </c>
      <c r="P208" s="79" t="str" cm="1">
        <f t="array" ref="P208">IFERROR(IF(H208&gt;10,H208/D208*0.876,""),“”)</f>
        <v/>
      </c>
      <c r="Q208" s="79" cm="1">
        <f t="array" ref="Q208">IFERROR(IF(I208&gt;10,I208/E208*0.876,""),“”)</f>
        <v>0.486666666666667</v>
      </c>
      <c r="R208" s="79" t="str" cm="1">
        <f t="array" ref="R208">IFERROR(IF(J208&gt;10,J208/F208*0.876,""),“”)</f>
        <v/>
      </c>
      <c r="S208" s="80" t="str">
        <f t="shared" si="9"/>
        <v/>
      </c>
    </row>
    <row r="209" ht="13.75" spans="1:19">
      <c r="A209" s="63" t="s">
        <v>248</v>
      </c>
      <c r="B209" s="60">
        <v>2022</v>
      </c>
      <c r="C209" s="89">
        <v>120</v>
      </c>
      <c r="D209" s="89">
        <v>5</v>
      </c>
      <c r="E209" s="89">
        <v>84</v>
      </c>
      <c r="F209" s="89">
        <v>31</v>
      </c>
      <c r="G209" s="89">
        <v>59</v>
      </c>
      <c r="H209" s="89">
        <v>1</v>
      </c>
      <c r="I209" s="89">
        <v>43</v>
      </c>
      <c r="J209" s="89">
        <v>15</v>
      </c>
      <c r="K209" s="131">
        <v>5113</v>
      </c>
      <c r="L209" s="131">
        <v>1652</v>
      </c>
      <c r="M209" s="131">
        <v>5178</v>
      </c>
      <c r="N209" s="131">
        <v>5142</v>
      </c>
      <c r="O209" s="79" cm="1">
        <f t="array" ref="O209">IFERROR(IF(G209&gt;10,G209/C209*0.876,""),“”)</f>
        <v>0.4307</v>
      </c>
      <c r="P209" s="79" t="str" cm="1">
        <f t="array" ref="P209">IFERROR(IF(H209&gt;10,H209/D209*0.876,""),“”)</f>
        <v/>
      </c>
      <c r="Q209" s="79" cm="1">
        <f t="array" ref="Q209">IFERROR(IF(I209&gt;10,I209/E209*0.876,""),“”)</f>
        <v>0.448428571428571</v>
      </c>
      <c r="R209" s="79" cm="1">
        <f t="array" ref="R209">IFERROR(IF(J209&gt;10,J209/F209*0.876,""),“”)</f>
        <v>0.423870967741936</v>
      </c>
      <c r="S209" s="80">
        <f t="shared" si="9"/>
        <v>0.389333333333333</v>
      </c>
    </row>
    <row r="210" ht="13.75" spans="1:19">
      <c r="A210" s="63" t="s">
        <v>249</v>
      </c>
      <c r="B210" s="60">
        <v>2022</v>
      </c>
      <c r="C210" s="89">
        <v>411</v>
      </c>
      <c r="D210" s="89">
        <v>15</v>
      </c>
      <c r="E210" s="89">
        <v>203</v>
      </c>
      <c r="F210" s="89">
        <v>193</v>
      </c>
      <c r="G210" s="89">
        <v>185</v>
      </c>
      <c r="H210" s="89">
        <v>4</v>
      </c>
      <c r="I210" s="89">
        <v>108</v>
      </c>
      <c r="J210" s="89">
        <v>73</v>
      </c>
      <c r="K210" s="131">
        <v>4591</v>
      </c>
      <c r="L210" s="131">
        <v>3650</v>
      </c>
      <c r="M210" s="131">
        <v>5402</v>
      </c>
      <c r="N210" s="131">
        <v>3786</v>
      </c>
      <c r="O210" s="79" cm="1">
        <f t="array" ref="O210">IFERROR(IF(G210&gt;10,G210/C210*0.876,""),“”)</f>
        <v>0.394306569343066</v>
      </c>
      <c r="P210" s="79" t="str" cm="1">
        <f t="array" ref="P210">IFERROR(IF(H210&gt;10,H210/D210*0.876,""),“”)</f>
        <v/>
      </c>
      <c r="Q210" s="79" cm="1">
        <f t="array" ref="Q210">IFERROR(IF(I210&gt;10,I210/E210*0.876,""),“”)</f>
        <v>0.466049261083744</v>
      </c>
      <c r="R210" s="79" cm="1">
        <f t="array" ref="R210">IFERROR(IF(J210&gt;10,J210/F210*0.876,""),“”)</f>
        <v>0.331336787564767</v>
      </c>
      <c r="S210" s="80">
        <f t="shared" si="9"/>
        <v>0.324288461538462</v>
      </c>
    </row>
    <row r="211" ht="13.75" spans="1:19">
      <c r="A211" s="63" t="s">
        <v>250</v>
      </c>
      <c r="B211" s="60">
        <v>2022</v>
      </c>
      <c r="C211" s="89">
        <v>251</v>
      </c>
      <c r="D211" s="89">
        <v>5</v>
      </c>
      <c r="E211" s="89">
        <v>121</v>
      </c>
      <c r="F211" s="89">
        <v>125</v>
      </c>
      <c r="G211" s="89">
        <v>114</v>
      </c>
      <c r="H211" s="89">
        <v>2</v>
      </c>
      <c r="I211" s="89">
        <v>59</v>
      </c>
      <c r="J211" s="89">
        <v>53</v>
      </c>
      <c r="K211" s="131">
        <v>4786</v>
      </c>
      <c r="L211" s="70"/>
      <c r="M211" s="131">
        <v>5331</v>
      </c>
      <c r="N211" s="131">
        <v>4296</v>
      </c>
      <c r="O211" s="79" cm="1">
        <f t="array" ref="O211">IFERROR(IF(G211&gt;10,G211/C211*0.876,""),“”)</f>
        <v>0.397864541832669</v>
      </c>
      <c r="P211" s="79" t="str" cm="1">
        <f t="array" ref="P211">IFERROR(IF(H211&gt;10,H211/D211*0.876,""),“”)</f>
        <v/>
      </c>
      <c r="Q211" s="79" cm="1">
        <f t="array" ref="Q211">IFERROR(IF(I211&gt;10,I211/E211*0.876,""),“”)</f>
        <v>0.427140495867769</v>
      </c>
      <c r="R211" s="79" cm="1">
        <f t="array" ref="R211">IFERROR(IF(J211&gt;10,J211/F211*0.876,""),“”)</f>
        <v>0.371424</v>
      </c>
      <c r="S211" s="80">
        <f t="shared" si="9"/>
        <v>0.370615384615385</v>
      </c>
    </row>
    <row r="212" ht="13.75" spans="1:19">
      <c r="A212" s="63" t="s">
        <v>251</v>
      </c>
      <c r="B212" s="60">
        <v>2022</v>
      </c>
      <c r="C212" s="89">
        <v>137</v>
      </c>
      <c r="D212" s="89">
        <v>6</v>
      </c>
      <c r="E212" s="89">
        <v>65</v>
      </c>
      <c r="F212" s="89">
        <v>66</v>
      </c>
      <c r="G212" s="89">
        <v>51</v>
      </c>
      <c r="H212" s="89">
        <v>2</v>
      </c>
      <c r="I212" s="89">
        <v>33</v>
      </c>
      <c r="J212" s="89">
        <v>16</v>
      </c>
      <c r="K212" s="131">
        <v>4050</v>
      </c>
      <c r="L212" s="70"/>
      <c r="M212" s="131">
        <v>6003</v>
      </c>
      <c r="N212" s="131">
        <v>2385</v>
      </c>
      <c r="O212" s="79" cm="1">
        <f t="array" ref="O212">IFERROR(IF(G212&gt;10,G212/C212*0.876,""),“”)</f>
        <v>0.326102189781022</v>
      </c>
      <c r="P212" s="79" t="str" cm="1">
        <f t="array" ref="P212">IFERROR(IF(H212&gt;10,H212/D212*0.876,""),“”)</f>
        <v/>
      </c>
      <c r="Q212" s="79" cm="1">
        <f t="array" ref="Q212">IFERROR(IF(I212&gt;10,I212/E212*0.876,""),“”)</f>
        <v>0.444738461538462</v>
      </c>
      <c r="R212" s="79" cm="1">
        <f t="array" ref="R212">IFERROR(IF(J212&gt;10,J212/F212*0.876,""),“”)</f>
        <v>0.212363636363636</v>
      </c>
      <c r="S212" s="80">
        <f t="shared" si="9"/>
        <v>0.219</v>
      </c>
    </row>
    <row r="213" ht="13.75" spans="1:19">
      <c r="A213" s="63" t="s">
        <v>252</v>
      </c>
      <c r="B213" s="60">
        <v>2022</v>
      </c>
      <c r="C213" s="89">
        <v>126</v>
      </c>
      <c r="D213" s="89">
        <v>8</v>
      </c>
      <c r="E213" s="89">
        <v>74</v>
      </c>
      <c r="F213" s="89">
        <v>44</v>
      </c>
      <c r="G213" s="89">
        <v>59</v>
      </c>
      <c r="H213" s="89">
        <v>3</v>
      </c>
      <c r="I213" s="89">
        <v>45</v>
      </c>
      <c r="J213" s="89">
        <v>12</v>
      </c>
      <c r="K213" s="131">
        <v>5061</v>
      </c>
      <c r="L213" s="131">
        <v>2162</v>
      </c>
      <c r="M213" s="131">
        <v>6834</v>
      </c>
      <c r="N213" s="131">
        <v>2620</v>
      </c>
      <c r="O213" s="79" cm="1">
        <f t="array" ref="O213">IFERROR(IF(G213&gt;10,G213/C213*0.876,""),“”)</f>
        <v>0.410190476190476</v>
      </c>
      <c r="P213" s="79" t="str" cm="1">
        <f t="array" ref="P213">IFERROR(IF(H213&gt;10,H213/D213*0.876,""),“”)</f>
        <v/>
      </c>
      <c r="Q213" s="79" cm="1">
        <f t="array" ref="Q213">IFERROR(IF(I213&gt;10,I213/E213*0.876,""),“”)</f>
        <v>0.532702702702703</v>
      </c>
      <c r="R213" s="79" cm="1">
        <f t="array" ref="R213">IFERROR(IF(J213&gt;10,J213/F213*0.876,""),“”)</f>
        <v>0.238909090909091</v>
      </c>
      <c r="S213" s="80">
        <f t="shared" si="9"/>
        <v>0.235846153846154</v>
      </c>
    </row>
    <row r="214" ht="13.75" spans="1:19">
      <c r="A214" s="63" t="s">
        <v>253</v>
      </c>
      <c r="B214" s="60">
        <v>2022</v>
      </c>
      <c r="C214" s="89">
        <v>422</v>
      </c>
      <c r="D214" s="89">
        <v>32</v>
      </c>
      <c r="E214" s="89">
        <v>340</v>
      </c>
      <c r="F214" s="89">
        <v>50</v>
      </c>
      <c r="G214" s="89">
        <v>217</v>
      </c>
      <c r="H214" s="89">
        <v>12</v>
      </c>
      <c r="I214" s="89">
        <v>184</v>
      </c>
      <c r="J214" s="89">
        <v>21</v>
      </c>
      <c r="K214" s="131">
        <v>5253</v>
      </c>
      <c r="L214" s="131">
        <v>4792</v>
      </c>
      <c r="M214" s="131">
        <v>5435</v>
      </c>
      <c r="N214" s="131">
        <v>4177</v>
      </c>
      <c r="O214" s="79" cm="1">
        <f t="array" ref="O214">IFERROR(IF(G214&gt;10,G214/C214*0.876,""),“”)</f>
        <v>0.450454976303318</v>
      </c>
      <c r="P214" s="79" cm="1">
        <f t="array" ref="P214">IFERROR(IF(H214&gt;10,H214/D214*0.876,""),“”)</f>
        <v>0.3285</v>
      </c>
      <c r="Q214" s="79" cm="1">
        <f t="array" ref="Q214">IFERROR(IF(I214&gt;10,I214/E214*0.876,""),“”)</f>
        <v>0.474070588235294</v>
      </c>
      <c r="R214" s="79" cm="1">
        <f t="array" ref="R214">IFERROR(IF(J214&gt;10,J214/F214*0.876,""),“”)</f>
        <v>0.36792</v>
      </c>
      <c r="S214" s="80">
        <f t="shared" si="9"/>
        <v>0.352536585365854</v>
      </c>
    </row>
    <row r="215" ht="13.75" spans="1:19">
      <c r="A215" s="63" t="s">
        <v>254</v>
      </c>
      <c r="B215" s="60">
        <v>2022</v>
      </c>
      <c r="C215" s="89">
        <v>251</v>
      </c>
      <c r="D215" s="89">
        <v>3</v>
      </c>
      <c r="E215" s="89">
        <v>59</v>
      </c>
      <c r="F215" s="89">
        <v>189</v>
      </c>
      <c r="G215" s="89">
        <v>72</v>
      </c>
      <c r="H215" s="89">
        <v>1</v>
      </c>
      <c r="I215" s="89">
        <v>31</v>
      </c>
      <c r="J215" s="89">
        <v>40</v>
      </c>
      <c r="K215" s="131">
        <v>3022</v>
      </c>
      <c r="L215" s="70"/>
      <c r="M215" s="131">
        <v>6138</v>
      </c>
      <c r="N215" s="131">
        <v>2181</v>
      </c>
      <c r="O215" s="79" cm="1">
        <f t="array" ref="O215">IFERROR(IF(G215&gt;10,G215/C215*0.876,""),“”)</f>
        <v>0.251282868525896</v>
      </c>
      <c r="P215" s="79" t="str" cm="1">
        <f t="array" ref="P215">IFERROR(IF(H215&gt;10,H215/D215*0.876,""),“”)</f>
        <v/>
      </c>
      <c r="Q215" s="79" cm="1">
        <f t="array" ref="Q215">IFERROR(IF(I215&gt;10,I215/E215*0.876,""),“”)</f>
        <v>0.460271186440678</v>
      </c>
      <c r="R215" s="79" cm="1">
        <f t="array" ref="R215">IFERROR(IF(J215&gt;10,J215/F215*0.876,""),“”)</f>
        <v>0.185396825396825</v>
      </c>
      <c r="S215" s="80">
        <f t="shared" si="9"/>
        <v>0.1870625</v>
      </c>
    </row>
    <row r="216" ht="13.75" spans="1:19">
      <c r="A216" s="63" t="s">
        <v>255</v>
      </c>
      <c r="B216" s="60">
        <v>2022</v>
      </c>
      <c r="C216" s="89">
        <v>59</v>
      </c>
      <c r="D216" s="89">
        <v>1</v>
      </c>
      <c r="E216" s="89">
        <v>31</v>
      </c>
      <c r="F216" s="89">
        <v>28</v>
      </c>
      <c r="G216" s="89">
        <v>33</v>
      </c>
      <c r="H216" s="44">
        <v>0.1</v>
      </c>
      <c r="I216" s="89">
        <v>19</v>
      </c>
      <c r="J216" s="89">
        <v>15</v>
      </c>
      <c r="K216" s="131">
        <v>6042</v>
      </c>
      <c r="L216" s="70"/>
      <c r="M216" s="131">
        <v>6512</v>
      </c>
      <c r="N216" s="131">
        <v>5531</v>
      </c>
      <c r="O216" s="79" cm="1">
        <f t="array" ref="O216">IFERROR(IF(G216&gt;10,G216/C216*0.876,""),“”)</f>
        <v>0.489966101694915</v>
      </c>
      <c r="P216" s="79" t="str" cm="1">
        <f t="array" ref="P216">IFERROR(IF(H216&gt;10,H216/D216*0.876,""),“”)</f>
        <v/>
      </c>
      <c r="Q216" s="79" cm="1">
        <f t="array" ref="Q216">IFERROR(IF(I216&gt;10,I216/E216*0.876,""),“”)</f>
        <v>0.536903225806452</v>
      </c>
      <c r="R216" s="79" cm="1">
        <f t="array" ref="R216">IFERROR(IF(J216&gt;10,J216/F216*0.876,""),“”)</f>
        <v>0.469285714285714</v>
      </c>
      <c r="S216" s="80">
        <f t="shared" si="9"/>
        <v>0.438</v>
      </c>
    </row>
    <row r="217" ht="13.75" spans="1:19">
      <c r="A217" s="63" t="s">
        <v>256</v>
      </c>
      <c r="B217" s="60">
        <v>2022</v>
      </c>
      <c r="C217" s="89">
        <v>59</v>
      </c>
      <c r="D217" s="89">
        <v>1</v>
      </c>
      <c r="E217" s="89">
        <v>52</v>
      </c>
      <c r="F217" s="89">
        <v>7</v>
      </c>
      <c r="G217" s="89">
        <v>29</v>
      </c>
      <c r="H217" s="44"/>
      <c r="I217" s="89">
        <v>29</v>
      </c>
      <c r="J217" s="44">
        <v>0.1</v>
      </c>
      <c r="K217" s="131">
        <v>5407</v>
      </c>
      <c r="L217" s="70"/>
      <c r="M217" s="131">
        <v>6229</v>
      </c>
      <c r="N217" s="131">
        <v>202</v>
      </c>
      <c r="O217" s="79" cm="1">
        <f t="array" ref="O217">IFERROR(IF(G217&gt;10,G217/C217*0.876,""),“”)</f>
        <v>0.430576271186441</v>
      </c>
      <c r="P217" s="79" t="str" cm="1">
        <f t="array" ref="P217">IFERROR(IF(H217&gt;10,H217/D217*0.876,""),“”)</f>
        <v/>
      </c>
      <c r="Q217" s="79" cm="1">
        <f t="array" ref="Q217">IFERROR(IF(I217&gt;10,I217/E217*0.876,""),“”)</f>
        <v>0.488538461538462</v>
      </c>
      <c r="R217" s="79" t="str" cm="1">
        <f t="array" ref="R217">IFERROR(IF(J217&gt;10,J217/F217*0.876,""),“”)</f>
        <v/>
      </c>
      <c r="S217" s="80" t="str">
        <f t="shared" si="9"/>
        <v/>
      </c>
    </row>
    <row r="218" ht="13.75" spans="1:19">
      <c r="A218" s="63" t="s">
        <v>258</v>
      </c>
      <c r="B218" s="60">
        <v>2022</v>
      </c>
      <c r="C218" s="89">
        <v>129</v>
      </c>
      <c r="D218" s="89">
        <v>5</v>
      </c>
      <c r="E218" s="89">
        <v>107</v>
      </c>
      <c r="F218" s="89">
        <v>18</v>
      </c>
      <c r="G218" s="89">
        <v>79</v>
      </c>
      <c r="H218" s="89">
        <v>3</v>
      </c>
      <c r="I218" s="89">
        <v>65</v>
      </c>
      <c r="J218" s="89">
        <v>12</v>
      </c>
      <c r="K218" s="131">
        <v>6685</v>
      </c>
      <c r="L218" s="131">
        <v>6463</v>
      </c>
      <c r="M218" s="131">
        <v>6684</v>
      </c>
      <c r="N218" s="131">
        <v>6733</v>
      </c>
      <c r="O218" s="79" cm="1">
        <f t="array" ref="O218">IFERROR(IF(G218&gt;10,G218/C218*0.876,""),“”)</f>
        <v>0.53646511627907</v>
      </c>
      <c r="P218" s="79" t="str" cm="1">
        <f t="array" ref="P218">IFERROR(IF(H218&gt;10,H218/D218*0.876,""),“”)</f>
        <v/>
      </c>
      <c r="Q218" s="79" cm="1">
        <f t="array" ref="Q218">IFERROR(IF(I218&gt;10,I218/E218*0.876,""),“”)</f>
        <v>0.53214953271028</v>
      </c>
      <c r="R218" s="79" cm="1">
        <f t="array" ref="R218">IFERROR(IF(J218&gt;10,J218/F218*0.876,""),“”)</f>
        <v>0.584</v>
      </c>
      <c r="S218" s="80">
        <f t="shared" si="9"/>
        <v>0.557454545454545</v>
      </c>
    </row>
    <row r="219" ht="13.75" spans="1:19">
      <c r="A219" s="63" t="s">
        <v>259</v>
      </c>
      <c r="B219" s="60">
        <v>2022</v>
      </c>
      <c r="C219" s="89">
        <v>63</v>
      </c>
      <c r="D219" s="44"/>
      <c r="E219" s="89">
        <v>51</v>
      </c>
      <c r="F219" s="89">
        <v>12</v>
      </c>
      <c r="G219" s="89">
        <v>27</v>
      </c>
      <c r="H219" s="44"/>
      <c r="I219" s="89">
        <v>24</v>
      </c>
      <c r="J219" s="89">
        <v>2</v>
      </c>
      <c r="K219" s="131">
        <v>4824</v>
      </c>
      <c r="L219" s="70"/>
      <c r="M219" s="131">
        <v>5650</v>
      </c>
      <c r="N219" s="131">
        <v>1844</v>
      </c>
      <c r="O219" s="79" cm="1">
        <f t="array" ref="O219">IFERROR(IF(G219&gt;10,G219/C219*0.876,""),“”)</f>
        <v>0.375428571428571</v>
      </c>
      <c r="P219" s="79" t="str" cm="1">
        <f t="array" ref="P219">IFERROR(IF(H219&gt;10,H219/D219*0.876,""),“”)</f>
        <v/>
      </c>
      <c r="Q219" s="79" cm="1">
        <f t="array" ref="Q219">IFERROR(IF(I219&gt;10,I219/E219*0.876,""),“”)</f>
        <v>0.412235294117647</v>
      </c>
      <c r="R219" s="79" t="str" cm="1">
        <f t="array" ref="R219">IFERROR(IF(J219&gt;10,J219/F219*0.876,""),“”)</f>
        <v/>
      </c>
      <c r="S219" s="80" t="str">
        <f t="shared" si="9"/>
        <v/>
      </c>
    </row>
    <row r="220" ht="13.75" spans="1:19">
      <c r="A220" s="63" t="s">
        <v>260</v>
      </c>
      <c r="B220" s="60">
        <v>2022</v>
      </c>
      <c r="C220" s="89">
        <v>66</v>
      </c>
      <c r="D220" s="89">
        <v>0.3</v>
      </c>
      <c r="E220" s="89">
        <v>38</v>
      </c>
      <c r="F220" s="89">
        <v>27</v>
      </c>
      <c r="G220" s="89">
        <v>22</v>
      </c>
      <c r="H220" s="44">
        <v>0.1</v>
      </c>
      <c r="I220" s="89">
        <v>19</v>
      </c>
      <c r="J220" s="89">
        <v>3</v>
      </c>
      <c r="K220" s="131">
        <v>3693</v>
      </c>
      <c r="L220" s="70"/>
      <c r="M220" s="131">
        <v>5068</v>
      </c>
      <c r="N220" s="131">
        <v>1166</v>
      </c>
      <c r="O220" s="79" cm="1">
        <f t="array" ref="O220">IFERROR(IF(G220&gt;10,G220/C220*0.876,""),“”)</f>
        <v>0.292</v>
      </c>
      <c r="P220" s="79" t="str" cm="1">
        <f t="array" ref="P220">IFERROR(IF(H220&gt;10,H220/D220*0.876,""),“”)</f>
        <v/>
      </c>
      <c r="Q220" s="79" cm="1">
        <f t="array" ref="Q220">IFERROR(IF(I220&gt;10,I220/E220*0.876,""),“”)</f>
        <v>0.438</v>
      </c>
      <c r="R220" s="79" t="str" cm="1">
        <f t="array" ref="R220">IFERROR(IF(J220&gt;10,J220/F220*0.876,""),“”)</f>
        <v/>
      </c>
      <c r="S220" s="80" t="str">
        <f t="shared" si="9"/>
        <v/>
      </c>
    </row>
    <row r="221" ht="13.75" spans="1:19">
      <c r="A221" s="63" t="s">
        <v>261</v>
      </c>
      <c r="B221" s="60">
        <v>2022</v>
      </c>
      <c r="C221" s="89">
        <v>2</v>
      </c>
      <c r="D221" s="44"/>
      <c r="E221" s="89">
        <v>2</v>
      </c>
      <c r="F221" s="44"/>
      <c r="G221" s="89">
        <v>1</v>
      </c>
      <c r="H221" s="44"/>
      <c r="I221" s="89">
        <v>1</v>
      </c>
      <c r="J221" s="44"/>
      <c r="K221" s="131">
        <v>5299</v>
      </c>
      <c r="L221" s="70"/>
      <c r="M221" s="131">
        <v>5299</v>
      </c>
      <c r="N221" s="70"/>
      <c r="O221" s="79" t="str" cm="1">
        <f t="array" ref="O221">IFERROR(IF(G221&gt;10,G221/C221*0.876,""),“”)</f>
        <v/>
      </c>
      <c r="P221" s="79" t="str" cm="1">
        <f t="array" ref="P221">IFERROR(IF(H221&gt;10,H221/D221*0.876,""),“”)</f>
        <v/>
      </c>
      <c r="Q221" s="79" t="str" cm="1">
        <f t="array" ref="Q221">IFERROR(IF(I221&gt;10,I221/E221*0.876,""),“”)</f>
        <v/>
      </c>
      <c r="R221" s="79" t="str" cm="1">
        <f t="array" ref="R221">IFERROR(IF(J221&gt;10,J221/F221*0.876,""),“”)</f>
        <v/>
      </c>
      <c r="S221" s="80" t="str">
        <f t="shared" si="9"/>
        <v/>
      </c>
    </row>
    <row r="222" ht="13.75" spans="1:19">
      <c r="A222" s="63" t="s">
        <v>262</v>
      </c>
      <c r="B222" s="60">
        <v>2022</v>
      </c>
      <c r="C222" s="89">
        <v>60</v>
      </c>
      <c r="D222" s="89">
        <v>3</v>
      </c>
      <c r="E222" s="89">
        <v>41</v>
      </c>
      <c r="F222" s="89">
        <v>17</v>
      </c>
      <c r="G222" s="89">
        <v>26</v>
      </c>
      <c r="H222" s="89">
        <v>1</v>
      </c>
      <c r="I222" s="89">
        <v>21</v>
      </c>
      <c r="J222" s="89">
        <v>3</v>
      </c>
      <c r="K222" s="131">
        <v>4868</v>
      </c>
      <c r="L222" s="70"/>
      <c r="M222" s="131">
        <v>6154</v>
      </c>
      <c r="N222" s="131">
        <v>2113</v>
      </c>
      <c r="O222" s="79" cm="1">
        <f t="array" ref="O222">IFERROR(IF(G222&gt;10,G222/C222*0.876,""),“”)</f>
        <v>0.3796</v>
      </c>
      <c r="P222" s="79" t="str" cm="1">
        <f t="array" ref="P222">IFERROR(IF(H222&gt;10,H222/D222*0.876,""),“”)</f>
        <v/>
      </c>
      <c r="Q222" s="79" cm="1">
        <f t="array" ref="Q222">IFERROR(IF(I222&gt;10,I222/E222*0.876,""),“”)</f>
        <v>0.448682926829268</v>
      </c>
      <c r="R222" s="79" t="str" cm="1">
        <f t="array" ref="R222">IFERROR(IF(J222&gt;10,J222/F222*0.876,""),“”)</f>
        <v/>
      </c>
      <c r="S222" s="80" t="str">
        <f t="shared" si="9"/>
        <v/>
      </c>
    </row>
    <row r="223" ht="13.75" spans="1:19">
      <c r="A223" s="63" t="s">
        <v>263</v>
      </c>
      <c r="B223" s="60">
        <v>2022</v>
      </c>
      <c r="C223" s="89">
        <v>23</v>
      </c>
      <c r="D223" s="44"/>
      <c r="E223" s="89">
        <v>17</v>
      </c>
      <c r="F223" s="89">
        <v>6</v>
      </c>
      <c r="G223" s="89">
        <v>10</v>
      </c>
      <c r="H223" s="44"/>
      <c r="I223" s="89">
        <v>10</v>
      </c>
      <c r="J223" s="44">
        <v>0.1</v>
      </c>
      <c r="K223" s="131">
        <v>4766</v>
      </c>
      <c r="L223" s="70"/>
      <c r="M223" s="131">
        <v>6069</v>
      </c>
      <c r="N223" s="131">
        <v>289</v>
      </c>
      <c r="O223" s="79" t="str" cm="1">
        <f t="array" ref="O223">IFERROR(IF(G223&gt;10,G223/C223*0.876,""),“”)</f>
        <v/>
      </c>
      <c r="P223" s="79" t="str" cm="1">
        <f t="array" ref="P223">IFERROR(IF(H223&gt;10,H223/D223*0.876,""),“”)</f>
        <v/>
      </c>
      <c r="Q223" s="79" t="str" cm="1">
        <f t="array" ref="Q223">IFERROR(IF(I223&gt;10,I223/E223*0.876,""),“”)</f>
        <v/>
      </c>
      <c r="R223" s="79" t="str" cm="1">
        <f t="array" ref="R223">IFERROR(IF(J223&gt;10,J223/F223*0.876,""),“”)</f>
        <v/>
      </c>
      <c r="S223" s="80" t="str">
        <f t="shared" si="9"/>
        <v/>
      </c>
    </row>
    <row r="224" ht="13.75" spans="1:19">
      <c r="A224" s="63" t="s">
        <v>264</v>
      </c>
      <c r="B224" s="60">
        <v>2022</v>
      </c>
      <c r="C224" s="89">
        <v>1</v>
      </c>
      <c r="D224" s="89">
        <v>1</v>
      </c>
      <c r="E224" s="44"/>
      <c r="F224" s="44"/>
      <c r="G224" s="89">
        <v>0.3</v>
      </c>
      <c r="H224" s="44">
        <v>0.3</v>
      </c>
      <c r="I224" s="44"/>
      <c r="J224" s="44"/>
      <c r="K224" s="70"/>
      <c r="L224" s="70"/>
      <c r="M224" s="70"/>
      <c r="N224" s="70"/>
      <c r="O224" s="79" t="str" cm="1">
        <f t="array" ref="O224">IFERROR(IF(G224&gt;10,G224/C224*0.876,""),“”)</f>
        <v/>
      </c>
      <c r="P224" s="79" t="str" cm="1">
        <f t="array" ref="P224">IFERROR(IF(H224&gt;10,H224/D224*0.876,""),“”)</f>
        <v/>
      </c>
      <c r="Q224" s="79" t="str" cm="1">
        <f t="array" ref="Q224">IFERROR(IF(I224&gt;10,I224/E224*0.876,""),“”)</f>
        <v/>
      </c>
      <c r="R224" s="79" t="str" cm="1">
        <f t="array" ref="R224">IFERROR(IF(J224&gt;10,J224/F224*0.876,""),“”)</f>
        <v/>
      </c>
      <c r="S224" s="80" t="str">
        <f t="shared" si="9"/>
        <v/>
      </c>
    </row>
    <row r="225" ht="13.75" spans="1:19">
      <c r="A225" s="63" t="s">
        <v>265</v>
      </c>
      <c r="B225" s="60">
        <v>2022</v>
      </c>
      <c r="C225" s="89">
        <v>15</v>
      </c>
      <c r="D225" s="44"/>
      <c r="E225" s="89">
        <v>7</v>
      </c>
      <c r="F225" s="89">
        <v>8</v>
      </c>
      <c r="G225" s="89">
        <v>5</v>
      </c>
      <c r="H225" s="44">
        <v>0.3</v>
      </c>
      <c r="I225" s="89">
        <v>4</v>
      </c>
      <c r="J225" s="89">
        <v>1</v>
      </c>
      <c r="K225" s="131">
        <v>3408</v>
      </c>
      <c r="L225" s="70"/>
      <c r="M225" s="131">
        <v>6685</v>
      </c>
      <c r="N225" s="131">
        <v>877</v>
      </c>
      <c r="O225" s="79" t="str" cm="1">
        <f t="array" ref="O225">IFERROR(IF(G225&gt;10,G225/C225*0.876,""),“”)</f>
        <v/>
      </c>
      <c r="P225" s="79" t="str" cm="1">
        <f t="array" ref="P225">IFERROR(IF(H225&gt;10,H225/D225*0.876,""),“”)</f>
        <v/>
      </c>
      <c r="Q225" s="79" t="str" cm="1">
        <f t="array" ref="Q225">IFERROR(IF(I225&gt;10,I225/E225*0.876,""),“”)</f>
        <v/>
      </c>
      <c r="R225" s="79" t="str" cm="1">
        <f t="array" ref="R225">IFERROR(IF(J225&gt;10,J225/F225*0.876,""),“”)</f>
        <v/>
      </c>
      <c r="S225" s="80" t="str">
        <f t="shared" si="9"/>
        <v/>
      </c>
    </row>
    <row r="226" ht="13.75" spans="1:19">
      <c r="A226" s="65" t="s">
        <v>266</v>
      </c>
      <c r="B226" s="60">
        <v>2022</v>
      </c>
      <c r="C226" s="89">
        <v>22</v>
      </c>
      <c r="D226" s="44"/>
      <c r="E226" s="89">
        <v>15</v>
      </c>
      <c r="F226" s="89">
        <v>7</v>
      </c>
      <c r="G226" s="89">
        <v>11</v>
      </c>
      <c r="H226" s="44"/>
      <c r="I226" s="89">
        <v>6</v>
      </c>
      <c r="J226" s="89">
        <v>5</v>
      </c>
      <c r="K226" s="131">
        <v>4933</v>
      </c>
      <c r="L226" s="70"/>
      <c r="M226" s="131">
        <v>4125</v>
      </c>
      <c r="N226" s="131">
        <v>6677</v>
      </c>
      <c r="O226" s="79" cm="1">
        <f t="array" ref="O226">IFERROR(IF(G226&gt;10,G226/C226*0.876,""),“”)</f>
        <v>0.438</v>
      </c>
      <c r="P226" s="79" t="str" cm="1">
        <f t="array" ref="P226">IFERROR(IF(H226&gt;10,H226/D226*0.876,""),“”)</f>
        <v/>
      </c>
      <c r="Q226" s="79" t="str" cm="1">
        <f t="array" ref="Q226">IFERROR(IF(I226&gt;10,I226/E226*0.876,""),“”)</f>
        <v/>
      </c>
      <c r="R226" s="79" t="str" cm="1">
        <f t="array" ref="R226">IFERROR(IF(J226&gt;10,J226/F226*0.876,""),“”)</f>
        <v/>
      </c>
      <c r="S226" s="80" t="str">
        <f t="shared" si="9"/>
        <v/>
      </c>
    </row>
  </sheetData>
  <mergeCells count="9">
    <mergeCell ref="C1:F1"/>
    <mergeCell ref="G1:J1"/>
    <mergeCell ref="K1:N1"/>
    <mergeCell ref="O1:S1"/>
    <mergeCell ref="W1:AC1"/>
    <mergeCell ref="A1:A2"/>
    <mergeCell ref="B1:B2"/>
    <mergeCell ref="U1:U2"/>
    <mergeCell ref="V1:V2"/>
  </mergeCells>
  <conditionalFormatting sqref="C3:J162">
    <cfRule type="colorScale" priority="11">
      <colorScale>
        <cfvo type="min"/>
        <cfvo type="percentile" val="50"/>
        <cfvo type="max"/>
        <color rgb="FFF8696B"/>
        <color rgb="FFFFEB84"/>
        <color rgb="FF63BE7B"/>
      </colorScale>
    </cfRule>
  </conditionalFormatting>
  <conditionalFormatting sqref="K3:N162">
    <cfRule type="colorScale" priority="10">
      <colorScale>
        <cfvo type="min"/>
        <cfvo type="percentile" val="50"/>
        <cfvo type="max"/>
        <color rgb="FFF8696B"/>
        <color rgb="FFFCFCFF"/>
        <color rgb="FF5A8AC6"/>
      </colorScale>
    </cfRule>
  </conditionalFormatting>
  <conditionalFormatting sqref="W3:AB28 W63:AB63 W62:Y62 AA62:AB62 Y61:AB61 Z66:AB66 W65:AB65 W31:AB31 W30:Y30 AA30:AB30 Y29:AB29 W33:AB60">
    <cfRule type="colorScale" priority="20">
      <colorScale>
        <cfvo type="min"/>
        <cfvo type="percentile" val="50"/>
        <cfvo type="max"/>
        <color rgb="FFF8696B"/>
        <color rgb="FFFCFCFF"/>
        <color rgb="FF5A8AC6"/>
      </colorScale>
    </cfRule>
  </conditionalFormatting>
  <conditionalFormatting sqref="AC3:AC28 AC63 AC62 AC61 AC66 AC65 AC31 AC30 AC29 AC33:AC60">
    <cfRule type="colorScale" priority="1">
      <colorScale>
        <cfvo type="min"/>
        <cfvo type="percentile" val="50"/>
        <cfvo type="max"/>
        <color rgb="FFF8696B"/>
        <color rgb="FFFCFCFF"/>
        <color rgb="FF5A8AC6"/>
      </colorScale>
    </cfRule>
  </conditionalFormatting>
  <conditionalFormatting sqref="C163:J194">
    <cfRule type="colorScale" priority="7">
      <colorScale>
        <cfvo type="min"/>
        <cfvo type="percentile" val="50"/>
        <cfvo type="max"/>
        <color rgb="FFF8696B"/>
        <color rgb="FFFFEB84"/>
        <color rgb="FF63BE7B"/>
      </colorScale>
    </cfRule>
  </conditionalFormatting>
  <conditionalFormatting sqref="K163:N194">
    <cfRule type="colorScale" priority="6">
      <colorScale>
        <cfvo type="min"/>
        <cfvo type="percentile" val="50"/>
        <cfvo type="max"/>
        <color rgb="FFF8696B"/>
        <color rgb="FFFCFCFF"/>
        <color rgb="FF5A8AC6"/>
      </colorScale>
    </cfRule>
  </conditionalFormatting>
  <conditionalFormatting sqref="C195:J226">
    <cfRule type="colorScale" priority="4">
      <colorScale>
        <cfvo type="min"/>
        <cfvo type="percentile" val="50"/>
        <cfvo type="max"/>
        <color rgb="FFF8696B"/>
        <color rgb="FFFFEB84"/>
        <color rgb="FF63BE7B"/>
      </colorScale>
    </cfRule>
  </conditionalFormatting>
  <conditionalFormatting sqref="K195:N226">
    <cfRule type="colorScale" priority="2">
      <colorScale>
        <cfvo type="min"/>
        <cfvo type="percentile" val="50"/>
        <cfvo type="max"/>
        <color rgb="FFF8696B"/>
        <color rgb="FFFCFCFF"/>
        <color rgb="FF5A8AC6"/>
      </colorScale>
    </cfRule>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26"/>
  <sheetViews>
    <sheetView zoomScale="90" zoomScaleNormal="90" workbookViewId="0">
      <pane xSplit="2" ySplit="2" topLeftCell="D3" activePane="bottomRight" state="frozen"/>
      <selection/>
      <selection pane="topRight"/>
      <selection pane="bottomLeft"/>
      <selection pane="bottomRight" activeCell="S13" sqref="S13"/>
    </sheetView>
  </sheetViews>
  <sheetFormatPr defaultColWidth="9" defaultRowHeight="12.5"/>
  <cols>
    <col min="26" max="26" width="9.89090909090909" customWidth="1"/>
  </cols>
  <sheetData>
    <row r="1" ht="13.5" customHeight="1" spans="1:32">
      <c r="A1" s="52" t="s">
        <v>212</v>
      </c>
      <c r="B1" s="53" t="s">
        <v>282</v>
      </c>
      <c r="C1" s="54" t="s">
        <v>283</v>
      </c>
      <c r="D1" s="54"/>
      <c r="E1" s="54"/>
      <c r="F1" s="54"/>
      <c r="G1" s="54"/>
      <c r="H1" s="55" t="s">
        <v>284</v>
      </c>
      <c r="I1" s="55"/>
      <c r="J1" s="55"/>
      <c r="K1" s="55"/>
      <c r="L1" s="55"/>
      <c r="M1" s="71" t="s">
        <v>285</v>
      </c>
      <c r="N1" s="71"/>
      <c r="O1" s="71"/>
      <c r="P1" s="71"/>
      <c r="Q1" s="71"/>
      <c r="R1" s="72" t="s">
        <v>280</v>
      </c>
      <c r="S1" s="72"/>
      <c r="T1" s="72"/>
      <c r="U1" s="72"/>
      <c r="V1" s="73"/>
      <c r="X1" s="35" t="s">
        <v>286</v>
      </c>
      <c r="Y1" s="35" t="s">
        <v>287</v>
      </c>
      <c r="Z1" s="81" t="s">
        <v>288</v>
      </c>
      <c r="AA1" s="82"/>
      <c r="AB1" s="82"/>
      <c r="AC1" s="82"/>
      <c r="AD1" s="82"/>
      <c r="AE1" s="82"/>
      <c r="AF1" s="82"/>
    </row>
    <row r="2" ht="13.75" spans="1:32">
      <c r="A2" s="56"/>
      <c r="B2" s="57"/>
      <c r="C2" s="58" t="s">
        <v>289</v>
      </c>
      <c r="D2" s="58" t="s">
        <v>298</v>
      </c>
      <c r="E2" s="58" t="s">
        <v>299</v>
      </c>
      <c r="F2" s="58" t="s">
        <v>300</v>
      </c>
      <c r="G2" s="58" t="s">
        <v>301</v>
      </c>
      <c r="H2" s="58" t="s">
        <v>289</v>
      </c>
      <c r="I2" s="58" t="s">
        <v>298</v>
      </c>
      <c r="J2" s="58" t="s">
        <v>299</v>
      </c>
      <c r="K2" s="58" t="s">
        <v>300</v>
      </c>
      <c r="L2" s="58" t="s">
        <v>301</v>
      </c>
      <c r="M2" s="58" t="s">
        <v>289</v>
      </c>
      <c r="N2" s="58" t="s">
        <v>298</v>
      </c>
      <c r="O2" s="58" t="s">
        <v>299</v>
      </c>
      <c r="P2" s="58" t="s">
        <v>300</v>
      </c>
      <c r="Q2" s="58" t="s">
        <v>301</v>
      </c>
      <c r="R2" s="58" t="s">
        <v>289</v>
      </c>
      <c r="S2" s="58" t="s">
        <v>298</v>
      </c>
      <c r="T2" s="58" t="s">
        <v>299</v>
      </c>
      <c r="U2" s="58" t="s">
        <v>300</v>
      </c>
      <c r="V2" s="74" t="s">
        <v>301</v>
      </c>
      <c r="W2" s="75"/>
      <c r="X2" s="35"/>
      <c r="Y2" s="35"/>
      <c r="Z2" s="83">
        <v>2016</v>
      </c>
      <c r="AA2" s="83">
        <v>2017</v>
      </c>
      <c r="AB2" s="83">
        <v>2018</v>
      </c>
      <c r="AC2" s="83">
        <v>2019</v>
      </c>
      <c r="AD2" s="83">
        <v>2020</v>
      </c>
      <c r="AE2" s="83">
        <v>2021</v>
      </c>
      <c r="AF2">
        <v>2022</v>
      </c>
    </row>
    <row r="3" ht="13" spans="1:32">
      <c r="A3" s="59" t="s">
        <v>234</v>
      </c>
      <c r="B3" s="60">
        <v>2016</v>
      </c>
      <c r="C3" s="61">
        <f>SUM(D3:G3)</f>
        <v>106095</v>
      </c>
      <c r="D3" s="62">
        <v>94654</v>
      </c>
      <c r="E3" s="62">
        <v>7011</v>
      </c>
      <c r="F3" s="62">
        <v>210</v>
      </c>
      <c r="G3" s="62">
        <v>4220</v>
      </c>
      <c r="H3" s="61">
        <f>SUM(I3:L3)</f>
        <v>43273</v>
      </c>
      <c r="I3" s="62">
        <v>39462</v>
      </c>
      <c r="J3" s="62">
        <v>1883</v>
      </c>
      <c r="K3" s="62">
        <v>28</v>
      </c>
      <c r="L3" s="62">
        <v>1900</v>
      </c>
      <c r="M3" s="61"/>
      <c r="N3" s="62">
        <v>4275</v>
      </c>
      <c r="O3" s="62">
        <v>2701</v>
      </c>
      <c r="P3" s="62">
        <v>1317</v>
      </c>
      <c r="Q3" s="62">
        <v>4877</v>
      </c>
      <c r="R3" s="76" cm="1">
        <f t="array" ref="R3">IFERROR(IF(H3&gt;10,H3/C3*0.876,""),“”)</f>
        <v>0.357294387105896</v>
      </c>
      <c r="S3" s="76" cm="1">
        <f t="array" ref="S3">IFERROR(IF(I3&gt;10,I3/D3*0.876,""),“”)</f>
        <v>0.365211317007205</v>
      </c>
      <c r="T3" s="76" cm="1">
        <f t="array" ref="T3">IFERROR(IF(J3&gt;10,J3/E3*0.876,""),“”)</f>
        <v>0.235274283269148</v>
      </c>
      <c r="U3" s="76" cm="1">
        <f t="array" ref="U3">IFERROR(IF(K3&gt;10,K3/F3*0.876,""),“”)</f>
        <v>0.1168</v>
      </c>
      <c r="V3" s="77">
        <f t="shared" ref="V3:V34" si="0">IFERROR(IF((H3-J3)&gt;10,(H3-J3)/(C3-E3)*0.876,""),"")</f>
        <v>0.365928303257842</v>
      </c>
      <c r="X3" s="36" t="s">
        <v>234</v>
      </c>
      <c r="Y3" s="36" t="s">
        <v>302</v>
      </c>
      <c r="Z3" s="51">
        <f>SUMIFS($N:$N,$A:$A,$X3,$B:$B,Z$2)/8760</f>
        <v>0.488013698630137</v>
      </c>
      <c r="AA3" s="51">
        <f t="shared" ref="AA3:AE18" si="1">SUMIFS($N:$N,$A:$A,$X3,$B:$B,AA$2)/8760</f>
        <v>0.492237442922374</v>
      </c>
      <c r="AB3" s="51">
        <f t="shared" si="1"/>
        <v>0.513127853881279</v>
      </c>
      <c r="AC3" s="51">
        <f t="shared" si="1"/>
        <v>0.505593607305936</v>
      </c>
      <c r="AD3" s="51">
        <f t="shared" si="1"/>
        <v>0.493493150684931</v>
      </c>
      <c r="AE3" s="51">
        <f t="shared" si="1"/>
        <v>0.525228310502283</v>
      </c>
      <c r="AF3" s="51">
        <f>SUMIFS($N:$N,$A:$A,$X3,$B:$B,AF$2)/8760</f>
        <v>0.524315068493151</v>
      </c>
    </row>
    <row r="4" ht="13" spans="1:32">
      <c r="A4" s="63" t="s">
        <v>235</v>
      </c>
      <c r="B4" s="36">
        <v>2016</v>
      </c>
      <c r="C4" s="44">
        <f t="shared" ref="C4:C35" si="2">SUM(D4:G4)</f>
        <v>972</v>
      </c>
      <c r="D4" s="37">
        <v>85</v>
      </c>
      <c r="E4" s="37">
        <v>850</v>
      </c>
      <c r="F4" s="37">
        <v>22</v>
      </c>
      <c r="G4" s="37">
        <v>15</v>
      </c>
      <c r="H4" s="44">
        <f t="shared" ref="H4:H35" si="3">SUM(I4:L4)</f>
        <v>419</v>
      </c>
      <c r="I4" s="37">
        <v>34</v>
      </c>
      <c r="J4" s="37">
        <v>371</v>
      </c>
      <c r="K4" s="37">
        <v>6</v>
      </c>
      <c r="L4" s="37">
        <v>8</v>
      </c>
      <c r="M4" s="44"/>
      <c r="N4" s="37">
        <v>4031</v>
      </c>
      <c r="O4" s="37">
        <v>4372</v>
      </c>
      <c r="P4" s="37">
        <v>2636</v>
      </c>
      <c r="Q4" s="37">
        <v>5613</v>
      </c>
      <c r="R4" s="51" cm="1">
        <f t="array" ref="R4">IFERROR(IF(H4&gt;10,H4/C4*0.876,""),“”)</f>
        <v>0.377617283950617</v>
      </c>
      <c r="S4" s="51" cm="1">
        <f t="array" ref="S4">IFERROR(IF(I4&gt;10,I4/D4*0.876,""),“”)</f>
        <v>0.3504</v>
      </c>
      <c r="T4" s="51" cm="1">
        <f t="array" ref="T4">IFERROR(IF(J4&gt;10,J4/E4*0.876,""),“”)</f>
        <v>0.382348235294118</v>
      </c>
      <c r="U4" s="51" t="str" cm="1">
        <f t="array" ref="U4">IFERROR(IF(K4&gt;10,K4/F4*0.876,""),“”)</f>
        <v/>
      </c>
      <c r="V4" s="78">
        <f t="shared" si="0"/>
        <v>0.344655737704918</v>
      </c>
      <c r="X4" s="36" t="s">
        <v>235</v>
      </c>
      <c r="Y4" s="36" t="s">
        <v>302</v>
      </c>
      <c r="Z4" s="51">
        <f t="shared" ref="Z4:AE34" si="4">SUMIFS($N:$N,$A:$A,$X4,$B:$B,Z$2)/8760</f>
        <v>0.460159817351598</v>
      </c>
      <c r="AA4" s="51">
        <f t="shared" si="1"/>
        <v>0.180936073059361</v>
      </c>
      <c r="AB4" s="51">
        <f t="shared" si="1"/>
        <v>0.22865296803653</v>
      </c>
      <c r="AC4" s="51">
        <f t="shared" si="1"/>
        <v>0.196689497716895</v>
      </c>
      <c r="AD4" s="51">
        <f t="shared" si="1"/>
        <v>0.14634703196347</v>
      </c>
      <c r="AE4" s="51">
        <f t="shared" si="1"/>
        <v>0.2162100456621</v>
      </c>
      <c r="AF4" s="51">
        <f>SUMIFS($N:$N,$A:$A,$X4,$B:$B,AF$2)/8760</f>
        <v>0.136529680365297</v>
      </c>
    </row>
    <row r="5" ht="13" spans="1:32">
      <c r="A5" s="63" t="s">
        <v>236</v>
      </c>
      <c r="B5" s="36">
        <v>2016</v>
      </c>
      <c r="C5" s="44">
        <f t="shared" si="2"/>
        <v>1378</v>
      </c>
      <c r="D5" s="37">
        <v>1076</v>
      </c>
      <c r="E5" s="37">
        <v>277</v>
      </c>
      <c r="F5" s="64"/>
      <c r="G5" s="37">
        <v>25</v>
      </c>
      <c r="H5" s="44">
        <f t="shared" si="3"/>
        <v>591</v>
      </c>
      <c r="I5" s="37">
        <v>476</v>
      </c>
      <c r="J5" s="37">
        <v>104</v>
      </c>
      <c r="K5" s="64"/>
      <c r="L5" s="37">
        <v>11</v>
      </c>
      <c r="M5" s="44"/>
      <c r="N5" s="37">
        <v>4382</v>
      </c>
      <c r="O5" s="37">
        <v>4001</v>
      </c>
      <c r="P5" s="64"/>
      <c r="Q5" s="37">
        <v>4487</v>
      </c>
      <c r="R5" s="51" cm="1">
        <f t="array" ref="R5">IFERROR(IF(H5&gt;10,H5/C5*0.876,""),“”)</f>
        <v>0.375701015965167</v>
      </c>
      <c r="S5" s="51" cm="1">
        <f t="array" ref="S5">IFERROR(IF(I5&gt;10,I5/D5*0.876,""),“”)</f>
        <v>0.387524163568773</v>
      </c>
      <c r="T5" s="51" cm="1">
        <f t="array" ref="T5">IFERROR(IF(J5&gt;10,J5/E5*0.876,""),“”)</f>
        <v>0.328895306859206</v>
      </c>
      <c r="U5" s="51" t="str" cm="1">
        <f t="array" ref="U5">IFERROR(IF(K5&gt;10,K5/F5*0.876,""),“”)</f>
        <v/>
      </c>
      <c r="V5" s="78">
        <f t="shared" si="0"/>
        <v>0.387476839237057</v>
      </c>
      <c r="X5" s="36" t="s">
        <v>236</v>
      </c>
      <c r="Y5" s="36" t="s">
        <v>302</v>
      </c>
      <c r="Z5" s="51">
        <f t="shared" si="4"/>
        <v>0.500228310502283</v>
      </c>
      <c r="AA5" s="51">
        <f t="shared" si="1"/>
        <v>0.494063926940639</v>
      </c>
      <c r="AB5" s="51">
        <f t="shared" si="1"/>
        <v>0.54337899543379</v>
      </c>
      <c r="AC5" s="51">
        <f t="shared" si="1"/>
        <v>0.489383561643836</v>
      </c>
      <c r="AD5" s="51">
        <f t="shared" si="1"/>
        <v>0.474315068493151</v>
      </c>
      <c r="AE5" s="51">
        <f t="shared" si="1"/>
        <v>0.509360730593607</v>
      </c>
      <c r="AF5" s="51">
        <f>SUMIFS($N:$N,$A:$A,$X5,$B:$B,AF$2)/8760</f>
        <v>0.488812785388128</v>
      </c>
    </row>
    <row r="6" ht="13" spans="1:32">
      <c r="A6" s="63" t="s">
        <v>237</v>
      </c>
      <c r="B6" s="36">
        <v>2016</v>
      </c>
      <c r="C6" s="44">
        <f t="shared" si="2"/>
        <v>4511</v>
      </c>
      <c r="D6" s="37">
        <v>4251</v>
      </c>
      <c r="E6" s="37">
        <v>3</v>
      </c>
      <c r="F6" s="64"/>
      <c r="G6" s="37">
        <v>257</v>
      </c>
      <c r="H6" s="44">
        <f t="shared" si="3"/>
        <v>2195</v>
      </c>
      <c r="I6" s="37">
        <v>2092</v>
      </c>
      <c r="J6" s="37">
        <v>0</v>
      </c>
      <c r="K6" s="64"/>
      <c r="L6" s="37">
        <v>103</v>
      </c>
      <c r="M6" s="44"/>
      <c r="N6" s="37">
        <v>5021</v>
      </c>
      <c r="O6" s="37">
        <v>651</v>
      </c>
      <c r="P6" s="64"/>
      <c r="Q6" s="37">
        <v>4211</v>
      </c>
      <c r="R6" s="51" cm="1">
        <f t="array" ref="R6">IFERROR(IF(H6&gt;10,H6/C6*0.876,""),“”)</f>
        <v>0.426251385502106</v>
      </c>
      <c r="S6" s="51" cm="1">
        <f t="array" ref="S6">IFERROR(IF(I6&gt;10,I6/D6*0.876,""),“”)</f>
        <v>0.43109668313338</v>
      </c>
      <c r="T6" s="51" t="str" cm="1">
        <f t="array" ref="T6">IFERROR(IF(J6&gt;10,J6/E6*0.876,""),“”)</f>
        <v/>
      </c>
      <c r="U6" s="51" t="str" cm="1">
        <f t="array" ref="U6">IFERROR(IF(K6&gt;10,K6/F6*0.876,""),“”)</f>
        <v/>
      </c>
      <c r="V6" s="78">
        <f t="shared" si="0"/>
        <v>0.42653504880213</v>
      </c>
      <c r="X6" s="36" t="s">
        <v>237</v>
      </c>
      <c r="Y6" s="36" t="s">
        <v>302</v>
      </c>
      <c r="Z6" s="51">
        <f t="shared" si="4"/>
        <v>0.573173515981735</v>
      </c>
      <c r="AA6" s="51">
        <f t="shared" si="1"/>
        <v>0.587671232876712</v>
      </c>
      <c r="AB6" s="51">
        <f t="shared" si="1"/>
        <v>0.59634703196347</v>
      </c>
      <c r="AC6" s="51">
        <f t="shared" si="1"/>
        <v>0.565296803652968</v>
      </c>
      <c r="AD6" s="51">
        <f t="shared" si="1"/>
        <v>0.517465753424658</v>
      </c>
      <c r="AE6" s="51">
        <f t="shared" si="1"/>
        <v>0.488013698630137</v>
      </c>
      <c r="AF6" s="51">
        <f>SUMIFS($N:$N,$A:$A,$X6,$B:$B,AF$2)/8760</f>
        <v>0.49189497716895</v>
      </c>
    </row>
    <row r="7" ht="13" spans="1:32">
      <c r="A7" s="63" t="s">
        <v>238</v>
      </c>
      <c r="B7" s="36">
        <v>2016</v>
      </c>
      <c r="C7" s="44">
        <f t="shared" si="2"/>
        <v>6328</v>
      </c>
      <c r="D7" s="37">
        <v>6003</v>
      </c>
      <c r="E7" s="37">
        <v>279</v>
      </c>
      <c r="F7" s="64"/>
      <c r="G7" s="37">
        <v>46</v>
      </c>
      <c r="H7" s="44">
        <f t="shared" si="3"/>
        <v>2309</v>
      </c>
      <c r="I7" s="37">
        <v>2191</v>
      </c>
      <c r="J7" s="37">
        <v>95</v>
      </c>
      <c r="K7" s="64"/>
      <c r="L7" s="37">
        <v>23</v>
      </c>
      <c r="M7" s="44"/>
      <c r="N7" s="37">
        <v>3803</v>
      </c>
      <c r="O7" s="37">
        <v>3468</v>
      </c>
      <c r="P7" s="64"/>
      <c r="Q7" s="37">
        <v>5369</v>
      </c>
      <c r="R7" s="51" cm="1">
        <f t="array" ref="R7">IFERROR(IF(H7&gt;10,H7/C7*0.876,""),“”)</f>
        <v>0.319640328697851</v>
      </c>
      <c r="S7" s="51" cm="1">
        <f t="array" ref="S7">IFERROR(IF(I7&gt;10,I7/D7*0.876,""),“”)</f>
        <v>0.319726136931534</v>
      </c>
      <c r="T7" s="51" cm="1">
        <f t="array" ref="T7">IFERROR(IF(J7&gt;10,J7/E7*0.876,""),“”)</f>
        <v>0.298279569892473</v>
      </c>
      <c r="U7" s="51" t="str" cm="1">
        <f t="array" ref="U7">IFERROR(IF(K7&gt;10,K7/F7*0.876,""),“”)</f>
        <v/>
      </c>
      <c r="V7" s="78">
        <f t="shared" si="0"/>
        <v>0.320625557943462</v>
      </c>
      <c r="X7" s="36" t="s">
        <v>238</v>
      </c>
      <c r="Y7" s="36" t="s">
        <v>302</v>
      </c>
      <c r="Z7" s="51">
        <f t="shared" si="4"/>
        <v>0.434132420091324</v>
      </c>
      <c r="AA7" s="51">
        <f t="shared" si="1"/>
        <v>0.459703196347032</v>
      </c>
      <c r="AB7" s="51">
        <f t="shared" si="1"/>
        <v>0.502853881278539</v>
      </c>
      <c r="AC7" s="51">
        <f t="shared" si="1"/>
        <v>0.515525114155251</v>
      </c>
      <c r="AD7" s="51">
        <f t="shared" si="1"/>
        <v>0.510844748858447</v>
      </c>
      <c r="AE7" s="51">
        <f t="shared" si="1"/>
        <v>0.508333333333333</v>
      </c>
      <c r="AF7" s="51">
        <f>SUMIFS($N:$N,$A:$A,$X7,$B:$B,AF$2)/8760</f>
        <v>0.524086757990868</v>
      </c>
    </row>
    <row r="8" ht="13" spans="1:32">
      <c r="A8" s="63" t="s">
        <v>239</v>
      </c>
      <c r="B8" s="36">
        <v>2016</v>
      </c>
      <c r="C8" s="44">
        <f t="shared" si="2"/>
        <v>7609</v>
      </c>
      <c r="D8" s="37">
        <v>7542</v>
      </c>
      <c r="E8" s="37">
        <v>42</v>
      </c>
      <c r="F8" s="64"/>
      <c r="G8" s="37">
        <v>25</v>
      </c>
      <c r="H8" s="44">
        <f t="shared" si="3"/>
        <v>3375</v>
      </c>
      <c r="I8" s="37">
        <v>3364</v>
      </c>
      <c r="J8" s="37">
        <v>0</v>
      </c>
      <c r="K8" s="64"/>
      <c r="L8" s="37">
        <v>11</v>
      </c>
      <c r="M8" s="44"/>
      <c r="N8" s="37">
        <v>4558</v>
      </c>
      <c r="O8" s="37">
        <v>116</v>
      </c>
      <c r="P8" s="64"/>
      <c r="Q8" s="37">
        <v>4135</v>
      </c>
      <c r="R8" s="51" cm="1">
        <f t="array" ref="R8">IFERROR(IF(H8&gt;10,H8/C8*0.876,""),“”)</f>
        <v>0.388553029307399</v>
      </c>
      <c r="S8" s="51" cm="1">
        <f t="array" ref="S8">IFERROR(IF(I8&gt;10,I8/D8*0.876,""),“”)</f>
        <v>0.390727128082737</v>
      </c>
      <c r="T8" s="51" t="str" cm="1">
        <f t="array" ref="T8">IFERROR(IF(J8&gt;10,J8/E8*0.876,""),“”)</f>
        <v/>
      </c>
      <c r="U8" s="51" t="str" cm="1">
        <f t="array" ref="U8">IFERROR(IF(K8&gt;10,K8/F8*0.876,""),“”)</f>
        <v/>
      </c>
      <c r="V8" s="78">
        <f t="shared" si="0"/>
        <v>0.390709660367385</v>
      </c>
      <c r="X8" s="36" t="s">
        <v>239</v>
      </c>
      <c r="Y8" s="36" t="s">
        <v>302</v>
      </c>
      <c r="Z8" s="51">
        <f t="shared" si="4"/>
        <v>0.520319634703196</v>
      </c>
      <c r="AA8" s="51">
        <f t="shared" si="1"/>
        <v>0.531164383561644</v>
      </c>
      <c r="AB8" s="51">
        <f t="shared" si="1"/>
        <v>0.588470319634703</v>
      </c>
      <c r="AC8" s="51">
        <f t="shared" si="1"/>
        <v>0.604680365296804</v>
      </c>
      <c r="AD8" s="51">
        <f t="shared" si="1"/>
        <v>0.58162100456621</v>
      </c>
      <c r="AE8" s="51">
        <f t="shared" si="1"/>
        <v>0.574657534246575</v>
      </c>
      <c r="AF8" s="51">
        <f>SUMIFS($N:$N,$A:$A,$X8,$B:$B,AF$2)/8760</f>
        <v>0.577739726027397</v>
      </c>
    </row>
    <row r="9" ht="13" spans="1:32">
      <c r="A9" s="63" t="s">
        <v>240</v>
      </c>
      <c r="B9" s="36">
        <v>2016</v>
      </c>
      <c r="C9" s="44">
        <f t="shared" si="2"/>
        <v>3115</v>
      </c>
      <c r="D9" s="37">
        <v>3024</v>
      </c>
      <c r="E9" s="37">
        <v>4</v>
      </c>
      <c r="F9" s="37">
        <v>15</v>
      </c>
      <c r="G9" s="37">
        <v>72</v>
      </c>
      <c r="H9" s="44">
        <f t="shared" si="3"/>
        <v>1345</v>
      </c>
      <c r="I9" s="37">
        <v>1306</v>
      </c>
      <c r="J9" s="37">
        <v>1</v>
      </c>
      <c r="K9" s="37">
        <v>5</v>
      </c>
      <c r="L9" s="37">
        <v>33</v>
      </c>
      <c r="M9" s="44"/>
      <c r="N9" s="37">
        <v>4332</v>
      </c>
      <c r="O9" s="37">
        <v>1993</v>
      </c>
      <c r="P9" s="37">
        <v>3309</v>
      </c>
      <c r="Q9" s="37">
        <v>4635</v>
      </c>
      <c r="R9" s="51" cm="1">
        <f t="array" ref="R9">IFERROR(IF(H9&gt;10,H9/C9*0.876,""),“”)</f>
        <v>0.37824077046549</v>
      </c>
      <c r="S9" s="51" cm="1">
        <f t="array" ref="S9">IFERROR(IF(I9&gt;10,I9/D9*0.876,""),“”)</f>
        <v>0.378325396825397</v>
      </c>
      <c r="T9" s="51" t="str" cm="1">
        <f t="array" ref="T9">IFERROR(IF(J9&gt;10,J9/E9*0.876,""),“”)</f>
        <v/>
      </c>
      <c r="U9" s="51" t="str" cm="1">
        <f t="array" ref="U9">IFERROR(IF(K9&gt;10,K9/F9*0.876,""),“”)</f>
        <v/>
      </c>
      <c r="V9" s="78">
        <f t="shared" si="0"/>
        <v>0.378445515911283</v>
      </c>
      <c r="X9" s="36" t="s">
        <v>240</v>
      </c>
      <c r="Y9" s="36" t="s">
        <v>302</v>
      </c>
      <c r="Z9" s="51">
        <f t="shared" si="4"/>
        <v>0.494520547945206</v>
      </c>
      <c r="AA9" s="51">
        <f t="shared" si="1"/>
        <v>0.484474885844749</v>
      </c>
      <c r="AB9" s="51">
        <f t="shared" si="1"/>
        <v>0.477739726027397</v>
      </c>
      <c r="AC9" s="51">
        <f t="shared" si="1"/>
        <v>0.46175799086758</v>
      </c>
      <c r="AD9" s="51">
        <f t="shared" si="1"/>
        <v>0.446232876712329</v>
      </c>
      <c r="AE9" s="51">
        <f t="shared" si="1"/>
        <v>0.428538812785388</v>
      </c>
      <c r="AF9" s="51">
        <f>SUMIFS($N:$N,$A:$A,$X9,$B:$B,AF$2)/8760</f>
        <v>0.374200913242009</v>
      </c>
    </row>
    <row r="10" ht="13" spans="1:32">
      <c r="A10" s="63" t="s">
        <v>241</v>
      </c>
      <c r="B10" s="36">
        <v>2016</v>
      </c>
      <c r="C10" s="44">
        <f t="shared" si="2"/>
        <v>1776</v>
      </c>
      <c r="D10" s="37">
        <v>1688</v>
      </c>
      <c r="E10" s="37">
        <v>0</v>
      </c>
      <c r="F10" s="64"/>
      <c r="G10" s="37">
        <v>88</v>
      </c>
      <c r="H10" s="44">
        <f t="shared" si="3"/>
        <v>588</v>
      </c>
      <c r="I10" s="37">
        <v>550</v>
      </c>
      <c r="J10" s="37">
        <v>0</v>
      </c>
      <c r="K10" s="64"/>
      <c r="L10" s="37">
        <v>38</v>
      </c>
      <c r="M10" s="44"/>
      <c r="N10" s="37">
        <v>3227</v>
      </c>
      <c r="O10" s="64"/>
      <c r="P10" s="64"/>
      <c r="Q10" s="37">
        <v>4485</v>
      </c>
      <c r="R10" s="51" cm="1">
        <f t="array" ref="R10">IFERROR(IF(H10&gt;10,H10/C10*0.876,""),“”)</f>
        <v>0.290027027027027</v>
      </c>
      <c r="S10" s="51" cm="1">
        <f t="array" ref="S10">IFERROR(IF(I10&gt;10,I10/D10*0.876,""),“”)</f>
        <v>0.28542654028436</v>
      </c>
      <c r="T10" s="51" t="str" cm="1">
        <f t="array" ref="T10">IFERROR(IF(J10&gt;10,J10/E10*0.876,""),“”)</f>
        <v/>
      </c>
      <c r="U10" s="51" t="str" cm="1">
        <f t="array" ref="U10">IFERROR(IF(K10&gt;10,K10/F10*0.876,""),“”)</f>
        <v/>
      </c>
      <c r="V10" s="78">
        <f t="shared" si="0"/>
        <v>0.290027027027027</v>
      </c>
      <c r="X10" s="36" t="s">
        <v>241</v>
      </c>
      <c r="Y10" s="36" t="s">
        <v>302</v>
      </c>
      <c r="Z10" s="51">
        <f t="shared" si="4"/>
        <v>0.36837899543379</v>
      </c>
      <c r="AA10" s="51">
        <f t="shared" si="1"/>
        <v>0.3837899543379</v>
      </c>
      <c r="AB10" s="51">
        <f t="shared" si="1"/>
        <v>0.40810502283105</v>
      </c>
      <c r="AC10" s="51">
        <f t="shared" si="1"/>
        <v>0.426598173515982</v>
      </c>
      <c r="AD10" s="51">
        <f t="shared" si="1"/>
        <v>0.446004566210046</v>
      </c>
      <c r="AE10" s="51">
        <f t="shared" si="1"/>
        <v>0.43162100456621</v>
      </c>
      <c r="AF10" s="51">
        <f>SUMIFS($N:$N,$A:$A,$X10,$B:$B,AF$2)/8760</f>
        <v>0.398744292237443</v>
      </c>
    </row>
    <row r="11" ht="13" spans="1:32">
      <c r="A11" s="63" t="s">
        <v>242</v>
      </c>
      <c r="B11" s="36">
        <v>2016</v>
      </c>
      <c r="C11" s="44">
        <f t="shared" si="2"/>
        <v>2104</v>
      </c>
      <c r="D11" s="37">
        <v>1991</v>
      </c>
      <c r="E11" s="37">
        <v>12</v>
      </c>
      <c r="F11" s="37">
        <v>2</v>
      </c>
      <c r="G11" s="37">
        <v>99</v>
      </c>
      <c r="H11" s="44">
        <f t="shared" si="3"/>
        <v>807</v>
      </c>
      <c r="I11" s="37">
        <v>761</v>
      </c>
      <c r="J11" s="37">
        <v>3</v>
      </c>
      <c r="K11" s="37">
        <v>0</v>
      </c>
      <c r="L11" s="37">
        <v>43</v>
      </c>
      <c r="M11" s="44"/>
      <c r="N11" s="37">
        <v>3887</v>
      </c>
      <c r="O11" s="37">
        <v>2775</v>
      </c>
      <c r="P11" s="37">
        <v>1733</v>
      </c>
      <c r="Q11" s="37">
        <v>4934</v>
      </c>
      <c r="R11" s="51" cm="1">
        <f t="array" ref="R11">IFERROR(IF(H11&gt;10,H11/C11*0.876,""),“”)</f>
        <v>0.335994296577947</v>
      </c>
      <c r="S11" s="51" cm="1">
        <f t="array" ref="S11">IFERROR(IF(I11&gt;10,I11/D11*0.876,""),“”)</f>
        <v>0.334824711200402</v>
      </c>
      <c r="T11" s="51" t="str" cm="1">
        <f t="array" ref="T11">IFERROR(IF(J11&gt;10,J11/E11*0.876,""),“”)</f>
        <v/>
      </c>
      <c r="U11" s="51" t="str" cm="1">
        <f t="array" ref="U11">IFERROR(IF(K11&gt;10,K11/F11*0.876,""),“”)</f>
        <v/>
      </c>
      <c r="V11" s="78">
        <f t="shared" si="0"/>
        <v>0.336665391969407</v>
      </c>
      <c r="X11" s="36" t="s">
        <v>242</v>
      </c>
      <c r="Y11" s="36" t="s">
        <v>302</v>
      </c>
      <c r="Z11" s="51">
        <f t="shared" si="4"/>
        <v>0.443721461187215</v>
      </c>
      <c r="AA11" s="51">
        <f t="shared" si="1"/>
        <v>0.437100456621005</v>
      </c>
      <c r="AB11" s="51">
        <f t="shared" si="1"/>
        <v>0.43824200913242</v>
      </c>
      <c r="AC11" s="51">
        <f t="shared" si="1"/>
        <v>0.445205479452055</v>
      </c>
      <c r="AD11" s="51">
        <f t="shared" si="1"/>
        <v>0.42648401826484</v>
      </c>
      <c r="AE11" s="51">
        <f t="shared" si="1"/>
        <v>0.410045662100457</v>
      </c>
      <c r="AF11" s="51">
        <f>SUMIFS($N:$N,$A:$A,$X11,$B:$B,AF$2)/8760</f>
        <v>0.370433789954338</v>
      </c>
    </row>
    <row r="12" ht="13" spans="1:32">
      <c r="A12" s="63" t="s">
        <v>243</v>
      </c>
      <c r="B12" s="36">
        <v>2016</v>
      </c>
      <c r="C12" s="44">
        <f t="shared" si="2"/>
        <v>2263</v>
      </c>
      <c r="D12" s="37">
        <v>1509</v>
      </c>
      <c r="E12" s="37">
        <v>570</v>
      </c>
      <c r="F12" s="37">
        <v>86</v>
      </c>
      <c r="G12" s="37">
        <v>98</v>
      </c>
      <c r="H12" s="44">
        <f t="shared" si="3"/>
        <v>817</v>
      </c>
      <c r="I12" s="37">
        <v>663</v>
      </c>
      <c r="J12" s="37">
        <v>102</v>
      </c>
      <c r="K12" s="37">
        <v>1</v>
      </c>
      <c r="L12" s="37">
        <v>51</v>
      </c>
      <c r="M12" s="44"/>
      <c r="N12" s="37">
        <v>4382</v>
      </c>
      <c r="O12" s="37">
        <v>1798</v>
      </c>
      <c r="P12" s="37">
        <v>103</v>
      </c>
      <c r="Q12" s="37">
        <v>5314</v>
      </c>
      <c r="R12" s="51" cm="1">
        <f t="array" ref="R12">IFERROR(IF(H12&gt;10,H12/C12*0.876,""),“”)</f>
        <v>0.316258064516129</v>
      </c>
      <c r="S12" s="51" cm="1">
        <f t="array" ref="S12">IFERROR(IF(I12&gt;10,I12/D12*0.876,""),“”)</f>
        <v>0.384882703777336</v>
      </c>
      <c r="T12" s="51" cm="1">
        <f t="array" ref="T12">IFERROR(IF(J12&gt;10,J12/E12*0.876,""),“”)</f>
        <v>0.156757894736842</v>
      </c>
      <c r="U12" s="51" t="str" cm="1">
        <f t="array" ref="U12">IFERROR(IF(K12&gt;10,K12/F12*0.876,""),“”)</f>
        <v/>
      </c>
      <c r="V12" s="78">
        <f t="shared" si="0"/>
        <v>0.369958653278204</v>
      </c>
      <c r="X12" s="36" t="s">
        <v>243</v>
      </c>
      <c r="Y12" s="36" t="s">
        <v>302</v>
      </c>
      <c r="Z12" s="51">
        <f t="shared" si="4"/>
        <v>0.500228310502283</v>
      </c>
      <c r="AA12" s="51">
        <f t="shared" si="1"/>
        <v>0.514497716894977</v>
      </c>
      <c r="AB12" s="51">
        <f t="shared" si="1"/>
        <v>0.490525114155251</v>
      </c>
      <c r="AC12" s="51">
        <f t="shared" si="1"/>
        <v>0.460730593607306</v>
      </c>
      <c r="AD12" s="51">
        <f t="shared" si="1"/>
        <v>0.470319634703196</v>
      </c>
      <c r="AE12" s="51">
        <f t="shared" si="1"/>
        <v>0.570319634703196</v>
      </c>
      <c r="AF12" s="51">
        <f>SUMIFS($N:$N,$A:$A,$X12,$B:$B,AF$2)/8760</f>
        <v>0.533675799086758</v>
      </c>
    </row>
    <row r="13" ht="13" spans="1:32">
      <c r="A13" s="63" t="s">
        <v>244</v>
      </c>
      <c r="B13" s="36">
        <v>2016</v>
      </c>
      <c r="C13" s="44">
        <f t="shared" si="2"/>
        <v>8727</v>
      </c>
      <c r="D13" s="37">
        <v>7448</v>
      </c>
      <c r="E13" s="37">
        <v>957</v>
      </c>
      <c r="F13" s="64"/>
      <c r="G13" s="37">
        <v>322</v>
      </c>
      <c r="H13" s="44">
        <f t="shared" si="3"/>
        <v>4438</v>
      </c>
      <c r="I13" s="37">
        <v>3923</v>
      </c>
      <c r="J13" s="37">
        <v>308</v>
      </c>
      <c r="K13" s="64"/>
      <c r="L13" s="37">
        <v>207</v>
      </c>
      <c r="M13" s="44"/>
      <c r="N13" s="37">
        <v>5272</v>
      </c>
      <c r="O13" s="37">
        <v>3203</v>
      </c>
      <c r="P13" s="64"/>
      <c r="Q13" s="37">
        <v>6614</v>
      </c>
      <c r="R13" s="51" cm="1">
        <f t="array" ref="R13">IFERROR(IF(H13&gt;10,H13/C13*0.876,""),“”)</f>
        <v>0.44547817119285</v>
      </c>
      <c r="S13" s="51" cm="1">
        <f t="array" ref="S13">IFERROR(IF(I13&gt;10,I13/D13*0.876,""),“”)</f>
        <v>0.461405477980666</v>
      </c>
      <c r="T13" s="51" cm="1">
        <f t="array" ref="T13">IFERROR(IF(J13&gt;10,J13/E13*0.876,""),“”)</f>
        <v>0.281931034482759</v>
      </c>
      <c r="U13" s="51" t="str" cm="1">
        <f t="array" ref="U13">IFERROR(IF(K13&gt;10,K13/F13*0.876,""),“”)</f>
        <v/>
      </c>
      <c r="V13" s="78">
        <f t="shared" si="0"/>
        <v>0.465621621621622</v>
      </c>
      <c r="X13" s="36" t="s">
        <v>244</v>
      </c>
      <c r="Y13" s="36" t="s">
        <v>302</v>
      </c>
      <c r="Z13" s="51">
        <f t="shared" si="4"/>
        <v>0.601826484018265</v>
      </c>
      <c r="AA13" s="51">
        <f t="shared" si="1"/>
        <v>0.576255707762557</v>
      </c>
      <c r="AB13" s="51">
        <f t="shared" si="1"/>
        <v>0.535616438356164</v>
      </c>
      <c r="AC13" s="51">
        <f t="shared" si="1"/>
        <v>0.505821917808219</v>
      </c>
      <c r="AD13" s="51">
        <f t="shared" si="1"/>
        <v>0.50958904109589</v>
      </c>
      <c r="AE13" s="51">
        <f t="shared" si="1"/>
        <v>0.578082191780822</v>
      </c>
      <c r="AF13" s="51">
        <f>SUMIFS($N:$N,$A:$A,$X13,$B:$B,AF$2)/8760</f>
        <v>0.560730593607306</v>
      </c>
    </row>
    <row r="14" ht="13" spans="1:32">
      <c r="A14" s="63" t="s">
        <v>245</v>
      </c>
      <c r="B14" s="36">
        <v>2016</v>
      </c>
      <c r="C14" s="44">
        <f t="shared" si="2"/>
        <v>6063</v>
      </c>
      <c r="D14" s="37">
        <v>4629</v>
      </c>
      <c r="E14" s="37">
        <v>1228</v>
      </c>
      <c r="F14" s="37">
        <v>6</v>
      </c>
      <c r="G14" s="37">
        <v>200</v>
      </c>
      <c r="H14" s="44">
        <f t="shared" si="3"/>
        <v>2366</v>
      </c>
      <c r="I14" s="37">
        <v>2098</v>
      </c>
      <c r="J14" s="37">
        <v>156</v>
      </c>
      <c r="K14" s="37">
        <v>0</v>
      </c>
      <c r="L14" s="37">
        <v>112</v>
      </c>
      <c r="M14" s="44"/>
      <c r="N14" s="37">
        <v>4548</v>
      </c>
      <c r="O14" s="37">
        <v>1270</v>
      </c>
      <c r="P14" s="64"/>
      <c r="Q14" s="37">
        <v>6013</v>
      </c>
      <c r="R14" s="51" cm="1">
        <f t="array" ref="R14">IFERROR(IF(H14&gt;10,H14/C14*0.876,""),“”)</f>
        <v>0.341846610588817</v>
      </c>
      <c r="S14" s="51" cm="1">
        <f t="array" ref="S14">IFERROR(IF(I14&gt;10,I14/D14*0.876,""),“”)</f>
        <v>0.397029163966299</v>
      </c>
      <c r="T14" s="51" cm="1">
        <f t="array" ref="T14">IFERROR(IF(J14&gt;10,J14/E14*0.876,""),“”)</f>
        <v>0.11128338762215</v>
      </c>
      <c r="U14" s="51" t="str" cm="1">
        <f t="array" ref="U14">IFERROR(IF(K14&gt;10,K14/F14*0.876,""),“”)</f>
        <v/>
      </c>
      <c r="V14" s="78">
        <f t="shared" si="0"/>
        <v>0.40040537745605</v>
      </c>
      <c r="X14" s="36" t="s">
        <v>245</v>
      </c>
      <c r="Y14" s="36" t="s">
        <v>302</v>
      </c>
      <c r="Z14" s="51">
        <f t="shared" si="4"/>
        <v>0.519178082191781</v>
      </c>
      <c r="AA14" s="51">
        <f t="shared" si="1"/>
        <v>0.55662100456621</v>
      </c>
      <c r="AB14" s="51">
        <f t="shared" si="1"/>
        <v>0.56027397260274</v>
      </c>
      <c r="AC14" s="51">
        <f t="shared" si="1"/>
        <v>0.538812785388128</v>
      </c>
      <c r="AD14" s="51">
        <f t="shared" si="1"/>
        <v>0.513127853881279</v>
      </c>
      <c r="AE14" s="51">
        <f t="shared" si="1"/>
        <v>0.626027397260274</v>
      </c>
      <c r="AF14" s="51">
        <f>SUMIFS($N:$N,$A:$A,$X14,$B:$B,AF$2)/8760</f>
        <v>0.622602739726027</v>
      </c>
    </row>
    <row r="15" ht="13" spans="1:32">
      <c r="A15" s="63" t="s">
        <v>246</v>
      </c>
      <c r="B15" s="36">
        <v>2016</v>
      </c>
      <c r="C15" s="44">
        <f t="shared" si="2"/>
        <v>4916</v>
      </c>
      <c r="D15" s="37">
        <v>4669</v>
      </c>
      <c r="E15" s="37">
        <v>11</v>
      </c>
      <c r="F15" s="64"/>
      <c r="G15" s="37">
        <v>236</v>
      </c>
      <c r="H15" s="44">
        <f t="shared" si="3"/>
        <v>2134</v>
      </c>
      <c r="I15" s="37">
        <v>1997</v>
      </c>
      <c r="J15" s="37">
        <v>6</v>
      </c>
      <c r="K15" s="64"/>
      <c r="L15" s="37">
        <v>131</v>
      </c>
      <c r="M15" s="44"/>
      <c r="N15" s="37">
        <v>4425</v>
      </c>
      <c r="O15" s="37">
        <v>3883</v>
      </c>
      <c r="P15" s="64"/>
      <c r="Q15" s="37">
        <v>5759</v>
      </c>
      <c r="R15" s="51" cm="1">
        <f t="array" ref="R15">IFERROR(IF(H15&gt;10,H15/C15*0.876,""),“”)</f>
        <v>0.38026525630594</v>
      </c>
      <c r="S15" s="51" cm="1">
        <f t="array" ref="S15">IFERROR(IF(I15&gt;10,I15/D15*0.876,""),“”)</f>
        <v>0.374678089526665</v>
      </c>
      <c r="T15" s="51" t="str" cm="1">
        <f t="array" ref="T15">IFERROR(IF(J15&gt;10,J15/E15*0.876,""),“”)</f>
        <v/>
      </c>
      <c r="U15" s="51" t="str" cm="1">
        <f t="array" ref="U15">IFERROR(IF(K15&gt;10,K15/F15*0.876,""),“”)</f>
        <v/>
      </c>
      <c r="V15" s="78">
        <f t="shared" si="0"/>
        <v>0.380046483180428</v>
      </c>
      <c r="X15" s="36" t="s">
        <v>246</v>
      </c>
      <c r="Y15" s="36" t="s">
        <v>302</v>
      </c>
      <c r="Z15" s="51">
        <f t="shared" si="4"/>
        <v>0.50513698630137</v>
      </c>
      <c r="AA15" s="51">
        <f t="shared" si="1"/>
        <v>0.516780821917808</v>
      </c>
      <c r="AB15" s="51">
        <f t="shared" si="1"/>
        <v>0.570776255707763</v>
      </c>
      <c r="AC15" s="51">
        <f t="shared" si="1"/>
        <v>0.547146118721461</v>
      </c>
      <c r="AD15" s="51">
        <f t="shared" si="1"/>
        <v>0.51472602739726</v>
      </c>
      <c r="AE15" s="51">
        <f t="shared" si="1"/>
        <v>0.536415525114155</v>
      </c>
      <c r="AF15" s="51">
        <f>SUMIFS($N:$N,$A:$A,$X15,$B:$B,AF$2)/8760</f>
        <v>0.557077625570776</v>
      </c>
    </row>
    <row r="16" ht="13" spans="1:32">
      <c r="A16" s="63" t="s">
        <v>247</v>
      </c>
      <c r="B16" s="36">
        <v>2016</v>
      </c>
      <c r="C16" s="44">
        <f t="shared" si="2"/>
        <v>2902</v>
      </c>
      <c r="D16" s="37">
        <v>2394</v>
      </c>
      <c r="E16" s="37">
        <v>387</v>
      </c>
      <c r="F16" s="64"/>
      <c r="G16" s="37">
        <v>121</v>
      </c>
      <c r="H16" s="44">
        <f t="shared" si="3"/>
        <v>916</v>
      </c>
      <c r="I16" s="37">
        <v>781</v>
      </c>
      <c r="J16" s="37">
        <v>67</v>
      </c>
      <c r="K16" s="37">
        <v>1</v>
      </c>
      <c r="L16" s="37">
        <v>67</v>
      </c>
      <c r="M16" s="44"/>
      <c r="N16" s="37">
        <v>3262</v>
      </c>
      <c r="O16" s="37">
        <v>1740</v>
      </c>
      <c r="P16" s="64"/>
      <c r="Q16" s="37">
        <v>6084</v>
      </c>
      <c r="R16" s="51" cm="1">
        <f t="array" ref="R16">IFERROR(IF(H16&gt;10,H16/C16*0.876,""),“”)</f>
        <v>0.276504479669194</v>
      </c>
      <c r="S16" s="51" cm="1">
        <f t="array" ref="S16">IFERROR(IF(I16&gt;10,I16/D16*0.876,""),“”)</f>
        <v>0.285779448621554</v>
      </c>
      <c r="T16" s="51" cm="1">
        <f t="array" ref="T16">IFERROR(IF(J16&gt;10,J16/E16*0.876,""),“”)</f>
        <v>0.151658914728682</v>
      </c>
      <c r="U16" s="51" t="str" cm="1">
        <f t="array" ref="U16">IFERROR(IF(K16&gt;10,K16/F16*0.876,""),“”)</f>
        <v/>
      </c>
      <c r="V16" s="78">
        <f t="shared" si="0"/>
        <v>0.295715308151093</v>
      </c>
      <c r="X16" s="36" t="s">
        <v>247</v>
      </c>
      <c r="Y16" s="36" t="s">
        <v>302</v>
      </c>
      <c r="Z16" s="51">
        <f t="shared" si="4"/>
        <v>0.372374429223744</v>
      </c>
      <c r="AA16" s="51">
        <f t="shared" si="1"/>
        <v>0.470433789954338</v>
      </c>
      <c r="AB16" s="51">
        <f t="shared" si="1"/>
        <v>0.556506849315068</v>
      </c>
      <c r="AC16" s="51">
        <f t="shared" si="1"/>
        <v>0.525913242009132</v>
      </c>
      <c r="AD16" s="51">
        <f t="shared" si="1"/>
        <v>0.569977168949772</v>
      </c>
      <c r="AE16" s="51">
        <f t="shared" si="1"/>
        <v>0.605936073059361</v>
      </c>
      <c r="AF16" s="51">
        <f>SUMIFS($N:$N,$A:$A,$X16,$B:$B,AF$2)/8760</f>
        <v>0.540525114155251</v>
      </c>
    </row>
    <row r="17" ht="13" spans="1:32">
      <c r="A17" s="63" t="s">
        <v>248</v>
      </c>
      <c r="B17" s="36">
        <v>2016</v>
      </c>
      <c r="C17" s="44">
        <f t="shared" si="2"/>
        <v>1918</v>
      </c>
      <c r="D17" s="37">
        <v>1721</v>
      </c>
      <c r="E17" s="37">
        <v>10</v>
      </c>
      <c r="F17" s="64"/>
      <c r="G17" s="37">
        <v>187</v>
      </c>
      <c r="H17" s="44">
        <f t="shared" si="3"/>
        <v>856</v>
      </c>
      <c r="I17" s="37">
        <v>745</v>
      </c>
      <c r="J17" s="37">
        <v>4</v>
      </c>
      <c r="K17" s="64"/>
      <c r="L17" s="37">
        <v>107</v>
      </c>
      <c r="M17" s="44"/>
      <c r="N17" s="37">
        <v>4417</v>
      </c>
      <c r="O17" s="37">
        <v>4603</v>
      </c>
      <c r="P17" s="64"/>
      <c r="Q17" s="37">
        <v>5932</v>
      </c>
      <c r="R17" s="51" cm="1">
        <f t="array" ref="R17">IFERROR(IF(H17&gt;10,H17/C17*0.876,""),“”)</f>
        <v>0.39095724713243</v>
      </c>
      <c r="S17" s="51" cm="1">
        <f t="array" ref="S17">IFERROR(IF(I17&gt;10,I17/D17*0.876,""),“”)</f>
        <v>0.379209761766415</v>
      </c>
      <c r="T17" s="51" t="str" cm="1">
        <f t="array" ref="T17">IFERROR(IF(J17&gt;10,J17/E17*0.876,""),“”)</f>
        <v/>
      </c>
      <c r="U17" s="51" t="str" cm="1">
        <f t="array" ref="U17">IFERROR(IF(K17&gt;10,K17/F17*0.876,""),“”)</f>
        <v/>
      </c>
      <c r="V17" s="78">
        <f t="shared" si="0"/>
        <v>0.391169811320755</v>
      </c>
      <c r="X17" s="36" t="s">
        <v>248</v>
      </c>
      <c r="Y17" s="36" t="s">
        <v>302</v>
      </c>
      <c r="Z17" s="51">
        <f t="shared" si="4"/>
        <v>0.504223744292237</v>
      </c>
      <c r="AA17" s="51">
        <f t="shared" si="1"/>
        <v>0.558561643835616</v>
      </c>
      <c r="AB17" s="51">
        <f t="shared" si="1"/>
        <v>0.591095890410959</v>
      </c>
      <c r="AC17" s="51">
        <f t="shared" si="1"/>
        <v>0.577397260273973</v>
      </c>
      <c r="AD17" s="51">
        <f t="shared" si="1"/>
        <v>0.582876712328767</v>
      </c>
      <c r="AE17" s="51">
        <f t="shared" si="1"/>
        <v>0.584703196347032</v>
      </c>
      <c r="AF17" s="51">
        <f>SUMIFS($N:$N,$A:$A,$X17,$B:$B,AF$2)/8760</f>
        <v>0.540296803652968</v>
      </c>
    </row>
    <row r="18" ht="13" spans="1:32">
      <c r="A18" s="63" t="s">
        <v>249</v>
      </c>
      <c r="B18" s="36">
        <v>2016</v>
      </c>
      <c r="C18" s="44">
        <f t="shared" si="2"/>
        <v>9540</v>
      </c>
      <c r="D18" s="41">
        <v>9015</v>
      </c>
      <c r="E18" s="41">
        <v>6</v>
      </c>
      <c r="F18" s="64"/>
      <c r="G18" s="41">
        <v>519</v>
      </c>
      <c r="H18" s="44">
        <f t="shared" si="3"/>
        <v>4671</v>
      </c>
      <c r="I18" s="41">
        <v>4455</v>
      </c>
      <c r="J18" s="41">
        <v>3</v>
      </c>
      <c r="K18" s="64"/>
      <c r="L18" s="41">
        <v>213</v>
      </c>
      <c r="M18" s="44"/>
      <c r="N18" s="41">
        <v>5235</v>
      </c>
      <c r="O18" s="41">
        <v>6498</v>
      </c>
      <c r="P18" s="64"/>
      <c r="Q18" s="41">
        <v>4331</v>
      </c>
      <c r="R18" s="51" cm="1">
        <f t="array" ref="R18">IFERROR(IF(H18&gt;10,H18/C18*0.876,""),“”)</f>
        <v>0.428909433962264</v>
      </c>
      <c r="S18" s="51" cm="1">
        <f t="array" ref="S18">IFERROR(IF(I18&gt;10,I18/D18*0.876,""),“”)</f>
        <v>0.43289850249584</v>
      </c>
      <c r="T18" s="51" t="str" cm="1">
        <f t="array" ref="T18">IFERROR(IF(J18&gt;10,J18/E18*0.876,""),“”)</f>
        <v/>
      </c>
      <c r="U18" s="51" t="str" cm="1">
        <f t="array" ref="U18">IFERROR(IF(K18&gt;10,K18/F18*0.876,""),“”)</f>
        <v/>
      </c>
      <c r="V18" s="78">
        <f t="shared" si="0"/>
        <v>0.428903713027061</v>
      </c>
      <c r="X18" s="36" t="s">
        <v>249</v>
      </c>
      <c r="Y18" s="36" t="s">
        <v>302</v>
      </c>
      <c r="Z18" s="51">
        <f t="shared" si="4"/>
        <v>0.597602739726027</v>
      </c>
      <c r="AA18" s="51">
        <f t="shared" si="1"/>
        <v>0.5337899543379</v>
      </c>
      <c r="AB18" s="51">
        <f t="shared" si="1"/>
        <v>0.539269406392694</v>
      </c>
      <c r="AC18" s="51">
        <f t="shared" si="1"/>
        <v>0.506849315068493</v>
      </c>
      <c r="AD18" s="51">
        <f t="shared" si="1"/>
        <v>0.496689497716895</v>
      </c>
      <c r="AE18" s="51">
        <f t="shared" si="1"/>
        <v>0.522146118721461</v>
      </c>
      <c r="AF18" s="51">
        <f>SUMIFS($N:$N,$A:$A,$X18,$B:$B,AF$2)/8760</f>
        <v>0.507990867579909</v>
      </c>
    </row>
    <row r="19" ht="13" spans="1:32">
      <c r="A19" s="63" t="s">
        <v>250</v>
      </c>
      <c r="B19" s="36">
        <v>2016</v>
      </c>
      <c r="C19" s="44">
        <f t="shared" si="2"/>
        <v>6431</v>
      </c>
      <c r="D19" s="64">
        <v>6164</v>
      </c>
      <c r="E19" s="64">
        <v>161</v>
      </c>
      <c r="F19" s="64"/>
      <c r="G19" s="64">
        <v>106</v>
      </c>
      <c r="H19" s="44">
        <f t="shared" si="3"/>
        <v>2474</v>
      </c>
      <c r="I19" s="64">
        <v>2403</v>
      </c>
      <c r="J19" s="64">
        <v>34</v>
      </c>
      <c r="K19" s="64"/>
      <c r="L19" s="64">
        <v>37</v>
      </c>
      <c r="M19" s="44"/>
      <c r="N19" s="64">
        <v>3903</v>
      </c>
      <c r="O19" s="64">
        <v>2088</v>
      </c>
      <c r="P19" s="64"/>
      <c r="Q19" s="64">
        <v>3717</v>
      </c>
      <c r="R19" s="51" cm="1">
        <f t="array" ref="R19">IFERROR(IF(H19&gt;10,H19/C19*0.876,""),“”)</f>
        <v>0.336996423573317</v>
      </c>
      <c r="S19" s="51" cm="1">
        <f t="array" ref="S19">IFERROR(IF(I19&gt;10,I19/D19*0.876,""),“”)</f>
        <v>0.341503569110967</v>
      </c>
      <c r="T19" s="51" cm="1">
        <f t="array" ref="T19">IFERROR(IF(J19&gt;10,J19/E19*0.876,""),“”)</f>
        <v>0.184993788819876</v>
      </c>
      <c r="U19" s="51" t="str" cm="1">
        <f t="array" ref="U19">IFERROR(IF(K19&gt;10,K19/F19*0.876,""),“”)</f>
        <v/>
      </c>
      <c r="V19" s="78">
        <f t="shared" si="0"/>
        <v>0.3408995215311</v>
      </c>
      <c r="X19" s="36" t="s">
        <v>250</v>
      </c>
      <c r="Y19" s="36" t="s">
        <v>302</v>
      </c>
      <c r="Z19" s="51">
        <f t="shared" si="4"/>
        <v>0.445547945205479</v>
      </c>
      <c r="AA19" s="51">
        <f t="shared" si="4"/>
        <v>0.447374429223744</v>
      </c>
      <c r="AB19" s="51">
        <f t="shared" si="4"/>
        <v>0.454452054794521</v>
      </c>
      <c r="AC19" s="51">
        <f t="shared" si="4"/>
        <v>0.414611872146119</v>
      </c>
      <c r="AD19" s="51">
        <f t="shared" si="4"/>
        <v>0.393036529680365</v>
      </c>
      <c r="AE19" s="51">
        <f t="shared" si="4"/>
        <v>0.390068493150685</v>
      </c>
      <c r="AF19" s="51">
        <f>SUMIFS($N:$N,$A:$A,$X19,$B:$B,AF$2)/8760</f>
        <v>0.430479452054795</v>
      </c>
    </row>
    <row r="20" ht="13" spans="1:32">
      <c r="A20" s="63" t="s">
        <v>251</v>
      </c>
      <c r="B20" s="36">
        <v>2016</v>
      </c>
      <c r="C20" s="44">
        <f t="shared" si="2"/>
        <v>2694</v>
      </c>
      <c r="D20" s="41">
        <v>2405</v>
      </c>
      <c r="E20" s="41">
        <v>76</v>
      </c>
      <c r="F20" s="64"/>
      <c r="G20" s="41">
        <v>213</v>
      </c>
      <c r="H20" s="44">
        <f t="shared" si="3"/>
        <v>1048</v>
      </c>
      <c r="I20" s="41">
        <v>928</v>
      </c>
      <c r="J20" s="41">
        <v>28</v>
      </c>
      <c r="K20" s="64"/>
      <c r="L20" s="41">
        <v>92</v>
      </c>
      <c r="M20" s="44"/>
      <c r="N20" s="41">
        <v>3957</v>
      </c>
      <c r="O20" s="41">
        <v>3662</v>
      </c>
      <c r="P20" s="64"/>
      <c r="Q20" s="41">
        <v>4424</v>
      </c>
      <c r="R20" s="51" cm="1">
        <f t="array" ref="R20">IFERROR(IF(H20&gt;10,H20/C20*0.876,""),“”)</f>
        <v>0.340775055679287</v>
      </c>
      <c r="S20" s="51" cm="1">
        <f t="array" ref="S20">IFERROR(IF(I20&gt;10,I20/D20*0.876,""),“”)</f>
        <v>0.3380158004158</v>
      </c>
      <c r="T20" s="51" cm="1">
        <f t="array" ref="T20">IFERROR(IF(J20&gt;10,J20/E20*0.876,""),“”)</f>
        <v>0.322736842105263</v>
      </c>
      <c r="U20" s="51" t="str" cm="1">
        <f t="array" ref="U20">IFERROR(IF(K20&gt;10,K20/F20*0.876,""),“”)</f>
        <v/>
      </c>
      <c r="V20" s="78">
        <f t="shared" si="0"/>
        <v>0.341298701298701</v>
      </c>
      <c r="X20" s="36" t="s">
        <v>251</v>
      </c>
      <c r="Y20" s="36" t="s">
        <v>302</v>
      </c>
      <c r="Z20" s="51">
        <f t="shared" si="4"/>
        <v>0.451712328767123</v>
      </c>
      <c r="AA20" s="51">
        <f t="shared" si="4"/>
        <v>0.448630136986301</v>
      </c>
      <c r="AB20" s="51">
        <f t="shared" si="4"/>
        <v>0.528082191780822</v>
      </c>
      <c r="AC20" s="51">
        <f t="shared" si="4"/>
        <v>0.564497716894977</v>
      </c>
      <c r="AD20" s="51">
        <f t="shared" si="4"/>
        <v>0.443949771689498</v>
      </c>
      <c r="AE20" s="51">
        <f t="shared" si="4"/>
        <v>0.515981735159817</v>
      </c>
      <c r="AF20" s="51">
        <f>SUMIFS($N:$N,$A:$A,$X20,$B:$B,AF$2)/8760</f>
        <v>0.545890410958904</v>
      </c>
    </row>
    <row r="21" ht="13" spans="1:32">
      <c r="A21" s="63" t="s">
        <v>252</v>
      </c>
      <c r="B21" s="36">
        <v>2016</v>
      </c>
      <c r="C21" s="44">
        <f t="shared" si="2"/>
        <v>2321</v>
      </c>
      <c r="D21" s="64">
        <v>2113</v>
      </c>
      <c r="E21" s="64">
        <v>10</v>
      </c>
      <c r="F21" s="64">
        <v>7</v>
      </c>
      <c r="G21" s="64">
        <v>191</v>
      </c>
      <c r="H21" s="44">
        <f t="shared" si="3"/>
        <v>732</v>
      </c>
      <c r="I21" s="64">
        <v>614</v>
      </c>
      <c r="J21" s="64">
        <v>6</v>
      </c>
      <c r="K21" s="64">
        <v>3</v>
      </c>
      <c r="L21" s="64">
        <v>109</v>
      </c>
      <c r="M21" s="44"/>
      <c r="N21" s="64">
        <v>3021</v>
      </c>
      <c r="O21" s="64">
        <v>6120</v>
      </c>
      <c r="P21" s="64">
        <v>3968</v>
      </c>
      <c r="Q21" s="64">
        <v>5840</v>
      </c>
      <c r="R21" s="51" cm="1">
        <f t="array" ref="R21">IFERROR(IF(H21&gt;10,H21/C21*0.876,""),“”)</f>
        <v>0.276274019819043</v>
      </c>
      <c r="S21" s="51" cm="1">
        <f t="array" ref="S21">IFERROR(IF(I21&gt;10,I21/D21*0.876,""),“”)</f>
        <v>0.254549929010885</v>
      </c>
      <c r="T21" s="51" t="str" cm="1">
        <f t="array" ref="T21">IFERROR(IF(J21&gt;10,J21/E21*0.876,""),“”)</f>
        <v/>
      </c>
      <c r="U21" s="51" t="str" cm="1">
        <f t="array" ref="U21">IFERROR(IF(K21&gt;10,K21/F21*0.876,""),“”)</f>
        <v/>
      </c>
      <c r="V21" s="78">
        <f t="shared" si="0"/>
        <v>0.275195153613154</v>
      </c>
      <c r="X21" s="36" t="s">
        <v>252</v>
      </c>
      <c r="Y21" s="36" t="s">
        <v>302</v>
      </c>
      <c r="Z21" s="51">
        <f t="shared" si="4"/>
        <v>0.34486301369863</v>
      </c>
      <c r="AA21" s="51">
        <f t="shared" si="4"/>
        <v>0.380936073059361</v>
      </c>
      <c r="AB21" s="51">
        <f t="shared" si="4"/>
        <v>0.442808219178082</v>
      </c>
      <c r="AC21" s="51">
        <f t="shared" si="4"/>
        <v>0.4337899543379</v>
      </c>
      <c r="AD21" s="51">
        <f t="shared" si="4"/>
        <v>0.40148401826484</v>
      </c>
      <c r="AE21" s="51">
        <f t="shared" si="4"/>
        <v>0.480022831050228</v>
      </c>
      <c r="AF21" s="51">
        <f>SUMIFS($N:$N,$A:$A,$X21,$B:$B,AF$2)/8760</f>
        <v>0.449086757990868</v>
      </c>
    </row>
    <row r="22" ht="13" spans="1:32">
      <c r="A22" s="63" t="s">
        <v>253</v>
      </c>
      <c r="B22" s="36">
        <v>2016</v>
      </c>
      <c r="C22" s="44">
        <f t="shared" si="2"/>
        <v>7722</v>
      </c>
      <c r="D22" s="37">
        <v>5992</v>
      </c>
      <c r="E22" s="37">
        <v>1569</v>
      </c>
      <c r="F22" s="37">
        <v>33</v>
      </c>
      <c r="G22" s="37">
        <v>128</v>
      </c>
      <c r="H22" s="44">
        <f t="shared" si="3"/>
        <v>2850</v>
      </c>
      <c r="I22" s="37">
        <v>2297</v>
      </c>
      <c r="J22" s="37">
        <v>489</v>
      </c>
      <c r="K22" s="37">
        <v>12</v>
      </c>
      <c r="L22" s="37">
        <v>52</v>
      </c>
      <c r="M22" s="44"/>
      <c r="N22" s="37">
        <v>3854</v>
      </c>
      <c r="O22" s="37">
        <v>3164</v>
      </c>
      <c r="P22" s="37">
        <v>3815</v>
      </c>
      <c r="Q22" s="37">
        <v>4406</v>
      </c>
      <c r="R22" s="51" cm="1">
        <f t="array" ref="R22">IFERROR(IF(H22&gt;10,H22/C22*0.876,""),“”)</f>
        <v>0.323310023310023</v>
      </c>
      <c r="S22" s="51" cm="1">
        <f t="array" ref="S22">IFERROR(IF(I22&gt;10,I22/D22*0.876,""),“”)</f>
        <v>0.335809746328438</v>
      </c>
      <c r="T22" s="51" cm="1">
        <f t="array" ref="T22">IFERROR(IF(J22&gt;10,J22/E22*0.876,""),“”)</f>
        <v>0.273017208413002</v>
      </c>
      <c r="U22" s="51" cm="1">
        <f t="array" ref="U22">IFERROR(IF(K22&gt;10,K22/F22*0.876,""),“”)</f>
        <v>0.318545454545455</v>
      </c>
      <c r="V22" s="78">
        <f t="shared" si="0"/>
        <v>0.336134568503169</v>
      </c>
      <c r="X22" s="36" t="s">
        <v>253</v>
      </c>
      <c r="Y22" s="36" t="s">
        <v>302</v>
      </c>
      <c r="Z22" s="51">
        <f t="shared" si="4"/>
        <v>0.439954337899543</v>
      </c>
      <c r="AA22" s="51">
        <f t="shared" si="4"/>
        <v>0.490981735159817</v>
      </c>
      <c r="AB22" s="51">
        <f t="shared" si="4"/>
        <v>0.518949771689498</v>
      </c>
      <c r="AC22" s="51">
        <f t="shared" si="4"/>
        <v>0.471461187214612</v>
      </c>
      <c r="AD22" s="51">
        <f t="shared" si="4"/>
        <v>0.450570776255708</v>
      </c>
      <c r="AE22" s="51">
        <f t="shared" si="4"/>
        <v>0.572488584474886</v>
      </c>
      <c r="AF22" s="51">
        <f>SUMIFS($N:$N,$A:$A,$X22,$B:$B,AF$2)/8760</f>
        <v>0.580821917808219</v>
      </c>
    </row>
    <row r="23" ht="13" spans="1:32">
      <c r="A23" s="63" t="s">
        <v>254</v>
      </c>
      <c r="B23" s="36">
        <v>2016</v>
      </c>
      <c r="C23" s="44">
        <f t="shared" si="2"/>
        <v>2185</v>
      </c>
      <c r="D23" s="64">
        <v>1615</v>
      </c>
      <c r="E23" s="64">
        <v>12</v>
      </c>
      <c r="F23" s="64"/>
      <c r="G23" s="64">
        <v>558</v>
      </c>
      <c r="H23" s="44">
        <f t="shared" si="3"/>
        <v>558</v>
      </c>
      <c r="I23" s="64">
        <v>360</v>
      </c>
      <c r="J23" s="64">
        <v>1</v>
      </c>
      <c r="K23" s="64"/>
      <c r="L23" s="64">
        <v>197</v>
      </c>
      <c r="M23" s="44"/>
      <c r="N23" s="64">
        <v>2707</v>
      </c>
      <c r="O23" s="64">
        <v>808</v>
      </c>
      <c r="P23" s="64"/>
      <c r="Q23" s="64">
        <v>3869</v>
      </c>
      <c r="R23" s="51" cm="1">
        <f t="array" ref="R23">IFERROR(IF(H23&gt;10,H23/C23*0.876,""),“”)</f>
        <v>0.223710755148741</v>
      </c>
      <c r="S23" s="51" cm="1">
        <f t="array" ref="S23">IFERROR(IF(I23&gt;10,I23/D23*0.876,""),“”)</f>
        <v>0.195269349845201</v>
      </c>
      <c r="T23" s="51" t="str" cm="1">
        <f t="array" ref="T23">IFERROR(IF(J23&gt;10,J23/E23*0.876,""),“”)</f>
        <v/>
      </c>
      <c r="U23" s="51" t="str" cm="1">
        <f t="array" ref="U23">IFERROR(IF(K23&gt;10,K23/F23*0.876,""),“”)</f>
        <v/>
      </c>
      <c r="V23" s="78">
        <f t="shared" si="0"/>
        <v>0.22454302807179</v>
      </c>
      <c r="X23" s="36" t="s">
        <v>254</v>
      </c>
      <c r="Y23" s="36" t="s">
        <v>302</v>
      </c>
      <c r="Z23" s="51">
        <f t="shared" si="4"/>
        <v>0.309018264840183</v>
      </c>
      <c r="AA23" s="51">
        <f t="shared" si="4"/>
        <v>0.282077625570776</v>
      </c>
      <c r="AB23" s="51">
        <f t="shared" si="4"/>
        <v>0.394977168949772</v>
      </c>
      <c r="AC23" s="51">
        <f t="shared" si="4"/>
        <v>0.51175799086758</v>
      </c>
      <c r="AD23" s="51">
        <f t="shared" si="4"/>
        <v>0.531392694063927</v>
      </c>
      <c r="AE23" s="51">
        <f t="shared" si="4"/>
        <v>0.560388127853881</v>
      </c>
      <c r="AF23" s="51">
        <f>SUMIFS($N:$N,$A:$A,$X23,$B:$B,AF$2)/8760</f>
        <v>0.464497716894977</v>
      </c>
    </row>
    <row r="24" ht="13" spans="1:32">
      <c r="A24" s="63" t="s">
        <v>255</v>
      </c>
      <c r="B24" s="36">
        <v>2016</v>
      </c>
      <c r="C24" s="44">
        <f t="shared" si="2"/>
        <v>464</v>
      </c>
      <c r="D24" s="37">
        <v>376</v>
      </c>
      <c r="E24" s="37">
        <v>72</v>
      </c>
      <c r="F24" s="64"/>
      <c r="G24" s="37">
        <v>16</v>
      </c>
      <c r="H24" s="44">
        <f t="shared" si="3"/>
        <v>197</v>
      </c>
      <c r="I24" s="37">
        <v>176</v>
      </c>
      <c r="J24" s="37">
        <v>10</v>
      </c>
      <c r="K24" s="64"/>
      <c r="L24" s="37">
        <v>11</v>
      </c>
      <c r="M24" s="44"/>
      <c r="N24" s="37">
        <v>4679</v>
      </c>
      <c r="O24" s="37">
        <v>1423</v>
      </c>
      <c r="P24" s="64"/>
      <c r="Q24" s="37">
        <v>6813</v>
      </c>
      <c r="R24" s="51" cm="1">
        <f t="array" ref="R24">IFERROR(IF(H24&gt;10,H24/C24*0.876,""),“”)</f>
        <v>0.371922413793103</v>
      </c>
      <c r="S24" s="51" cm="1">
        <f t="array" ref="S24">IFERROR(IF(I24&gt;10,I24/D24*0.876,""),“”)</f>
        <v>0.410042553191489</v>
      </c>
      <c r="T24" s="51" t="str" cm="1">
        <f t="array" ref="T24">IFERROR(IF(J24&gt;10,J24/E24*0.876,""),“”)</f>
        <v/>
      </c>
      <c r="U24" s="51" t="str" cm="1">
        <f t="array" ref="U24">IFERROR(IF(K24&gt;10,K24/F24*0.876,""),“”)</f>
        <v/>
      </c>
      <c r="V24" s="78">
        <f t="shared" si="0"/>
        <v>0.417887755102041</v>
      </c>
      <c r="X24" s="36" t="s">
        <v>255</v>
      </c>
      <c r="Y24" s="36" t="s">
        <v>302</v>
      </c>
      <c r="Z24" s="51">
        <f t="shared" si="4"/>
        <v>0.534132420091324</v>
      </c>
      <c r="AA24" s="51">
        <f t="shared" si="4"/>
        <v>0.526940639269406</v>
      </c>
      <c r="AB24" s="51">
        <f t="shared" si="4"/>
        <v>0.565296803652968</v>
      </c>
      <c r="AC24" s="51">
        <f t="shared" si="4"/>
        <v>0.562785388127854</v>
      </c>
      <c r="AD24" s="51">
        <f t="shared" si="4"/>
        <v>0.563470319634703</v>
      </c>
      <c r="AE24" s="51">
        <f t="shared" si="4"/>
        <v>0.583561643835616</v>
      </c>
      <c r="AF24" s="51">
        <f>SUMIFS($N:$N,$A:$A,$X24,$B:$B,AF$2)/8760</f>
        <v>0.52796803652968</v>
      </c>
    </row>
    <row r="25" ht="13" spans="1:32">
      <c r="A25" s="63" t="s">
        <v>256</v>
      </c>
      <c r="B25" s="36">
        <v>2016</v>
      </c>
      <c r="C25" s="44">
        <f t="shared" si="2"/>
        <v>1462</v>
      </c>
      <c r="D25" s="64">
        <v>1256</v>
      </c>
      <c r="E25" s="64">
        <v>162</v>
      </c>
      <c r="F25" s="64"/>
      <c r="G25" s="64">
        <v>44</v>
      </c>
      <c r="H25" s="44">
        <f t="shared" si="3"/>
        <v>431</v>
      </c>
      <c r="I25" s="64">
        <v>371</v>
      </c>
      <c r="J25" s="64">
        <v>36</v>
      </c>
      <c r="K25" s="64"/>
      <c r="L25" s="64">
        <v>24</v>
      </c>
      <c r="M25" s="44"/>
      <c r="N25" s="64">
        <v>3425</v>
      </c>
      <c r="O25" s="64">
        <v>2198</v>
      </c>
      <c r="P25" s="64"/>
      <c r="Q25" s="64">
        <v>5578</v>
      </c>
      <c r="R25" s="51" cm="1">
        <f t="array" ref="R25">IFERROR(IF(H25&gt;10,H25/C25*0.876,""),“”)</f>
        <v>0.258246238030096</v>
      </c>
      <c r="S25" s="51" cm="1">
        <f t="array" ref="S25">IFERROR(IF(I25&gt;10,I25/D25*0.876,""),“”)</f>
        <v>0.258754777070064</v>
      </c>
      <c r="T25" s="51" cm="1">
        <f t="array" ref="T25">IFERROR(IF(J25&gt;10,J25/E25*0.876,""),“”)</f>
        <v>0.194666666666667</v>
      </c>
      <c r="U25" s="51" t="str" cm="1">
        <f t="array" ref="U25">IFERROR(IF(K25&gt;10,K25/F25*0.876,""),“”)</f>
        <v/>
      </c>
      <c r="V25" s="78">
        <f t="shared" si="0"/>
        <v>0.266169230769231</v>
      </c>
      <c r="X25" s="36" t="s">
        <v>256</v>
      </c>
      <c r="Y25" s="36" t="s">
        <v>302</v>
      </c>
      <c r="Z25" s="51">
        <f t="shared" si="4"/>
        <v>0.390981735159817</v>
      </c>
      <c r="AA25" s="51">
        <f t="shared" si="4"/>
        <v>0.346917808219178</v>
      </c>
      <c r="AB25" s="51">
        <f t="shared" si="4"/>
        <v>0.408333333333333</v>
      </c>
      <c r="AC25" s="51">
        <f t="shared" si="4"/>
        <v>0.404337899543379</v>
      </c>
      <c r="AD25" s="51">
        <f t="shared" si="4"/>
        <v>0.382648401826484</v>
      </c>
      <c r="AE25" s="51">
        <f t="shared" si="4"/>
        <v>0.49041095890411</v>
      </c>
      <c r="AF25" s="51">
        <f>SUMIFS($N:$N,$A:$A,$X25,$B:$B,AF$2)/8760</f>
        <v>0.54486301369863</v>
      </c>
    </row>
    <row r="26" ht="13" spans="1:32">
      <c r="A26" s="63" t="s">
        <v>258</v>
      </c>
      <c r="B26" s="36">
        <v>2016</v>
      </c>
      <c r="C26" s="44">
        <f t="shared" si="2"/>
        <v>1642</v>
      </c>
      <c r="D26" s="41">
        <v>1399</v>
      </c>
      <c r="E26" s="41">
        <v>122</v>
      </c>
      <c r="F26" s="64"/>
      <c r="G26" s="41">
        <v>121</v>
      </c>
      <c r="H26" s="44">
        <f t="shared" si="3"/>
        <v>349</v>
      </c>
      <c r="I26" s="41">
        <v>273</v>
      </c>
      <c r="J26" s="41">
        <v>22</v>
      </c>
      <c r="K26" s="64"/>
      <c r="L26" s="41">
        <v>54</v>
      </c>
      <c r="M26" s="44"/>
      <c r="N26" s="41">
        <v>1941</v>
      </c>
      <c r="O26" s="41">
        <v>1754</v>
      </c>
      <c r="P26" s="64"/>
      <c r="Q26" s="41">
        <v>4904</v>
      </c>
      <c r="R26" s="51" cm="1">
        <f t="array" ref="R26">IFERROR(IF(H26&gt;10,H26/C26*0.876,""),“”)</f>
        <v>0.186190012180268</v>
      </c>
      <c r="S26" s="51" cm="1">
        <f t="array" ref="S26">IFERROR(IF(I26&gt;10,I26/D26*0.876,""),“”)</f>
        <v>0.170942101501072</v>
      </c>
      <c r="T26" s="51" cm="1">
        <f t="array" ref="T26">IFERROR(IF(J26&gt;10,J26/E26*0.876,""),“”)</f>
        <v>0.157967213114754</v>
      </c>
      <c r="U26" s="51" t="str" cm="1">
        <f t="array" ref="U26">IFERROR(IF(K26&gt;10,K26/F26*0.876,""),“”)</f>
        <v/>
      </c>
      <c r="V26" s="78">
        <f t="shared" si="0"/>
        <v>0.188455263157895</v>
      </c>
      <c r="X26" s="36" t="s">
        <v>258</v>
      </c>
      <c r="Y26" s="36" t="s">
        <v>302</v>
      </c>
      <c r="Z26" s="51">
        <f t="shared" si="4"/>
        <v>0.221575342465753</v>
      </c>
      <c r="AA26" s="51">
        <f t="shared" si="4"/>
        <v>0.211986301369863</v>
      </c>
      <c r="AB26" s="51">
        <f t="shared" si="4"/>
        <v>0.284018264840183</v>
      </c>
      <c r="AC26" s="51">
        <f t="shared" si="4"/>
        <v>0.324885844748858</v>
      </c>
      <c r="AD26" s="51">
        <f t="shared" si="4"/>
        <v>0.339497716894977</v>
      </c>
      <c r="AE26" s="51">
        <f t="shared" si="4"/>
        <v>0.424657534246575</v>
      </c>
      <c r="AF26" s="51">
        <f>SUMIFS($N:$N,$A:$A,$X26,$B:$B,AF$2)/8760</f>
        <v>0.4837899543379</v>
      </c>
    </row>
    <row r="27" ht="13" spans="1:32">
      <c r="A27" s="63" t="s">
        <v>259</v>
      </c>
      <c r="B27" s="36">
        <v>2016</v>
      </c>
      <c r="C27" s="44">
        <f t="shared" si="2"/>
        <v>3013</v>
      </c>
      <c r="D27" s="41">
        <v>3005</v>
      </c>
      <c r="E27" s="64"/>
      <c r="F27" s="64"/>
      <c r="G27" s="41">
        <v>8</v>
      </c>
      <c r="H27" s="44">
        <f t="shared" si="3"/>
        <v>1172</v>
      </c>
      <c r="I27" s="41">
        <v>1167</v>
      </c>
      <c r="J27" s="64"/>
      <c r="K27" s="64"/>
      <c r="L27" s="41">
        <v>5</v>
      </c>
      <c r="M27" s="44"/>
      <c r="N27" s="41">
        <v>3982</v>
      </c>
      <c r="O27" s="64"/>
      <c r="P27" s="64"/>
      <c r="Q27" s="41">
        <v>5387</v>
      </c>
      <c r="R27" s="51" cm="1">
        <f t="array" ref="R27">IFERROR(IF(H27&gt;10,H27/C27*0.876,""),“”)</f>
        <v>0.340747427812811</v>
      </c>
      <c r="S27" s="51" cm="1">
        <f t="array" ref="S27">IFERROR(IF(I27&gt;10,I27/D27*0.876,""),“”)</f>
        <v>0.34019700499168</v>
      </c>
      <c r="T27" s="51" t="str" cm="1">
        <f t="array" ref="T27">IFERROR(IF(J27&gt;10,J27/E27*0.876,""),“”)</f>
        <v/>
      </c>
      <c r="U27" s="51" t="str" cm="1">
        <f t="array" ref="U27">IFERROR(IF(K27&gt;10,K27/F27*0.876,""),“”)</f>
        <v/>
      </c>
      <c r="V27" s="78">
        <f t="shared" si="0"/>
        <v>0.340747427812811</v>
      </c>
      <c r="X27" s="36" t="s">
        <v>259</v>
      </c>
      <c r="Y27" s="36" t="s">
        <v>302</v>
      </c>
      <c r="Z27" s="51">
        <f t="shared" si="4"/>
        <v>0.454566210045662</v>
      </c>
      <c r="AA27" s="51">
        <f t="shared" si="4"/>
        <v>0.443949771689498</v>
      </c>
      <c r="AB27" s="51">
        <f t="shared" si="4"/>
        <v>0.449315068493151</v>
      </c>
      <c r="AC27" s="51">
        <f t="shared" si="4"/>
        <v>0.4837899543379</v>
      </c>
      <c r="AD27" s="51">
        <f t="shared" si="4"/>
        <v>0.443264840182648</v>
      </c>
      <c r="AE27" s="51">
        <f t="shared" si="4"/>
        <v>0.4837899543379</v>
      </c>
      <c r="AF27" s="51">
        <f>SUMIFS($N:$N,$A:$A,$X27,$B:$B,AF$2)/8760</f>
        <v>0.469977168949772</v>
      </c>
    </row>
    <row r="28" ht="13" spans="1:32">
      <c r="A28" s="63" t="s">
        <v>260</v>
      </c>
      <c r="B28" s="36">
        <v>2016</v>
      </c>
      <c r="C28" s="44">
        <f t="shared" si="2"/>
        <v>1612</v>
      </c>
      <c r="D28" s="64">
        <v>1301</v>
      </c>
      <c r="E28" s="64">
        <v>2</v>
      </c>
      <c r="F28" s="64"/>
      <c r="G28" s="64">
        <v>309</v>
      </c>
      <c r="H28" s="44">
        <f t="shared" si="3"/>
        <v>252</v>
      </c>
      <c r="I28" s="64">
        <v>170</v>
      </c>
      <c r="J28" s="64">
        <v>0</v>
      </c>
      <c r="K28" s="64"/>
      <c r="L28" s="64">
        <v>82</v>
      </c>
      <c r="M28" s="44"/>
      <c r="N28" s="64">
        <v>1309</v>
      </c>
      <c r="O28" s="64">
        <v>4158</v>
      </c>
      <c r="P28" s="64"/>
      <c r="Q28" s="64">
        <v>2897</v>
      </c>
      <c r="R28" s="51" cm="1">
        <f t="array" ref="R28">IFERROR(IF(H28&gt;10,H28/C28*0.876,""),“”)</f>
        <v>0.136942928039702</v>
      </c>
      <c r="S28" s="51" cm="1">
        <f t="array" ref="S28">IFERROR(IF(I28&gt;10,I28/D28*0.876,""),“”)</f>
        <v>0.114465795541891</v>
      </c>
      <c r="T28" s="51" t="str" cm="1">
        <f t="array" ref="T28">IFERROR(IF(J28&gt;10,J28/E28*0.876,""),“”)</f>
        <v/>
      </c>
      <c r="U28" s="51" t="str" cm="1">
        <f t="array" ref="U28">IFERROR(IF(K28&gt;10,K28/F28*0.876,""),“”)</f>
        <v/>
      </c>
      <c r="V28" s="78">
        <f t="shared" si="0"/>
        <v>0.137113043478261</v>
      </c>
      <c r="X28" s="36" t="s">
        <v>260</v>
      </c>
      <c r="Y28" s="36" t="s">
        <v>302</v>
      </c>
      <c r="Z28" s="51">
        <f t="shared" si="4"/>
        <v>0.149429223744292</v>
      </c>
      <c r="AA28" s="51">
        <f t="shared" si="4"/>
        <v>0.146461187214612</v>
      </c>
      <c r="AB28" s="51">
        <f t="shared" si="4"/>
        <v>0.182534246575342</v>
      </c>
      <c r="AC28" s="51">
        <f t="shared" si="4"/>
        <v>0.195776255707763</v>
      </c>
      <c r="AD28" s="51">
        <f t="shared" si="4"/>
        <v>0.279337899543379</v>
      </c>
      <c r="AE28" s="51">
        <f t="shared" si="4"/>
        <v>0.310844748858447</v>
      </c>
      <c r="AF28" s="51">
        <f>SUMIFS($N:$N,$A:$A,$X28,$B:$B,AF$2)/8760</f>
        <v>0.34337899543379</v>
      </c>
    </row>
    <row r="29" ht="13" spans="1:32">
      <c r="A29" s="63" t="s">
        <v>261</v>
      </c>
      <c r="B29" s="36">
        <v>2016</v>
      </c>
      <c r="C29" s="44">
        <f t="shared" si="2"/>
        <v>41</v>
      </c>
      <c r="D29" s="64"/>
      <c r="E29" s="64"/>
      <c r="F29" s="41">
        <v>39</v>
      </c>
      <c r="G29" s="41">
        <v>2</v>
      </c>
      <c r="H29" s="44">
        <f t="shared" si="3"/>
        <v>0</v>
      </c>
      <c r="I29" s="64"/>
      <c r="J29" s="64"/>
      <c r="K29" s="41">
        <v>0</v>
      </c>
      <c r="L29" s="64"/>
      <c r="M29" s="44"/>
      <c r="N29" s="64"/>
      <c r="O29" s="64"/>
      <c r="P29" s="41">
        <v>82</v>
      </c>
      <c r="Q29" s="64"/>
      <c r="R29" s="51" t="str" cm="1">
        <f t="array" ref="R29">IFERROR(IF(H29&gt;10,H29/C29*0.876,""),“”)</f>
        <v/>
      </c>
      <c r="S29" s="51" t="str" cm="1">
        <f t="array" ref="S29">IFERROR(IF(I29&gt;10,I29/D29*0.876,""),“”)</f>
        <v/>
      </c>
      <c r="T29" s="51" t="str" cm="1">
        <f t="array" ref="T29">IFERROR(IF(J29&gt;10,J29/E29*0.876,""),“”)</f>
        <v/>
      </c>
      <c r="U29" s="51" t="str" cm="1">
        <f t="array" ref="U29">IFERROR(IF(K29&gt;10,K29/F29*0.876,""),“”)</f>
        <v/>
      </c>
      <c r="V29" s="78" t="str">
        <f t="shared" si="0"/>
        <v/>
      </c>
      <c r="X29" s="36" t="s">
        <v>261</v>
      </c>
      <c r="Y29" s="36" t="s">
        <v>302</v>
      </c>
      <c r="Z29" s="51">
        <f t="shared" si="4"/>
        <v>0</v>
      </c>
      <c r="AA29" s="51">
        <f t="shared" si="4"/>
        <v>0</v>
      </c>
      <c r="AB29" s="51">
        <f t="shared" si="4"/>
        <v>0</v>
      </c>
      <c r="AC29" s="51">
        <f t="shared" si="4"/>
        <v>0</v>
      </c>
      <c r="AD29" s="51">
        <f t="shared" si="4"/>
        <v>0</v>
      </c>
      <c r="AE29" s="51">
        <f t="shared" si="4"/>
        <v>0</v>
      </c>
      <c r="AF29" s="51">
        <f>SUMIFS($N:$N,$A:$A,$X29,$B:$B,AF$2)/8760</f>
        <v>0</v>
      </c>
    </row>
    <row r="30" ht="13" spans="1:32">
      <c r="A30" s="63" t="s">
        <v>262</v>
      </c>
      <c r="B30" s="36">
        <v>2016</v>
      </c>
      <c r="C30" s="44">
        <f t="shared" si="2"/>
        <v>3043</v>
      </c>
      <c r="D30" s="64">
        <v>2997</v>
      </c>
      <c r="E30" s="64"/>
      <c r="F30" s="64"/>
      <c r="G30" s="64">
        <v>46</v>
      </c>
      <c r="H30" s="44">
        <f t="shared" si="3"/>
        <v>1346</v>
      </c>
      <c r="I30" s="64">
        <v>1331</v>
      </c>
      <c r="J30" s="64"/>
      <c r="K30" s="64"/>
      <c r="L30" s="64">
        <v>15</v>
      </c>
      <c r="M30" s="44"/>
      <c r="N30" s="64">
        <v>4499</v>
      </c>
      <c r="O30" s="64"/>
      <c r="P30" s="64"/>
      <c r="Q30" s="64">
        <v>3802</v>
      </c>
      <c r="R30" s="51" cm="1">
        <f t="array" ref="R30">IFERROR(IF(H30&gt;10,H30/C30*0.876,""),“”)</f>
        <v>0.387478146565889</v>
      </c>
      <c r="S30" s="51" cm="1">
        <f t="array" ref="S30">IFERROR(IF(I30&gt;10,I30/D30*0.876,""),“”)</f>
        <v>0.389041041041041</v>
      </c>
      <c r="T30" s="51" t="str" cm="1">
        <f t="array" ref="T30">IFERROR(IF(J30&gt;10,J30/E30*0.876,""),“”)</f>
        <v/>
      </c>
      <c r="U30" s="51" t="str" cm="1">
        <f t="array" ref="U30">IFERROR(IF(K30&gt;10,K30/F30*0.876,""),“”)</f>
        <v/>
      </c>
      <c r="V30" s="78">
        <f t="shared" si="0"/>
        <v>0.387478146565889</v>
      </c>
      <c r="X30" s="36" t="s">
        <v>262</v>
      </c>
      <c r="Y30" s="36" t="s">
        <v>302</v>
      </c>
      <c r="Z30" s="51">
        <f t="shared" si="4"/>
        <v>0.513584474885845</v>
      </c>
      <c r="AA30" s="51">
        <f t="shared" si="4"/>
        <v>0.538356164383562</v>
      </c>
      <c r="AB30" s="51">
        <f t="shared" si="4"/>
        <v>0.507534246575343</v>
      </c>
      <c r="AC30" s="51">
        <f t="shared" si="4"/>
        <v>0.500684931506849</v>
      </c>
      <c r="AD30" s="51">
        <f t="shared" si="4"/>
        <v>0.482420091324201</v>
      </c>
      <c r="AE30" s="51">
        <f t="shared" si="4"/>
        <v>0.531392694063927</v>
      </c>
      <c r="AF30" s="51">
        <f>SUMIFS($N:$N,$A:$A,$X30,$B:$B,AF$2)/8760</f>
        <v>0.549429223744292</v>
      </c>
    </row>
    <row r="31" ht="13" spans="1:32">
      <c r="A31" s="63" t="s">
        <v>263</v>
      </c>
      <c r="B31" s="36">
        <v>2016</v>
      </c>
      <c r="C31" s="44">
        <f t="shared" si="2"/>
        <v>2002</v>
      </c>
      <c r="D31" s="64">
        <v>1966</v>
      </c>
      <c r="E31" s="64">
        <v>7</v>
      </c>
      <c r="F31" s="64"/>
      <c r="G31" s="64">
        <v>29</v>
      </c>
      <c r="H31" s="44">
        <f t="shared" si="3"/>
        <v>699</v>
      </c>
      <c r="I31" s="64">
        <v>694</v>
      </c>
      <c r="J31" s="64">
        <v>0</v>
      </c>
      <c r="K31" s="64"/>
      <c r="L31" s="64">
        <v>5</v>
      </c>
      <c r="M31" s="44"/>
      <c r="N31" s="64">
        <v>3644</v>
      </c>
      <c r="O31" s="64">
        <v>479</v>
      </c>
      <c r="P31" s="64"/>
      <c r="Q31" s="64">
        <v>1911</v>
      </c>
      <c r="R31" s="51" cm="1">
        <f t="array" ref="R31">IFERROR(IF(H31&gt;10,H31/C31*0.876,""),“”)</f>
        <v>0.305856143856144</v>
      </c>
      <c r="S31" s="51" cm="1">
        <f t="array" ref="S31">IFERROR(IF(I31&gt;10,I31/D31*0.876,""),“”)</f>
        <v>0.309228891149542</v>
      </c>
      <c r="T31" s="51" t="str" cm="1">
        <f t="array" ref="T31">IFERROR(IF(J31&gt;10,J31/E31*0.876,""),“”)</f>
        <v/>
      </c>
      <c r="U31" s="51" t="str" cm="1">
        <f t="array" ref="U31">IFERROR(IF(K31&gt;10,K31/F31*0.876,""),“”)</f>
        <v/>
      </c>
      <c r="V31" s="78">
        <f t="shared" si="0"/>
        <v>0.306929323308271</v>
      </c>
      <c r="X31" s="36" t="s">
        <v>263</v>
      </c>
      <c r="Y31" s="36" t="s">
        <v>302</v>
      </c>
      <c r="Z31" s="51">
        <f t="shared" si="4"/>
        <v>0.415981735159817</v>
      </c>
      <c r="AA31" s="51">
        <f t="shared" si="4"/>
        <v>0.40296803652968</v>
      </c>
      <c r="AB31" s="51">
        <f t="shared" si="4"/>
        <v>0.480707762557078</v>
      </c>
      <c r="AC31" s="51">
        <f t="shared" si="4"/>
        <v>0.484703196347032</v>
      </c>
      <c r="AD31" s="51">
        <f t="shared" si="4"/>
        <v>0.520091324200913</v>
      </c>
      <c r="AE31" s="51">
        <f t="shared" si="4"/>
        <v>0.566552511415525</v>
      </c>
      <c r="AF31" s="51">
        <f>SUMIFS($N:$N,$A:$A,$X31,$B:$B,AF$2)/8760</f>
        <v>0.5837899543379</v>
      </c>
    </row>
    <row r="32" ht="13" spans="1:32">
      <c r="A32" s="63" t="s">
        <v>264</v>
      </c>
      <c r="B32" s="36">
        <v>2016</v>
      </c>
      <c r="C32" s="44">
        <f t="shared" si="2"/>
        <v>403</v>
      </c>
      <c r="D32" s="37">
        <v>370</v>
      </c>
      <c r="E32" s="37">
        <v>33</v>
      </c>
      <c r="F32" s="64"/>
      <c r="G32" s="64"/>
      <c r="H32" s="44">
        <f t="shared" si="3"/>
        <v>151</v>
      </c>
      <c r="I32" s="37">
        <v>150</v>
      </c>
      <c r="J32" s="37">
        <v>1</v>
      </c>
      <c r="K32" s="37">
        <v>0</v>
      </c>
      <c r="L32" s="64"/>
      <c r="M32" s="44"/>
      <c r="N32" s="37">
        <v>4362</v>
      </c>
      <c r="O32" s="37">
        <v>190</v>
      </c>
      <c r="P32" s="64"/>
      <c r="Q32" s="64"/>
      <c r="R32" s="51" cm="1">
        <f t="array" ref="R32">IFERROR(IF(H32&gt;10,H32/C32*0.876,""),“”)</f>
        <v>0.328228287841191</v>
      </c>
      <c r="S32" s="51" cm="1">
        <f t="array" ref="S32">IFERROR(IF(I32&gt;10,I32/D32*0.876,""),“”)</f>
        <v>0.355135135135135</v>
      </c>
      <c r="T32" s="51" t="str" cm="1">
        <f t="array" ref="T32">IFERROR(IF(J32&gt;10,J32/E32*0.876,""),“”)</f>
        <v/>
      </c>
      <c r="U32" s="51" t="str" cm="1">
        <f t="array" ref="U32">IFERROR(IF(K32&gt;10,K32/F32*0.876,""),“”)</f>
        <v/>
      </c>
      <c r="V32" s="78">
        <f t="shared" si="0"/>
        <v>0.355135135135135</v>
      </c>
      <c r="X32" s="36" t="s">
        <v>264</v>
      </c>
      <c r="Y32" s="36" t="s">
        <v>302</v>
      </c>
      <c r="Z32" s="51">
        <f t="shared" si="4"/>
        <v>0.497945205479452</v>
      </c>
      <c r="AA32" s="51">
        <f t="shared" si="4"/>
        <v>0.49337899543379</v>
      </c>
      <c r="AB32" s="51">
        <f t="shared" si="4"/>
        <v>0.36027397260274</v>
      </c>
      <c r="AC32" s="51">
        <f t="shared" si="4"/>
        <v>0.304223744292237</v>
      </c>
      <c r="AD32" s="51">
        <f t="shared" si="4"/>
        <v>0.303424657534247</v>
      </c>
      <c r="AE32" s="51">
        <f t="shared" si="4"/>
        <v>0.432990867579909</v>
      </c>
      <c r="AF32" s="51">
        <f>SUMIFS($N:$N,$A:$A,$X32,$B:$B,AF$2)/8760</f>
        <v>0.465296803652968</v>
      </c>
    </row>
    <row r="33" ht="13" spans="1:32">
      <c r="A33" s="63" t="s">
        <v>265</v>
      </c>
      <c r="B33" s="36">
        <v>2016</v>
      </c>
      <c r="C33" s="44">
        <f t="shared" si="2"/>
        <v>2164</v>
      </c>
      <c r="D33" s="64">
        <v>2008</v>
      </c>
      <c r="E33" s="64">
        <v>81</v>
      </c>
      <c r="F33" s="64"/>
      <c r="G33" s="64">
        <v>75</v>
      </c>
      <c r="H33" s="44">
        <f t="shared" si="3"/>
        <v>989</v>
      </c>
      <c r="I33" s="64">
        <v>943</v>
      </c>
      <c r="J33" s="64">
        <v>15</v>
      </c>
      <c r="K33" s="64"/>
      <c r="L33" s="64">
        <v>31</v>
      </c>
      <c r="M33" s="44"/>
      <c r="N33" s="64">
        <v>5045</v>
      </c>
      <c r="O33" s="64">
        <v>1813</v>
      </c>
      <c r="P33" s="64"/>
      <c r="Q33" s="64">
        <v>4737</v>
      </c>
      <c r="R33" s="51" cm="1">
        <f t="array" ref="R33">IFERROR(IF(H33&gt;10,H33/C33*0.876,""),“”)</f>
        <v>0.400353049907579</v>
      </c>
      <c r="S33" s="51" cm="1">
        <f t="array" ref="S33">IFERROR(IF(I33&gt;10,I33/D33*0.876,""),“”)</f>
        <v>0.411388446215139</v>
      </c>
      <c r="T33" s="51" cm="1">
        <f t="array" ref="T33">IFERROR(IF(J33&gt;10,J33/E33*0.876,""),“”)</f>
        <v>0.162222222222222</v>
      </c>
      <c r="U33" s="51" t="str" cm="1">
        <f t="array" ref="U33">IFERROR(IF(K33&gt;10,K33/F33*0.876,""),“”)</f>
        <v/>
      </c>
      <c r="V33" s="78">
        <f t="shared" si="0"/>
        <v>0.409613058089294</v>
      </c>
      <c r="X33" s="36" t="s">
        <v>265</v>
      </c>
      <c r="Y33" s="36" t="s">
        <v>302</v>
      </c>
      <c r="Z33" s="51">
        <f t="shared" si="4"/>
        <v>0.575913242009132</v>
      </c>
      <c r="AA33" s="51">
        <f t="shared" si="4"/>
        <v>0.591095890410959</v>
      </c>
      <c r="AB33" s="51">
        <f t="shared" si="4"/>
        <v>0.56324200913242</v>
      </c>
      <c r="AC33" s="51">
        <f t="shared" si="4"/>
        <v>0.531849315068493</v>
      </c>
      <c r="AD33" s="51">
        <f t="shared" si="4"/>
        <v>0.510502283105023</v>
      </c>
      <c r="AE33" s="51">
        <f t="shared" si="4"/>
        <v>0.519178082191781</v>
      </c>
      <c r="AF33" s="51">
        <f>SUMIFS($N:$N,$A:$A,$X33,$B:$B,AF$2)/8760</f>
        <v>0.571917808219178</v>
      </c>
    </row>
    <row r="34" ht="13.75" spans="1:32">
      <c r="A34" s="65" t="s">
        <v>266</v>
      </c>
      <c r="B34" s="66">
        <v>2016</v>
      </c>
      <c r="C34" s="67">
        <f t="shared" si="2"/>
        <v>4775</v>
      </c>
      <c r="D34" s="68">
        <v>4642</v>
      </c>
      <c r="E34" s="68">
        <v>68</v>
      </c>
      <c r="F34" s="69"/>
      <c r="G34" s="68">
        <v>65</v>
      </c>
      <c r="H34" s="67">
        <f t="shared" si="3"/>
        <v>2194</v>
      </c>
      <c r="I34" s="68">
        <v>2149</v>
      </c>
      <c r="J34" s="68">
        <v>17</v>
      </c>
      <c r="K34" s="69"/>
      <c r="L34" s="68">
        <v>28</v>
      </c>
      <c r="M34" s="67"/>
      <c r="N34" s="68">
        <v>4780</v>
      </c>
      <c r="O34" s="68">
        <v>3794</v>
      </c>
      <c r="P34" s="69"/>
      <c r="Q34" s="68">
        <v>4638</v>
      </c>
      <c r="R34" s="79" cm="1">
        <f t="array" ref="R34">IFERROR(IF(H34&gt;10,H34/C34*0.876,""),“”)</f>
        <v>0.402501361256545</v>
      </c>
      <c r="S34" s="79" cm="1">
        <f t="array" ref="S34">IFERROR(IF(I34&gt;10,I34/D34*0.876,""),“”)</f>
        <v>0.405541576906506</v>
      </c>
      <c r="T34" s="79" cm="1">
        <f t="array" ref="T34">IFERROR(IF(J34&gt;10,J34/E34*0.876,""),“”)</f>
        <v>0.219</v>
      </c>
      <c r="U34" s="79" t="str" cm="1">
        <f t="array" ref="U34">IFERROR(IF(K34&gt;10,K34/F34*0.876,""),“”)</f>
        <v/>
      </c>
      <c r="V34" s="80">
        <f t="shared" si="0"/>
        <v>0.405152326322498</v>
      </c>
      <c r="X34" s="36" t="s">
        <v>266</v>
      </c>
      <c r="Y34" s="36" t="s">
        <v>302</v>
      </c>
      <c r="Z34" s="51">
        <f t="shared" si="4"/>
        <v>0.545662100456621</v>
      </c>
      <c r="AA34" s="51">
        <f t="shared" si="4"/>
        <v>0.542922374429224</v>
      </c>
      <c r="AB34" s="51">
        <f t="shared" si="4"/>
        <v>0.535159817351598</v>
      </c>
      <c r="AC34" s="51">
        <f t="shared" si="4"/>
        <v>0.585159817351598</v>
      </c>
      <c r="AD34" s="51">
        <f t="shared" si="4"/>
        <v>0.607762557077626</v>
      </c>
      <c r="AE34" s="51">
        <f t="shared" si="4"/>
        <v>0.589269406392694</v>
      </c>
      <c r="AF34" s="51">
        <f>SUMIFS($N:$N,$A:$A,$X34,$B:$B,AF$2)/8760</f>
        <v>0.595205479452055</v>
      </c>
    </row>
    <row r="35" ht="13" spans="1:32">
      <c r="A35" s="59" t="s">
        <v>234</v>
      </c>
      <c r="B35" s="60">
        <v>2017</v>
      </c>
      <c r="C35" s="61">
        <f t="shared" si="2"/>
        <v>110495</v>
      </c>
      <c r="D35" s="61">
        <v>98130</v>
      </c>
      <c r="E35" s="61">
        <v>7570</v>
      </c>
      <c r="F35" s="61">
        <v>197</v>
      </c>
      <c r="G35" s="61">
        <v>4598</v>
      </c>
      <c r="H35" s="61">
        <f t="shared" si="3"/>
        <v>45558</v>
      </c>
      <c r="I35" s="61">
        <v>41498</v>
      </c>
      <c r="J35" s="61">
        <v>2028</v>
      </c>
      <c r="K35" s="61">
        <v>27</v>
      </c>
      <c r="L35" s="61">
        <v>2005</v>
      </c>
      <c r="M35" s="61"/>
      <c r="N35" s="61">
        <v>4312</v>
      </c>
      <c r="O35" s="61">
        <v>2761</v>
      </c>
      <c r="P35" s="61">
        <v>1379</v>
      </c>
      <c r="Q35" s="61">
        <v>4760</v>
      </c>
      <c r="R35" s="76" cm="1">
        <f t="array" ref="R35">IFERROR(IF(H35&gt;10,H35/C35*0.876,""),“”)</f>
        <v>0.361182026336033</v>
      </c>
      <c r="S35" s="76" cm="1">
        <f t="array" ref="S35">IFERROR(IF(I35&gt;10,I35/D35*0.876,""),“”)</f>
        <v>0.370449892999083</v>
      </c>
      <c r="T35" s="76" cm="1">
        <f t="array" ref="T35">IFERROR(IF(J35&gt;10,J35/E35*0.876,""),“”)</f>
        <v>0.234680052840159</v>
      </c>
      <c r="U35" s="76" cm="1">
        <f t="array" ref="U35">IFERROR(IF(K35&gt;10,K35/F35*0.876,""),“”)</f>
        <v>0.120060913705584</v>
      </c>
      <c r="V35" s="77">
        <f t="shared" ref="V35:V66" si="5">IFERROR(IF((H35-J35)&gt;10,(H35-J35)/(C35-E35)*0.876,""),"")</f>
        <v>0.370486082098615</v>
      </c>
      <c r="X35" s="36" t="s">
        <v>234</v>
      </c>
      <c r="Y35" s="36" t="s">
        <v>303</v>
      </c>
      <c r="Z35" s="51">
        <f>SUMIFS($O:$O,$A:$A,$X35,$B:$B,Z$2)/8760</f>
        <v>0.308333333333333</v>
      </c>
      <c r="AA35" s="51">
        <f t="shared" ref="AA35:AE50" si="6">SUMIFS($O:$O,$A:$A,$X35,$B:$B,AA$2)/8760</f>
        <v>0.315182648401826</v>
      </c>
      <c r="AB35" s="51">
        <f t="shared" si="6"/>
        <v>0.315867579908676</v>
      </c>
      <c r="AC35" s="51">
        <f t="shared" si="6"/>
        <v>0.302054794520548</v>
      </c>
      <c r="AD35" s="51">
        <f t="shared" si="6"/>
        <v>0.297945205479452</v>
      </c>
      <c r="AE35" s="51">
        <f t="shared" si="6"/>
        <v>0.306849315068493</v>
      </c>
      <c r="AF35" s="51">
        <f>SUMIFS($O:$O,$A:$A,$X35,$B:$B,AF$2)/8760</f>
        <v>0.276940639269406</v>
      </c>
    </row>
    <row r="36" ht="13" spans="1:32">
      <c r="A36" s="63" t="s">
        <v>235</v>
      </c>
      <c r="B36" s="36">
        <v>2017</v>
      </c>
      <c r="C36" s="44">
        <f t="shared" ref="C36:C66" si="7">SUM(D36:G36)</f>
        <v>1077</v>
      </c>
      <c r="D36" s="44">
        <v>85</v>
      </c>
      <c r="E36" s="44">
        <v>950</v>
      </c>
      <c r="F36" s="44">
        <v>22</v>
      </c>
      <c r="G36" s="44">
        <v>20</v>
      </c>
      <c r="H36" s="44">
        <f t="shared" ref="H36:H66" si="8">SUM(I36:L36)</f>
        <v>377</v>
      </c>
      <c r="I36" s="44">
        <v>13</v>
      </c>
      <c r="J36" s="44">
        <v>347</v>
      </c>
      <c r="K36" s="44">
        <v>4</v>
      </c>
      <c r="L36" s="44">
        <v>13</v>
      </c>
      <c r="M36" s="44"/>
      <c r="N36" s="44">
        <v>1585</v>
      </c>
      <c r="O36" s="44">
        <v>3956</v>
      </c>
      <c r="P36" s="44">
        <v>1870</v>
      </c>
      <c r="Q36" s="44">
        <v>6178</v>
      </c>
      <c r="R36" s="51" cm="1">
        <f t="array" ref="R36">IFERROR(IF(H36&gt;10,H36/C36*0.876,""),“”)</f>
        <v>0.306640668523677</v>
      </c>
      <c r="S36" s="51" cm="1">
        <f t="array" ref="S36">IFERROR(IF(I36&gt;10,I36/D36*0.876,""),“”)</f>
        <v>0.133976470588235</v>
      </c>
      <c r="T36" s="51" cm="1">
        <f t="array" ref="T36">IFERROR(IF(J36&gt;10,J36/E36*0.876,""),“”)</f>
        <v>0.319970526315789</v>
      </c>
      <c r="U36" s="51" t="str" cm="1">
        <f t="array" ref="U36">IFERROR(IF(K36&gt;10,K36/F36*0.876,""),“”)</f>
        <v/>
      </c>
      <c r="V36" s="78">
        <f t="shared" si="5"/>
        <v>0.206929133858268</v>
      </c>
      <c r="X36" s="36" t="s">
        <v>235</v>
      </c>
      <c r="Y36" s="36" t="s">
        <v>303</v>
      </c>
      <c r="Z36" s="51">
        <f t="shared" ref="Z36:AE66" si="9">SUMIFS($O:$O,$A:$A,$X36,$B:$B,Z$2)/8760</f>
        <v>0.499086757990868</v>
      </c>
      <c r="AA36" s="51">
        <f t="shared" si="6"/>
        <v>0.451598173515982</v>
      </c>
      <c r="AB36" s="51">
        <f t="shared" si="6"/>
        <v>0.465867579908676</v>
      </c>
      <c r="AC36" s="51">
        <f t="shared" si="6"/>
        <v>0.466324200913242</v>
      </c>
      <c r="AD36" s="51">
        <f t="shared" si="6"/>
        <v>0.45365296803653</v>
      </c>
      <c r="AE36" s="51">
        <f t="shared" si="6"/>
        <v>0.461986301369863</v>
      </c>
      <c r="AF36" s="51">
        <f>SUMIFS($O:$O,$A:$A,$X36,$B:$B,AF$2)/8760</f>
        <v>0.461415525114155</v>
      </c>
    </row>
    <row r="37" ht="13" spans="1:32">
      <c r="A37" s="63" t="s">
        <v>236</v>
      </c>
      <c r="B37" s="36">
        <v>2017</v>
      </c>
      <c r="C37" s="44">
        <f t="shared" si="7"/>
        <v>1403</v>
      </c>
      <c r="D37" s="44">
        <v>1072</v>
      </c>
      <c r="E37" s="44">
        <v>304</v>
      </c>
      <c r="F37" s="70"/>
      <c r="G37" s="44">
        <v>27</v>
      </c>
      <c r="H37" s="44">
        <f t="shared" si="8"/>
        <v>584</v>
      </c>
      <c r="I37" s="44">
        <v>467</v>
      </c>
      <c r="J37" s="44">
        <v>106</v>
      </c>
      <c r="K37" s="70"/>
      <c r="L37" s="44">
        <v>11</v>
      </c>
      <c r="M37" s="44"/>
      <c r="N37" s="44">
        <v>4328</v>
      </c>
      <c r="O37" s="44">
        <v>3482</v>
      </c>
      <c r="P37" s="70"/>
      <c r="Q37" s="44">
        <v>4394</v>
      </c>
      <c r="R37" s="51" cm="1">
        <f t="array" ref="R37">IFERROR(IF(H37&gt;10,H37/C37*0.876,""),“”)</f>
        <v>0.364635780470421</v>
      </c>
      <c r="S37" s="51" cm="1">
        <f t="array" ref="S37">IFERROR(IF(I37&gt;10,I37/D37*0.876,""),“”)</f>
        <v>0.381615671641791</v>
      </c>
      <c r="T37" s="51" cm="1">
        <f t="array" ref="T37">IFERROR(IF(J37&gt;10,J37/E37*0.876,""),“”)</f>
        <v>0.305447368421053</v>
      </c>
      <c r="U37" s="51" t="str" cm="1">
        <f t="array" ref="U37">IFERROR(IF(K37&gt;10,K37/F37*0.876,""),“”)</f>
        <v/>
      </c>
      <c r="V37" s="78">
        <f t="shared" si="5"/>
        <v>0.381008189262966</v>
      </c>
      <c r="X37" s="36" t="s">
        <v>236</v>
      </c>
      <c r="Y37" s="36" t="s">
        <v>303</v>
      </c>
      <c r="Z37" s="51">
        <f t="shared" si="9"/>
        <v>0.456735159817352</v>
      </c>
      <c r="AA37" s="51">
        <f t="shared" si="6"/>
        <v>0.397488584474886</v>
      </c>
      <c r="AB37" s="51">
        <f t="shared" si="6"/>
        <v>0.396917808219178</v>
      </c>
      <c r="AC37" s="51">
        <f t="shared" si="6"/>
        <v>0.352853881278539</v>
      </c>
      <c r="AD37" s="51">
        <f t="shared" si="6"/>
        <v>0.392351598173516</v>
      </c>
      <c r="AE37" s="51">
        <f t="shared" si="6"/>
        <v>0.299200913242009</v>
      </c>
      <c r="AF37" s="51">
        <f>SUMIFS($O:$O,$A:$A,$X37,$B:$B,AF$2)/8760</f>
        <v>0.268607305936073</v>
      </c>
    </row>
    <row r="38" ht="13" spans="1:32">
      <c r="A38" s="63" t="s">
        <v>237</v>
      </c>
      <c r="B38" s="36">
        <v>2017</v>
      </c>
      <c r="C38" s="44">
        <f t="shared" si="7"/>
        <v>4574</v>
      </c>
      <c r="D38" s="44">
        <v>4282</v>
      </c>
      <c r="E38" s="44">
        <v>3</v>
      </c>
      <c r="F38" s="70"/>
      <c r="G38" s="44">
        <v>289</v>
      </c>
      <c r="H38" s="44">
        <f t="shared" si="8"/>
        <v>2295.4</v>
      </c>
      <c r="I38" s="44">
        <v>2194</v>
      </c>
      <c r="J38" s="44">
        <v>0.4</v>
      </c>
      <c r="K38" s="70"/>
      <c r="L38" s="44">
        <v>101</v>
      </c>
      <c r="M38" s="44"/>
      <c r="N38" s="44">
        <v>5148</v>
      </c>
      <c r="O38" s="70">
        <v>880</v>
      </c>
      <c r="P38" s="70"/>
      <c r="Q38" s="44">
        <v>3663</v>
      </c>
      <c r="R38" s="51" cm="1">
        <f t="array" ref="R38">IFERROR(IF(H38&gt;10,H38/C38*0.876,""),“”)</f>
        <v>0.439608745080892</v>
      </c>
      <c r="S38" s="51" cm="1">
        <f t="array" ref="S38">IFERROR(IF(I38&gt;10,I38/D38*0.876,""),“”)</f>
        <v>0.448842596917328</v>
      </c>
      <c r="T38" s="51" t="str" cm="1">
        <f t="array" ref="T38">IFERROR(IF(J38&gt;10,J38/E38*0.876,""),“”)</f>
        <v/>
      </c>
      <c r="U38" s="51" t="str" cm="1">
        <f t="array" ref="U38">IFERROR(IF(K38&gt;10,K38/F38*0.876,""),“”)</f>
        <v/>
      </c>
      <c r="V38" s="78">
        <f t="shared" si="5"/>
        <v>0.439820608182017</v>
      </c>
      <c r="X38" s="36" t="s">
        <v>237</v>
      </c>
      <c r="Y38" s="36" t="s">
        <v>303</v>
      </c>
      <c r="Z38" s="51">
        <f t="shared" si="9"/>
        <v>0.0743150684931507</v>
      </c>
      <c r="AA38" s="51">
        <f t="shared" si="6"/>
        <v>0.100456621004566</v>
      </c>
      <c r="AB38" s="51">
        <f t="shared" si="6"/>
        <v>0.0142694063926941</v>
      </c>
      <c r="AC38" s="51">
        <f t="shared" si="6"/>
        <v>0</v>
      </c>
      <c r="AD38" s="51">
        <f t="shared" si="6"/>
        <v>0.131963470319635</v>
      </c>
      <c r="AE38" s="51">
        <f t="shared" si="6"/>
        <v>0.130821917808219</v>
      </c>
      <c r="AF38" s="51">
        <f>SUMIFS($O:$O,$A:$A,$X38,$B:$B,AF$2)/8760</f>
        <v>0.21986301369863</v>
      </c>
    </row>
    <row r="39" ht="13" spans="1:32">
      <c r="A39" s="63" t="s">
        <v>238</v>
      </c>
      <c r="B39" s="36">
        <v>2017</v>
      </c>
      <c r="C39" s="44">
        <f t="shared" si="7"/>
        <v>6367</v>
      </c>
      <c r="D39" s="44">
        <v>5887</v>
      </c>
      <c r="E39" s="44">
        <v>291</v>
      </c>
      <c r="F39" s="70"/>
      <c r="G39" s="44">
        <v>189</v>
      </c>
      <c r="H39" s="44">
        <f t="shared" si="8"/>
        <v>2502</v>
      </c>
      <c r="I39" s="44">
        <v>2335</v>
      </c>
      <c r="J39" s="44">
        <v>110</v>
      </c>
      <c r="K39" s="70"/>
      <c r="L39" s="44">
        <v>57</v>
      </c>
      <c r="M39" s="44"/>
      <c r="N39" s="44">
        <v>4027</v>
      </c>
      <c r="O39" s="44">
        <v>3912</v>
      </c>
      <c r="P39" s="70"/>
      <c r="Q39" s="44">
        <v>3126</v>
      </c>
      <c r="R39" s="51" cm="1">
        <f t="array" ref="R39">IFERROR(IF(H39&gt;10,H39/C39*0.876,""),“”)</f>
        <v>0.344236217999058</v>
      </c>
      <c r="S39" s="51" cm="1">
        <f t="array" ref="S39">IFERROR(IF(I39&gt;10,I39/D39*0.876,""),“”)</f>
        <v>0.347453711567861</v>
      </c>
      <c r="T39" s="51" cm="1">
        <f t="array" ref="T39">IFERROR(IF(J39&gt;10,J39/E39*0.876,""),“”)</f>
        <v>0.331134020618557</v>
      </c>
      <c r="U39" s="51" t="str" cm="1">
        <f t="array" ref="U39">IFERROR(IF(K39&gt;10,K39/F39*0.876,""),“”)</f>
        <v/>
      </c>
      <c r="V39" s="78">
        <f t="shared" si="5"/>
        <v>0.344863726135616</v>
      </c>
      <c r="X39" s="36" t="s">
        <v>238</v>
      </c>
      <c r="Y39" s="36" t="s">
        <v>303</v>
      </c>
      <c r="Z39" s="51">
        <f t="shared" si="9"/>
        <v>0.395890410958904</v>
      </c>
      <c r="AA39" s="51">
        <f t="shared" si="6"/>
        <v>0.446575342465753</v>
      </c>
      <c r="AB39" s="51">
        <f t="shared" si="6"/>
        <v>0.388013698630137</v>
      </c>
      <c r="AC39" s="51">
        <f t="shared" si="6"/>
        <v>0.389041095890411</v>
      </c>
      <c r="AD39" s="51">
        <f t="shared" si="6"/>
        <v>0.387328767123288</v>
      </c>
      <c r="AE39" s="51">
        <f t="shared" si="6"/>
        <v>0.363470319634703</v>
      </c>
      <c r="AF39" s="51">
        <f>SUMIFS($O:$O,$A:$A,$X39,$B:$B,AF$2)/8760</f>
        <v>0.346917808219178</v>
      </c>
    </row>
    <row r="40" ht="13" spans="1:32">
      <c r="A40" s="63" t="s">
        <v>239</v>
      </c>
      <c r="B40" s="36">
        <v>2017</v>
      </c>
      <c r="C40" s="44">
        <f t="shared" si="7"/>
        <v>8170</v>
      </c>
      <c r="D40" s="44">
        <v>8103</v>
      </c>
      <c r="E40" s="44">
        <v>42</v>
      </c>
      <c r="F40" s="70"/>
      <c r="G40" s="44">
        <v>25</v>
      </c>
      <c r="H40" s="44">
        <f t="shared" si="8"/>
        <v>3736.5</v>
      </c>
      <c r="I40" s="44">
        <v>3726</v>
      </c>
      <c r="J40" s="44">
        <v>0.5</v>
      </c>
      <c r="K40" s="70"/>
      <c r="L40" s="44">
        <v>10</v>
      </c>
      <c r="M40" s="44"/>
      <c r="N40" s="44">
        <v>4653</v>
      </c>
      <c r="O40" s="44">
        <v>101</v>
      </c>
      <c r="P40" s="70"/>
      <c r="Q40" s="44">
        <v>4043</v>
      </c>
      <c r="R40" s="51" cm="1">
        <f t="array" ref="R40">IFERROR(IF(H40&gt;10,H40/C40*0.876,""),“”)</f>
        <v>0.40063329253366</v>
      </c>
      <c r="S40" s="51" cm="1">
        <f t="array" ref="S40">IFERROR(IF(I40&gt;10,I40/D40*0.876,""),“”)</f>
        <v>0.402810810810811</v>
      </c>
      <c r="T40" s="51" t="str" cm="1">
        <f t="array" ref="T40">IFERROR(IF(J40&gt;10,J40/E40*0.876,""),“”)</f>
        <v/>
      </c>
      <c r="U40" s="51" t="str" cm="1">
        <f t="array" ref="U40">IFERROR(IF(K40&gt;10,K40/F40*0.876,""),“”)</f>
        <v/>
      </c>
      <c r="V40" s="78">
        <f t="shared" si="5"/>
        <v>0.402649606299213</v>
      </c>
      <c r="X40" s="36" t="s">
        <v>239</v>
      </c>
      <c r="Y40" s="36" t="s">
        <v>303</v>
      </c>
      <c r="Z40" s="51">
        <f t="shared" si="9"/>
        <v>0.0132420091324201</v>
      </c>
      <c r="AA40" s="51">
        <f t="shared" si="6"/>
        <v>0.0115296803652968</v>
      </c>
      <c r="AB40" s="51">
        <f t="shared" si="6"/>
        <v>0.0101598173515982</v>
      </c>
      <c r="AC40" s="51">
        <f t="shared" si="6"/>
        <v>0.00901826484018265</v>
      </c>
      <c r="AD40" s="51">
        <f t="shared" si="6"/>
        <v>0.447716894977169</v>
      </c>
      <c r="AE40" s="51">
        <f t="shared" si="6"/>
        <v>0.356050228310502</v>
      </c>
      <c r="AF40" s="51">
        <f>SUMIFS($O:$O,$A:$A,$X40,$B:$B,AF$2)/8760</f>
        <v>0.0327625570776256</v>
      </c>
    </row>
    <row r="41" ht="13" spans="1:32">
      <c r="A41" s="63" t="s">
        <v>240</v>
      </c>
      <c r="B41" s="36">
        <v>2017</v>
      </c>
      <c r="C41" s="44">
        <f t="shared" si="7"/>
        <v>3193</v>
      </c>
      <c r="D41" s="44">
        <v>3093</v>
      </c>
      <c r="E41" s="44">
        <v>5</v>
      </c>
      <c r="F41" s="44">
        <v>15</v>
      </c>
      <c r="G41" s="44">
        <v>80</v>
      </c>
      <c r="H41" s="44">
        <f t="shared" si="8"/>
        <v>1348</v>
      </c>
      <c r="I41" s="44">
        <v>1306</v>
      </c>
      <c r="J41" s="44">
        <v>1</v>
      </c>
      <c r="K41" s="44">
        <v>5</v>
      </c>
      <c r="L41" s="44">
        <v>36</v>
      </c>
      <c r="M41" s="44"/>
      <c r="N41" s="44">
        <v>4244</v>
      </c>
      <c r="O41" s="44">
        <v>2308</v>
      </c>
      <c r="P41" s="44">
        <v>3404</v>
      </c>
      <c r="Q41" s="44">
        <v>4797</v>
      </c>
      <c r="R41" s="51" cm="1">
        <f t="array" ref="R41">IFERROR(IF(H41&gt;10,H41/C41*0.876,""),“”)</f>
        <v>0.369823989978077</v>
      </c>
      <c r="S41" s="51" cm="1">
        <f t="array" ref="S41">IFERROR(IF(I41&gt;10,I41/D41*0.876,""),“”)</f>
        <v>0.369885548011639</v>
      </c>
      <c r="T41" s="51" t="str" cm="1">
        <f t="array" ref="T41">IFERROR(IF(J41&gt;10,J41/E41*0.876,""),“”)</f>
        <v/>
      </c>
      <c r="U41" s="51" t="str" cm="1">
        <f t="array" ref="U41">IFERROR(IF(K41&gt;10,K41/F41*0.876,""),“”)</f>
        <v/>
      </c>
      <c r="V41" s="78">
        <f t="shared" si="5"/>
        <v>0.370129234629862</v>
      </c>
      <c r="X41" s="36" t="s">
        <v>240</v>
      </c>
      <c r="Y41" s="36" t="s">
        <v>303</v>
      </c>
      <c r="Z41" s="51">
        <f t="shared" si="9"/>
        <v>0.227511415525114</v>
      </c>
      <c r="AA41" s="51">
        <f t="shared" si="6"/>
        <v>0.263470319634703</v>
      </c>
      <c r="AB41" s="51">
        <f t="shared" si="6"/>
        <v>0.41541095890411</v>
      </c>
      <c r="AC41" s="51">
        <f t="shared" si="6"/>
        <v>0.619406392694064</v>
      </c>
      <c r="AD41" s="51">
        <f t="shared" si="6"/>
        <v>0.554337899543379</v>
      </c>
      <c r="AE41" s="51">
        <f t="shared" si="6"/>
        <v>0.598972602739726</v>
      </c>
      <c r="AF41" s="51">
        <f>SUMIFS($O:$O,$A:$A,$X41,$B:$B,AF$2)/8760</f>
        <v>0.495890410958904</v>
      </c>
    </row>
    <row r="42" ht="13" spans="1:32">
      <c r="A42" s="63" t="s">
        <v>241</v>
      </c>
      <c r="B42" s="36">
        <v>2017</v>
      </c>
      <c r="C42" s="44">
        <f t="shared" si="7"/>
        <v>1819.5</v>
      </c>
      <c r="D42" s="44">
        <v>1728</v>
      </c>
      <c r="E42" s="44">
        <v>0.5</v>
      </c>
      <c r="F42" s="70"/>
      <c r="G42" s="44">
        <v>91</v>
      </c>
      <c r="H42" s="44">
        <f t="shared" si="8"/>
        <v>606</v>
      </c>
      <c r="I42" s="44">
        <v>568</v>
      </c>
      <c r="J42" s="42" t="s">
        <v>304</v>
      </c>
      <c r="K42" s="70"/>
      <c r="L42" s="44">
        <v>38</v>
      </c>
      <c r="M42" s="44"/>
      <c r="N42" s="44">
        <v>3362</v>
      </c>
      <c r="O42" s="46"/>
      <c r="P42" s="70"/>
      <c r="Q42" s="44">
        <v>4246</v>
      </c>
      <c r="R42" s="51" cm="1">
        <f t="array" ref="R42">IFERROR(IF(H42&gt;10,H42/C42*0.876,""),“”)</f>
        <v>0.291759274525969</v>
      </c>
      <c r="S42" s="51" cm="1">
        <f t="array" ref="S42">IFERROR(IF(I42&gt;10,I42/D42*0.876,""),“”)</f>
        <v>0.287944444444444</v>
      </c>
      <c r="T42" s="51" t="e" cm="1">
        <f t="array" ref="T42">IFERROR(IF(J42&gt;10,J42/E42*0.876,""),“”)</f>
        <v>#NAME?</v>
      </c>
      <c r="U42" s="51" t="str" cm="1">
        <f t="array" ref="U42">IFERROR(IF(K42&gt;10,K42/F42*0.876,""),“”)</f>
        <v/>
      </c>
      <c r="V42" s="78" t="str">
        <f t="shared" si="5"/>
        <v/>
      </c>
      <c r="X42" s="36" t="s">
        <v>241</v>
      </c>
      <c r="Y42" s="36" t="s">
        <v>303</v>
      </c>
      <c r="Z42" s="51">
        <f t="shared" si="9"/>
        <v>0</v>
      </c>
      <c r="AA42" s="51">
        <f t="shared" si="6"/>
        <v>0</v>
      </c>
      <c r="AB42" s="51">
        <f t="shared" si="6"/>
        <v>0</v>
      </c>
      <c r="AC42" s="51">
        <f t="shared" si="6"/>
        <v>0.0534246575342466</v>
      </c>
      <c r="AD42" s="51">
        <f t="shared" si="6"/>
        <v>0.00821917808219178</v>
      </c>
      <c r="AE42" s="51">
        <f t="shared" si="6"/>
        <v>0.227739726027397</v>
      </c>
      <c r="AF42" s="51">
        <f>SUMIFS($O:$O,$A:$A,$X42,$B:$B,AF$2)/8760</f>
        <v>0.301598173515982</v>
      </c>
    </row>
    <row r="43" ht="13" spans="1:32">
      <c r="A43" s="63" t="s">
        <v>242</v>
      </c>
      <c r="B43" s="36">
        <v>2017</v>
      </c>
      <c r="C43" s="44">
        <f t="shared" si="7"/>
        <v>2202</v>
      </c>
      <c r="D43" s="44">
        <v>2078</v>
      </c>
      <c r="E43" s="44">
        <v>12</v>
      </c>
      <c r="F43" s="44">
        <v>2</v>
      </c>
      <c r="G43" s="44">
        <v>110</v>
      </c>
      <c r="H43" s="44">
        <f t="shared" si="8"/>
        <v>815.3</v>
      </c>
      <c r="I43" s="44">
        <v>762</v>
      </c>
      <c r="J43" s="44">
        <v>2</v>
      </c>
      <c r="K43" s="70">
        <v>0.3</v>
      </c>
      <c r="L43" s="44">
        <v>51</v>
      </c>
      <c r="M43" s="44"/>
      <c r="N43" s="44">
        <v>3829</v>
      </c>
      <c r="O43" s="44">
        <v>1899</v>
      </c>
      <c r="P43" s="70">
        <v>1347</v>
      </c>
      <c r="Q43" s="44">
        <v>4850</v>
      </c>
      <c r="R43" s="51" cm="1">
        <f t="array" ref="R43">IFERROR(IF(H43&gt;10,H43/C43*0.876,""),“”)</f>
        <v>0.324342779291553</v>
      </c>
      <c r="S43" s="51" cm="1">
        <f t="array" ref="S43">IFERROR(IF(I43&gt;10,I43/D43*0.876,""),“”)</f>
        <v>0.321228103946102</v>
      </c>
      <c r="T43" s="51" t="str" cm="1">
        <f t="array" ref="T43">IFERROR(IF(J43&gt;10,J43/E43*0.876,""),“”)</f>
        <v/>
      </c>
      <c r="U43" s="51" t="str" cm="1">
        <f t="array" ref="U43">IFERROR(IF(K43&gt;10,K43/F43*0.876,""),“”)</f>
        <v/>
      </c>
      <c r="V43" s="78">
        <f t="shared" si="5"/>
        <v>0.32532</v>
      </c>
      <c r="X43" s="36" t="s">
        <v>242</v>
      </c>
      <c r="Y43" s="36" t="s">
        <v>303</v>
      </c>
      <c r="Z43" s="51">
        <f t="shared" si="9"/>
        <v>0.316780821917808</v>
      </c>
      <c r="AA43" s="51">
        <f t="shared" si="6"/>
        <v>0.216780821917808</v>
      </c>
      <c r="AB43" s="51">
        <f t="shared" si="6"/>
        <v>0.316324200913242</v>
      </c>
      <c r="AC43" s="51">
        <f t="shared" si="6"/>
        <v>0.307876712328767</v>
      </c>
      <c r="AD43" s="51">
        <f t="shared" si="6"/>
        <v>0.310844748858447</v>
      </c>
      <c r="AE43" s="51">
        <f t="shared" si="6"/>
        <v>0.342351598173516</v>
      </c>
      <c r="AF43" s="51">
        <f>SUMIFS($O:$O,$A:$A,$X43,$B:$B,AF$2)/8760</f>
        <v>0.373972602739726</v>
      </c>
    </row>
    <row r="44" ht="13" spans="1:32">
      <c r="A44" s="63" t="s">
        <v>243</v>
      </c>
      <c r="B44" s="36">
        <v>2017</v>
      </c>
      <c r="C44" s="44">
        <f t="shared" si="7"/>
        <v>2270</v>
      </c>
      <c r="D44" s="44">
        <v>1509</v>
      </c>
      <c r="E44" s="44">
        <v>573</v>
      </c>
      <c r="F44" s="44">
        <v>86</v>
      </c>
      <c r="G44" s="44">
        <v>102</v>
      </c>
      <c r="H44" s="44">
        <f t="shared" si="8"/>
        <v>846</v>
      </c>
      <c r="I44" s="44">
        <v>680</v>
      </c>
      <c r="J44" s="44">
        <v>110</v>
      </c>
      <c r="K44" s="44">
        <v>1</v>
      </c>
      <c r="L44" s="44">
        <v>55</v>
      </c>
      <c r="M44" s="44"/>
      <c r="N44" s="44">
        <v>4507</v>
      </c>
      <c r="O44" s="44">
        <v>1918</v>
      </c>
      <c r="P44" s="44">
        <v>145</v>
      </c>
      <c r="Q44" s="44">
        <v>5456</v>
      </c>
      <c r="R44" s="51" cm="1">
        <f t="array" ref="R44">IFERROR(IF(H44&gt;10,H44/C44*0.876,""),“”)</f>
        <v>0.326474008810573</v>
      </c>
      <c r="S44" s="51" cm="1">
        <f t="array" ref="S44">IFERROR(IF(I44&gt;10,I44/D44*0.876,""),“”)</f>
        <v>0.394751491053678</v>
      </c>
      <c r="T44" s="51" cm="1">
        <f t="array" ref="T44">IFERROR(IF(J44&gt;10,J44/E44*0.876,""),“”)</f>
        <v>0.168167539267016</v>
      </c>
      <c r="U44" s="51" t="str" cm="1">
        <f t="array" ref="U44">IFERROR(IF(K44&gt;10,K44/F44*0.876,""),“”)</f>
        <v/>
      </c>
      <c r="V44" s="78">
        <f t="shared" si="5"/>
        <v>0.379926929876252</v>
      </c>
      <c r="X44" s="36" t="s">
        <v>243</v>
      </c>
      <c r="Y44" s="36" t="s">
        <v>303</v>
      </c>
      <c r="Z44" s="51">
        <f t="shared" si="9"/>
        <v>0.205251141552511</v>
      </c>
      <c r="AA44" s="51">
        <f t="shared" si="6"/>
        <v>0.218949771689498</v>
      </c>
      <c r="AB44" s="51">
        <f t="shared" si="6"/>
        <v>0.229680365296804</v>
      </c>
      <c r="AC44" s="51">
        <f t="shared" si="6"/>
        <v>0.212899543378995</v>
      </c>
      <c r="AD44" s="51">
        <f t="shared" si="6"/>
        <v>0.227397260273973</v>
      </c>
      <c r="AE44" s="51">
        <f t="shared" si="6"/>
        <v>0.224657534246575</v>
      </c>
      <c r="AF44" s="51">
        <f>SUMIFS($O:$O,$A:$A,$X44,$B:$B,AF$2)/8760</f>
        <v>0.200456621004566</v>
      </c>
    </row>
    <row r="45" ht="13" spans="1:32">
      <c r="A45" s="63" t="s">
        <v>244</v>
      </c>
      <c r="B45" s="36">
        <v>2017</v>
      </c>
      <c r="C45" s="44">
        <f t="shared" si="7"/>
        <v>9429</v>
      </c>
      <c r="D45" s="44">
        <v>7741</v>
      </c>
      <c r="E45" s="44">
        <v>1348</v>
      </c>
      <c r="F45" s="70"/>
      <c r="G45" s="44">
        <v>340</v>
      </c>
      <c r="H45" s="44">
        <f t="shared" si="8"/>
        <v>4481</v>
      </c>
      <c r="I45" s="44">
        <v>3823</v>
      </c>
      <c r="J45" s="44">
        <v>449</v>
      </c>
      <c r="K45" s="70"/>
      <c r="L45" s="44">
        <v>209</v>
      </c>
      <c r="M45" s="44"/>
      <c r="N45" s="44">
        <v>5048</v>
      </c>
      <c r="O45" s="44">
        <v>3666</v>
      </c>
      <c r="P45" s="70"/>
      <c r="Q45" s="44">
        <v>6300</v>
      </c>
      <c r="R45" s="51" cm="1">
        <f t="array" ref="R45">IFERROR(IF(H45&gt;10,H45/C45*0.876,""),“”)</f>
        <v>0.416306713331212</v>
      </c>
      <c r="S45" s="51" cm="1">
        <f t="array" ref="S45">IFERROR(IF(I45&gt;10,I45/D45*0.876,""),“”)</f>
        <v>0.432624725487663</v>
      </c>
      <c r="T45" s="51" cm="1">
        <f t="array" ref="T45">IFERROR(IF(J45&gt;10,J45/E45*0.876,""),“”)</f>
        <v>0.291783382789317</v>
      </c>
      <c r="U45" s="51" t="str" cm="1">
        <f t="array" ref="U45">IFERROR(IF(K45&gt;10,K45/F45*0.876,""),“”)</f>
        <v/>
      </c>
      <c r="V45" s="78">
        <f t="shared" si="5"/>
        <v>0.43707857938374</v>
      </c>
      <c r="X45" s="36" t="s">
        <v>244</v>
      </c>
      <c r="Y45" s="36" t="s">
        <v>303</v>
      </c>
      <c r="Z45" s="51">
        <f t="shared" si="9"/>
        <v>0.365639269406393</v>
      </c>
      <c r="AA45" s="51">
        <f t="shared" si="6"/>
        <v>0.418493150684931</v>
      </c>
      <c r="AB45" s="51">
        <f t="shared" si="6"/>
        <v>0.419748858447489</v>
      </c>
      <c r="AC45" s="51">
        <f t="shared" si="6"/>
        <v>0.387100456621005</v>
      </c>
      <c r="AD45" s="51">
        <f t="shared" si="6"/>
        <v>0.334931506849315</v>
      </c>
      <c r="AE45" s="51">
        <f t="shared" si="6"/>
        <v>0.298059360730594</v>
      </c>
      <c r="AF45" s="51">
        <f>SUMIFS($O:$O,$A:$A,$X45,$B:$B,AF$2)/8760</f>
        <v>0.277739726027397</v>
      </c>
    </row>
    <row r="46" ht="13" spans="1:32">
      <c r="A46" s="63" t="s">
        <v>245</v>
      </c>
      <c r="B46" s="36">
        <v>2017</v>
      </c>
      <c r="C46" s="44">
        <f t="shared" si="7"/>
        <v>6134</v>
      </c>
      <c r="D46" s="44">
        <v>4663</v>
      </c>
      <c r="E46" s="44">
        <v>1230</v>
      </c>
      <c r="F46" s="44">
        <v>6</v>
      </c>
      <c r="G46" s="44">
        <v>235</v>
      </c>
      <c r="H46" s="44">
        <f t="shared" si="8"/>
        <v>2543</v>
      </c>
      <c r="I46" s="44">
        <v>2268</v>
      </c>
      <c r="J46" s="44">
        <v>153</v>
      </c>
      <c r="K46" s="42" t="s">
        <v>305</v>
      </c>
      <c r="L46" s="44">
        <v>122</v>
      </c>
      <c r="M46" s="44"/>
      <c r="N46" s="44">
        <v>4876</v>
      </c>
      <c r="O46" s="44">
        <v>1239</v>
      </c>
      <c r="P46" s="70"/>
      <c r="Q46" s="44">
        <v>5603</v>
      </c>
      <c r="R46" s="51" cm="1">
        <f t="array" ref="R46">IFERROR(IF(H46&gt;10,H46/C46*0.876,""),“”)</f>
        <v>0.36316726442778</v>
      </c>
      <c r="S46" s="51" cm="1">
        <f t="array" ref="S46">IFERROR(IF(I46&gt;10,I46/D46*0.876,""),“”)</f>
        <v>0.426070769890628</v>
      </c>
      <c r="T46" s="51" cm="1">
        <f t="array" ref="T46">IFERROR(IF(J46&gt;10,J46/E46*0.876,""),“”)</f>
        <v>0.108965853658537</v>
      </c>
      <c r="U46" s="51" t="e" cm="1">
        <f t="array" ref="U46">IFERROR(IF(K46&gt;10,K46/F46*0.876,""),“”)</f>
        <v>#NAME?</v>
      </c>
      <c r="V46" s="78">
        <f t="shared" si="5"/>
        <v>0.426924959216966</v>
      </c>
      <c r="X46" s="36" t="s">
        <v>245</v>
      </c>
      <c r="Y46" s="36" t="s">
        <v>303</v>
      </c>
      <c r="Z46" s="51">
        <f t="shared" si="9"/>
        <v>0.144977168949772</v>
      </c>
      <c r="AA46" s="51">
        <f t="shared" si="6"/>
        <v>0.141438356164384</v>
      </c>
      <c r="AB46" s="51">
        <f t="shared" si="6"/>
        <v>0.142808219178082</v>
      </c>
      <c r="AC46" s="51">
        <f t="shared" si="6"/>
        <v>0.139611872146119</v>
      </c>
      <c r="AD46" s="51">
        <f t="shared" si="6"/>
        <v>0.146917808219178</v>
      </c>
      <c r="AE46" s="51">
        <f t="shared" si="6"/>
        <v>0.215525114155251</v>
      </c>
      <c r="AF46" s="51">
        <f>SUMIFS($O:$O,$A:$A,$X46,$B:$B,AF$2)/8760</f>
        <v>0.204109589041096</v>
      </c>
    </row>
    <row r="47" ht="13" spans="1:32">
      <c r="A47" s="63" t="s">
        <v>246</v>
      </c>
      <c r="B47" s="36">
        <v>2017</v>
      </c>
      <c r="C47" s="44">
        <f t="shared" si="7"/>
        <v>5053</v>
      </c>
      <c r="D47" s="44">
        <v>4760</v>
      </c>
      <c r="E47" s="44">
        <v>12</v>
      </c>
      <c r="F47" s="70"/>
      <c r="G47" s="44">
        <v>281</v>
      </c>
      <c r="H47" s="44">
        <f t="shared" si="8"/>
        <v>2311</v>
      </c>
      <c r="I47" s="44">
        <v>2151</v>
      </c>
      <c r="J47" s="44">
        <v>5</v>
      </c>
      <c r="K47" s="70"/>
      <c r="L47" s="44">
        <v>155</v>
      </c>
      <c r="M47" s="44"/>
      <c r="N47" s="44">
        <v>4527</v>
      </c>
      <c r="O47" s="44">
        <v>1586</v>
      </c>
      <c r="P47" s="70"/>
      <c r="Q47" s="44">
        <v>5875</v>
      </c>
      <c r="R47" s="51" cm="1">
        <f t="array" ref="R47">IFERROR(IF(H47&gt;10,H47/C47*0.876,""),“”)</f>
        <v>0.400640411636652</v>
      </c>
      <c r="S47" s="51" cm="1">
        <f t="array" ref="S47">IFERROR(IF(I47&gt;10,I47/D47*0.876,""),“”)</f>
        <v>0.395856302521008</v>
      </c>
      <c r="T47" s="51" t="str" cm="1">
        <f t="array" ref="T47">IFERROR(IF(J47&gt;10,J47/E47*0.876,""),“”)</f>
        <v/>
      </c>
      <c r="U47" s="51" t="str" cm="1">
        <f t="array" ref="U47">IFERROR(IF(K47&gt;10,K47/F47*0.876,""),“”)</f>
        <v/>
      </c>
      <c r="V47" s="78">
        <f t="shared" si="5"/>
        <v>0.400725252926007</v>
      </c>
      <c r="X47" s="36" t="s">
        <v>246</v>
      </c>
      <c r="Y47" s="36" t="s">
        <v>303</v>
      </c>
      <c r="Z47" s="51">
        <f t="shared" si="9"/>
        <v>0.443264840182648</v>
      </c>
      <c r="AA47" s="51">
        <f t="shared" si="6"/>
        <v>0.181050228310502</v>
      </c>
      <c r="AB47" s="51">
        <f t="shared" si="6"/>
        <v>0.255821917808219</v>
      </c>
      <c r="AC47" s="51">
        <f t="shared" si="6"/>
        <v>0.117123287671233</v>
      </c>
      <c r="AD47" s="51">
        <f t="shared" si="6"/>
        <v>0.075</v>
      </c>
      <c r="AE47" s="51">
        <f t="shared" si="6"/>
        <v>0.0835616438356164</v>
      </c>
      <c r="AF47" s="51">
        <f>SUMIFS($O:$O,$A:$A,$X47,$B:$B,AF$2)/8760</f>
        <v>0.0447488584474886</v>
      </c>
    </row>
    <row r="48" ht="13" spans="1:32">
      <c r="A48" s="63" t="s">
        <v>247</v>
      </c>
      <c r="B48" s="36">
        <v>2017</v>
      </c>
      <c r="C48" s="44">
        <f t="shared" si="7"/>
        <v>3074</v>
      </c>
      <c r="D48" s="44">
        <v>2545</v>
      </c>
      <c r="E48" s="44">
        <v>390</v>
      </c>
      <c r="F48" s="44">
        <v>1</v>
      </c>
      <c r="G48" s="44">
        <v>138</v>
      </c>
      <c r="H48" s="44">
        <f t="shared" si="8"/>
        <v>1139.04</v>
      </c>
      <c r="I48" s="44">
        <v>1007</v>
      </c>
      <c r="J48" s="44">
        <v>60</v>
      </c>
      <c r="K48" s="44">
        <v>0.04</v>
      </c>
      <c r="L48" s="44">
        <v>72</v>
      </c>
      <c r="M48" s="44"/>
      <c r="N48" s="44">
        <v>4121</v>
      </c>
      <c r="O48" s="44">
        <v>1642</v>
      </c>
      <c r="P48" s="70"/>
      <c r="Q48" s="44">
        <v>5739</v>
      </c>
      <c r="R48" s="51" cm="1">
        <f t="array" ref="R48">IFERROR(IF(H48&gt;10,H48/C48*0.876,""),“”)</f>
        <v>0.324593051398829</v>
      </c>
      <c r="S48" s="51" cm="1">
        <f t="array" ref="S48">IFERROR(IF(I48&gt;10,I48/D48*0.876,""),“”)</f>
        <v>0.346613752455796</v>
      </c>
      <c r="T48" s="51" cm="1">
        <f t="array" ref="T48">IFERROR(IF(J48&gt;10,J48/E48*0.876,""),“”)</f>
        <v>0.134769230769231</v>
      </c>
      <c r="U48" s="51" t="str" cm="1">
        <f t="array" ref="U48">IFERROR(IF(K48&gt;10,K48/F48*0.876,""),“”)</f>
        <v/>
      </c>
      <c r="V48" s="78">
        <f t="shared" si="5"/>
        <v>0.352175499254843</v>
      </c>
      <c r="X48" s="36" t="s">
        <v>247</v>
      </c>
      <c r="Y48" s="36" t="s">
        <v>303</v>
      </c>
      <c r="Z48" s="51">
        <f t="shared" si="9"/>
        <v>0.198630136986301</v>
      </c>
      <c r="AA48" s="51">
        <f t="shared" si="6"/>
        <v>0.187442922374429</v>
      </c>
      <c r="AB48" s="51">
        <f t="shared" si="6"/>
        <v>0.186986301369863</v>
      </c>
      <c r="AC48" s="51">
        <f t="shared" si="6"/>
        <v>0.193949771689498</v>
      </c>
      <c r="AD48" s="51">
        <f t="shared" si="6"/>
        <v>0.185844748858447</v>
      </c>
      <c r="AE48" s="51">
        <f t="shared" si="6"/>
        <v>0.195205479452055</v>
      </c>
      <c r="AF48" s="51">
        <f>SUMIFS($O:$O,$A:$A,$X48,$B:$B,AF$2)/8760</f>
        <v>0.165867579908676</v>
      </c>
    </row>
    <row r="49" ht="13" spans="1:32">
      <c r="A49" s="63" t="s">
        <v>248</v>
      </c>
      <c r="B49" s="36">
        <v>2017</v>
      </c>
      <c r="C49" s="44">
        <f t="shared" si="7"/>
        <v>1933</v>
      </c>
      <c r="D49" s="44">
        <v>1721</v>
      </c>
      <c r="E49" s="44">
        <v>10</v>
      </c>
      <c r="F49" s="70"/>
      <c r="G49" s="44">
        <v>202</v>
      </c>
      <c r="H49" s="44">
        <f t="shared" si="8"/>
        <v>967</v>
      </c>
      <c r="I49" s="44">
        <v>842</v>
      </c>
      <c r="J49" s="44">
        <v>5</v>
      </c>
      <c r="K49" s="70"/>
      <c r="L49" s="44">
        <v>120</v>
      </c>
      <c r="M49" s="44"/>
      <c r="N49" s="44">
        <v>4893</v>
      </c>
      <c r="O49" s="44">
        <v>4779</v>
      </c>
      <c r="P49" s="70"/>
      <c r="Q49" s="44">
        <v>6214</v>
      </c>
      <c r="R49" s="51" cm="1">
        <f t="array" ref="R49">IFERROR(IF(H49&gt;10,H49/C49*0.876,""),“”)</f>
        <v>0.438226590791516</v>
      </c>
      <c r="S49" s="51" cm="1">
        <f t="array" ref="S49">IFERROR(IF(I49&gt;10,I49/D49*0.876,""),“”)</f>
        <v>0.428583381754794</v>
      </c>
      <c r="T49" s="51" t="str" cm="1">
        <f t="array" ref="T49">IFERROR(IF(J49&gt;10,J49/E49*0.876,""),“”)</f>
        <v/>
      </c>
      <c r="U49" s="51" t="str" cm="1">
        <f t="array" ref="U49">IFERROR(IF(K49&gt;10,K49/F49*0.876,""),“”)</f>
        <v/>
      </c>
      <c r="V49" s="78">
        <f t="shared" si="5"/>
        <v>0.438227769110764</v>
      </c>
      <c r="X49" s="36" t="s">
        <v>248</v>
      </c>
      <c r="Y49" s="36" t="s">
        <v>303</v>
      </c>
      <c r="Z49" s="51">
        <f t="shared" si="9"/>
        <v>0.525456621004566</v>
      </c>
      <c r="AA49" s="51">
        <f t="shared" si="6"/>
        <v>0.545547945205479</v>
      </c>
      <c r="AB49" s="51">
        <f t="shared" si="6"/>
        <v>0.552283105022831</v>
      </c>
      <c r="AC49" s="51">
        <f t="shared" si="6"/>
        <v>0.476712328767123</v>
      </c>
      <c r="AD49" s="51">
        <f t="shared" si="6"/>
        <v>0.320319634703196</v>
      </c>
      <c r="AE49" s="51">
        <f t="shared" si="6"/>
        <v>0.561643835616438</v>
      </c>
      <c r="AF49" s="51">
        <f>SUMIFS($O:$O,$A:$A,$X49,$B:$B,AF$2)/8760</f>
        <v>0.154794520547945</v>
      </c>
    </row>
    <row r="50" ht="13" spans="1:32">
      <c r="A50" s="63" t="s">
        <v>249</v>
      </c>
      <c r="B50" s="36">
        <v>2017</v>
      </c>
      <c r="C50" s="44">
        <f t="shared" si="7"/>
        <v>10334</v>
      </c>
      <c r="D50" s="44">
        <v>9762</v>
      </c>
      <c r="E50" s="44">
        <v>5</v>
      </c>
      <c r="F50" s="70"/>
      <c r="G50" s="44">
        <v>567</v>
      </c>
      <c r="H50" s="44">
        <f t="shared" si="8"/>
        <v>4614</v>
      </c>
      <c r="I50" s="44">
        <v>4378</v>
      </c>
      <c r="J50" s="44">
        <v>1</v>
      </c>
      <c r="K50" s="70"/>
      <c r="L50" s="44">
        <v>235</v>
      </c>
      <c r="M50" s="44"/>
      <c r="N50" s="44">
        <v>4676</v>
      </c>
      <c r="O50" s="44">
        <v>4024</v>
      </c>
      <c r="P50" s="70"/>
      <c r="Q50" s="44">
        <v>4375</v>
      </c>
      <c r="R50" s="51" cm="1">
        <f t="array" ref="R50">IFERROR(IF(H50&gt;10,H50/C50*0.876,""),“”)</f>
        <v>0.391122895297078</v>
      </c>
      <c r="S50" s="51" cm="1">
        <f t="array" ref="S50">IFERROR(IF(I50&gt;10,I50/D50*0.876,""),“”)</f>
        <v>0.392862937922557</v>
      </c>
      <c r="T50" s="51" t="str" cm="1">
        <f t="array" ref="T50">IFERROR(IF(J50&gt;10,J50/E50*0.876,""),“”)</f>
        <v/>
      </c>
      <c r="U50" s="51" t="str" cm="1">
        <f t="array" ref="U50">IFERROR(IF(K50&gt;10,K50/F50*0.876,""),“”)</f>
        <v/>
      </c>
      <c r="V50" s="78">
        <f t="shared" si="5"/>
        <v>0.391227417949463</v>
      </c>
      <c r="X50" s="36" t="s">
        <v>249</v>
      </c>
      <c r="Y50" s="36" t="s">
        <v>303</v>
      </c>
      <c r="Z50" s="51">
        <f t="shared" si="9"/>
        <v>0.741780821917808</v>
      </c>
      <c r="AA50" s="51">
        <f t="shared" si="6"/>
        <v>0.459360730593607</v>
      </c>
      <c r="AB50" s="51">
        <f t="shared" si="6"/>
        <v>0.38013698630137</v>
      </c>
      <c r="AC50" s="51">
        <f t="shared" si="6"/>
        <v>0.382534246575342</v>
      </c>
      <c r="AD50" s="51">
        <f t="shared" si="6"/>
        <v>0.384703196347032</v>
      </c>
      <c r="AE50" s="51">
        <f t="shared" si="6"/>
        <v>0.310730593607306</v>
      </c>
      <c r="AF50" s="51">
        <f>SUMIFS($O:$O,$A:$A,$X50,$B:$B,AF$2)/8760</f>
        <v>0.411643835616438</v>
      </c>
    </row>
    <row r="51" ht="13" spans="1:32">
      <c r="A51" s="63" t="s">
        <v>250</v>
      </c>
      <c r="B51" s="36">
        <v>2017</v>
      </c>
      <c r="C51" s="44">
        <f t="shared" si="7"/>
        <v>6544</v>
      </c>
      <c r="D51" s="44">
        <v>6239</v>
      </c>
      <c r="E51" s="44">
        <v>164</v>
      </c>
      <c r="F51" s="70"/>
      <c r="G51" s="44">
        <v>141</v>
      </c>
      <c r="H51" s="44">
        <f t="shared" si="8"/>
        <v>2528</v>
      </c>
      <c r="I51" s="44">
        <v>2457</v>
      </c>
      <c r="J51" s="44">
        <v>31</v>
      </c>
      <c r="K51" s="70"/>
      <c r="L51" s="44">
        <v>40</v>
      </c>
      <c r="M51" s="44"/>
      <c r="N51" s="44">
        <v>3919</v>
      </c>
      <c r="O51" s="44">
        <v>1857</v>
      </c>
      <c r="P51" s="70"/>
      <c r="Q51" s="44">
        <v>3480</v>
      </c>
      <c r="R51" s="51" cm="1">
        <f t="array" ref="R51">IFERROR(IF(H51&gt;10,H51/C51*0.876,""),“”)</f>
        <v>0.33840586797066</v>
      </c>
      <c r="S51" s="51" cm="1">
        <f t="array" ref="S51">IFERROR(IF(I51&gt;10,I51/D51*0.876,""),“”)</f>
        <v>0.344980285302132</v>
      </c>
      <c r="T51" s="51" cm="1">
        <f t="array" ref="T51">IFERROR(IF(J51&gt;10,J51/E51*0.876,""),“”)</f>
        <v>0.165585365853659</v>
      </c>
      <c r="U51" s="51" t="str" cm="1">
        <f t="array" ref="U51">IFERROR(IF(K51&gt;10,K51/F51*0.876,""),“”)</f>
        <v/>
      </c>
      <c r="V51" s="78">
        <f t="shared" si="5"/>
        <v>0.342848275862069</v>
      </c>
      <c r="X51" s="36" t="s">
        <v>250</v>
      </c>
      <c r="Y51" s="36" t="s">
        <v>303</v>
      </c>
      <c r="Z51" s="51">
        <f t="shared" si="9"/>
        <v>0.238356164383562</v>
      </c>
      <c r="AA51" s="51">
        <f t="shared" si="9"/>
        <v>0.211986301369863</v>
      </c>
      <c r="AB51" s="51">
        <f t="shared" si="9"/>
        <v>0.189954337899543</v>
      </c>
      <c r="AC51" s="51">
        <f t="shared" si="9"/>
        <v>0.0961187214611872</v>
      </c>
      <c r="AD51" s="51">
        <f t="shared" si="9"/>
        <v>0.0931506849315069</v>
      </c>
      <c r="AE51" s="51">
        <f t="shared" si="9"/>
        <v>0.0301369863013699</v>
      </c>
      <c r="AF51" s="51">
        <f>SUMIFS($O:$O,$A:$A,$X51,$B:$B,AF$2)/8760</f>
        <v>0.023972602739726</v>
      </c>
    </row>
    <row r="52" ht="13" spans="1:32">
      <c r="A52" s="63" t="s">
        <v>251</v>
      </c>
      <c r="B52" s="36">
        <v>2017</v>
      </c>
      <c r="C52" s="44">
        <f t="shared" si="7"/>
        <v>2787</v>
      </c>
      <c r="D52" s="44">
        <v>2450</v>
      </c>
      <c r="E52" s="44">
        <v>96</v>
      </c>
      <c r="F52" s="70"/>
      <c r="G52" s="44">
        <v>241</v>
      </c>
      <c r="H52" s="44">
        <f t="shared" si="8"/>
        <v>1075</v>
      </c>
      <c r="I52" s="44">
        <v>945</v>
      </c>
      <c r="J52" s="44">
        <v>28</v>
      </c>
      <c r="K52" s="70"/>
      <c r="L52" s="44">
        <v>102</v>
      </c>
      <c r="M52" s="44"/>
      <c r="N52" s="44">
        <v>3930</v>
      </c>
      <c r="O52" s="44">
        <v>3253</v>
      </c>
      <c r="P52" s="70"/>
      <c r="Q52" s="44">
        <v>4515</v>
      </c>
      <c r="R52" s="51" cm="1">
        <f t="array" ref="R52">IFERROR(IF(H52&gt;10,H52/C52*0.876,""),“”)</f>
        <v>0.33789020452099</v>
      </c>
      <c r="S52" s="51" cm="1">
        <f t="array" ref="S52">IFERROR(IF(I52&gt;10,I52/D52*0.876,""),“”)</f>
        <v>0.337885714285714</v>
      </c>
      <c r="T52" s="51" cm="1">
        <f t="array" ref="T52">IFERROR(IF(J52&gt;10,J52/E52*0.876,""),“”)</f>
        <v>0.2555</v>
      </c>
      <c r="U52" s="51" t="str" cm="1">
        <f t="array" ref="U52">IFERROR(IF(K52&gt;10,K52/F52*0.876,""),“”)</f>
        <v/>
      </c>
      <c r="V52" s="78">
        <f t="shared" si="5"/>
        <v>0.340829431438127</v>
      </c>
      <c r="X52" s="36" t="s">
        <v>251</v>
      </c>
      <c r="Y52" s="36" t="s">
        <v>303</v>
      </c>
      <c r="Z52" s="51">
        <f t="shared" si="9"/>
        <v>0.418036529680365</v>
      </c>
      <c r="AA52" s="51">
        <f t="shared" si="9"/>
        <v>0.37134703196347</v>
      </c>
      <c r="AB52" s="51">
        <f t="shared" si="9"/>
        <v>0.369063926940639</v>
      </c>
      <c r="AC52" s="51">
        <f t="shared" si="9"/>
        <v>0.391438356164384</v>
      </c>
      <c r="AD52" s="51">
        <f t="shared" si="9"/>
        <v>0.320205479452055</v>
      </c>
      <c r="AE52" s="51">
        <f t="shared" si="9"/>
        <v>0.343949771689498</v>
      </c>
      <c r="AF52" s="51">
        <f>SUMIFS($O:$O,$A:$A,$X52,$B:$B,AF$2)/8760</f>
        <v>0.319178082191781</v>
      </c>
    </row>
    <row r="53" ht="13" spans="1:32">
      <c r="A53" s="63" t="s">
        <v>252</v>
      </c>
      <c r="B53" s="36">
        <v>2017</v>
      </c>
      <c r="C53" s="44">
        <f t="shared" si="7"/>
        <v>2267</v>
      </c>
      <c r="D53" s="44">
        <v>2053</v>
      </c>
      <c r="E53" s="44">
        <v>3</v>
      </c>
      <c r="F53" s="44">
        <v>7</v>
      </c>
      <c r="G53" s="44">
        <v>204</v>
      </c>
      <c r="H53" s="44">
        <f t="shared" si="8"/>
        <v>786</v>
      </c>
      <c r="I53" s="44">
        <v>667</v>
      </c>
      <c r="J53" s="44">
        <v>1</v>
      </c>
      <c r="K53" s="44">
        <v>3</v>
      </c>
      <c r="L53" s="44">
        <v>115</v>
      </c>
      <c r="M53" s="44"/>
      <c r="N53" s="44">
        <v>3337</v>
      </c>
      <c r="O53" s="44">
        <v>6671</v>
      </c>
      <c r="P53" s="44">
        <v>4028</v>
      </c>
      <c r="Q53" s="44">
        <v>5889</v>
      </c>
      <c r="R53" s="51" cm="1">
        <f t="array" ref="R53">IFERROR(IF(H53&gt;10,H53/C53*0.876,""),“”)</f>
        <v>0.303721217468019</v>
      </c>
      <c r="S53" s="51" cm="1">
        <f t="array" ref="S53">IFERROR(IF(I53&gt;10,I53/D53*0.876,""),“”)</f>
        <v>0.284603994154895</v>
      </c>
      <c r="T53" s="51" t="str" cm="1">
        <f t="array" ref="T53">IFERROR(IF(J53&gt;10,J53/E53*0.876,""),“”)</f>
        <v/>
      </c>
      <c r="U53" s="51" t="str" cm="1">
        <f t="array" ref="U53">IFERROR(IF(K53&gt;10,K53/F53*0.876,""),“”)</f>
        <v/>
      </c>
      <c r="V53" s="78">
        <f t="shared" si="5"/>
        <v>0.303736749116608</v>
      </c>
      <c r="X53" s="36" t="s">
        <v>252</v>
      </c>
      <c r="Y53" s="36" t="s">
        <v>303</v>
      </c>
      <c r="Z53" s="51">
        <f t="shared" si="9"/>
        <v>0.698630136986301</v>
      </c>
      <c r="AA53" s="51">
        <f t="shared" si="9"/>
        <v>0.761529680365297</v>
      </c>
      <c r="AB53" s="51">
        <f t="shared" si="9"/>
        <v>0.568493150684932</v>
      </c>
      <c r="AC53" s="51">
        <f t="shared" si="9"/>
        <v>0.363926940639269</v>
      </c>
      <c r="AD53" s="51">
        <f t="shared" si="9"/>
        <v>0.283333333333333</v>
      </c>
      <c r="AE53" s="51">
        <f t="shared" si="9"/>
        <v>0.187899543378995</v>
      </c>
      <c r="AF53" s="51">
        <f>SUMIFS($O:$O,$A:$A,$X53,$B:$B,AF$2)/8760</f>
        <v>0.186872146118721</v>
      </c>
    </row>
    <row r="54" ht="13" spans="1:32">
      <c r="A54" s="63" t="s">
        <v>253</v>
      </c>
      <c r="B54" s="36">
        <v>2017</v>
      </c>
      <c r="C54" s="44">
        <f t="shared" si="7"/>
        <v>7768</v>
      </c>
      <c r="D54" s="44">
        <v>6035</v>
      </c>
      <c r="E54" s="44">
        <v>1571</v>
      </c>
      <c r="F54" s="70">
        <v>21</v>
      </c>
      <c r="G54" s="44">
        <v>141</v>
      </c>
      <c r="H54" s="44">
        <f t="shared" si="8"/>
        <v>3164</v>
      </c>
      <c r="I54" s="44">
        <v>2578</v>
      </c>
      <c r="J54" s="44">
        <v>515</v>
      </c>
      <c r="K54" s="70">
        <v>13</v>
      </c>
      <c r="L54" s="44">
        <v>58</v>
      </c>
      <c r="M54" s="44"/>
      <c r="N54" s="44">
        <v>4301</v>
      </c>
      <c r="O54" s="44">
        <v>3278</v>
      </c>
      <c r="P54" s="70">
        <v>6367</v>
      </c>
      <c r="Q54" s="44">
        <v>4517</v>
      </c>
      <c r="R54" s="51" cm="1">
        <f t="array" ref="R54">IFERROR(IF(H54&gt;10,H54/C54*0.876,""),“”)</f>
        <v>0.356805355303811</v>
      </c>
      <c r="S54" s="51" cm="1">
        <f t="array" ref="S54">IFERROR(IF(I54&gt;10,I54/D54*0.876,""),“”)</f>
        <v>0.374205136702568</v>
      </c>
      <c r="T54" s="51" cm="1">
        <f t="array" ref="T54">IFERROR(IF(J54&gt;10,J54/E54*0.876,""),“”)</f>
        <v>0.287167409293444</v>
      </c>
      <c r="U54" s="51" cm="1">
        <f t="array" ref="U54">IFERROR(IF(K54&gt;10,K54/F54*0.876,""),“”)</f>
        <v>0.542285714285714</v>
      </c>
      <c r="V54" s="78">
        <f t="shared" si="5"/>
        <v>0.374459254477973</v>
      </c>
      <c r="X54" s="36" t="s">
        <v>253</v>
      </c>
      <c r="Y54" s="36" t="s">
        <v>303</v>
      </c>
      <c r="Z54" s="51">
        <f t="shared" si="9"/>
        <v>0.361187214611872</v>
      </c>
      <c r="AA54" s="51">
        <f t="shared" si="9"/>
        <v>0.374200913242009</v>
      </c>
      <c r="AB54" s="51">
        <f t="shared" si="9"/>
        <v>0.349086757990868</v>
      </c>
      <c r="AC54" s="51">
        <f t="shared" si="9"/>
        <v>0.326826484018265</v>
      </c>
      <c r="AD54" s="51">
        <f t="shared" si="9"/>
        <v>0.33972602739726</v>
      </c>
      <c r="AE54" s="51">
        <f t="shared" si="9"/>
        <v>0.350684931506849</v>
      </c>
      <c r="AF54" s="51">
        <f>SUMIFS($O:$O,$A:$A,$X54,$B:$B,AF$2)/8760</f>
        <v>0.294977168949772</v>
      </c>
    </row>
    <row r="55" ht="13" spans="1:32">
      <c r="A55" s="63" t="s">
        <v>254</v>
      </c>
      <c r="B55" s="36">
        <v>2017</v>
      </c>
      <c r="C55" s="44">
        <f t="shared" si="7"/>
        <v>2218</v>
      </c>
      <c r="D55" s="44">
        <v>1797</v>
      </c>
      <c r="E55" s="44">
        <v>35</v>
      </c>
      <c r="F55" s="70"/>
      <c r="G55" s="44">
        <v>386</v>
      </c>
      <c r="H55" s="44">
        <f t="shared" si="8"/>
        <v>575</v>
      </c>
      <c r="I55" s="44">
        <v>444</v>
      </c>
      <c r="J55" s="44">
        <v>2</v>
      </c>
      <c r="K55" s="70"/>
      <c r="L55" s="44">
        <v>129</v>
      </c>
      <c r="M55" s="44"/>
      <c r="N55" s="44">
        <v>2471</v>
      </c>
      <c r="O55" s="44">
        <v>797</v>
      </c>
      <c r="P55" s="70"/>
      <c r="Q55" s="44">
        <v>3657</v>
      </c>
      <c r="R55" s="51" cm="1">
        <f t="array" ref="R55">IFERROR(IF(H55&gt;10,H55/C55*0.876,""),“”)</f>
        <v>0.227096483318305</v>
      </c>
      <c r="S55" s="51" cm="1">
        <f t="array" ref="S55">IFERROR(IF(I55&gt;10,I55/D55*0.876,""),“”)</f>
        <v>0.216440734557596</v>
      </c>
      <c r="T55" s="51" t="str" cm="1">
        <f t="array" ref="T55">IFERROR(IF(J55&gt;10,J55/E55*0.876,""),“”)</f>
        <v/>
      </c>
      <c r="U55" s="51" t="str" cm="1">
        <f t="array" ref="U55">IFERROR(IF(K55&gt;10,K55/F55*0.876,""),“”)</f>
        <v/>
      </c>
      <c r="V55" s="78">
        <f t="shared" si="5"/>
        <v>0.229934951901054</v>
      </c>
      <c r="X55" s="36" t="s">
        <v>254</v>
      </c>
      <c r="Y55" s="36" t="s">
        <v>303</v>
      </c>
      <c r="Z55" s="51">
        <f t="shared" si="9"/>
        <v>0.0922374429223744</v>
      </c>
      <c r="AA55" s="51">
        <f t="shared" si="9"/>
        <v>0.0909817351598173</v>
      </c>
      <c r="AB55" s="51">
        <f t="shared" si="9"/>
        <v>0.151027397260274</v>
      </c>
      <c r="AC55" s="51">
        <f t="shared" si="9"/>
        <v>0.13162100456621</v>
      </c>
      <c r="AD55" s="51">
        <f t="shared" si="9"/>
        <v>0.225</v>
      </c>
      <c r="AE55" s="51">
        <f t="shared" si="9"/>
        <v>0.19783105022831</v>
      </c>
      <c r="AF55" s="51">
        <f>SUMIFS($O:$O,$A:$A,$X55,$B:$B,AF$2)/8760</f>
        <v>0.164041095890411</v>
      </c>
    </row>
    <row r="56" ht="13" spans="1:32">
      <c r="A56" s="63" t="s">
        <v>255</v>
      </c>
      <c r="B56" s="36">
        <v>2017</v>
      </c>
      <c r="C56" s="44">
        <f t="shared" si="7"/>
        <v>466</v>
      </c>
      <c r="D56" s="44">
        <v>376</v>
      </c>
      <c r="E56" s="44">
        <v>73</v>
      </c>
      <c r="F56" s="70"/>
      <c r="G56" s="44">
        <v>17</v>
      </c>
      <c r="H56" s="44">
        <f t="shared" si="8"/>
        <v>195</v>
      </c>
      <c r="I56" s="44">
        <v>173</v>
      </c>
      <c r="J56" s="44">
        <v>11</v>
      </c>
      <c r="K56" s="70"/>
      <c r="L56" s="44">
        <v>11</v>
      </c>
      <c r="M56" s="44"/>
      <c r="N56" s="44">
        <v>4616</v>
      </c>
      <c r="O56" s="44">
        <v>1483</v>
      </c>
      <c r="P56" s="70"/>
      <c r="Q56" s="44">
        <v>6806</v>
      </c>
      <c r="R56" s="51" cm="1">
        <f t="array" ref="R56">IFERROR(IF(H56&gt;10,H56/C56*0.876,""),“”)</f>
        <v>0.36656652360515</v>
      </c>
      <c r="S56" s="51" cm="1">
        <f t="array" ref="S56">IFERROR(IF(I56&gt;10,I56/D56*0.876,""),“”)</f>
        <v>0.403053191489362</v>
      </c>
      <c r="T56" s="51" cm="1">
        <f t="array" ref="T56">IFERROR(IF(J56&gt;10,J56/E56*0.876,""),“”)</f>
        <v>0.132</v>
      </c>
      <c r="U56" s="51" t="str" cm="1">
        <f t="array" ref="U56">IFERROR(IF(K56&gt;10,K56/F56*0.876,""),“”)</f>
        <v/>
      </c>
      <c r="V56" s="78">
        <f t="shared" si="5"/>
        <v>0.410137404580153</v>
      </c>
      <c r="X56" s="36" t="s">
        <v>255</v>
      </c>
      <c r="Y56" s="36" t="s">
        <v>303</v>
      </c>
      <c r="Z56" s="51">
        <f t="shared" si="9"/>
        <v>0.162442922374429</v>
      </c>
      <c r="AA56" s="51">
        <f t="shared" si="9"/>
        <v>0.169292237442922</v>
      </c>
      <c r="AB56" s="51">
        <f t="shared" si="9"/>
        <v>0.183219178082192</v>
      </c>
      <c r="AC56" s="51">
        <f t="shared" si="9"/>
        <v>0.208447488584475</v>
      </c>
      <c r="AD56" s="51">
        <f t="shared" si="9"/>
        <v>0.190753424657534</v>
      </c>
      <c r="AE56" s="51">
        <f t="shared" si="9"/>
        <v>0.314497716894977</v>
      </c>
      <c r="AF56" s="51">
        <f>SUMIFS($O:$O,$A:$A,$X56,$B:$B,AF$2)/8760</f>
        <v>0.261643835616438</v>
      </c>
    </row>
    <row r="57" ht="13" spans="1:32">
      <c r="A57" s="63" t="s">
        <v>256</v>
      </c>
      <c r="B57" s="36">
        <v>2017</v>
      </c>
      <c r="C57" s="44">
        <f t="shared" si="7"/>
        <v>1545</v>
      </c>
      <c r="D57" s="44">
        <v>1332</v>
      </c>
      <c r="E57" s="44">
        <v>168</v>
      </c>
      <c r="F57" s="70"/>
      <c r="G57" s="44">
        <v>45</v>
      </c>
      <c r="H57" s="44">
        <f t="shared" si="8"/>
        <v>467</v>
      </c>
      <c r="I57" s="44">
        <v>405</v>
      </c>
      <c r="J57" s="44">
        <v>37</v>
      </c>
      <c r="K57" s="70"/>
      <c r="L57" s="44">
        <v>25</v>
      </c>
      <c r="M57" s="44"/>
      <c r="N57" s="44">
        <v>3039</v>
      </c>
      <c r="O57" s="44">
        <v>2208</v>
      </c>
      <c r="P57" s="70"/>
      <c r="Q57" s="44">
        <v>5742</v>
      </c>
      <c r="R57" s="51" cm="1">
        <f t="array" ref="R57">IFERROR(IF(H57&gt;10,H57/C57*0.876,""),“”)</f>
        <v>0.264784466019417</v>
      </c>
      <c r="S57" s="51" cm="1">
        <f t="array" ref="S57">IFERROR(IF(I57&gt;10,I57/D57*0.876,""),“”)</f>
        <v>0.266351351351351</v>
      </c>
      <c r="T57" s="51" cm="1">
        <f t="array" ref="T57">IFERROR(IF(J57&gt;10,J57/E57*0.876,""),“”)</f>
        <v>0.192928571428571</v>
      </c>
      <c r="U57" s="51" t="str" cm="1">
        <f t="array" ref="U57">IFERROR(IF(K57&gt;10,K57/F57*0.876,""),“”)</f>
        <v/>
      </c>
      <c r="V57" s="78">
        <f t="shared" si="5"/>
        <v>0.273551198257081</v>
      </c>
      <c r="X57" s="36" t="s">
        <v>256</v>
      </c>
      <c r="Y57" s="36" t="s">
        <v>303</v>
      </c>
      <c r="Z57" s="51">
        <f t="shared" si="9"/>
        <v>0.250913242009132</v>
      </c>
      <c r="AA57" s="51">
        <f t="shared" si="9"/>
        <v>0.252054794520548</v>
      </c>
      <c r="AB57" s="51">
        <f t="shared" si="9"/>
        <v>0.331735159817352</v>
      </c>
      <c r="AC57" s="51">
        <f t="shared" si="9"/>
        <v>0.340182648401826</v>
      </c>
      <c r="AD57" s="51">
        <f t="shared" si="9"/>
        <v>0.319063926940639</v>
      </c>
      <c r="AE57" s="51">
        <f t="shared" si="9"/>
        <v>0.427054794520548</v>
      </c>
      <c r="AF57" s="51">
        <f>SUMIFS($O:$O,$A:$A,$X57,$B:$B,AF$2)/8760</f>
        <v>0.511986301369863</v>
      </c>
    </row>
    <row r="58" ht="13" spans="1:32">
      <c r="A58" s="63" t="s">
        <v>258</v>
      </c>
      <c r="B58" s="36">
        <v>2017</v>
      </c>
      <c r="C58" s="44">
        <f t="shared" si="7"/>
        <v>1662</v>
      </c>
      <c r="D58" s="44">
        <v>1336</v>
      </c>
      <c r="E58" s="44">
        <v>126</v>
      </c>
      <c r="F58" s="70"/>
      <c r="G58" s="44">
        <v>200</v>
      </c>
      <c r="H58" s="44">
        <f t="shared" si="8"/>
        <v>354</v>
      </c>
      <c r="I58" s="44">
        <v>249</v>
      </c>
      <c r="J58" s="44">
        <v>19</v>
      </c>
      <c r="K58" s="70"/>
      <c r="L58" s="44">
        <v>86</v>
      </c>
      <c r="M58" s="44"/>
      <c r="N58" s="44">
        <v>1857</v>
      </c>
      <c r="O58" s="44">
        <v>1503</v>
      </c>
      <c r="P58" s="70"/>
      <c r="Q58" s="44">
        <v>4710</v>
      </c>
      <c r="R58" s="51" cm="1">
        <f t="array" ref="R58">IFERROR(IF(H58&gt;10,H58/C58*0.876,""),“”)</f>
        <v>0.186584837545126</v>
      </c>
      <c r="S58" s="51" cm="1">
        <f t="array" ref="S58">IFERROR(IF(I58&gt;10,I58/D58*0.876,""),“”)</f>
        <v>0.163266467065868</v>
      </c>
      <c r="T58" s="51" cm="1">
        <f t="array" ref="T58">IFERROR(IF(J58&gt;10,J58/E58*0.876,""),“”)</f>
        <v>0.132095238095238</v>
      </c>
      <c r="U58" s="51" t="str" cm="1">
        <f t="array" ref="U58">IFERROR(IF(K58&gt;10,K58/F58*0.876,""),“”)</f>
        <v/>
      </c>
      <c r="V58" s="78">
        <f t="shared" si="5"/>
        <v>0.1910546875</v>
      </c>
      <c r="X58" s="36" t="s">
        <v>258</v>
      </c>
      <c r="Y58" s="36" t="s">
        <v>303</v>
      </c>
      <c r="Z58" s="51">
        <f t="shared" si="9"/>
        <v>0.200228310502283</v>
      </c>
      <c r="AA58" s="51">
        <f t="shared" si="9"/>
        <v>0.171575342465753</v>
      </c>
      <c r="AB58" s="51">
        <f t="shared" si="9"/>
        <v>0.197374429223744</v>
      </c>
      <c r="AC58" s="51">
        <f t="shared" si="9"/>
        <v>0.233904109589041</v>
      </c>
      <c r="AD58" s="51">
        <f t="shared" si="9"/>
        <v>0.235616438356164</v>
      </c>
      <c r="AE58" s="51">
        <f t="shared" si="9"/>
        <v>0.315639269406393</v>
      </c>
      <c r="AF58" s="51">
        <f>SUMIFS($O:$O,$A:$A,$X58,$B:$B,AF$2)/8760</f>
        <v>0.325913242009132</v>
      </c>
    </row>
    <row r="59" ht="13" spans="1:32">
      <c r="A59" s="63" t="s">
        <v>259</v>
      </c>
      <c r="B59" s="36">
        <v>2017</v>
      </c>
      <c r="C59" s="44">
        <f t="shared" si="7"/>
        <v>3161</v>
      </c>
      <c r="D59" s="44">
        <v>3146</v>
      </c>
      <c r="E59" s="70"/>
      <c r="F59" s="70"/>
      <c r="G59" s="44">
        <v>15</v>
      </c>
      <c r="H59" s="44">
        <f t="shared" si="8"/>
        <v>1210</v>
      </c>
      <c r="I59" s="44">
        <v>1201</v>
      </c>
      <c r="J59" s="70"/>
      <c r="K59" s="70"/>
      <c r="L59" s="44">
        <v>9</v>
      </c>
      <c r="M59" s="44"/>
      <c r="N59" s="44">
        <v>3889</v>
      </c>
      <c r="O59" s="70"/>
      <c r="P59" s="70"/>
      <c r="Q59" s="44">
        <v>6126</v>
      </c>
      <c r="R59" s="51" cm="1">
        <f t="array" ref="R59">IFERROR(IF(H59&gt;10,H59/C59*0.876,""),“”)</f>
        <v>0.335324264473268</v>
      </c>
      <c r="S59" s="51" cm="1">
        <f t="array" ref="S59">IFERROR(IF(I59&gt;10,I59/D59*0.876,""),“”)</f>
        <v>0.334417037507947</v>
      </c>
      <c r="T59" s="51" t="str" cm="1">
        <f t="array" ref="T59">IFERROR(IF(J59&gt;10,J59/E59*0.876,""),“”)</f>
        <v/>
      </c>
      <c r="U59" s="51" t="str" cm="1">
        <f t="array" ref="U59">IFERROR(IF(K59&gt;10,K59/F59*0.876,""),“”)</f>
        <v/>
      </c>
      <c r="V59" s="78">
        <f t="shared" si="5"/>
        <v>0.335324264473268</v>
      </c>
      <c r="X59" s="36" t="s">
        <v>259</v>
      </c>
      <c r="Y59" s="36" t="s">
        <v>303</v>
      </c>
      <c r="Z59" s="51">
        <f t="shared" si="9"/>
        <v>0</v>
      </c>
      <c r="AA59" s="51">
        <f t="shared" si="9"/>
        <v>0</v>
      </c>
      <c r="AB59" s="51">
        <f t="shared" si="9"/>
        <v>0</v>
      </c>
      <c r="AC59" s="51">
        <f t="shared" si="9"/>
        <v>0</v>
      </c>
      <c r="AD59" s="51">
        <f t="shared" si="9"/>
        <v>0</v>
      </c>
      <c r="AE59" s="51">
        <f t="shared" si="9"/>
        <v>0</v>
      </c>
      <c r="AF59" s="51">
        <f>SUMIFS($O:$O,$A:$A,$X59,$B:$B,AF$2)/8760</f>
        <v>0</v>
      </c>
    </row>
    <row r="60" ht="13" spans="1:32">
      <c r="A60" s="63" t="s">
        <v>260</v>
      </c>
      <c r="B60" s="36">
        <v>2017</v>
      </c>
      <c r="C60" s="44">
        <f t="shared" si="7"/>
        <v>1613</v>
      </c>
      <c r="D60" s="44">
        <v>1301</v>
      </c>
      <c r="E60" s="44">
        <v>2</v>
      </c>
      <c r="F60" s="70"/>
      <c r="G60" s="44">
        <v>310</v>
      </c>
      <c r="H60" s="44">
        <f t="shared" si="8"/>
        <v>240</v>
      </c>
      <c r="I60" s="44">
        <v>167</v>
      </c>
      <c r="J60" s="44">
        <v>1</v>
      </c>
      <c r="K60" s="70"/>
      <c r="L60" s="44">
        <v>72</v>
      </c>
      <c r="M60" s="44"/>
      <c r="N60" s="44">
        <v>1283</v>
      </c>
      <c r="O60" s="44">
        <v>4905</v>
      </c>
      <c r="P60" s="70"/>
      <c r="Q60" s="44">
        <v>3009</v>
      </c>
      <c r="R60" s="51" cm="1">
        <f t="array" ref="R60">IFERROR(IF(H60&gt;10,H60/C60*0.876,""),“”)</f>
        <v>0.130340979541228</v>
      </c>
      <c r="S60" s="51" cm="1">
        <f t="array" ref="S60">IFERROR(IF(I60&gt;10,I60/D60*0.876,""),“”)</f>
        <v>0.112445810914681</v>
      </c>
      <c r="T60" s="51" t="str" cm="1">
        <f t="array" ref="T60">IFERROR(IF(J60&gt;10,J60/E60*0.876,""),“”)</f>
        <v/>
      </c>
      <c r="U60" s="51" t="str" cm="1">
        <f t="array" ref="U60">IFERROR(IF(K60&gt;10,K60/F60*0.876,""),“”)</f>
        <v/>
      </c>
      <c r="V60" s="78">
        <f t="shared" si="5"/>
        <v>0.129959031657356</v>
      </c>
      <c r="X60" s="36" t="s">
        <v>260</v>
      </c>
      <c r="Y60" s="36" t="s">
        <v>303</v>
      </c>
      <c r="Z60" s="51">
        <f t="shared" si="9"/>
        <v>0.474657534246575</v>
      </c>
      <c r="AA60" s="51">
        <f t="shared" si="9"/>
        <v>0.559931506849315</v>
      </c>
      <c r="AB60" s="51">
        <f t="shared" si="9"/>
        <v>0.642237442922374</v>
      </c>
      <c r="AC60" s="51">
        <f t="shared" si="9"/>
        <v>0.724200913242009</v>
      </c>
      <c r="AD60" s="51">
        <f t="shared" si="9"/>
        <v>0.513356164383562</v>
      </c>
      <c r="AE60" s="51">
        <f t="shared" si="9"/>
        <v>0.203310502283105</v>
      </c>
      <c r="AF60" s="51">
        <f>SUMIFS($O:$O,$A:$A,$X60,$B:$B,AF$2)/8760</f>
        <v>0</v>
      </c>
    </row>
    <row r="61" ht="13" spans="1:32">
      <c r="A61" s="63" t="s">
        <v>261</v>
      </c>
      <c r="B61" s="36">
        <v>2017</v>
      </c>
      <c r="C61" s="44">
        <f t="shared" si="7"/>
        <v>40</v>
      </c>
      <c r="D61" s="70"/>
      <c r="E61" s="70"/>
      <c r="F61" s="44">
        <v>38</v>
      </c>
      <c r="G61" s="44">
        <v>2</v>
      </c>
      <c r="H61" s="44">
        <f t="shared" si="8"/>
        <v>0.4</v>
      </c>
      <c r="I61" s="70"/>
      <c r="J61" s="70"/>
      <c r="K61" s="44">
        <v>0.4</v>
      </c>
      <c r="L61" s="44"/>
      <c r="M61" s="44"/>
      <c r="N61" s="70"/>
      <c r="O61" s="70"/>
      <c r="P61" s="44">
        <v>111</v>
      </c>
      <c r="Q61" s="44"/>
      <c r="R61" s="51" t="str" cm="1">
        <f t="array" ref="R61">IFERROR(IF(H61&gt;10,H61/C61*0.876,""),“”)</f>
        <v/>
      </c>
      <c r="S61" s="51" t="str" cm="1">
        <f t="array" ref="S61">IFERROR(IF(I61&gt;10,I61/D61*0.876,""),“”)</f>
        <v/>
      </c>
      <c r="T61" s="51" t="str" cm="1">
        <f t="array" ref="T61">IFERROR(IF(J61&gt;10,J61/E61*0.876,""),“”)</f>
        <v/>
      </c>
      <c r="U61" s="51" t="str" cm="1">
        <f t="array" ref="U61">IFERROR(IF(K61&gt;10,K61/F61*0.876,""),“”)</f>
        <v/>
      </c>
      <c r="V61" s="78" t="str">
        <f t="shared" si="5"/>
        <v/>
      </c>
      <c r="X61" s="36" t="s">
        <v>261</v>
      </c>
      <c r="Y61" s="36" t="s">
        <v>303</v>
      </c>
      <c r="Z61" s="51">
        <f t="shared" si="9"/>
        <v>0</v>
      </c>
      <c r="AA61" s="51">
        <f t="shared" si="9"/>
        <v>0</v>
      </c>
      <c r="AB61" s="51">
        <f t="shared" si="9"/>
        <v>0</v>
      </c>
      <c r="AC61" s="51">
        <f t="shared" si="9"/>
        <v>0</v>
      </c>
      <c r="AD61" s="51">
        <f t="shared" si="9"/>
        <v>0</v>
      </c>
      <c r="AE61" s="51">
        <f t="shared" si="9"/>
        <v>0</v>
      </c>
      <c r="AF61" s="51">
        <f>SUMIFS($O:$O,$A:$A,$X61,$B:$B,AF$2)/8760</f>
        <v>0</v>
      </c>
    </row>
    <row r="62" ht="13" spans="1:32">
      <c r="A62" s="63" t="s">
        <v>262</v>
      </c>
      <c r="B62" s="36">
        <v>2017</v>
      </c>
      <c r="C62" s="44">
        <f t="shared" si="7"/>
        <v>3143</v>
      </c>
      <c r="D62" s="44">
        <v>3087</v>
      </c>
      <c r="E62" s="44"/>
      <c r="F62" s="70"/>
      <c r="G62" s="44">
        <v>56</v>
      </c>
      <c r="H62" s="44">
        <f t="shared" si="8"/>
        <v>1427</v>
      </c>
      <c r="I62" s="44">
        <v>1404</v>
      </c>
      <c r="J62" s="44"/>
      <c r="K62" s="70"/>
      <c r="L62" s="44">
        <v>23</v>
      </c>
      <c r="M62" s="44"/>
      <c r="N62" s="44">
        <v>4716</v>
      </c>
      <c r="O62" s="70"/>
      <c r="P62" s="70"/>
      <c r="Q62" s="44">
        <v>4411</v>
      </c>
      <c r="R62" s="51" cm="1">
        <f t="array" ref="R62">IFERROR(IF(H62&gt;10,H62/C62*0.876,""),“”)</f>
        <v>0.397725739739103</v>
      </c>
      <c r="S62" s="51" cm="1">
        <f t="array" ref="S62">IFERROR(IF(I62&gt;10,I62/D62*0.876,""),“”)</f>
        <v>0.398413994169096</v>
      </c>
      <c r="T62" s="51" t="str" cm="1">
        <f t="array" ref="T62">IFERROR(IF(J62&gt;10,J62/E62*0.876,""),“”)</f>
        <v/>
      </c>
      <c r="U62" s="51" t="str" cm="1">
        <f t="array" ref="U62">IFERROR(IF(K62&gt;10,K62/F62*0.876,""),“”)</f>
        <v/>
      </c>
      <c r="V62" s="78">
        <f t="shared" si="5"/>
        <v>0.397725739739103</v>
      </c>
      <c r="X62" s="36" t="s">
        <v>262</v>
      </c>
      <c r="Y62" s="36" t="s">
        <v>303</v>
      </c>
      <c r="Z62" s="51">
        <f t="shared" si="9"/>
        <v>0</v>
      </c>
      <c r="AA62" s="51">
        <f t="shared" si="9"/>
        <v>0</v>
      </c>
      <c r="AB62" s="51">
        <f t="shared" si="9"/>
        <v>0</v>
      </c>
      <c r="AC62" s="51">
        <f t="shared" si="9"/>
        <v>0</v>
      </c>
      <c r="AD62" s="51">
        <f t="shared" si="9"/>
        <v>0</v>
      </c>
      <c r="AE62" s="51">
        <f t="shared" si="9"/>
        <v>0.825228310502283</v>
      </c>
      <c r="AF62" s="51">
        <f>SUMIFS($O:$O,$A:$A,$X62,$B:$B,AF$2)/8760</f>
        <v>0.64703196347032</v>
      </c>
    </row>
    <row r="63" ht="13" spans="1:32">
      <c r="A63" s="63" t="s">
        <v>263</v>
      </c>
      <c r="B63" s="36">
        <v>2017</v>
      </c>
      <c r="C63" s="44">
        <f t="shared" si="7"/>
        <v>2059</v>
      </c>
      <c r="D63" s="44">
        <v>2020</v>
      </c>
      <c r="E63" s="44">
        <v>6</v>
      </c>
      <c r="F63" s="70"/>
      <c r="G63" s="44">
        <v>33</v>
      </c>
      <c r="H63" s="44">
        <f t="shared" si="8"/>
        <v>707</v>
      </c>
      <c r="I63" s="44">
        <v>696</v>
      </c>
      <c r="J63" s="70" t="s">
        <v>304</v>
      </c>
      <c r="K63" s="70"/>
      <c r="L63" s="44">
        <v>11</v>
      </c>
      <c r="M63" s="44"/>
      <c r="N63" s="44">
        <v>3530</v>
      </c>
      <c r="O63" s="70">
        <v>186</v>
      </c>
      <c r="P63" s="70"/>
      <c r="Q63" s="44">
        <v>2870</v>
      </c>
      <c r="R63" s="51" cm="1">
        <f t="array" ref="R63">IFERROR(IF(H63&gt;10,H63/C63*0.876,""),“”)</f>
        <v>0.300792617775619</v>
      </c>
      <c r="S63" s="51" cm="1">
        <f t="array" ref="S63">IFERROR(IF(I63&gt;10,I63/D63*0.876,""),“”)</f>
        <v>0.301829702970297</v>
      </c>
      <c r="T63" s="51" t="e" cm="1">
        <f t="array" ref="T63">IFERROR(IF(J63&gt;10,J63/E63*0.876,""),“”)</f>
        <v>#NAME?</v>
      </c>
      <c r="U63" s="51" t="str" cm="1">
        <f t="array" ref="U63">IFERROR(IF(K63&gt;10,K63/F63*0.876,""),“”)</f>
        <v/>
      </c>
      <c r="V63" s="78" t="str">
        <f t="shared" si="5"/>
        <v/>
      </c>
      <c r="X63" s="36" t="s">
        <v>263</v>
      </c>
      <c r="Y63" s="36" t="s">
        <v>303</v>
      </c>
      <c r="Z63" s="51">
        <f t="shared" si="9"/>
        <v>0.0546803652968037</v>
      </c>
      <c r="AA63" s="51">
        <f t="shared" si="9"/>
        <v>0.0212328767123288</v>
      </c>
      <c r="AB63" s="51">
        <f t="shared" si="9"/>
        <v>0</v>
      </c>
      <c r="AC63" s="51">
        <f t="shared" si="9"/>
        <v>0</v>
      </c>
      <c r="AD63" s="51">
        <f t="shared" si="9"/>
        <v>0</v>
      </c>
      <c r="AE63" s="51">
        <f t="shared" si="9"/>
        <v>0</v>
      </c>
      <c r="AF63" s="51">
        <f>SUMIFS($O:$O,$A:$A,$X63,$B:$B,AF$2)/8760</f>
        <v>0</v>
      </c>
    </row>
    <row r="64" ht="13" spans="1:32">
      <c r="A64" s="63" t="s">
        <v>264</v>
      </c>
      <c r="B64" s="36">
        <v>2017</v>
      </c>
      <c r="C64" s="44">
        <f t="shared" si="7"/>
        <v>399</v>
      </c>
      <c r="D64" s="44">
        <v>375</v>
      </c>
      <c r="E64" s="44"/>
      <c r="F64" s="70"/>
      <c r="G64" s="44">
        <v>24</v>
      </c>
      <c r="H64" s="44">
        <f t="shared" si="8"/>
        <v>153</v>
      </c>
      <c r="I64" s="44">
        <v>152</v>
      </c>
      <c r="J64" s="42"/>
      <c r="K64" s="70"/>
      <c r="L64" s="44">
        <v>1</v>
      </c>
      <c r="M64" s="44"/>
      <c r="N64" s="44">
        <v>4322</v>
      </c>
      <c r="O64" s="70"/>
      <c r="P64" s="70"/>
      <c r="Q64" s="44">
        <v>2604</v>
      </c>
      <c r="R64" s="51" cm="1">
        <f t="array" ref="R64">IFERROR(IF(H64&gt;10,H64/C64*0.876,""),“”)</f>
        <v>0.33590977443609</v>
      </c>
      <c r="S64" s="51" cm="1">
        <f t="array" ref="S64">IFERROR(IF(I64&gt;10,I64/D64*0.876,""),“”)</f>
        <v>0.355072</v>
      </c>
      <c r="T64" s="51" t="str" cm="1">
        <f t="array" ref="T64">IFERROR(IF(J64&gt;10,J64/E64*0.876,""),“”)</f>
        <v/>
      </c>
      <c r="U64" s="51" t="str" cm="1">
        <f t="array" ref="U64">IFERROR(IF(K64&gt;10,K64/F64*0.876,""),“”)</f>
        <v/>
      </c>
      <c r="V64" s="78">
        <f t="shared" si="5"/>
        <v>0.33590977443609</v>
      </c>
      <c r="X64" s="36" t="s">
        <v>264</v>
      </c>
      <c r="Y64" s="36" t="s">
        <v>303</v>
      </c>
      <c r="Z64" s="51">
        <f t="shared" si="9"/>
        <v>0.021689497716895</v>
      </c>
      <c r="AA64" s="51">
        <f t="shared" si="9"/>
        <v>0</v>
      </c>
      <c r="AB64" s="51">
        <f t="shared" si="9"/>
        <v>0</v>
      </c>
      <c r="AC64" s="51">
        <f t="shared" si="9"/>
        <v>0</v>
      </c>
      <c r="AD64" s="51">
        <f t="shared" si="9"/>
        <v>0</v>
      </c>
      <c r="AE64" s="51">
        <f t="shared" si="9"/>
        <v>0</v>
      </c>
      <c r="AF64" s="51">
        <f>SUMIFS($O:$O,$A:$A,$X64,$B:$B,AF$2)/8760</f>
        <v>0</v>
      </c>
    </row>
    <row r="65" ht="13" spans="1:32">
      <c r="A65" s="63" t="s">
        <v>265</v>
      </c>
      <c r="B65" s="36">
        <v>2017</v>
      </c>
      <c r="C65" s="44">
        <f t="shared" si="7"/>
        <v>2584</v>
      </c>
      <c r="D65" s="44">
        <v>2432</v>
      </c>
      <c r="E65" s="44">
        <v>70</v>
      </c>
      <c r="F65" s="70"/>
      <c r="G65" s="44">
        <v>82</v>
      </c>
      <c r="H65" s="44">
        <f t="shared" si="8"/>
        <v>1159</v>
      </c>
      <c r="I65" s="44">
        <v>1113</v>
      </c>
      <c r="J65" s="44">
        <v>11</v>
      </c>
      <c r="K65" s="70"/>
      <c r="L65" s="44">
        <v>35</v>
      </c>
      <c r="M65" s="44"/>
      <c r="N65" s="44">
        <v>5178</v>
      </c>
      <c r="O65" s="44">
        <v>1321</v>
      </c>
      <c r="P65" s="70"/>
      <c r="Q65" s="44">
        <v>4470</v>
      </c>
      <c r="R65" s="51" cm="1">
        <f t="array" ref="R65">IFERROR(IF(H65&gt;10,H65/C65*0.876,""),“”)</f>
        <v>0.392911764705882</v>
      </c>
      <c r="S65" s="51" cm="1">
        <f t="array" ref="S65">IFERROR(IF(I65&gt;10,I65/D65*0.876,""),“”)</f>
        <v>0.400899671052632</v>
      </c>
      <c r="T65" s="51" cm="1">
        <f t="array" ref="T65">IFERROR(IF(J65&gt;10,J65/E65*0.876,""),“”)</f>
        <v>0.137657142857143</v>
      </c>
      <c r="U65" s="51" t="str" cm="1">
        <f t="array" ref="U65">IFERROR(IF(K65&gt;10,K65/F65*0.876,""),“”)</f>
        <v/>
      </c>
      <c r="V65" s="78">
        <f t="shared" si="5"/>
        <v>0.400019093078759</v>
      </c>
      <c r="X65" s="36" t="s">
        <v>265</v>
      </c>
      <c r="Y65" s="36" t="s">
        <v>303</v>
      </c>
      <c r="Z65" s="51">
        <f t="shared" si="9"/>
        <v>0.206963470319635</v>
      </c>
      <c r="AA65" s="51">
        <f t="shared" si="9"/>
        <v>0.150799086757991</v>
      </c>
      <c r="AB65" s="51">
        <f t="shared" si="9"/>
        <v>0.264840182648402</v>
      </c>
      <c r="AC65" s="51">
        <f t="shared" si="9"/>
        <v>0.208333333333333</v>
      </c>
      <c r="AD65" s="51">
        <f t="shared" si="9"/>
        <v>0.201940639269406</v>
      </c>
      <c r="AE65" s="51">
        <f t="shared" si="9"/>
        <v>0.261872146118721</v>
      </c>
      <c r="AF65" s="51">
        <f>SUMIFS($O:$O,$A:$A,$X65,$B:$B,AF$2)/8760</f>
        <v>0.193721461187215</v>
      </c>
    </row>
    <row r="66" ht="13.75" spans="1:32">
      <c r="A66" s="65" t="s">
        <v>266</v>
      </c>
      <c r="B66" s="66">
        <v>2017</v>
      </c>
      <c r="C66" s="67">
        <f t="shared" si="7"/>
        <v>5207</v>
      </c>
      <c r="D66" s="67">
        <v>5122</v>
      </c>
      <c r="E66" s="67">
        <v>83</v>
      </c>
      <c r="F66" s="84"/>
      <c r="G66" s="67">
        <v>2</v>
      </c>
      <c r="H66" s="67">
        <f t="shared" si="8"/>
        <v>2348</v>
      </c>
      <c r="I66" s="67">
        <v>2326</v>
      </c>
      <c r="J66" s="67">
        <v>20</v>
      </c>
      <c r="K66" s="84"/>
      <c r="L66" s="67">
        <v>2</v>
      </c>
      <c r="M66" s="67"/>
      <c r="N66" s="67">
        <v>4756</v>
      </c>
      <c r="O66" s="67">
        <v>2457</v>
      </c>
      <c r="P66" s="84"/>
      <c r="Q66" s="67">
        <v>7016</v>
      </c>
      <c r="R66" s="79" cm="1">
        <f t="array" ref="R66">IFERROR(IF(H66&gt;10,H66/C66*0.876,""),“”)</f>
        <v>0.395015940080661</v>
      </c>
      <c r="S66" s="79" cm="1">
        <f t="array" ref="S66">IFERROR(IF(I66&gt;10,I66/D66*0.876,""),“”)</f>
        <v>0.397808668488872</v>
      </c>
      <c r="T66" s="79" cm="1">
        <f t="array" ref="T66">IFERROR(IF(J66&gt;10,J66/E66*0.876,""),“”)</f>
        <v>0.211084337349398</v>
      </c>
      <c r="U66" s="79" t="str" cm="1">
        <f t="array" ref="U66">IFERROR(IF(K66&gt;10,K66/F66*0.876,""),“”)</f>
        <v/>
      </c>
      <c r="V66" s="80">
        <f t="shared" si="5"/>
        <v>0.397995316159251</v>
      </c>
      <c r="X66" s="36" t="s">
        <v>266</v>
      </c>
      <c r="Y66" s="36" t="s">
        <v>303</v>
      </c>
      <c r="Z66" s="51">
        <f t="shared" si="9"/>
        <v>0.43310502283105</v>
      </c>
      <c r="AA66" s="51">
        <f t="shared" si="9"/>
        <v>0.280479452054795</v>
      </c>
      <c r="AB66" s="51">
        <f t="shared" si="9"/>
        <v>0.225799086757991</v>
      </c>
      <c r="AC66" s="51">
        <f t="shared" si="9"/>
        <v>0.261415525114155</v>
      </c>
      <c r="AD66" s="51">
        <f t="shared" si="9"/>
        <v>0.247716894977169</v>
      </c>
      <c r="AE66" s="51">
        <f t="shared" si="9"/>
        <v>0.475456621004566</v>
      </c>
      <c r="AF66" s="51">
        <f>SUMIFS($O:$O,$A:$A,$X66,$B:$B,AF$2)/8760</f>
        <v>0.271232876712329</v>
      </c>
    </row>
    <row r="67" ht="13" spans="1:32">
      <c r="A67" s="59" t="s">
        <v>234</v>
      </c>
      <c r="B67" s="60">
        <v>2018</v>
      </c>
      <c r="C67" s="61">
        <v>114408</v>
      </c>
      <c r="D67" s="61">
        <v>100835</v>
      </c>
      <c r="E67" s="61">
        <v>8375</v>
      </c>
      <c r="F67" s="61">
        <v>173</v>
      </c>
      <c r="G67" s="61">
        <v>5024</v>
      </c>
      <c r="H67" s="61">
        <v>49249</v>
      </c>
      <c r="I67" s="61">
        <v>44829</v>
      </c>
      <c r="J67" s="61">
        <v>2155</v>
      </c>
      <c r="K67" s="61">
        <v>15</v>
      </c>
      <c r="L67" s="61">
        <v>2249</v>
      </c>
      <c r="M67" s="61">
        <v>4378</v>
      </c>
      <c r="N67" s="61">
        <v>4495</v>
      </c>
      <c r="O67" s="61">
        <v>2767</v>
      </c>
      <c r="P67" s="61">
        <v>903</v>
      </c>
      <c r="Q67" s="61">
        <v>4680</v>
      </c>
      <c r="R67" s="76" cm="1">
        <f t="array" ref="R67">IFERROR(IF(H67&gt;10,H67/C67*0.876,""),“”)</f>
        <v>0.377090098594504</v>
      </c>
      <c r="S67" s="76" cm="1">
        <f t="array" ref="S67">IFERROR(IF(I67&gt;10,I67/D67*0.876,""),“”)</f>
        <v>0.389450131402787</v>
      </c>
      <c r="T67" s="76" cm="1">
        <f t="array" ref="T67">IFERROR(IF(J67&gt;10,J67/E67*0.876,""),“”)</f>
        <v>0.225406567164179</v>
      </c>
      <c r="U67" s="76" cm="1">
        <f t="array" ref="U67">IFERROR(IF(K67&gt;10,K67/F67*0.876,""),“”)</f>
        <v>0.0759537572254335</v>
      </c>
      <c r="V67" s="77">
        <f t="shared" ref="V67:V98" si="10">IFERROR(IF((H67-J67)&gt;10,(H67-J67)/(C67-E67)*0.876,""),"")</f>
        <v>0.389070798713608</v>
      </c>
      <c r="X67" s="36" t="s">
        <v>234</v>
      </c>
      <c r="Y67" s="36" t="s">
        <v>306</v>
      </c>
      <c r="Z67" s="51">
        <f>SUMIFS($P:$P,$A:$A,$X67,$B:$B,Z$2)/8760</f>
        <v>0.150342465753425</v>
      </c>
      <c r="AA67" s="51">
        <f t="shared" ref="AA67:AE82" si="11">SUMIFS($P:$P,$A:$A,$X67,$B:$B,AA$2)/8760</f>
        <v>0.157420091324201</v>
      </c>
      <c r="AB67" s="51">
        <f t="shared" si="11"/>
        <v>0.103082191780822</v>
      </c>
      <c r="AC67" s="51">
        <f t="shared" si="11"/>
        <v>0.0867579908675799</v>
      </c>
      <c r="AD67" s="51">
        <f t="shared" si="11"/>
        <v>0.0985159817351598</v>
      </c>
      <c r="AE67" s="51">
        <f t="shared" si="11"/>
        <v>0.115639269406393</v>
      </c>
      <c r="AF67" s="51">
        <f>SUMIFS($P:$P,$A:$A,$X67,$B:$B,AF$2)/8760</f>
        <v>0.0691780821917808</v>
      </c>
    </row>
    <row r="68" ht="13" spans="1:32">
      <c r="A68" s="63" t="s">
        <v>235</v>
      </c>
      <c r="B68" s="36">
        <v>2018</v>
      </c>
      <c r="C68" s="44">
        <v>1119</v>
      </c>
      <c r="D68" s="44">
        <v>85</v>
      </c>
      <c r="E68" s="44">
        <v>985</v>
      </c>
      <c r="F68" s="44">
        <v>22</v>
      </c>
      <c r="G68" s="44">
        <v>27</v>
      </c>
      <c r="H68" s="44">
        <v>433</v>
      </c>
      <c r="I68" s="44">
        <v>17</v>
      </c>
      <c r="J68" s="44">
        <v>395</v>
      </c>
      <c r="K68" s="44">
        <v>5</v>
      </c>
      <c r="L68" s="44">
        <v>15</v>
      </c>
      <c r="M68" s="44">
        <v>3939</v>
      </c>
      <c r="N68" s="44">
        <v>2003</v>
      </c>
      <c r="O68" s="44">
        <v>4081</v>
      </c>
      <c r="P68" s="44">
        <v>2403</v>
      </c>
      <c r="Q68" s="44">
        <v>6675</v>
      </c>
      <c r="R68" s="51" cm="1">
        <f t="array" ref="R68">IFERROR(IF(H68&gt;10,H68/C68*0.876,""),“”)</f>
        <v>0.338970509383378</v>
      </c>
      <c r="S68" s="51" cm="1">
        <f t="array" ref="S68">IFERROR(IF(I68&gt;10,I68/D68*0.876,""),“”)</f>
        <v>0.1752</v>
      </c>
      <c r="T68" s="51" cm="1">
        <f t="array" ref="T68">IFERROR(IF(J68&gt;10,J68/E68*0.876,""),“”)</f>
        <v>0.351289340101523</v>
      </c>
      <c r="U68" s="51" t="str" cm="1">
        <f t="array" ref="U68">IFERROR(IF(K68&gt;10,K68/F68*0.876,""),“”)</f>
        <v/>
      </c>
      <c r="V68" s="78">
        <f t="shared" si="10"/>
        <v>0.248417910447761</v>
      </c>
      <c r="X68" s="36" t="s">
        <v>235</v>
      </c>
      <c r="Y68" s="36" t="s">
        <v>306</v>
      </c>
      <c r="Z68" s="51">
        <f>SUMIFS($P:$P,$A:$A,$X68,$B:$B,Z$2)/8760</f>
        <v>0.300913242009132</v>
      </c>
      <c r="AA68" s="51">
        <f t="shared" si="11"/>
        <v>0.213470319634703</v>
      </c>
      <c r="AB68" s="51">
        <f t="shared" si="11"/>
        <v>0.274315068493151</v>
      </c>
      <c r="AC68" s="51">
        <f t="shared" si="11"/>
        <v>0.262899543378995</v>
      </c>
      <c r="AD68" s="51">
        <f t="shared" si="11"/>
        <v>0.201369863013699</v>
      </c>
      <c r="AE68" s="51">
        <f t="shared" si="11"/>
        <v>0.0980593607305936</v>
      </c>
      <c r="AF68" s="51">
        <f>SUMIFS($P:$P,$A:$A,$X68,$B:$B,AF$2)/8760</f>
        <v>0.0897260273972603</v>
      </c>
    </row>
    <row r="69" ht="13" spans="1:32">
      <c r="A69" s="63" t="s">
        <v>236</v>
      </c>
      <c r="B69" s="36">
        <v>2018</v>
      </c>
      <c r="C69" s="44">
        <v>1529</v>
      </c>
      <c r="D69" s="44">
        <v>1187</v>
      </c>
      <c r="E69" s="44">
        <v>317</v>
      </c>
      <c r="F69" s="70"/>
      <c r="G69" s="44">
        <v>25</v>
      </c>
      <c r="H69" s="44">
        <v>654</v>
      </c>
      <c r="I69" s="44">
        <v>531</v>
      </c>
      <c r="J69" s="44">
        <v>112</v>
      </c>
      <c r="K69" s="70"/>
      <c r="L69" s="44">
        <v>11</v>
      </c>
      <c r="M69" s="44">
        <v>4471</v>
      </c>
      <c r="N69" s="44">
        <v>4760</v>
      </c>
      <c r="O69" s="44">
        <v>3477</v>
      </c>
      <c r="P69" s="70"/>
      <c r="Q69" s="44">
        <v>4434</v>
      </c>
      <c r="R69" s="51" cm="1">
        <f t="array" ref="R69">IFERROR(IF(H69&gt;10,H69/C69*0.876,""),“”)</f>
        <v>0.374691955526488</v>
      </c>
      <c r="S69" s="51" cm="1">
        <f t="array" ref="S69">IFERROR(IF(I69&gt;10,I69/D69*0.876,""),“”)</f>
        <v>0.391875315922494</v>
      </c>
      <c r="T69" s="51" cm="1">
        <f t="array" ref="T69">IFERROR(IF(J69&gt;10,J69/E69*0.876,""),“”)</f>
        <v>0.309501577287066</v>
      </c>
      <c r="U69" s="51" t="str" cm="1">
        <f t="array" ref="U69">IFERROR(IF(K69&gt;10,K69/F69*0.876,""),“”)</f>
        <v/>
      </c>
      <c r="V69" s="78">
        <f t="shared" si="10"/>
        <v>0.391742574257426</v>
      </c>
      <c r="X69" s="36" t="s">
        <v>236</v>
      </c>
      <c r="Y69" s="36" t="s">
        <v>306</v>
      </c>
      <c r="Z69" s="51">
        <f t="shared" ref="Z69:AE98" si="12">SUMIFS($P:$P,$A:$A,$X69,$B:$B,Z$2)/8760</f>
        <v>0</v>
      </c>
      <c r="AA69" s="51">
        <f t="shared" si="11"/>
        <v>0</v>
      </c>
      <c r="AB69" s="51">
        <f t="shared" si="11"/>
        <v>0</v>
      </c>
      <c r="AC69" s="51">
        <f t="shared" si="11"/>
        <v>0</v>
      </c>
      <c r="AD69" s="51">
        <f t="shared" si="11"/>
        <v>0</v>
      </c>
      <c r="AE69" s="51">
        <f t="shared" si="11"/>
        <v>0.342808219178082</v>
      </c>
      <c r="AF69" s="51">
        <f>SUMIFS($P:$P,$A:$A,$X69,$B:$B,AF$2)/8760</f>
        <v>0.0375570776255708</v>
      </c>
    </row>
    <row r="70" ht="13" spans="1:32">
      <c r="A70" s="63" t="s">
        <v>237</v>
      </c>
      <c r="B70" s="36">
        <v>2018</v>
      </c>
      <c r="C70" s="44">
        <v>4617</v>
      </c>
      <c r="D70" s="44">
        <v>4308</v>
      </c>
      <c r="E70" s="44">
        <v>3</v>
      </c>
      <c r="F70" s="70"/>
      <c r="G70" s="44">
        <v>306</v>
      </c>
      <c r="H70" s="44">
        <v>2361</v>
      </c>
      <c r="I70" s="44">
        <v>2266</v>
      </c>
      <c r="J70" s="44">
        <v>0.6</v>
      </c>
      <c r="K70" s="70"/>
      <c r="L70" s="44">
        <v>94</v>
      </c>
      <c r="M70" s="44">
        <v>5090</v>
      </c>
      <c r="N70" s="44">
        <v>5224</v>
      </c>
      <c r="O70" s="70">
        <v>125</v>
      </c>
      <c r="P70" s="70"/>
      <c r="Q70" s="44">
        <v>3146</v>
      </c>
      <c r="R70" s="51" cm="1">
        <f t="array" ref="R70">IFERROR(IF(H70&gt;10,H70/C70*0.876,""),“”)</f>
        <v>0.447961013645224</v>
      </c>
      <c r="S70" s="51" cm="1">
        <f t="array" ref="S70">IFERROR(IF(I70&gt;10,I70/D70*0.876,""),“”)</f>
        <v>0.460774373259053</v>
      </c>
      <c r="T70" s="51" t="str" cm="1">
        <f t="array" ref="T70">IFERROR(IF(J70&gt;10,J70/E70*0.876,""),“”)</f>
        <v/>
      </c>
      <c r="U70" s="51" t="str" cm="1">
        <f t="array" ref="U70">IFERROR(IF(K70&gt;10,K70/F70*0.876,""),“”)</f>
        <v/>
      </c>
      <c r="V70" s="78">
        <f t="shared" si="10"/>
        <v>0.448138361508453</v>
      </c>
      <c r="X70" s="36" t="s">
        <v>237</v>
      </c>
      <c r="Y70" s="36" t="s">
        <v>306</v>
      </c>
      <c r="Z70" s="51">
        <f t="shared" si="12"/>
        <v>0</v>
      </c>
      <c r="AA70" s="51">
        <f t="shared" si="11"/>
        <v>0</v>
      </c>
      <c r="AB70" s="51">
        <f t="shared" si="11"/>
        <v>0</v>
      </c>
      <c r="AC70" s="51">
        <f t="shared" si="11"/>
        <v>0</v>
      </c>
      <c r="AD70" s="51">
        <f t="shared" si="11"/>
        <v>0</v>
      </c>
      <c r="AE70" s="51">
        <f t="shared" si="11"/>
        <v>0</v>
      </c>
      <c r="AF70" s="51">
        <f>SUMIFS($P:$P,$A:$A,$X70,$B:$B,AF$2)/8760</f>
        <v>0</v>
      </c>
    </row>
    <row r="71" ht="13" spans="1:32">
      <c r="A71" s="63" t="s">
        <v>238</v>
      </c>
      <c r="B71" s="36">
        <v>2018</v>
      </c>
      <c r="C71" s="44">
        <v>6628</v>
      </c>
      <c r="D71" s="44">
        <v>6108</v>
      </c>
      <c r="E71" s="44">
        <v>301</v>
      </c>
      <c r="F71" s="70"/>
      <c r="G71" s="44">
        <v>218</v>
      </c>
      <c r="H71" s="44">
        <v>2739</v>
      </c>
      <c r="I71" s="44">
        <v>2574</v>
      </c>
      <c r="J71" s="44">
        <v>100</v>
      </c>
      <c r="K71" s="70"/>
      <c r="L71" s="44">
        <v>64</v>
      </c>
      <c r="M71" s="44">
        <v>4318</v>
      </c>
      <c r="N71" s="44">
        <v>4405</v>
      </c>
      <c r="O71" s="44">
        <v>3399</v>
      </c>
      <c r="P71" s="70"/>
      <c r="Q71" s="44">
        <v>3136</v>
      </c>
      <c r="R71" s="51" cm="1">
        <f t="array" ref="R71">IFERROR(IF(H71&gt;10,H71/C71*0.876,""),“”)</f>
        <v>0.362004224502112</v>
      </c>
      <c r="S71" s="51" cm="1">
        <f t="array" ref="S71">IFERROR(IF(I71&gt;10,I71/D71*0.876,""),“”)</f>
        <v>0.369159135559921</v>
      </c>
      <c r="T71" s="51" cm="1">
        <f t="array" ref="T71">IFERROR(IF(J71&gt;10,J71/E71*0.876,""),“”)</f>
        <v>0.291029900332226</v>
      </c>
      <c r="U71" s="51" t="str" cm="1">
        <f t="array" ref="U71">IFERROR(IF(K71&gt;10,K71/F71*0.876,""),“”)</f>
        <v/>
      </c>
      <c r="V71" s="78">
        <f t="shared" si="10"/>
        <v>0.365380749170223</v>
      </c>
      <c r="X71" s="36" t="s">
        <v>238</v>
      </c>
      <c r="Y71" s="36" t="s">
        <v>306</v>
      </c>
      <c r="Z71" s="51">
        <f t="shared" si="12"/>
        <v>0</v>
      </c>
      <c r="AA71" s="51">
        <f t="shared" si="11"/>
        <v>0</v>
      </c>
      <c r="AB71" s="51">
        <f t="shared" si="11"/>
        <v>0</v>
      </c>
      <c r="AC71" s="51">
        <f t="shared" si="11"/>
        <v>0</v>
      </c>
      <c r="AD71" s="51">
        <f t="shared" si="11"/>
        <v>0</v>
      </c>
      <c r="AE71" s="51">
        <f t="shared" si="11"/>
        <v>0</v>
      </c>
      <c r="AF71" s="51">
        <f>SUMIFS($P:$P,$A:$A,$X71,$B:$B,AF$2)/8760</f>
        <v>0</v>
      </c>
    </row>
    <row r="72" ht="13" spans="1:32">
      <c r="A72" s="63" t="s">
        <v>239</v>
      </c>
      <c r="B72" s="36">
        <v>2018</v>
      </c>
      <c r="C72" s="44">
        <v>8229</v>
      </c>
      <c r="D72" s="44">
        <v>8158</v>
      </c>
      <c r="E72" s="44">
        <v>42</v>
      </c>
      <c r="F72" s="70"/>
      <c r="G72" s="44">
        <v>29</v>
      </c>
      <c r="H72" s="44">
        <v>4198</v>
      </c>
      <c r="I72" s="44">
        <v>4187</v>
      </c>
      <c r="J72" s="44">
        <v>0.4</v>
      </c>
      <c r="K72" s="70"/>
      <c r="L72" s="44">
        <v>11</v>
      </c>
      <c r="M72" s="44">
        <v>5124</v>
      </c>
      <c r="N72" s="44">
        <v>5155</v>
      </c>
      <c r="O72" s="44">
        <v>89</v>
      </c>
      <c r="P72" s="70"/>
      <c r="Q72" s="44">
        <v>3687</v>
      </c>
      <c r="R72" s="51" cm="1">
        <f t="array" ref="R72">IFERROR(IF(H72&gt;10,H72/C72*0.876,""),“”)</f>
        <v>0.44688880787459</v>
      </c>
      <c r="S72" s="51" cm="1">
        <f t="array" ref="S72">IFERROR(IF(I72&gt;10,I72/D72*0.876,""),“”)</f>
        <v>0.449596960039225</v>
      </c>
      <c r="T72" s="51" t="str" cm="1">
        <f t="array" ref="T72">IFERROR(IF(J72&gt;10,J72/E72*0.876,""),“”)</f>
        <v/>
      </c>
      <c r="U72" s="51" t="str" cm="1">
        <f t="array" ref="U72">IFERROR(IF(K72&gt;10,K72/F72*0.876,""),“”)</f>
        <v/>
      </c>
      <c r="V72" s="78">
        <f t="shared" si="10"/>
        <v>0.449138585562477</v>
      </c>
      <c r="X72" s="36" t="s">
        <v>239</v>
      </c>
      <c r="Y72" s="36" t="s">
        <v>306</v>
      </c>
      <c r="Z72" s="51">
        <f t="shared" si="12"/>
        <v>0</v>
      </c>
      <c r="AA72" s="51">
        <f t="shared" si="11"/>
        <v>0</v>
      </c>
      <c r="AB72" s="51">
        <f t="shared" si="11"/>
        <v>0</v>
      </c>
      <c r="AC72" s="51">
        <f t="shared" si="11"/>
        <v>0</v>
      </c>
      <c r="AD72" s="51">
        <f t="shared" si="11"/>
        <v>0</v>
      </c>
      <c r="AE72" s="51">
        <f t="shared" si="11"/>
        <v>0</v>
      </c>
      <c r="AF72" s="51">
        <f>SUMIFS($P:$P,$A:$A,$X72,$B:$B,AF$2)/8760</f>
        <v>0</v>
      </c>
    </row>
    <row r="73" ht="13" spans="1:32">
      <c r="A73" s="63" t="s">
        <v>240</v>
      </c>
      <c r="B73" s="36">
        <v>2018</v>
      </c>
      <c r="C73" s="44">
        <v>3383</v>
      </c>
      <c r="D73" s="44">
        <v>3283</v>
      </c>
      <c r="E73" s="44">
        <v>5</v>
      </c>
      <c r="F73" s="44">
        <v>15</v>
      </c>
      <c r="G73" s="44">
        <v>81</v>
      </c>
      <c r="H73" s="44">
        <v>1381</v>
      </c>
      <c r="I73" s="44">
        <v>1335</v>
      </c>
      <c r="J73" s="44">
        <v>2</v>
      </c>
      <c r="K73" s="44">
        <v>6</v>
      </c>
      <c r="L73" s="44">
        <v>39</v>
      </c>
      <c r="M73" s="44">
        <v>4199</v>
      </c>
      <c r="N73" s="44">
        <v>4185</v>
      </c>
      <c r="O73" s="44">
        <v>3639</v>
      </c>
      <c r="P73" s="44">
        <v>3739</v>
      </c>
      <c r="Q73" s="44">
        <v>4892</v>
      </c>
      <c r="R73" s="51" cm="1">
        <f t="array" ref="R73">IFERROR(IF(H73&gt;10,H73/C73*0.876,""),“”)</f>
        <v>0.357598581140999</v>
      </c>
      <c r="S73" s="51" cm="1">
        <f t="array" ref="S73">IFERROR(IF(I73&gt;10,I73/D73*0.876,""),“”)</f>
        <v>0.356216874809625</v>
      </c>
      <c r="T73" s="51" t="str" cm="1">
        <f t="array" ref="T73">IFERROR(IF(J73&gt;10,J73/E73*0.876,""),“”)</f>
        <v/>
      </c>
      <c r="U73" s="51" t="str" cm="1">
        <f t="array" ref="U73">IFERROR(IF(K73&gt;10,K73/F73*0.876,""),“”)</f>
        <v/>
      </c>
      <c r="V73" s="78">
        <f t="shared" si="10"/>
        <v>0.357609236234458</v>
      </c>
      <c r="X73" s="36" t="s">
        <v>240</v>
      </c>
      <c r="Y73" s="36" t="s">
        <v>306</v>
      </c>
      <c r="Z73" s="51">
        <f t="shared" si="12"/>
        <v>0.377739726027397</v>
      </c>
      <c r="AA73" s="51">
        <f t="shared" si="11"/>
        <v>0.388584474885845</v>
      </c>
      <c r="AB73" s="51">
        <f t="shared" si="11"/>
        <v>0.426826484018265</v>
      </c>
      <c r="AC73" s="51">
        <f t="shared" si="11"/>
        <v>0.303310502283105</v>
      </c>
      <c r="AD73" s="51">
        <f t="shared" si="11"/>
        <v>0.286415525114155</v>
      </c>
      <c r="AE73" s="51">
        <f t="shared" si="11"/>
        <v>0.280593607305936</v>
      </c>
      <c r="AF73" s="51">
        <f>SUMIFS($P:$P,$A:$A,$X73,$B:$B,AF$2)/8760</f>
        <v>0.223972602739726</v>
      </c>
    </row>
    <row r="74" ht="13" spans="1:32">
      <c r="A74" s="63" t="s">
        <v>241</v>
      </c>
      <c r="B74" s="36">
        <v>2018</v>
      </c>
      <c r="C74" s="44">
        <v>1892</v>
      </c>
      <c r="D74" s="44">
        <v>1788</v>
      </c>
      <c r="E74" s="44">
        <v>0.5</v>
      </c>
      <c r="F74" s="70"/>
      <c r="G74" s="44">
        <v>103</v>
      </c>
      <c r="H74" s="44">
        <v>664</v>
      </c>
      <c r="I74" s="44">
        <v>627</v>
      </c>
      <c r="J74" s="42" t="s">
        <v>304</v>
      </c>
      <c r="K74" s="70"/>
      <c r="L74" s="44">
        <v>37</v>
      </c>
      <c r="M74" s="44">
        <v>3590</v>
      </c>
      <c r="N74" s="44">
        <v>3575</v>
      </c>
      <c r="O74" s="46"/>
      <c r="P74" s="70"/>
      <c r="Q74" s="44">
        <v>3871</v>
      </c>
      <c r="R74" s="51" cm="1">
        <f t="array" ref="R74">IFERROR(IF(H74&gt;10,H74/C74*0.876,""),“”)</f>
        <v>0.307433403805497</v>
      </c>
      <c r="S74" s="51" cm="1">
        <f t="array" ref="S74">IFERROR(IF(I74&gt;10,I74/D74*0.876,""),“”)</f>
        <v>0.307187919463087</v>
      </c>
      <c r="T74" s="51" t="e" cm="1">
        <f t="array" ref="T74">IFERROR(IF(J74&gt;10,J74/E74*0.876,""),“”)</f>
        <v>#NAME?</v>
      </c>
      <c r="U74" s="51" t="str" cm="1">
        <f t="array" ref="U74">IFERROR(IF(K74&gt;10,K74/F74*0.876,""),“”)</f>
        <v/>
      </c>
      <c r="V74" s="78" t="str">
        <f t="shared" si="10"/>
        <v/>
      </c>
      <c r="X74" s="36" t="s">
        <v>241</v>
      </c>
      <c r="Y74" s="36" t="s">
        <v>306</v>
      </c>
      <c r="Z74" s="51">
        <f t="shared" si="12"/>
        <v>0</v>
      </c>
      <c r="AA74" s="51">
        <f t="shared" si="11"/>
        <v>0</v>
      </c>
      <c r="AB74" s="51">
        <f t="shared" si="11"/>
        <v>0</v>
      </c>
      <c r="AC74" s="51">
        <f t="shared" si="11"/>
        <v>0</v>
      </c>
      <c r="AD74" s="51">
        <f t="shared" si="11"/>
        <v>0</v>
      </c>
      <c r="AE74" s="51">
        <f t="shared" si="11"/>
        <v>0</v>
      </c>
      <c r="AF74" s="51">
        <f>SUMIFS($P:$P,$A:$A,$X74,$B:$B,AF$2)/8760</f>
        <v>0</v>
      </c>
    </row>
    <row r="75" ht="13" spans="1:32">
      <c r="A75" s="63" t="s">
        <v>242</v>
      </c>
      <c r="B75" s="36">
        <v>2018</v>
      </c>
      <c r="C75" s="44">
        <v>2212</v>
      </c>
      <c r="D75" s="44">
        <v>2082</v>
      </c>
      <c r="E75" s="44">
        <v>12</v>
      </c>
      <c r="F75" s="44">
        <v>2</v>
      </c>
      <c r="G75" s="44">
        <v>116</v>
      </c>
      <c r="H75" s="44">
        <v>859</v>
      </c>
      <c r="I75" s="44">
        <v>801</v>
      </c>
      <c r="J75" s="44">
        <v>3</v>
      </c>
      <c r="K75" s="70">
        <v>0.3</v>
      </c>
      <c r="L75" s="44">
        <v>54</v>
      </c>
      <c r="M75" s="44">
        <v>3886</v>
      </c>
      <c r="N75" s="44">
        <v>3839</v>
      </c>
      <c r="O75" s="44">
        <v>2771</v>
      </c>
      <c r="P75" s="70">
        <v>1126</v>
      </c>
      <c r="Q75" s="44">
        <v>4972</v>
      </c>
      <c r="R75" s="51" cm="1">
        <f t="array" ref="R75">IFERROR(IF(H75&gt;10,H75/C75*0.876,""),“”)</f>
        <v>0.340182640144665</v>
      </c>
      <c r="S75" s="51" cm="1">
        <f t="array" ref="S75">IFERROR(IF(I75&gt;10,I75/D75*0.876,""),“”)</f>
        <v>0.337020172910663</v>
      </c>
      <c r="T75" s="51" t="str" cm="1">
        <f t="array" ref="T75">IFERROR(IF(J75&gt;10,J75/E75*0.876,""),“”)</f>
        <v/>
      </c>
      <c r="U75" s="51" t="str" cm="1">
        <f t="array" ref="U75">IFERROR(IF(K75&gt;10,K75/F75*0.876,""),“”)</f>
        <v/>
      </c>
      <c r="V75" s="78">
        <f t="shared" si="10"/>
        <v>0.340843636363636</v>
      </c>
      <c r="X75" s="36" t="s">
        <v>242</v>
      </c>
      <c r="Y75" s="36" t="s">
        <v>306</v>
      </c>
      <c r="Z75" s="51">
        <f t="shared" si="12"/>
        <v>0.19783105022831</v>
      </c>
      <c r="AA75" s="51">
        <f t="shared" si="11"/>
        <v>0.153767123287671</v>
      </c>
      <c r="AB75" s="51">
        <f t="shared" si="11"/>
        <v>0.128538812785388</v>
      </c>
      <c r="AC75" s="51">
        <f t="shared" si="11"/>
        <v>0</v>
      </c>
      <c r="AD75" s="51">
        <f t="shared" si="11"/>
        <v>0</v>
      </c>
      <c r="AE75" s="51">
        <f t="shared" si="11"/>
        <v>0</v>
      </c>
      <c r="AF75" s="51">
        <f>SUMIFS($P:$P,$A:$A,$X75,$B:$B,AF$2)/8760</f>
        <v>0</v>
      </c>
    </row>
    <row r="76" ht="13" spans="1:32">
      <c r="A76" s="63" t="s">
        <v>243</v>
      </c>
      <c r="B76" s="36">
        <v>2018</v>
      </c>
      <c r="C76" s="44">
        <v>2365</v>
      </c>
      <c r="D76" s="44">
        <v>1511</v>
      </c>
      <c r="E76" s="44">
        <v>662</v>
      </c>
      <c r="F76" s="44">
        <v>86</v>
      </c>
      <c r="G76" s="44">
        <v>106</v>
      </c>
      <c r="H76" s="44">
        <v>833</v>
      </c>
      <c r="I76" s="44">
        <v>649</v>
      </c>
      <c r="J76" s="44">
        <v>128</v>
      </c>
      <c r="K76" s="44">
        <v>1</v>
      </c>
      <c r="L76" s="44">
        <v>55</v>
      </c>
      <c r="M76" s="44">
        <v>3571</v>
      </c>
      <c r="N76" s="44">
        <v>4297</v>
      </c>
      <c r="O76" s="44">
        <v>2012</v>
      </c>
      <c r="P76" s="44">
        <v>134</v>
      </c>
      <c r="Q76" s="44">
        <v>5228</v>
      </c>
      <c r="R76" s="51" cm="1">
        <f t="array" ref="R76">IFERROR(IF(H76&gt;10,H76/C76*0.876,""),“”)</f>
        <v>0.308544608879493</v>
      </c>
      <c r="S76" s="51" cm="1">
        <f t="array" ref="S76">IFERROR(IF(I76&gt;10,I76/D76*0.876,""),“”)</f>
        <v>0.376256783587028</v>
      </c>
      <c r="T76" s="51" cm="1">
        <f t="array" ref="T76">IFERROR(IF(J76&gt;10,J76/E76*0.876,""),“”)</f>
        <v>0.169377643504532</v>
      </c>
      <c r="U76" s="51" t="str" cm="1">
        <f t="array" ref="U76">IFERROR(IF(K76&gt;10,K76/F76*0.876,""),“”)</f>
        <v/>
      </c>
      <c r="V76" s="78">
        <f t="shared" si="10"/>
        <v>0.362642395772167</v>
      </c>
      <c r="X76" s="36" t="s">
        <v>243</v>
      </c>
      <c r="Y76" s="36" t="s">
        <v>306</v>
      </c>
      <c r="Z76" s="51">
        <f t="shared" si="12"/>
        <v>0.0117579908675799</v>
      </c>
      <c r="AA76" s="51">
        <f t="shared" si="11"/>
        <v>0.0165525114155251</v>
      </c>
      <c r="AB76" s="51">
        <f t="shared" si="11"/>
        <v>0.015296803652968</v>
      </c>
      <c r="AC76" s="51">
        <f t="shared" si="11"/>
        <v>0.0132420091324201</v>
      </c>
      <c r="AD76" s="51">
        <f t="shared" si="11"/>
        <v>0.0223744292237443</v>
      </c>
      <c r="AE76" s="51">
        <f t="shared" si="11"/>
        <v>0.028310502283105</v>
      </c>
      <c r="AF76" s="51">
        <f>SUMIFS($P:$P,$A:$A,$X76,$B:$B,AF$2)/8760</f>
        <v>0.0357305936073059</v>
      </c>
    </row>
    <row r="77" ht="13" spans="1:32">
      <c r="A77" s="63" t="s">
        <v>244</v>
      </c>
      <c r="B77" s="36">
        <v>2018</v>
      </c>
      <c r="C77" s="44">
        <v>9749</v>
      </c>
      <c r="D77" s="44">
        <v>7885</v>
      </c>
      <c r="E77" s="44">
        <v>1502</v>
      </c>
      <c r="F77" s="70"/>
      <c r="G77" s="44">
        <v>362</v>
      </c>
      <c r="H77" s="44">
        <v>4462</v>
      </c>
      <c r="I77" s="44">
        <v>3711</v>
      </c>
      <c r="J77" s="44">
        <v>549</v>
      </c>
      <c r="K77" s="70"/>
      <c r="L77" s="44">
        <v>203</v>
      </c>
      <c r="M77" s="44">
        <v>4576</v>
      </c>
      <c r="N77" s="44">
        <v>4692</v>
      </c>
      <c r="O77" s="44">
        <v>3677</v>
      </c>
      <c r="P77" s="70"/>
      <c r="Q77" s="44">
        <v>5807</v>
      </c>
      <c r="R77" s="51" cm="1">
        <f t="array" ref="R77">IFERROR(IF(H77&gt;10,H77/C77*0.876,""),“”)</f>
        <v>0.400934659965125</v>
      </c>
      <c r="S77" s="51" cm="1">
        <f t="array" ref="S77">IFERROR(IF(I77&gt;10,I77/D77*0.876,""),“”)</f>
        <v>0.412281039949271</v>
      </c>
      <c r="T77" s="51" cm="1">
        <f t="array" ref="T77">IFERROR(IF(J77&gt;10,J77/E77*0.876,""),“”)</f>
        <v>0.320189081225033</v>
      </c>
      <c r="U77" s="51" t="str" cm="1">
        <f t="array" ref="U77">IFERROR(IF(K77&gt;10,K77/F77*0.876,""),“”)</f>
        <v/>
      </c>
      <c r="V77" s="78">
        <f t="shared" si="10"/>
        <v>0.415640596580575</v>
      </c>
      <c r="X77" s="36" t="s">
        <v>244</v>
      </c>
      <c r="Y77" s="36" t="s">
        <v>306</v>
      </c>
      <c r="Z77" s="51">
        <f t="shared" si="12"/>
        <v>0</v>
      </c>
      <c r="AA77" s="51">
        <f t="shared" si="11"/>
        <v>0</v>
      </c>
      <c r="AB77" s="51">
        <f t="shared" si="11"/>
        <v>0</v>
      </c>
      <c r="AC77" s="51">
        <f t="shared" si="11"/>
        <v>0</v>
      </c>
      <c r="AD77" s="51">
        <f t="shared" si="11"/>
        <v>0</v>
      </c>
      <c r="AE77" s="51">
        <f t="shared" si="11"/>
        <v>0</v>
      </c>
      <c r="AF77" s="51">
        <f>SUMIFS($P:$P,$A:$A,$X77,$B:$B,AF$2)/8760</f>
        <v>0</v>
      </c>
    </row>
    <row r="78" ht="13" spans="1:32">
      <c r="A78" s="63" t="s">
        <v>245</v>
      </c>
      <c r="B78" s="36">
        <v>2018</v>
      </c>
      <c r="C78" s="44">
        <v>6209</v>
      </c>
      <c r="D78" s="44">
        <v>4680</v>
      </c>
      <c r="E78" s="44">
        <v>1259</v>
      </c>
      <c r="F78" s="44">
        <v>2</v>
      </c>
      <c r="G78" s="44">
        <v>267</v>
      </c>
      <c r="H78" s="44">
        <v>2598</v>
      </c>
      <c r="I78" s="44">
        <v>2298</v>
      </c>
      <c r="J78" s="44">
        <v>157</v>
      </c>
      <c r="K78" s="42">
        <v>0.01</v>
      </c>
      <c r="L78" s="44">
        <v>143</v>
      </c>
      <c r="M78" s="44">
        <v>4201</v>
      </c>
      <c r="N78" s="44">
        <v>4908</v>
      </c>
      <c r="O78" s="44">
        <v>1251</v>
      </c>
      <c r="P78" s="70"/>
      <c r="Q78" s="44">
        <v>5781</v>
      </c>
      <c r="R78" s="51" cm="1">
        <f t="array" ref="R78">IFERROR(IF(H78&gt;10,H78/C78*0.876,""),“”)</f>
        <v>0.366540183604445</v>
      </c>
      <c r="S78" s="51" cm="1">
        <f t="array" ref="S78">IFERROR(IF(I78&gt;10,I78/D78*0.876,""),“”)</f>
        <v>0.430138461538462</v>
      </c>
      <c r="T78" s="51" cm="1">
        <f t="array" ref="T78">IFERROR(IF(J78&gt;10,J78/E78*0.876,""),“”)</f>
        <v>0.109239078633836</v>
      </c>
      <c r="U78" s="51" t="str" cm="1">
        <f t="array" ref="U78">IFERROR(IF(K78&gt;10,K78/F78*0.876,""),“”)</f>
        <v/>
      </c>
      <c r="V78" s="78">
        <f t="shared" si="10"/>
        <v>0.43198303030303</v>
      </c>
      <c r="X78" s="36" t="s">
        <v>245</v>
      </c>
      <c r="Y78" s="36" t="s">
        <v>306</v>
      </c>
      <c r="Z78" s="51">
        <f t="shared" si="12"/>
        <v>0</v>
      </c>
      <c r="AA78" s="51">
        <f t="shared" si="11"/>
        <v>0</v>
      </c>
      <c r="AB78" s="51">
        <f t="shared" si="11"/>
        <v>0</v>
      </c>
      <c r="AC78" s="51">
        <f t="shared" si="11"/>
        <v>0</v>
      </c>
      <c r="AD78" s="51">
        <f t="shared" si="11"/>
        <v>0</v>
      </c>
      <c r="AE78" s="51">
        <f t="shared" si="11"/>
        <v>0</v>
      </c>
      <c r="AF78" s="51">
        <f>SUMIFS($P:$P,$A:$A,$X78,$B:$B,AF$2)/8760</f>
        <v>0</v>
      </c>
    </row>
    <row r="79" ht="13" spans="1:32">
      <c r="A79" s="63" t="s">
        <v>246</v>
      </c>
      <c r="B79" s="36">
        <v>2018</v>
      </c>
      <c r="C79" s="44">
        <v>5413</v>
      </c>
      <c r="D79" s="44">
        <v>5071</v>
      </c>
      <c r="E79" s="44">
        <v>14</v>
      </c>
      <c r="F79" s="70"/>
      <c r="G79" s="44">
        <v>329</v>
      </c>
      <c r="H79" s="44">
        <v>2519</v>
      </c>
      <c r="I79" s="44">
        <v>2353</v>
      </c>
      <c r="J79" s="44">
        <v>4</v>
      </c>
      <c r="K79" s="70"/>
      <c r="L79" s="44">
        <v>161</v>
      </c>
      <c r="M79" s="44">
        <v>5005</v>
      </c>
      <c r="N79" s="44">
        <v>5000</v>
      </c>
      <c r="O79" s="44">
        <v>2241</v>
      </c>
      <c r="P79" s="70"/>
      <c r="Q79" s="44">
        <v>5092</v>
      </c>
      <c r="R79" s="51" cm="1">
        <f t="array" ref="R79">IFERROR(IF(H79&gt;10,H79/C79*0.876,""),“”)</f>
        <v>0.407656382782191</v>
      </c>
      <c r="S79" s="51" cm="1">
        <f t="array" ref="S79">IFERROR(IF(I79&gt;10,I79/D79*0.876,""),“”)</f>
        <v>0.406473673831591</v>
      </c>
      <c r="T79" s="51" t="str" cm="1">
        <f t="array" ref="T79">IFERROR(IF(J79&gt;10,J79/E79*0.876,""),“”)</f>
        <v/>
      </c>
      <c r="U79" s="51" t="str" cm="1">
        <f t="array" ref="U79">IFERROR(IF(K79&gt;10,K79/F79*0.876,""),“”)</f>
        <v/>
      </c>
      <c r="V79" s="78">
        <f t="shared" si="10"/>
        <v>0.408064456380811</v>
      </c>
      <c r="X79" s="36" t="s">
        <v>246</v>
      </c>
      <c r="Y79" s="36" t="s">
        <v>306</v>
      </c>
      <c r="Z79" s="51">
        <f t="shared" si="12"/>
        <v>0</v>
      </c>
      <c r="AA79" s="51">
        <f t="shared" si="11"/>
        <v>0</v>
      </c>
      <c r="AB79" s="51">
        <f t="shared" si="11"/>
        <v>0</v>
      </c>
      <c r="AC79" s="51">
        <f t="shared" si="11"/>
        <v>0</v>
      </c>
      <c r="AD79" s="51">
        <f t="shared" si="11"/>
        <v>0</v>
      </c>
      <c r="AE79" s="51">
        <f t="shared" si="11"/>
        <v>0</v>
      </c>
      <c r="AF79" s="51">
        <f>SUMIFS($P:$P,$A:$A,$X79,$B:$B,AF$2)/8760</f>
        <v>0</v>
      </c>
    </row>
    <row r="80" ht="13" spans="1:32">
      <c r="A80" s="63" t="s">
        <v>247</v>
      </c>
      <c r="B80" s="36">
        <v>2018</v>
      </c>
      <c r="C80" s="44">
        <v>3128</v>
      </c>
      <c r="D80" s="44">
        <v>2574</v>
      </c>
      <c r="E80" s="44">
        <v>391</v>
      </c>
      <c r="F80" s="44">
        <v>1</v>
      </c>
      <c r="G80" s="44">
        <v>163</v>
      </c>
      <c r="H80" s="44">
        <v>1405</v>
      </c>
      <c r="I80" s="44">
        <v>1252</v>
      </c>
      <c r="J80" s="44">
        <v>64</v>
      </c>
      <c r="K80" s="87"/>
      <c r="L80" s="44">
        <v>89</v>
      </c>
      <c r="M80" s="44">
        <v>4507</v>
      </c>
      <c r="N80" s="44">
        <v>4875</v>
      </c>
      <c r="O80" s="44">
        <v>1638</v>
      </c>
      <c r="P80" s="70"/>
      <c r="Q80" s="44">
        <v>5724</v>
      </c>
      <c r="R80" s="51" cm="1">
        <f t="array" ref="R80">IFERROR(IF(H80&gt;10,H80/C80*0.876,""),“”)</f>
        <v>0.393471867007673</v>
      </c>
      <c r="S80" s="51" cm="1">
        <f t="array" ref="S80">IFERROR(IF(I80&gt;10,I80/D80*0.876,""),“”)</f>
        <v>0.426088578088578</v>
      </c>
      <c r="T80" s="51" cm="1">
        <f t="array" ref="T80">IFERROR(IF(J80&gt;10,J80/E80*0.876,""),“”)</f>
        <v>0.143386189258312</v>
      </c>
      <c r="U80" s="51" t="str" cm="1">
        <f t="array" ref="U80">IFERROR(IF(K80&gt;10,K80/F80*0.876,""),“”)</f>
        <v/>
      </c>
      <c r="V80" s="78">
        <f t="shared" si="10"/>
        <v>0.429198392400438</v>
      </c>
      <c r="X80" s="36" t="s">
        <v>247</v>
      </c>
      <c r="Y80" s="36" t="s">
        <v>306</v>
      </c>
      <c r="Z80" s="51">
        <f t="shared" si="12"/>
        <v>0</v>
      </c>
      <c r="AA80" s="51">
        <f t="shared" si="11"/>
        <v>0</v>
      </c>
      <c r="AB80" s="51">
        <f t="shared" si="11"/>
        <v>0</v>
      </c>
      <c r="AC80" s="51">
        <f t="shared" si="11"/>
        <v>0</v>
      </c>
      <c r="AD80" s="51">
        <f t="shared" si="11"/>
        <v>0</v>
      </c>
      <c r="AE80" s="51">
        <f t="shared" si="11"/>
        <v>0</v>
      </c>
      <c r="AF80" s="51">
        <f>SUMIFS($P:$P,$A:$A,$X80,$B:$B,AF$2)/8760</f>
        <v>0</v>
      </c>
    </row>
    <row r="81" ht="13" spans="1:32">
      <c r="A81" s="63" t="s">
        <v>248</v>
      </c>
      <c r="B81" s="36">
        <v>2018</v>
      </c>
      <c r="C81" s="44">
        <v>2165</v>
      </c>
      <c r="D81" s="44">
        <v>1925</v>
      </c>
      <c r="E81" s="44">
        <v>10</v>
      </c>
      <c r="F81" s="70"/>
      <c r="G81" s="44">
        <v>230</v>
      </c>
      <c r="H81" s="44">
        <v>1093</v>
      </c>
      <c r="I81" s="44">
        <v>956</v>
      </c>
      <c r="J81" s="44">
        <v>5</v>
      </c>
      <c r="K81" s="70"/>
      <c r="L81" s="44">
        <v>131</v>
      </c>
      <c r="M81" s="44">
        <v>5269</v>
      </c>
      <c r="N81" s="44">
        <v>5178</v>
      </c>
      <c r="O81" s="44">
        <v>4838</v>
      </c>
      <c r="P81" s="70"/>
      <c r="Q81" s="44">
        <v>6068</v>
      </c>
      <c r="R81" s="51" cm="1">
        <f t="array" ref="R81">IFERROR(IF(H81&gt;10,H81/C81*0.876,""),“”)</f>
        <v>0.442248498845266</v>
      </c>
      <c r="S81" s="51" cm="1">
        <f t="array" ref="S81">IFERROR(IF(I81&gt;10,I81/D81*0.876,""),“”)</f>
        <v>0.435042077922078</v>
      </c>
      <c r="T81" s="51" t="str" cm="1">
        <f t="array" ref="T81">IFERROR(IF(J81&gt;10,J81/E81*0.876,""),“”)</f>
        <v/>
      </c>
      <c r="U81" s="51" t="str" cm="1">
        <f t="array" ref="U81">IFERROR(IF(K81&gt;10,K81/F81*0.876,""),“”)</f>
        <v/>
      </c>
      <c r="V81" s="78">
        <f t="shared" si="10"/>
        <v>0.442268213457077</v>
      </c>
      <c r="X81" s="36" t="s">
        <v>248</v>
      </c>
      <c r="Y81" s="36" t="s">
        <v>306</v>
      </c>
      <c r="Z81" s="51">
        <f t="shared" si="12"/>
        <v>0</v>
      </c>
      <c r="AA81" s="51">
        <f t="shared" si="11"/>
        <v>0</v>
      </c>
      <c r="AB81" s="51">
        <f t="shared" si="11"/>
        <v>0</v>
      </c>
      <c r="AC81" s="51">
        <f t="shared" si="11"/>
        <v>0</v>
      </c>
      <c r="AD81" s="51">
        <f t="shared" si="11"/>
        <v>0</v>
      </c>
      <c r="AE81" s="51">
        <f t="shared" si="11"/>
        <v>0</v>
      </c>
      <c r="AF81" s="51">
        <f>SUMIFS($P:$P,$A:$A,$X81,$B:$B,AF$2)/8760</f>
        <v>0</v>
      </c>
    </row>
    <row r="82" ht="13" spans="1:32">
      <c r="A82" s="63" t="s">
        <v>249</v>
      </c>
      <c r="B82" s="36">
        <v>2018</v>
      </c>
      <c r="C82" s="44">
        <v>10367</v>
      </c>
      <c r="D82" s="44">
        <v>9723</v>
      </c>
      <c r="E82" s="44">
        <v>8</v>
      </c>
      <c r="F82" s="70"/>
      <c r="G82" s="44">
        <v>636</v>
      </c>
      <c r="H82" s="44">
        <v>4824</v>
      </c>
      <c r="I82" s="44">
        <v>4558</v>
      </c>
      <c r="J82" s="44">
        <v>2</v>
      </c>
      <c r="K82" s="70"/>
      <c r="L82" s="44">
        <v>264</v>
      </c>
      <c r="M82" s="44">
        <v>4707</v>
      </c>
      <c r="N82" s="44">
        <v>4724</v>
      </c>
      <c r="O82" s="44">
        <v>3330</v>
      </c>
      <c r="P82" s="70"/>
      <c r="Q82" s="44">
        <v>4433</v>
      </c>
      <c r="R82" s="51" cm="1">
        <f t="array" ref="R82">IFERROR(IF(H82&gt;10,H82/C82*0.876,""),“”)</f>
        <v>0.407622648789428</v>
      </c>
      <c r="S82" s="51" cm="1">
        <f t="array" ref="S82">IFERROR(IF(I82&gt;10,I82/D82*0.876,""),“”)</f>
        <v>0.410655970379512</v>
      </c>
      <c r="T82" s="51" t="str" cm="1">
        <f t="array" ref="T82">IFERROR(IF(J82&gt;10,J82/E82*0.876,""),“”)</f>
        <v/>
      </c>
      <c r="U82" s="51" t="str" cm="1">
        <f t="array" ref="U82">IFERROR(IF(K82&gt;10,K82/F82*0.876,""),“”)</f>
        <v/>
      </c>
      <c r="V82" s="78">
        <f t="shared" si="10"/>
        <v>0.407768317405155</v>
      </c>
      <c r="X82" s="36" t="s">
        <v>249</v>
      </c>
      <c r="Y82" s="36" t="s">
        <v>306</v>
      </c>
      <c r="Z82" s="51">
        <f t="shared" si="12"/>
        <v>0</v>
      </c>
      <c r="AA82" s="51">
        <f t="shared" si="11"/>
        <v>0</v>
      </c>
      <c r="AB82" s="51">
        <f t="shared" si="11"/>
        <v>0</v>
      </c>
      <c r="AC82" s="51">
        <f t="shared" si="11"/>
        <v>0</v>
      </c>
      <c r="AD82" s="51">
        <f t="shared" si="11"/>
        <v>0</v>
      </c>
      <c r="AE82" s="51">
        <f t="shared" si="11"/>
        <v>0</v>
      </c>
      <c r="AF82" s="51">
        <f>SUMIFS($P:$P,$A:$A,$X82,$B:$B,AF$2)/8760</f>
        <v>0</v>
      </c>
    </row>
    <row r="83" ht="13" spans="1:32">
      <c r="A83" s="63" t="s">
        <v>250</v>
      </c>
      <c r="B83" s="36">
        <v>2018</v>
      </c>
      <c r="C83" s="44">
        <v>6821</v>
      </c>
      <c r="D83" s="44">
        <v>6446</v>
      </c>
      <c r="E83" s="44">
        <v>229</v>
      </c>
      <c r="F83" s="70"/>
      <c r="G83" s="44">
        <v>146</v>
      </c>
      <c r="H83" s="44">
        <v>2689</v>
      </c>
      <c r="I83" s="44">
        <v>2601</v>
      </c>
      <c r="J83" s="44">
        <v>39</v>
      </c>
      <c r="K83" s="70"/>
      <c r="L83" s="44">
        <v>49</v>
      </c>
      <c r="M83" s="44">
        <v>3893</v>
      </c>
      <c r="N83" s="44">
        <v>3981</v>
      </c>
      <c r="O83" s="44">
        <v>1664</v>
      </c>
      <c r="P83" s="70"/>
      <c r="Q83" s="44">
        <v>3404</v>
      </c>
      <c r="R83" s="51" cm="1">
        <f t="array" ref="R83">IFERROR(IF(H83&gt;10,H83/C83*0.876,""),“”)</f>
        <v>0.34533997947515</v>
      </c>
      <c r="S83" s="51" cm="1">
        <f t="array" ref="S83">IFERROR(IF(I83&gt;10,I83/D83*0.876,""),“”)</f>
        <v>0.353471300031027</v>
      </c>
      <c r="T83" s="51" cm="1">
        <f t="array" ref="T83">IFERROR(IF(J83&gt;10,J83/E83*0.876,""),“”)</f>
        <v>0.149187772925764</v>
      </c>
      <c r="U83" s="51" t="str" cm="1">
        <f t="array" ref="U83">IFERROR(IF(K83&gt;10,K83/F83*0.876,""),“”)</f>
        <v/>
      </c>
      <c r="V83" s="78">
        <f t="shared" si="10"/>
        <v>0.352154126213592</v>
      </c>
      <c r="X83" s="36" t="s">
        <v>250</v>
      </c>
      <c r="Y83" s="36" t="s">
        <v>306</v>
      </c>
      <c r="Z83" s="51">
        <f t="shared" si="12"/>
        <v>0</v>
      </c>
      <c r="AA83" s="51">
        <f t="shared" si="12"/>
        <v>0</v>
      </c>
      <c r="AB83" s="51">
        <f t="shared" si="12"/>
        <v>0</v>
      </c>
      <c r="AC83" s="51">
        <f t="shared" si="12"/>
        <v>0</v>
      </c>
      <c r="AD83" s="51">
        <f t="shared" si="12"/>
        <v>0</v>
      </c>
      <c r="AE83" s="51">
        <f t="shared" si="12"/>
        <v>0</v>
      </c>
      <c r="AF83" s="51">
        <f>SUMIFS($P:$P,$A:$A,$X83,$B:$B,AF$2)/8760</f>
        <v>0</v>
      </c>
    </row>
    <row r="84" ht="13" spans="1:32">
      <c r="A84" s="63" t="s">
        <v>251</v>
      </c>
      <c r="B84" s="36">
        <v>2018</v>
      </c>
      <c r="C84" s="44">
        <v>2884</v>
      </c>
      <c r="D84" s="44">
        <v>2546</v>
      </c>
      <c r="E84" s="44">
        <v>94</v>
      </c>
      <c r="F84" s="70"/>
      <c r="G84" s="44">
        <v>244</v>
      </c>
      <c r="H84" s="44">
        <v>1267</v>
      </c>
      <c r="I84" s="44">
        <v>1139</v>
      </c>
      <c r="J84" s="44">
        <v>31</v>
      </c>
      <c r="K84" s="70"/>
      <c r="L84" s="44">
        <v>97</v>
      </c>
      <c r="M84" s="44">
        <v>4527</v>
      </c>
      <c r="N84" s="44">
        <v>4626</v>
      </c>
      <c r="O84" s="44">
        <v>3233</v>
      </c>
      <c r="P84" s="70"/>
      <c r="Q84" s="44">
        <v>3994</v>
      </c>
      <c r="R84" s="51" cm="1">
        <f t="array" ref="R84">IFERROR(IF(H84&gt;10,H84/C84*0.876,""),“”)</f>
        <v>0.384844660194175</v>
      </c>
      <c r="S84" s="51" cm="1">
        <f t="array" ref="S84">IFERROR(IF(I84&gt;10,I84/D84*0.876,""),“”)</f>
        <v>0.391894736842105</v>
      </c>
      <c r="T84" s="51" cm="1">
        <f t="array" ref="T84">IFERROR(IF(J84&gt;10,J84/E84*0.876,""),“”)</f>
        <v>0.288893617021277</v>
      </c>
      <c r="U84" s="51" t="str" cm="1">
        <f t="array" ref="U84">IFERROR(IF(K84&gt;10,K84/F84*0.876,""),“”)</f>
        <v/>
      </c>
      <c r="V84" s="78">
        <f t="shared" si="10"/>
        <v>0.388077419354839</v>
      </c>
      <c r="X84" s="36" t="s">
        <v>251</v>
      </c>
      <c r="Y84" s="36" t="s">
        <v>306</v>
      </c>
      <c r="Z84" s="51">
        <f t="shared" si="12"/>
        <v>0</v>
      </c>
      <c r="AA84" s="51">
        <f t="shared" si="12"/>
        <v>0</v>
      </c>
      <c r="AB84" s="51">
        <f t="shared" si="12"/>
        <v>0</v>
      </c>
      <c r="AC84" s="51">
        <f t="shared" si="12"/>
        <v>0</v>
      </c>
      <c r="AD84" s="51">
        <f t="shared" si="12"/>
        <v>0</v>
      </c>
      <c r="AE84" s="51">
        <f t="shared" si="12"/>
        <v>0</v>
      </c>
      <c r="AF84" s="51">
        <f>SUMIFS($P:$P,$A:$A,$X84,$B:$B,AF$2)/8760</f>
        <v>0</v>
      </c>
    </row>
    <row r="85" ht="13" spans="1:32">
      <c r="A85" s="63" t="s">
        <v>252</v>
      </c>
      <c r="B85" s="36">
        <v>2018</v>
      </c>
      <c r="C85" s="44">
        <v>2284</v>
      </c>
      <c r="D85" s="44">
        <v>2046</v>
      </c>
      <c r="E85" s="44">
        <v>7</v>
      </c>
      <c r="F85" s="44">
        <v>7</v>
      </c>
      <c r="G85" s="44">
        <v>224</v>
      </c>
      <c r="H85" s="44">
        <v>919</v>
      </c>
      <c r="I85" s="44">
        <v>792</v>
      </c>
      <c r="J85" s="44">
        <v>2</v>
      </c>
      <c r="K85" s="44">
        <v>3</v>
      </c>
      <c r="L85" s="44">
        <v>122</v>
      </c>
      <c r="M85" s="44">
        <v>4048</v>
      </c>
      <c r="N85" s="44">
        <v>3879</v>
      </c>
      <c r="O85" s="44">
        <v>4980</v>
      </c>
      <c r="P85" s="44">
        <v>3880</v>
      </c>
      <c r="Q85" s="44">
        <v>5685</v>
      </c>
      <c r="R85" s="51" cm="1">
        <f t="array" ref="R85">IFERROR(IF(H85&gt;10,H85/C85*0.876,""),“”)</f>
        <v>0.352471103327496</v>
      </c>
      <c r="S85" s="51" cm="1">
        <f t="array" ref="S85">IFERROR(IF(I85&gt;10,I85/D85*0.876,""),“”)</f>
        <v>0.339096774193548</v>
      </c>
      <c r="T85" s="51" t="str" cm="1">
        <f t="array" ref="T85">IFERROR(IF(J85&gt;10,J85/E85*0.876,""),“”)</f>
        <v/>
      </c>
      <c r="U85" s="51" t="str" cm="1">
        <f t="array" ref="U85">IFERROR(IF(K85&gt;10,K85/F85*0.876,""),“”)</f>
        <v/>
      </c>
      <c r="V85" s="78">
        <f t="shared" si="10"/>
        <v>0.352785243741765</v>
      </c>
      <c r="X85" s="36" t="s">
        <v>252</v>
      </c>
      <c r="Y85" s="36" t="s">
        <v>306</v>
      </c>
      <c r="Z85" s="51">
        <f t="shared" si="12"/>
        <v>0.45296803652968</v>
      </c>
      <c r="AA85" s="51">
        <f t="shared" si="12"/>
        <v>0.459817351598173</v>
      </c>
      <c r="AB85" s="51">
        <f t="shared" si="12"/>
        <v>0.442922374429224</v>
      </c>
      <c r="AC85" s="51">
        <f t="shared" si="12"/>
        <v>0.448972602739726</v>
      </c>
      <c r="AD85" s="51">
        <f t="shared" si="12"/>
        <v>0.618835616438356</v>
      </c>
      <c r="AE85" s="51">
        <f t="shared" si="12"/>
        <v>0.782420091324201</v>
      </c>
      <c r="AF85" s="51">
        <f>SUMIFS($P:$P,$A:$A,$X85,$B:$B,AF$2)/8760</f>
        <v>0.497260273972603</v>
      </c>
    </row>
    <row r="86" ht="13" spans="1:32">
      <c r="A86" s="63" t="s">
        <v>253</v>
      </c>
      <c r="B86" s="36">
        <v>2018</v>
      </c>
      <c r="C86" s="44">
        <v>8137</v>
      </c>
      <c r="D86" s="44">
        <v>5994</v>
      </c>
      <c r="E86" s="44">
        <v>1963</v>
      </c>
      <c r="F86" s="70"/>
      <c r="G86" s="44">
        <v>180</v>
      </c>
      <c r="H86" s="44">
        <v>3283</v>
      </c>
      <c r="I86" s="44">
        <v>2766</v>
      </c>
      <c r="J86" s="44">
        <v>434</v>
      </c>
      <c r="K86" s="70"/>
      <c r="L86" s="44">
        <v>83</v>
      </c>
      <c r="M86" s="44">
        <v>4290</v>
      </c>
      <c r="N86" s="44">
        <v>4546</v>
      </c>
      <c r="O86" s="44">
        <v>3058</v>
      </c>
      <c r="P86" s="70"/>
      <c r="Q86" s="44">
        <v>5215</v>
      </c>
      <c r="R86" s="51" cm="1">
        <f t="array" ref="R86">IFERROR(IF(H86&gt;10,H86/C86*0.876,""),“”)</f>
        <v>0.353435910040555</v>
      </c>
      <c r="S86" s="51" cm="1">
        <f t="array" ref="S86">IFERROR(IF(I86&gt;10,I86/D86*0.876,""),“”)</f>
        <v>0.40424024024024</v>
      </c>
      <c r="T86" s="51" cm="1">
        <f t="array" ref="T86">IFERROR(IF(J86&gt;10,J86/E86*0.876,""),“”)</f>
        <v>0.193674987264391</v>
      </c>
      <c r="U86" s="51" t="str" cm="1">
        <f t="array" ref="U86">IFERROR(IF(K86&gt;10,K86/F86*0.876,""),“”)</f>
        <v/>
      </c>
      <c r="V86" s="78">
        <f t="shared" si="10"/>
        <v>0.404231292517007</v>
      </c>
      <c r="X86" s="36" t="s">
        <v>253</v>
      </c>
      <c r="Y86" s="36" t="s">
        <v>306</v>
      </c>
      <c r="Z86" s="51">
        <f t="shared" si="12"/>
        <v>0.435502283105023</v>
      </c>
      <c r="AA86" s="51">
        <f t="shared" si="12"/>
        <v>0.726826484018265</v>
      </c>
      <c r="AB86" s="51">
        <f t="shared" si="12"/>
        <v>0</v>
      </c>
      <c r="AC86" s="51">
        <f t="shared" si="12"/>
        <v>0</v>
      </c>
      <c r="AD86" s="51">
        <f t="shared" si="12"/>
        <v>0</v>
      </c>
      <c r="AE86" s="51">
        <f t="shared" si="12"/>
        <v>0</v>
      </c>
      <c r="AF86" s="51">
        <f>SUMIFS($P:$P,$A:$A,$X86,$B:$B,AF$2)/8760</f>
        <v>0</v>
      </c>
    </row>
    <row r="87" ht="13" spans="1:32">
      <c r="A87" s="63" t="s">
        <v>254</v>
      </c>
      <c r="B87" s="36">
        <v>2018</v>
      </c>
      <c r="C87" s="44">
        <v>2288</v>
      </c>
      <c r="D87" s="44">
        <v>1858</v>
      </c>
      <c r="E87" s="44">
        <v>35</v>
      </c>
      <c r="F87" s="70"/>
      <c r="G87" s="44">
        <v>395</v>
      </c>
      <c r="H87" s="44">
        <v>796</v>
      </c>
      <c r="I87" s="44">
        <v>649</v>
      </c>
      <c r="J87" s="44">
        <v>6</v>
      </c>
      <c r="K87" s="70"/>
      <c r="L87" s="44">
        <v>141</v>
      </c>
      <c r="M87" s="44">
        <v>3502</v>
      </c>
      <c r="N87" s="44">
        <v>3460</v>
      </c>
      <c r="O87" s="44">
        <v>1323</v>
      </c>
      <c r="P87" s="70"/>
      <c r="Q87" s="44">
        <v>3919</v>
      </c>
      <c r="R87" s="51" cm="1">
        <f t="array" ref="R87">IFERROR(IF(H87&gt;10,H87/C87*0.876,""),“”)</f>
        <v>0.304762237762238</v>
      </c>
      <c r="S87" s="51" cm="1">
        <f t="array" ref="S87">IFERROR(IF(I87&gt;10,I87/D87*0.876,""),“”)</f>
        <v>0.305987082884822</v>
      </c>
      <c r="T87" s="51" t="str" cm="1">
        <f t="array" ref="T87">IFERROR(IF(J87&gt;10,J87/E87*0.876,""),“”)</f>
        <v/>
      </c>
      <c r="U87" s="51" t="str" cm="1">
        <f t="array" ref="U87">IFERROR(IF(K87&gt;10,K87/F87*0.876,""),“”)</f>
        <v/>
      </c>
      <c r="V87" s="78">
        <f t="shared" si="10"/>
        <v>0.307163781624501</v>
      </c>
      <c r="X87" s="36" t="s">
        <v>254</v>
      </c>
      <c r="Y87" s="36" t="s">
        <v>306</v>
      </c>
      <c r="Z87" s="51">
        <f t="shared" si="12"/>
        <v>0</v>
      </c>
      <c r="AA87" s="51">
        <f t="shared" si="12"/>
        <v>0</v>
      </c>
      <c r="AB87" s="51">
        <f t="shared" si="12"/>
        <v>0</v>
      </c>
      <c r="AC87" s="51">
        <f t="shared" si="12"/>
        <v>0</v>
      </c>
      <c r="AD87" s="51">
        <f t="shared" si="12"/>
        <v>0</v>
      </c>
      <c r="AE87" s="51">
        <f t="shared" si="12"/>
        <v>0</v>
      </c>
      <c r="AF87" s="51">
        <f>SUMIFS($P:$P,$A:$A,$X87,$B:$B,AF$2)/8760</f>
        <v>0</v>
      </c>
    </row>
    <row r="88" ht="13" spans="1:32">
      <c r="A88" s="63" t="s">
        <v>255</v>
      </c>
      <c r="B88" s="36">
        <v>2018</v>
      </c>
      <c r="C88" s="44">
        <v>465</v>
      </c>
      <c r="D88" s="44">
        <v>352</v>
      </c>
      <c r="E88" s="44">
        <v>73</v>
      </c>
      <c r="F88" s="70"/>
      <c r="G88" s="44">
        <v>41</v>
      </c>
      <c r="H88" s="44">
        <v>211</v>
      </c>
      <c r="I88" s="44">
        <v>174</v>
      </c>
      <c r="J88" s="44">
        <v>12</v>
      </c>
      <c r="K88" s="70"/>
      <c r="L88" s="44">
        <v>26</v>
      </c>
      <c r="M88" s="44">
        <v>4549</v>
      </c>
      <c r="N88" s="44">
        <v>4952</v>
      </c>
      <c r="O88" s="44">
        <v>1605</v>
      </c>
      <c r="P88" s="70"/>
      <c r="Q88" s="44">
        <v>6310</v>
      </c>
      <c r="R88" s="51" cm="1">
        <f t="array" ref="R88">IFERROR(IF(H88&gt;10,H88/C88*0.876,""),“”)</f>
        <v>0.397496774193548</v>
      </c>
      <c r="S88" s="51" cm="1">
        <f t="array" ref="S88">IFERROR(IF(I88&gt;10,I88/D88*0.876,""),“”)</f>
        <v>0.433022727272727</v>
      </c>
      <c r="T88" s="51" cm="1">
        <f t="array" ref="T88">IFERROR(IF(J88&gt;10,J88/E88*0.876,""),“”)</f>
        <v>0.144</v>
      </c>
      <c r="U88" s="51" t="str" cm="1">
        <f t="array" ref="U88">IFERROR(IF(K88&gt;10,K88/F88*0.876,""),“”)</f>
        <v/>
      </c>
      <c r="V88" s="78">
        <f t="shared" si="10"/>
        <v>0.444704081632653</v>
      </c>
      <c r="X88" s="36" t="s">
        <v>255</v>
      </c>
      <c r="Y88" s="36" t="s">
        <v>306</v>
      </c>
      <c r="Z88" s="51">
        <f t="shared" si="12"/>
        <v>0</v>
      </c>
      <c r="AA88" s="51">
        <f t="shared" si="12"/>
        <v>0</v>
      </c>
      <c r="AB88" s="51">
        <f t="shared" si="12"/>
        <v>0</v>
      </c>
      <c r="AC88" s="51">
        <f t="shared" si="12"/>
        <v>0</v>
      </c>
      <c r="AD88" s="51">
        <f t="shared" si="12"/>
        <v>0</v>
      </c>
      <c r="AE88" s="51">
        <f t="shared" si="12"/>
        <v>0</v>
      </c>
      <c r="AF88" s="51">
        <f>SUMIFS($P:$P,$A:$A,$X88,$B:$B,AF$2)/8760</f>
        <v>0</v>
      </c>
    </row>
    <row r="89" ht="13" spans="1:32">
      <c r="A89" s="63" t="s">
        <v>256</v>
      </c>
      <c r="B89" s="36">
        <v>2018</v>
      </c>
      <c r="C89" s="44">
        <v>1537</v>
      </c>
      <c r="D89" s="44">
        <v>1312</v>
      </c>
      <c r="E89" s="44">
        <v>168</v>
      </c>
      <c r="F89" s="70"/>
      <c r="G89" s="44">
        <v>57</v>
      </c>
      <c r="H89" s="44">
        <v>547</v>
      </c>
      <c r="I89" s="44">
        <v>469</v>
      </c>
      <c r="J89" s="44">
        <v>49</v>
      </c>
      <c r="K89" s="70"/>
      <c r="L89" s="44">
        <v>29</v>
      </c>
      <c r="M89" s="44">
        <v>3572</v>
      </c>
      <c r="N89" s="44">
        <v>3577</v>
      </c>
      <c r="O89" s="44">
        <v>2906</v>
      </c>
      <c r="P89" s="70"/>
      <c r="Q89" s="44">
        <v>5680</v>
      </c>
      <c r="R89" s="51" cm="1">
        <f t="array" ref="R89">IFERROR(IF(H89&gt;10,H89/C89*0.876,""),“”)</f>
        <v>0.311757970071568</v>
      </c>
      <c r="S89" s="51" cm="1">
        <f t="array" ref="S89">IFERROR(IF(I89&gt;10,I89/D89*0.876,""),“”)</f>
        <v>0.313143292682927</v>
      </c>
      <c r="T89" s="51" cm="1">
        <f t="array" ref="T89">IFERROR(IF(J89&gt;10,J89/E89*0.876,""),“”)</f>
        <v>0.2555</v>
      </c>
      <c r="U89" s="51" t="str" cm="1">
        <f t="array" ref="U89">IFERROR(IF(K89&gt;10,K89/F89*0.876,""),“”)</f>
        <v/>
      </c>
      <c r="V89" s="78">
        <f t="shared" si="10"/>
        <v>0.318661796932067</v>
      </c>
      <c r="X89" s="36" t="s">
        <v>256</v>
      </c>
      <c r="Y89" s="36" t="s">
        <v>306</v>
      </c>
      <c r="Z89" s="51">
        <f t="shared" si="12"/>
        <v>0</v>
      </c>
      <c r="AA89" s="51">
        <f t="shared" si="12"/>
        <v>0</v>
      </c>
      <c r="AB89" s="51">
        <f t="shared" si="12"/>
        <v>0</v>
      </c>
      <c r="AC89" s="51">
        <f t="shared" si="12"/>
        <v>0</v>
      </c>
      <c r="AD89" s="51">
        <f t="shared" si="12"/>
        <v>0</v>
      </c>
      <c r="AE89" s="51">
        <f t="shared" si="12"/>
        <v>0</v>
      </c>
      <c r="AF89" s="51">
        <f>SUMIFS($P:$P,$A:$A,$X89,$B:$B,AF$2)/8760</f>
        <v>0</v>
      </c>
    </row>
    <row r="90" ht="13" spans="1:32">
      <c r="A90" s="63" t="s">
        <v>258</v>
      </c>
      <c r="B90" s="36">
        <v>2018</v>
      </c>
      <c r="C90" s="44">
        <v>1575</v>
      </c>
      <c r="D90" s="44">
        <v>1240</v>
      </c>
      <c r="E90" s="44">
        <v>126</v>
      </c>
      <c r="F90" s="70"/>
      <c r="G90" s="44">
        <v>209</v>
      </c>
      <c r="H90" s="44">
        <v>435</v>
      </c>
      <c r="I90" s="44">
        <v>315</v>
      </c>
      <c r="J90" s="44">
        <v>22</v>
      </c>
      <c r="K90" s="70"/>
      <c r="L90" s="44">
        <v>97</v>
      </c>
      <c r="M90" s="44">
        <v>2713</v>
      </c>
      <c r="N90" s="44">
        <v>2488</v>
      </c>
      <c r="O90" s="44">
        <v>1729</v>
      </c>
      <c r="P90" s="70"/>
      <c r="Q90" s="44">
        <v>4978</v>
      </c>
      <c r="R90" s="51" cm="1">
        <f t="array" ref="R90">IFERROR(IF(H90&gt;10,H90/C90*0.876,""),“”)</f>
        <v>0.241942857142857</v>
      </c>
      <c r="S90" s="51" cm="1">
        <f t="array" ref="S90">IFERROR(IF(I90&gt;10,I90/D90*0.876,""),“”)</f>
        <v>0.222532258064516</v>
      </c>
      <c r="T90" s="51" cm="1">
        <f t="array" ref="T90">IFERROR(IF(J90&gt;10,J90/E90*0.876,""),“”)</f>
        <v>0.152952380952381</v>
      </c>
      <c r="U90" s="51" t="str" cm="1">
        <f t="array" ref="U90">IFERROR(IF(K90&gt;10,K90/F90*0.876,""),“”)</f>
        <v/>
      </c>
      <c r="V90" s="78">
        <f t="shared" si="10"/>
        <v>0.24968115942029</v>
      </c>
      <c r="X90" s="36" t="s">
        <v>258</v>
      </c>
      <c r="Y90" s="36" t="s">
        <v>306</v>
      </c>
      <c r="Z90" s="51">
        <f t="shared" si="12"/>
        <v>0</v>
      </c>
      <c r="AA90" s="51">
        <f t="shared" si="12"/>
        <v>0</v>
      </c>
      <c r="AB90" s="51">
        <f t="shared" si="12"/>
        <v>0</v>
      </c>
      <c r="AC90" s="51">
        <f t="shared" si="12"/>
        <v>0</v>
      </c>
      <c r="AD90" s="51">
        <f t="shared" si="12"/>
        <v>0</v>
      </c>
      <c r="AE90" s="51">
        <f t="shared" si="12"/>
        <v>0</v>
      </c>
      <c r="AF90" s="51">
        <f>SUMIFS($P:$P,$A:$A,$X90,$B:$B,AF$2)/8760</f>
        <v>0</v>
      </c>
    </row>
    <row r="91" ht="13" spans="1:32">
      <c r="A91" s="63" t="s">
        <v>259</v>
      </c>
      <c r="B91" s="36">
        <v>2018</v>
      </c>
      <c r="C91" s="44">
        <v>3263</v>
      </c>
      <c r="D91" s="44">
        <v>3242</v>
      </c>
      <c r="E91" s="70"/>
      <c r="F91" s="70"/>
      <c r="G91" s="44">
        <v>21</v>
      </c>
      <c r="H91" s="44">
        <v>1263</v>
      </c>
      <c r="I91" s="44">
        <v>1254</v>
      </c>
      <c r="J91" s="70"/>
      <c r="K91" s="70"/>
      <c r="L91" s="44">
        <v>9</v>
      </c>
      <c r="M91" s="44">
        <v>3938</v>
      </c>
      <c r="N91" s="44">
        <v>3936</v>
      </c>
      <c r="O91" s="70"/>
      <c r="P91" s="70"/>
      <c r="Q91" s="44">
        <v>4298</v>
      </c>
      <c r="R91" s="51" cm="1">
        <f t="array" ref="R91">IFERROR(IF(H91&gt;10,H91/C91*0.876,""),“”)</f>
        <v>0.339070793748085</v>
      </c>
      <c r="S91" s="51" cm="1">
        <f t="array" ref="S91">IFERROR(IF(I91&gt;10,I91/D91*0.876,""),“”)</f>
        <v>0.338835286859963</v>
      </c>
      <c r="T91" s="51" t="str" cm="1">
        <f t="array" ref="T91">IFERROR(IF(J91&gt;10,J91/E91*0.876,""),“”)</f>
        <v/>
      </c>
      <c r="U91" s="51" t="str" cm="1">
        <f t="array" ref="U91">IFERROR(IF(K91&gt;10,K91/F91*0.876,""),“”)</f>
        <v/>
      </c>
      <c r="V91" s="78">
        <f t="shared" si="10"/>
        <v>0.339070793748085</v>
      </c>
      <c r="X91" s="36" t="s">
        <v>259</v>
      </c>
      <c r="Y91" s="36" t="s">
        <v>306</v>
      </c>
      <c r="Z91" s="51">
        <f t="shared" si="12"/>
        <v>0</v>
      </c>
      <c r="AA91" s="51">
        <f t="shared" si="12"/>
        <v>0</v>
      </c>
      <c r="AB91" s="51">
        <f t="shared" si="12"/>
        <v>0</v>
      </c>
      <c r="AC91" s="51">
        <f t="shared" si="12"/>
        <v>0</v>
      </c>
      <c r="AD91" s="51">
        <f t="shared" si="12"/>
        <v>0</v>
      </c>
      <c r="AE91" s="51">
        <f t="shared" si="12"/>
        <v>0</v>
      </c>
      <c r="AF91" s="51">
        <f>SUMIFS($P:$P,$A:$A,$X91,$B:$B,AF$2)/8760</f>
        <v>0</v>
      </c>
    </row>
    <row r="92" ht="13" spans="1:32">
      <c r="A92" s="63" t="s">
        <v>260</v>
      </c>
      <c r="B92" s="36">
        <v>2018</v>
      </c>
      <c r="C92" s="44">
        <v>1508</v>
      </c>
      <c r="D92" s="44">
        <v>1298</v>
      </c>
      <c r="E92" s="44">
        <v>3</v>
      </c>
      <c r="F92" s="70"/>
      <c r="G92" s="44">
        <v>207</v>
      </c>
      <c r="H92" s="44">
        <v>290</v>
      </c>
      <c r="I92" s="44">
        <v>207</v>
      </c>
      <c r="J92" s="44">
        <v>0.5</v>
      </c>
      <c r="K92" s="70"/>
      <c r="L92" s="44">
        <v>82</v>
      </c>
      <c r="M92" s="44">
        <v>1928</v>
      </c>
      <c r="N92" s="44">
        <v>1599</v>
      </c>
      <c r="O92" s="44">
        <v>5626</v>
      </c>
      <c r="P92" s="70"/>
      <c r="Q92" s="44">
        <v>4263</v>
      </c>
      <c r="R92" s="51" cm="1">
        <f t="array" ref="R92">IFERROR(IF(H92&gt;10,H92/C92*0.876,""),“”)</f>
        <v>0.168461538461538</v>
      </c>
      <c r="S92" s="51" cm="1">
        <f t="array" ref="S92">IFERROR(IF(I92&gt;10,I92/D92*0.876,""),“”)</f>
        <v>0.139701078582435</v>
      </c>
      <c r="T92" s="51" t="str" cm="1">
        <f t="array" ref="T92">IFERROR(IF(J92&gt;10,J92/E92*0.876,""),“”)</f>
        <v/>
      </c>
      <c r="U92" s="51" t="str" cm="1">
        <f t="array" ref="U92">IFERROR(IF(K92&gt;10,K92/F92*0.876,""),“”)</f>
        <v/>
      </c>
      <c r="V92" s="78">
        <f t="shared" si="10"/>
        <v>0.168506312292359</v>
      </c>
      <c r="X92" s="36" t="s">
        <v>260</v>
      </c>
      <c r="Y92" s="36" t="s">
        <v>306</v>
      </c>
      <c r="Z92" s="51">
        <f t="shared" si="12"/>
        <v>0</v>
      </c>
      <c r="AA92" s="51">
        <f t="shared" si="12"/>
        <v>0</v>
      </c>
      <c r="AB92" s="51">
        <f t="shared" si="12"/>
        <v>0</v>
      </c>
      <c r="AC92" s="51">
        <f t="shared" si="12"/>
        <v>0</v>
      </c>
      <c r="AD92" s="51">
        <f t="shared" si="12"/>
        <v>0</v>
      </c>
      <c r="AE92" s="51">
        <f t="shared" si="12"/>
        <v>0</v>
      </c>
      <c r="AF92" s="51">
        <f>SUMIFS($P:$P,$A:$A,$X92,$B:$B,AF$2)/8760</f>
        <v>0</v>
      </c>
    </row>
    <row r="93" ht="13" spans="1:32">
      <c r="A93" s="63" t="s">
        <v>261</v>
      </c>
      <c r="B93" s="36">
        <v>2018</v>
      </c>
      <c r="C93" s="44">
        <v>42</v>
      </c>
      <c r="D93" s="70"/>
      <c r="E93" s="70"/>
      <c r="F93" s="44">
        <v>38</v>
      </c>
      <c r="G93" s="44">
        <v>4</v>
      </c>
      <c r="H93" s="44">
        <v>1.2</v>
      </c>
      <c r="I93" s="70"/>
      <c r="J93" s="70"/>
      <c r="K93" s="44">
        <v>0.6</v>
      </c>
      <c r="L93" s="44">
        <v>1</v>
      </c>
      <c r="M93" s="44">
        <v>304</v>
      </c>
      <c r="N93" s="70"/>
      <c r="O93" s="70"/>
      <c r="P93" s="44">
        <v>157</v>
      </c>
      <c r="Q93" s="44">
        <v>4363</v>
      </c>
      <c r="R93" s="51" t="str" cm="1">
        <f t="array" ref="R93">IFERROR(IF(H93&gt;10,H93/C93*0.876,""),“”)</f>
        <v/>
      </c>
      <c r="S93" s="51" t="str" cm="1">
        <f t="array" ref="S93">IFERROR(IF(I93&gt;10,I93/D93*0.876,""),“”)</f>
        <v/>
      </c>
      <c r="T93" s="51" t="str" cm="1">
        <f t="array" ref="T93">IFERROR(IF(J93&gt;10,J93/E93*0.876,""),“”)</f>
        <v/>
      </c>
      <c r="U93" s="51" t="str" cm="1">
        <f t="array" ref="U93">IFERROR(IF(K93&gt;10,K93/F93*0.876,""),“”)</f>
        <v/>
      </c>
      <c r="V93" s="78" t="str">
        <f t="shared" si="10"/>
        <v/>
      </c>
      <c r="X93" s="36" t="s">
        <v>261</v>
      </c>
      <c r="Y93" s="36" t="s">
        <v>306</v>
      </c>
      <c r="Z93" s="51">
        <f t="shared" si="12"/>
        <v>0.00936073059360731</v>
      </c>
      <c r="AA93" s="51">
        <f t="shared" si="12"/>
        <v>0.0126712328767123</v>
      </c>
      <c r="AB93" s="51">
        <f t="shared" si="12"/>
        <v>0.0179223744292237</v>
      </c>
      <c r="AC93" s="51">
        <f t="shared" si="12"/>
        <v>0.0113013698630137</v>
      </c>
      <c r="AD93" s="51">
        <f t="shared" si="12"/>
        <v>0.0198630136986301</v>
      </c>
      <c r="AE93" s="51">
        <f t="shared" si="12"/>
        <v>0.011986301369863</v>
      </c>
      <c r="AF93" s="51">
        <f>SUMIFS($P:$P,$A:$A,$X93,$B:$B,AF$2)/8760</f>
        <v>0.00525114155251142</v>
      </c>
    </row>
    <row r="94" ht="13" spans="1:32">
      <c r="A94" s="63" t="s">
        <v>262</v>
      </c>
      <c r="B94" s="36">
        <v>2018</v>
      </c>
      <c r="C94" s="44">
        <v>3937</v>
      </c>
      <c r="D94" s="44">
        <v>3789</v>
      </c>
      <c r="E94" s="44">
        <v>11</v>
      </c>
      <c r="F94" s="70"/>
      <c r="G94" s="44">
        <v>137</v>
      </c>
      <c r="H94" s="44">
        <v>1761</v>
      </c>
      <c r="I94" s="44">
        <v>1679</v>
      </c>
      <c r="J94" s="44">
        <v>5</v>
      </c>
      <c r="K94" s="70"/>
      <c r="L94" s="44">
        <v>78</v>
      </c>
      <c r="M94" s="44">
        <v>4428</v>
      </c>
      <c r="N94" s="44">
        <v>4446</v>
      </c>
      <c r="O94" s="70"/>
      <c r="P94" s="70"/>
      <c r="Q94" s="44">
        <v>3546</v>
      </c>
      <c r="R94" s="51" cm="1">
        <f t="array" ref="R94">IFERROR(IF(H94&gt;10,H94/C94*0.876,""),“”)</f>
        <v>0.391830327660655</v>
      </c>
      <c r="S94" s="51" cm="1">
        <f t="array" ref="S94">IFERROR(IF(I94&gt;10,I94/D94*0.876,""),“”)</f>
        <v>0.388177355502771</v>
      </c>
      <c r="T94" s="51" t="str" cm="1">
        <f t="array" ref="T94">IFERROR(IF(J94&gt;10,J94/E94*0.876,""),“”)</f>
        <v/>
      </c>
      <c r="U94" s="51" t="str" cm="1">
        <f t="array" ref="U94">IFERROR(IF(K94&gt;10,K94/F94*0.876,""),“”)</f>
        <v/>
      </c>
      <c r="V94" s="78">
        <f t="shared" si="10"/>
        <v>0.391812531839022</v>
      </c>
      <c r="X94" s="36" t="s">
        <v>262</v>
      </c>
      <c r="Y94" s="36" t="s">
        <v>306</v>
      </c>
      <c r="Z94" s="51">
        <f t="shared" si="12"/>
        <v>0</v>
      </c>
      <c r="AA94" s="51">
        <f t="shared" si="12"/>
        <v>0</v>
      </c>
      <c r="AB94" s="51">
        <f t="shared" si="12"/>
        <v>0</v>
      </c>
      <c r="AC94" s="51">
        <f t="shared" si="12"/>
        <v>0</v>
      </c>
      <c r="AD94" s="51">
        <f t="shared" si="12"/>
        <v>0</v>
      </c>
      <c r="AE94" s="51">
        <f t="shared" si="12"/>
        <v>0</v>
      </c>
      <c r="AF94" s="51">
        <f>SUMIFS($P:$P,$A:$A,$X94,$B:$B,AF$2)/8760</f>
        <v>0</v>
      </c>
    </row>
    <row r="95" ht="13" spans="1:32">
      <c r="A95" s="63" t="s">
        <v>263</v>
      </c>
      <c r="B95" s="36">
        <v>2018</v>
      </c>
      <c r="C95" s="44">
        <v>2064</v>
      </c>
      <c r="D95" s="44">
        <v>2021</v>
      </c>
      <c r="E95" s="44">
        <v>6</v>
      </c>
      <c r="F95" s="70"/>
      <c r="G95" s="44">
        <v>36</v>
      </c>
      <c r="H95" s="44">
        <v>830</v>
      </c>
      <c r="I95" s="44">
        <v>821</v>
      </c>
      <c r="J95" s="70"/>
      <c r="K95" s="70"/>
      <c r="L95" s="44">
        <v>9</v>
      </c>
      <c r="M95" s="44">
        <v>4178</v>
      </c>
      <c r="N95" s="44">
        <v>4211</v>
      </c>
      <c r="O95" s="70"/>
      <c r="P95" s="70"/>
      <c r="Q95" s="44">
        <v>2518</v>
      </c>
      <c r="R95" s="51" cm="1">
        <f t="array" ref="R95">IFERROR(IF(H95&gt;10,H95/C95*0.876,""),“”)</f>
        <v>0.352267441860465</v>
      </c>
      <c r="S95" s="51" cm="1">
        <f t="array" ref="S95">IFERROR(IF(I95&gt;10,I95/D95*0.876,""),“”)</f>
        <v>0.355861454725383</v>
      </c>
      <c r="T95" s="51" t="str" cm="1">
        <f t="array" ref="T95">IFERROR(IF(J95&gt;10,J95/E95*0.876,""),“”)</f>
        <v/>
      </c>
      <c r="U95" s="51" t="str" cm="1">
        <f t="array" ref="U95">IFERROR(IF(K95&gt;10,K95/F95*0.876,""),“”)</f>
        <v/>
      </c>
      <c r="V95" s="78">
        <f t="shared" si="10"/>
        <v>0.353294460641399</v>
      </c>
      <c r="X95" s="36" t="s">
        <v>263</v>
      </c>
      <c r="Y95" s="36" t="s">
        <v>306</v>
      </c>
      <c r="Z95" s="51">
        <f t="shared" si="12"/>
        <v>0</v>
      </c>
      <c r="AA95" s="51">
        <f t="shared" si="12"/>
        <v>0</v>
      </c>
      <c r="AB95" s="51">
        <f t="shared" si="12"/>
        <v>0</v>
      </c>
      <c r="AC95" s="51">
        <f t="shared" si="12"/>
        <v>0</v>
      </c>
      <c r="AD95" s="51">
        <f t="shared" si="12"/>
        <v>0</v>
      </c>
      <c r="AE95" s="51">
        <f t="shared" si="12"/>
        <v>0</v>
      </c>
      <c r="AF95" s="51">
        <f>SUMIFS($P:$P,$A:$A,$X95,$B:$B,AF$2)/8760</f>
        <v>0</v>
      </c>
    </row>
    <row r="96" ht="13" spans="1:32">
      <c r="A96" s="63" t="s">
        <v>264</v>
      </c>
      <c r="B96" s="36">
        <v>2018</v>
      </c>
      <c r="C96" s="44">
        <v>379</v>
      </c>
      <c r="D96" s="44">
        <v>375</v>
      </c>
      <c r="E96" s="44">
        <v>0.4</v>
      </c>
      <c r="F96" s="70"/>
      <c r="G96" s="44">
        <v>3</v>
      </c>
      <c r="H96" s="44">
        <v>120</v>
      </c>
      <c r="I96" s="44">
        <v>118</v>
      </c>
      <c r="J96" s="42">
        <v>0.2</v>
      </c>
      <c r="K96" s="70"/>
      <c r="L96" s="44">
        <v>1</v>
      </c>
      <c r="M96" s="44">
        <v>3156</v>
      </c>
      <c r="N96" s="44">
        <v>3156</v>
      </c>
      <c r="O96" s="70"/>
      <c r="P96" s="70"/>
      <c r="Q96" s="44">
        <v>3139</v>
      </c>
      <c r="R96" s="51" cm="1">
        <f t="array" ref="R96">IFERROR(IF(H96&gt;10,H96/C96*0.876,""),“”)</f>
        <v>0.277361477572559</v>
      </c>
      <c r="S96" s="51" cm="1">
        <f t="array" ref="S96">IFERROR(IF(I96&gt;10,I96/D96*0.876,""),“”)</f>
        <v>0.275648</v>
      </c>
      <c r="T96" s="51" t="str" cm="1">
        <f t="array" ref="T96">IFERROR(IF(J96&gt;10,J96/E96*0.876,""),“”)</f>
        <v/>
      </c>
      <c r="U96" s="51" t="str" cm="1">
        <f t="array" ref="U96">IFERROR(IF(K96&gt;10,K96/F96*0.876,""),“”)</f>
        <v/>
      </c>
      <c r="V96" s="78">
        <f t="shared" si="10"/>
        <v>0.27719175911252</v>
      </c>
      <c r="X96" s="36" t="s">
        <v>264</v>
      </c>
      <c r="Y96" s="36" t="s">
        <v>306</v>
      </c>
      <c r="Z96" s="51">
        <f t="shared" si="12"/>
        <v>0</v>
      </c>
      <c r="AA96" s="51">
        <f t="shared" si="12"/>
        <v>0</v>
      </c>
      <c r="AB96" s="51">
        <f t="shared" si="12"/>
        <v>0</v>
      </c>
      <c r="AC96" s="51">
        <f t="shared" si="12"/>
        <v>0</v>
      </c>
      <c r="AD96" s="51">
        <f t="shared" si="12"/>
        <v>0</v>
      </c>
      <c r="AE96" s="51">
        <f t="shared" si="12"/>
        <v>0</v>
      </c>
      <c r="AF96" s="51">
        <f>SUMIFS($P:$P,$A:$A,$X96,$B:$B,AF$2)/8760</f>
        <v>0</v>
      </c>
    </row>
    <row r="97" ht="13" spans="1:32">
      <c r="A97" s="63" t="s">
        <v>265</v>
      </c>
      <c r="B97" s="36">
        <v>2018</v>
      </c>
      <c r="C97" s="44">
        <v>2845</v>
      </c>
      <c r="D97" s="44">
        <v>2658</v>
      </c>
      <c r="E97" s="44">
        <v>70</v>
      </c>
      <c r="F97" s="70"/>
      <c r="G97" s="44">
        <v>117</v>
      </c>
      <c r="H97" s="44">
        <v>1310</v>
      </c>
      <c r="I97" s="44">
        <v>1240</v>
      </c>
      <c r="J97" s="44">
        <v>16</v>
      </c>
      <c r="K97" s="70"/>
      <c r="L97" s="44">
        <v>54</v>
      </c>
      <c r="M97" s="44">
        <v>4865</v>
      </c>
      <c r="N97" s="44">
        <v>4934</v>
      </c>
      <c r="O97" s="44">
        <v>2320</v>
      </c>
      <c r="P97" s="70"/>
      <c r="Q97" s="44">
        <v>4899</v>
      </c>
      <c r="R97" s="51" cm="1">
        <f t="array" ref="R97">IFERROR(IF(H97&gt;10,H97/C97*0.876,""),“”)</f>
        <v>0.403360281195079</v>
      </c>
      <c r="S97" s="51" cm="1">
        <f t="array" ref="S97">IFERROR(IF(I97&gt;10,I97/D97*0.876,""),“”)</f>
        <v>0.408668171557562</v>
      </c>
      <c r="T97" s="51" cm="1">
        <f t="array" ref="T97">IFERROR(IF(J97&gt;10,J97/E97*0.876,""),“”)</f>
        <v>0.200228571428571</v>
      </c>
      <c r="U97" s="51" t="str" cm="1">
        <f t="array" ref="U97">IFERROR(IF(K97&gt;10,K97/F97*0.876,""),“”)</f>
        <v/>
      </c>
      <c r="V97" s="78">
        <f t="shared" si="10"/>
        <v>0.408484324324324</v>
      </c>
      <c r="X97" s="36" t="s">
        <v>265</v>
      </c>
      <c r="Y97" s="36" t="s">
        <v>306</v>
      </c>
      <c r="Z97" s="51">
        <f t="shared" si="12"/>
        <v>0</v>
      </c>
      <c r="AA97" s="51">
        <f t="shared" si="12"/>
        <v>0</v>
      </c>
      <c r="AB97" s="51">
        <f t="shared" si="12"/>
        <v>0</v>
      </c>
      <c r="AC97" s="51">
        <f t="shared" si="12"/>
        <v>0</v>
      </c>
      <c r="AD97" s="51">
        <f t="shared" si="12"/>
        <v>0</v>
      </c>
      <c r="AE97" s="51">
        <f t="shared" si="12"/>
        <v>0</v>
      </c>
      <c r="AF97" s="51">
        <f>SUMIFS($P:$P,$A:$A,$X97,$B:$B,AF$2)/8760</f>
        <v>0</v>
      </c>
    </row>
    <row r="98" ht="13.75" spans="1:32">
      <c r="A98" s="65" t="s">
        <v>266</v>
      </c>
      <c r="B98" s="66">
        <v>2018</v>
      </c>
      <c r="C98" s="67">
        <v>5377</v>
      </c>
      <c r="D98" s="67">
        <v>5292</v>
      </c>
      <c r="E98" s="67">
        <v>83</v>
      </c>
      <c r="F98" s="84"/>
      <c r="G98" s="67">
        <v>2</v>
      </c>
      <c r="H98" s="67">
        <v>2506</v>
      </c>
      <c r="I98" s="67">
        <v>2488</v>
      </c>
      <c r="J98" s="67">
        <v>16</v>
      </c>
      <c r="K98" s="84"/>
      <c r="L98" s="67">
        <v>2</v>
      </c>
      <c r="M98" s="67">
        <v>4647</v>
      </c>
      <c r="N98" s="67">
        <v>4688</v>
      </c>
      <c r="O98" s="67">
        <v>1978</v>
      </c>
      <c r="P98" s="84"/>
      <c r="Q98" s="67">
        <v>7068</v>
      </c>
      <c r="R98" s="79" cm="1">
        <f t="array" ref="R98">IFERROR(IF(H98&gt;10,H98/C98*0.876,""),“”)</f>
        <v>0.408267807327506</v>
      </c>
      <c r="S98" s="79" cm="1">
        <f t="array" ref="S98">IFERROR(IF(I98&gt;10,I98/D98*0.876,""),“”)</f>
        <v>0.411845804988662</v>
      </c>
      <c r="T98" s="79" cm="1">
        <f t="array" ref="T98">IFERROR(IF(J98&gt;10,J98/E98*0.876,""),“”)</f>
        <v>0.168867469879518</v>
      </c>
      <c r="U98" s="79" t="str" cm="1">
        <f t="array" ref="U98">IFERROR(IF(K98&gt;10,K98/F98*0.876,""),“”)</f>
        <v/>
      </c>
      <c r="V98" s="80">
        <f t="shared" si="10"/>
        <v>0.412021156025689</v>
      </c>
      <c r="X98" s="36" t="s">
        <v>266</v>
      </c>
      <c r="Y98" s="36" t="s">
        <v>306</v>
      </c>
      <c r="Z98" s="51">
        <f t="shared" si="12"/>
        <v>0</v>
      </c>
      <c r="AA98" s="51">
        <f t="shared" si="12"/>
        <v>0</v>
      </c>
      <c r="AB98" s="51">
        <f t="shared" si="12"/>
        <v>0</v>
      </c>
      <c r="AC98" s="51">
        <f t="shared" si="12"/>
        <v>0</v>
      </c>
      <c r="AD98" s="51">
        <f t="shared" si="12"/>
        <v>0</v>
      </c>
      <c r="AE98" s="51">
        <f t="shared" si="12"/>
        <v>0</v>
      </c>
      <c r="AF98" s="51">
        <f>SUMIFS($P:$P,$A:$A,$X98,$B:$B,AF$2)/8760</f>
        <v>0</v>
      </c>
    </row>
    <row r="99" ht="13" spans="1:22">
      <c r="A99" s="59" t="s">
        <v>234</v>
      </c>
      <c r="B99" s="60">
        <v>2019</v>
      </c>
      <c r="C99" s="85">
        <v>118957</v>
      </c>
      <c r="D99" s="85">
        <v>104063</v>
      </c>
      <c r="E99" s="85">
        <v>9024</v>
      </c>
      <c r="F99" s="85">
        <v>175</v>
      </c>
      <c r="G99" s="85">
        <v>5696</v>
      </c>
      <c r="H99" s="85">
        <v>50465</v>
      </c>
      <c r="I99" s="85">
        <v>45538</v>
      </c>
      <c r="J99" s="85">
        <v>2325</v>
      </c>
      <c r="K99" s="85">
        <v>13</v>
      </c>
      <c r="L99" s="85">
        <v>2589</v>
      </c>
      <c r="M99" s="85">
        <v>4307</v>
      </c>
      <c r="N99" s="85">
        <v>4429</v>
      </c>
      <c r="O99" s="85">
        <v>2646</v>
      </c>
      <c r="P99" s="85">
        <v>760</v>
      </c>
      <c r="Q99" s="85">
        <v>4806</v>
      </c>
      <c r="R99" s="76" cm="1">
        <f t="array" ref="R99">IFERROR(IF(H99&gt;10,H99/C99*0.876,""),“”)</f>
        <v>0.371624536597258</v>
      </c>
      <c r="S99" s="76" cm="1">
        <f t="array" ref="S99">IFERROR(IF(I99&gt;10,I99/D99*0.876,""),“”)</f>
        <v>0.3833378626409</v>
      </c>
      <c r="T99" s="76" cm="1">
        <f t="array" ref="T99">IFERROR(IF(J99&gt;10,J99/E99*0.876,""),“”)</f>
        <v>0.225698138297872</v>
      </c>
      <c r="U99" s="76" cm="1">
        <f t="array" ref="U99">IFERROR(IF(K99&gt;10,K99/F99*0.876,""),“”)</f>
        <v>0.0650742857142857</v>
      </c>
      <c r="V99" s="77">
        <f t="shared" ref="V99:V130" si="13">IFERROR(IF((H99-J99)&gt;10,(H99-J99)/(C99-E99)*0.876,""),"")</f>
        <v>0.383603103708623</v>
      </c>
    </row>
    <row r="100" ht="13" spans="1:22">
      <c r="A100" s="63" t="s">
        <v>235</v>
      </c>
      <c r="B100" s="36">
        <v>2019</v>
      </c>
      <c r="C100" s="46">
        <v>1135</v>
      </c>
      <c r="D100" s="46">
        <v>85</v>
      </c>
      <c r="E100" s="46">
        <v>993</v>
      </c>
      <c r="F100" s="46">
        <v>22</v>
      </c>
      <c r="G100" s="46">
        <v>36</v>
      </c>
      <c r="H100" s="46">
        <v>443</v>
      </c>
      <c r="I100" s="46">
        <v>15</v>
      </c>
      <c r="J100" s="46">
        <v>404</v>
      </c>
      <c r="K100" s="46">
        <v>5</v>
      </c>
      <c r="L100" s="46">
        <v>20</v>
      </c>
      <c r="M100" s="46">
        <v>3931</v>
      </c>
      <c r="N100" s="46">
        <v>1723</v>
      </c>
      <c r="O100" s="46">
        <v>4085</v>
      </c>
      <c r="P100" s="46">
        <v>2303</v>
      </c>
      <c r="Q100" s="46">
        <v>6267</v>
      </c>
      <c r="R100" s="51" cm="1">
        <f t="array" ref="R100">IFERROR(IF(H100&gt;10,H100/C100*0.876,""),“”)</f>
        <v>0.34191013215859</v>
      </c>
      <c r="S100" s="51" cm="1">
        <f t="array" ref="S100">IFERROR(IF(I100&gt;10,I100/D100*0.876,""),“”)</f>
        <v>0.154588235294118</v>
      </c>
      <c r="T100" s="51" cm="1">
        <f t="array" ref="T100">IFERROR(IF(J100&gt;10,J100/E100*0.876,""),“”)</f>
        <v>0.356398791540786</v>
      </c>
      <c r="U100" s="51" t="str" cm="1">
        <f t="array" ref="U100">IFERROR(IF(K100&gt;10,K100/F100*0.876,""),“”)</f>
        <v/>
      </c>
      <c r="V100" s="78">
        <f t="shared" si="13"/>
        <v>0.240591549295775</v>
      </c>
    </row>
    <row r="101" ht="13" spans="1:22">
      <c r="A101" s="63" t="s">
        <v>236</v>
      </c>
      <c r="B101" s="36">
        <v>2019</v>
      </c>
      <c r="C101" s="46">
        <v>1639</v>
      </c>
      <c r="D101" s="46">
        <v>1225</v>
      </c>
      <c r="E101" s="46">
        <v>382</v>
      </c>
      <c r="F101" s="70"/>
      <c r="G101" s="46">
        <v>32</v>
      </c>
      <c r="H101" s="46">
        <v>647</v>
      </c>
      <c r="I101" s="46">
        <v>518</v>
      </c>
      <c r="J101" s="46">
        <v>114</v>
      </c>
      <c r="K101" s="70"/>
      <c r="L101" s="46">
        <v>14</v>
      </c>
      <c r="M101" s="46">
        <v>4028</v>
      </c>
      <c r="N101" s="46">
        <v>4287</v>
      </c>
      <c r="O101" s="46">
        <v>3091</v>
      </c>
      <c r="P101" s="70"/>
      <c r="Q101" s="46">
        <v>4666</v>
      </c>
      <c r="R101" s="51" cm="1">
        <f t="array" ref="R101">IFERROR(IF(H101&gt;10,H101/C101*0.876,""),“”)</f>
        <v>0.345803538743136</v>
      </c>
      <c r="S101" s="51" cm="1">
        <f t="array" ref="S101">IFERROR(IF(I101&gt;10,I101/D101*0.876,""),“”)</f>
        <v>0.370422857142857</v>
      </c>
      <c r="T101" s="51" cm="1">
        <f t="array" ref="T101">IFERROR(IF(J101&gt;10,J101/E101*0.876,""),“”)</f>
        <v>0.261424083769633</v>
      </c>
      <c r="U101" s="51" t="str" cm="1">
        <f t="array" ref="U101">IFERROR(IF(K101&gt;10,K101/F101*0.876,""),“”)</f>
        <v/>
      </c>
      <c r="V101" s="78">
        <f t="shared" si="13"/>
        <v>0.37144630071599</v>
      </c>
    </row>
    <row r="102" ht="13" spans="1:22">
      <c r="A102" s="63" t="s">
        <v>237</v>
      </c>
      <c r="B102" s="36">
        <v>2019</v>
      </c>
      <c r="C102" s="46">
        <v>5021</v>
      </c>
      <c r="D102" s="46">
        <v>4705</v>
      </c>
      <c r="E102" s="46">
        <v>3</v>
      </c>
      <c r="F102" s="70"/>
      <c r="G102" s="46">
        <v>312</v>
      </c>
      <c r="H102" s="46">
        <v>2377</v>
      </c>
      <c r="I102" s="46">
        <v>2274</v>
      </c>
      <c r="J102" s="46">
        <v>1</v>
      </c>
      <c r="K102" s="70"/>
      <c r="L102" s="46">
        <v>102</v>
      </c>
      <c r="M102" s="46">
        <v>4851</v>
      </c>
      <c r="N102" s="46">
        <v>4952</v>
      </c>
      <c r="O102" s="70"/>
      <c r="P102" s="70"/>
      <c r="Q102" s="46">
        <v>3356</v>
      </c>
      <c r="R102" s="51" cm="1">
        <f t="array" ref="R102">IFERROR(IF(H102&gt;10,H102/C102*0.876,""),“”)</f>
        <v>0.414708623780124</v>
      </c>
      <c r="S102" s="51" cm="1">
        <f t="array" ref="S102">IFERROR(IF(I102&gt;10,I102/D102*0.876,""),“”)</f>
        <v>0.423384484590861</v>
      </c>
      <c r="T102" s="51" t="str" cm="1">
        <f t="array" ref="T102">IFERROR(IF(J102&gt;10,J102/E102*0.876,""),“”)</f>
        <v/>
      </c>
      <c r="U102" s="51" t="str" cm="1">
        <f t="array" ref="U102">IFERROR(IF(K102&gt;10,K102/F102*0.876,""),“”)</f>
        <v/>
      </c>
      <c r="V102" s="78">
        <f t="shared" si="13"/>
        <v>0.414781984854524</v>
      </c>
    </row>
    <row r="103" ht="13" spans="1:22">
      <c r="A103" s="63" t="s">
        <v>238</v>
      </c>
      <c r="B103" s="36">
        <v>2019</v>
      </c>
      <c r="C103" s="46">
        <v>6687</v>
      </c>
      <c r="D103" s="46">
        <v>6112</v>
      </c>
      <c r="E103" s="46">
        <v>334</v>
      </c>
      <c r="F103" s="70"/>
      <c r="G103" s="46">
        <v>242</v>
      </c>
      <c r="H103" s="46">
        <v>2852</v>
      </c>
      <c r="I103" s="46">
        <v>2666</v>
      </c>
      <c r="J103" s="46">
        <v>105</v>
      </c>
      <c r="K103" s="70"/>
      <c r="L103" s="46">
        <v>82</v>
      </c>
      <c r="M103" s="46">
        <v>4426</v>
      </c>
      <c r="N103" s="46">
        <v>4516</v>
      </c>
      <c r="O103" s="46">
        <v>3408</v>
      </c>
      <c r="P103" s="70"/>
      <c r="Q103" s="46">
        <v>3436</v>
      </c>
      <c r="R103" s="51" cm="1">
        <f t="array" ref="R103">IFERROR(IF(H103&gt;10,H103/C103*0.876,""),“”)</f>
        <v>0.373613279497533</v>
      </c>
      <c r="S103" s="51" cm="1">
        <f t="array" ref="S103">IFERROR(IF(I103&gt;10,I103/D103*0.876,""),“”)</f>
        <v>0.382103403141361</v>
      </c>
      <c r="T103" s="51" cm="1">
        <f t="array" ref="T103">IFERROR(IF(J103&gt;10,J103/E103*0.876,""),“”)</f>
        <v>0.275389221556886</v>
      </c>
      <c r="U103" s="51" t="str" cm="1">
        <f t="array" ref="U103">IFERROR(IF(K103&gt;10,K103/F103*0.876,""),“”)</f>
        <v/>
      </c>
      <c r="V103" s="78">
        <f t="shared" si="13"/>
        <v>0.378777270580828</v>
      </c>
    </row>
    <row r="104" ht="13" spans="1:22">
      <c r="A104" s="63" t="s">
        <v>239</v>
      </c>
      <c r="B104" s="36">
        <v>2019</v>
      </c>
      <c r="C104" s="46">
        <v>8721</v>
      </c>
      <c r="D104" s="46">
        <v>8643</v>
      </c>
      <c r="E104" s="46">
        <v>42</v>
      </c>
      <c r="F104" s="70"/>
      <c r="G104" s="46">
        <v>37</v>
      </c>
      <c r="H104" s="46">
        <v>4564</v>
      </c>
      <c r="I104" s="46">
        <v>4551</v>
      </c>
      <c r="J104" s="86">
        <v>0.3</v>
      </c>
      <c r="K104" s="70"/>
      <c r="L104" s="46">
        <v>12</v>
      </c>
      <c r="M104" s="46">
        <v>5267</v>
      </c>
      <c r="N104" s="46">
        <v>5297</v>
      </c>
      <c r="O104" s="46">
        <v>79</v>
      </c>
      <c r="P104" s="70"/>
      <c r="Q104" s="46">
        <v>3991</v>
      </c>
      <c r="R104" s="51" cm="1">
        <f t="array" ref="R104">IFERROR(IF(H104&gt;10,H104/C104*0.876,""),“”)</f>
        <v>0.458441004471964</v>
      </c>
      <c r="S104" s="51" cm="1">
        <f t="array" ref="S104">IFERROR(IF(I104&gt;10,I104/D104*0.876,""),“”)</f>
        <v>0.4612606733773</v>
      </c>
      <c r="T104" s="51" t="str" cm="1">
        <f t="array" ref="T104">IFERROR(IF(J104&gt;10,J104/E104*0.876,""),“”)</f>
        <v/>
      </c>
      <c r="U104" s="51" t="str" cm="1">
        <f t="array" ref="U104">IFERROR(IF(K104&gt;10,K104/F104*0.876,""),“”)</f>
        <v/>
      </c>
      <c r="V104" s="78">
        <f t="shared" si="13"/>
        <v>0.460629243000346</v>
      </c>
    </row>
    <row r="105" ht="13" spans="1:22">
      <c r="A105" s="63" t="s">
        <v>240</v>
      </c>
      <c r="B105" s="36">
        <v>2019</v>
      </c>
      <c r="C105" s="46">
        <v>3446</v>
      </c>
      <c r="D105" s="46">
        <v>3328</v>
      </c>
      <c r="E105" s="46">
        <v>6</v>
      </c>
      <c r="F105" s="46">
        <v>15</v>
      </c>
      <c r="G105" s="46">
        <v>97</v>
      </c>
      <c r="H105" s="46">
        <v>1395</v>
      </c>
      <c r="I105" s="46">
        <v>1343</v>
      </c>
      <c r="J105" s="46">
        <v>3</v>
      </c>
      <c r="K105" s="46">
        <v>4</v>
      </c>
      <c r="L105" s="46">
        <v>46</v>
      </c>
      <c r="M105" s="46">
        <v>4070</v>
      </c>
      <c r="N105" s="46">
        <v>4045</v>
      </c>
      <c r="O105" s="46">
        <v>5426</v>
      </c>
      <c r="P105" s="46">
        <v>2657</v>
      </c>
      <c r="Q105" s="46">
        <v>5247</v>
      </c>
      <c r="R105" s="51" cm="1">
        <f t="array" ref="R105">IFERROR(IF(H105&gt;10,H105/C105*0.876,""),“”)</f>
        <v>0.354619849100406</v>
      </c>
      <c r="S105" s="51" cm="1">
        <f t="array" ref="S105">IFERROR(IF(I105&gt;10,I105/D105*0.876,""),“”)</f>
        <v>0.353506009615385</v>
      </c>
      <c r="T105" s="51" t="str" cm="1">
        <f t="array" ref="T105">IFERROR(IF(J105&gt;10,J105/E105*0.876,""),“”)</f>
        <v/>
      </c>
      <c r="U105" s="51" t="str" cm="1">
        <f t="array" ref="U105">IFERROR(IF(K105&gt;10,K105/F105*0.876,""),“”)</f>
        <v/>
      </c>
      <c r="V105" s="78">
        <f t="shared" si="13"/>
        <v>0.354474418604651</v>
      </c>
    </row>
    <row r="106" ht="13" spans="1:22">
      <c r="A106" s="63" t="s">
        <v>241</v>
      </c>
      <c r="B106" s="36">
        <v>2019</v>
      </c>
      <c r="C106" s="46">
        <v>1845</v>
      </c>
      <c r="D106" s="46">
        <v>1733</v>
      </c>
      <c r="E106" s="46">
        <v>1</v>
      </c>
      <c r="F106" s="70"/>
      <c r="G106" s="46">
        <v>112</v>
      </c>
      <c r="H106" s="46">
        <v>705</v>
      </c>
      <c r="I106" s="46">
        <v>659</v>
      </c>
      <c r="J106" s="42">
        <v>0.1</v>
      </c>
      <c r="K106" s="70"/>
      <c r="L106" s="46">
        <v>46</v>
      </c>
      <c r="M106" s="46">
        <v>3767</v>
      </c>
      <c r="N106" s="46">
        <v>3737</v>
      </c>
      <c r="O106" s="46">
        <v>468</v>
      </c>
      <c r="P106" s="70"/>
      <c r="Q106" s="46">
        <v>4267</v>
      </c>
      <c r="R106" s="51" cm="1">
        <f t="array" ref="R106">IFERROR(IF(H106&gt;10,H106/C106*0.876,""),“”)</f>
        <v>0.334731707317073</v>
      </c>
      <c r="S106" s="51" cm="1">
        <f t="array" ref="S106">IFERROR(IF(I106&gt;10,I106/D106*0.876,""),“”)</f>
        <v>0.333112521638777</v>
      </c>
      <c r="T106" s="51" t="str" cm="1">
        <f t="array" ref="T106">IFERROR(IF(J106&gt;10,J106/E106*0.876,""),“”)</f>
        <v/>
      </c>
      <c r="U106" s="51" t="str" cm="1">
        <f t="array" ref="U106">IFERROR(IF(K106&gt;10,K106/F106*0.876,""),“”)</f>
        <v/>
      </c>
      <c r="V106" s="78">
        <f t="shared" si="13"/>
        <v>0.334865726681128</v>
      </c>
    </row>
    <row r="107" ht="13" spans="1:22">
      <c r="A107" s="63" t="s">
        <v>242</v>
      </c>
      <c r="B107" s="36">
        <v>2019</v>
      </c>
      <c r="C107" s="46">
        <v>2253</v>
      </c>
      <c r="D107" s="46">
        <v>2097</v>
      </c>
      <c r="E107" s="46">
        <v>12</v>
      </c>
      <c r="F107" s="46">
        <v>2</v>
      </c>
      <c r="G107" s="46">
        <v>141</v>
      </c>
      <c r="H107" s="46">
        <v>887</v>
      </c>
      <c r="I107" s="46">
        <v>818</v>
      </c>
      <c r="J107" s="46">
        <v>3</v>
      </c>
      <c r="K107" s="70"/>
      <c r="L107" s="46">
        <v>66</v>
      </c>
      <c r="M107" s="46">
        <v>3963</v>
      </c>
      <c r="N107" s="46">
        <v>3900</v>
      </c>
      <c r="O107" s="46">
        <v>2697</v>
      </c>
      <c r="P107" s="70"/>
      <c r="Q107" s="46">
        <v>5221</v>
      </c>
      <c r="R107" s="51" cm="1">
        <f t="array" ref="R107">IFERROR(IF(H107&gt;10,H107/C107*0.876,""),“”)</f>
        <v>0.344878828229028</v>
      </c>
      <c r="S107" s="51" cm="1">
        <f t="array" ref="S107">IFERROR(IF(I107&gt;10,I107/D107*0.876,""),“”)</f>
        <v>0.341711015736767</v>
      </c>
      <c r="T107" s="51" t="str" cm="1">
        <f t="array" ref="T107">IFERROR(IF(J107&gt;10,J107/E107*0.876,""),“”)</f>
        <v/>
      </c>
      <c r="U107" s="51" t="str" cm="1">
        <f t="array" ref="U107">IFERROR(IF(K107&gt;10,K107/F107*0.876,""),“”)</f>
        <v/>
      </c>
      <c r="V107" s="78">
        <f t="shared" si="13"/>
        <v>0.345552878179384</v>
      </c>
    </row>
    <row r="108" ht="13" spans="1:22">
      <c r="A108" s="63" t="s">
        <v>243</v>
      </c>
      <c r="B108" s="36">
        <v>2019</v>
      </c>
      <c r="C108" s="46">
        <v>2475</v>
      </c>
      <c r="D108" s="46">
        <v>1502</v>
      </c>
      <c r="E108" s="46">
        <v>765</v>
      </c>
      <c r="F108" s="46">
        <v>86</v>
      </c>
      <c r="G108" s="46">
        <v>121</v>
      </c>
      <c r="H108" s="46">
        <v>812</v>
      </c>
      <c r="I108" s="46">
        <v>607</v>
      </c>
      <c r="J108" s="46">
        <v>149</v>
      </c>
      <c r="K108" s="46">
        <v>1</v>
      </c>
      <c r="L108" s="46">
        <v>55</v>
      </c>
      <c r="M108" s="46">
        <v>3253</v>
      </c>
      <c r="N108" s="46">
        <v>4036</v>
      </c>
      <c r="O108" s="46">
        <v>1865</v>
      </c>
      <c r="P108" s="46">
        <v>116</v>
      </c>
      <c r="Q108" s="46">
        <v>4870</v>
      </c>
      <c r="R108" s="51" cm="1">
        <f t="array" ref="R108">IFERROR(IF(H108&gt;10,H108/C108*0.876,""),“”)</f>
        <v>0.287398787878788</v>
      </c>
      <c r="S108" s="51" cm="1">
        <f t="array" ref="S108">IFERROR(IF(I108&gt;10,I108/D108*0.876,""),“”)</f>
        <v>0.354015978695073</v>
      </c>
      <c r="T108" s="51" cm="1">
        <f t="array" ref="T108">IFERROR(IF(J108&gt;10,J108/E108*0.876,""),“”)</f>
        <v>0.170619607843137</v>
      </c>
      <c r="U108" s="51" t="str" cm="1">
        <f t="array" ref="U108">IFERROR(IF(K108&gt;10,K108/F108*0.876,""),“”)</f>
        <v/>
      </c>
      <c r="V108" s="78">
        <f t="shared" si="13"/>
        <v>0.339642105263158</v>
      </c>
    </row>
    <row r="109" ht="13" spans="1:22">
      <c r="A109" s="63" t="s">
        <v>244</v>
      </c>
      <c r="B109" s="36">
        <v>2019</v>
      </c>
      <c r="C109" s="46">
        <v>10050</v>
      </c>
      <c r="D109" s="46">
        <v>8028</v>
      </c>
      <c r="E109" s="46">
        <v>1610</v>
      </c>
      <c r="F109" s="70"/>
      <c r="G109" s="46">
        <v>411</v>
      </c>
      <c r="H109" s="46">
        <v>4364</v>
      </c>
      <c r="I109" s="46">
        <v>3604</v>
      </c>
      <c r="J109" s="46">
        <v>532</v>
      </c>
      <c r="K109" s="70"/>
      <c r="L109" s="46">
        <v>228</v>
      </c>
      <c r="M109" s="46">
        <v>4329</v>
      </c>
      <c r="N109" s="46">
        <v>4431</v>
      </c>
      <c r="O109" s="46">
        <v>3391</v>
      </c>
      <c r="P109" s="70"/>
      <c r="Q109" s="46">
        <v>6022</v>
      </c>
      <c r="R109" s="51" cm="1">
        <f t="array" ref="R109">IFERROR(IF(H109&gt;10,H109/C109*0.876,""),“”)</f>
        <v>0.38038447761194</v>
      </c>
      <c r="S109" s="51" cm="1">
        <f t="array" ref="S109">IFERROR(IF(I109&gt;10,I109/D109*0.876,""),“”)</f>
        <v>0.39326158445441</v>
      </c>
      <c r="T109" s="51" cm="1">
        <f t="array" ref="T109">IFERROR(IF(J109&gt;10,J109/E109*0.876,""),“”)</f>
        <v>0.289460869565217</v>
      </c>
      <c r="U109" s="51" t="str" cm="1">
        <f t="array" ref="U109">IFERROR(IF(K109&gt;10,K109/F109*0.876,""),“”)</f>
        <v/>
      </c>
      <c r="V109" s="78">
        <f t="shared" si="13"/>
        <v>0.397728909952607</v>
      </c>
    </row>
    <row r="110" ht="13" spans="1:22">
      <c r="A110" s="63" t="s">
        <v>245</v>
      </c>
      <c r="B110" s="36">
        <v>2019</v>
      </c>
      <c r="C110" s="46">
        <v>6212</v>
      </c>
      <c r="D110" s="46">
        <v>4649</v>
      </c>
      <c r="E110" s="46">
        <v>1261</v>
      </c>
      <c r="F110" s="46">
        <v>2</v>
      </c>
      <c r="G110" s="46">
        <v>299</v>
      </c>
      <c r="H110" s="46">
        <v>2507</v>
      </c>
      <c r="I110" s="46">
        <v>2193</v>
      </c>
      <c r="J110" s="46">
        <v>150</v>
      </c>
      <c r="K110" s="42">
        <v>0.02</v>
      </c>
      <c r="L110" s="46">
        <v>164</v>
      </c>
      <c r="M110" s="46">
        <v>4075</v>
      </c>
      <c r="N110" s="46">
        <v>4720</v>
      </c>
      <c r="O110" s="46">
        <v>1223</v>
      </c>
      <c r="P110" s="70"/>
      <c r="Q110" s="46">
        <v>5787</v>
      </c>
      <c r="R110" s="51" cm="1">
        <f t="array" ref="R110">IFERROR(IF(H110&gt;10,H110/C110*0.876,""),“”)</f>
        <v>0.353530585962653</v>
      </c>
      <c r="S110" s="51" cm="1">
        <f t="array" ref="S110">IFERROR(IF(I110&gt;10,I110/D110*0.876,""),“”)</f>
        <v>0.413221768122177</v>
      </c>
      <c r="T110" s="51" cm="1">
        <f t="array" ref="T110">IFERROR(IF(J110&gt;10,J110/E110*0.876,""),“”)</f>
        <v>0.104203013481364</v>
      </c>
      <c r="U110" s="51" t="str" cm="1">
        <f t="array" ref="U110">IFERROR(IF(K110&gt;10,K110/F110*0.876,""),“”)</f>
        <v/>
      </c>
      <c r="V110" s="78">
        <f t="shared" si="13"/>
        <v>0.417033326600687</v>
      </c>
    </row>
    <row r="111" ht="13" spans="1:22">
      <c r="A111" s="63" t="s">
        <v>246</v>
      </c>
      <c r="B111" s="36">
        <v>2019</v>
      </c>
      <c r="C111" s="46">
        <v>5521</v>
      </c>
      <c r="D111" s="46">
        <v>5136</v>
      </c>
      <c r="E111" s="46">
        <v>14</v>
      </c>
      <c r="F111" s="70"/>
      <c r="G111" s="46">
        <v>372</v>
      </c>
      <c r="H111" s="46">
        <v>2657</v>
      </c>
      <c r="I111" s="46">
        <v>2463</v>
      </c>
      <c r="J111" s="46">
        <v>4</v>
      </c>
      <c r="K111" s="70"/>
      <c r="L111" s="46">
        <v>190</v>
      </c>
      <c r="M111" s="46">
        <v>4838</v>
      </c>
      <c r="N111" s="46">
        <v>4793</v>
      </c>
      <c r="O111" s="46">
        <v>1026</v>
      </c>
      <c r="P111" s="70"/>
      <c r="Q111" s="46">
        <v>5573</v>
      </c>
      <c r="R111" s="51" cm="1">
        <f t="array" ref="R111">IFERROR(IF(H111&gt;10,H111/C111*0.876,""),“”)</f>
        <v>0.421577975004528</v>
      </c>
      <c r="S111" s="51" cm="1">
        <f t="array" ref="S111">IFERROR(IF(I111&gt;10,I111/D111*0.876,""),“”)</f>
        <v>0.420091121495327</v>
      </c>
      <c r="T111" s="51" t="str" cm="1">
        <f t="array" ref="T111">IFERROR(IF(J111&gt;10,J111/E111*0.876,""),“”)</f>
        <v/>
      </c>
      <c r="U111" s="51" t="str" cm="1">
        <f t="array" ref="U111">IFERROR(IF(K111&gt;10,K111/F111*0.876,""),“”)</f>
        <v/>
      </c>
      <c r="V111" s="78">
        <f t="shared" si="13"/>
        <v>0.422013437443254</v>
      </c>
    </row>
    <row r="112" ht="13" spans="1:22">
      <c r="A112" s="63" t="s">
        <v>247</v>
      </c>
      <c r="B112" s="36">
        <v>2019</v>
      </c>
      <c r="C112" s="46">
        <v>3172</v>
      </c>
      <c r="D112" s="46">
        <v>2586</v>
      </c>
      <c r="E112" s="46">
        <v>391</v>
      </c>
      <c r="F112" s="46">
        <v>1</v>
      </c>
      <c r="G112" s="46">
        <v>192</v>
      </c>
      <c r="H112" s="46">
        <v>1406</v>
      </c>
      <c r="I112" s="46">
        <v>1242</v>
      </c>
      <c r="J112" s="46">
        <v>67</v>
      </c>
      <c r="K112" s="87">
        <v>0.01</v>
      </c>
      <c r="L112" s="46">
        <v>98</v>
      </c>
      <c r="M112" s="46">
        <v>4299</v>
      </c>
      <c r="N112" s="46">
        <v>4607</v>
      </c>
      <c r="O112" s="46">
        <v>1699</v>
      </c>
      <c r="P112" s="70"/>
      <c r="Q112" s="46">
        <v>5632</v>
      </c>
      <c r="R112" s="51" cm="1">
        <f t="array" ref="R112">IFERROR(IF(H112&gt;10,H112/C112*0.876,""),“”)</f>
        <v>0.388290037831021</v>
      </c>
      <c r="S112" s="51" cm="1">
        <f t="array" ref="S112">IFERROR(IF(I112&gt;10,I112/D112*0.876,""),“”)</f>
        <v>0.420723897911833</v>
      </c>
      <c r="T112" s="51" cm="1">
        <f t="array" ref="T112">IFERROR(IF(J112&gt;10,J112/E112*0.876,""),“”)</f>
        <v>0.150107416879795</v>
      </c>
      <c r="U112" s="51" t="str" cm="1">
        <f t="array" ref="U112">IFERROR(IF(K112&gt;10,K112/F112*0.876,""),“”)</f>
        <v/>
      </c>
      <c r="V112" s="78">
        <f t="shared" si="13"/>
        <v>0.421777777777778</v>
      </c>
    </row>
    <row r="113" ht="13" spans="1:22">
      <c r="A113" s="63" t="s">
        <v>248</v>
      </c>
      <c r="B113" s="36">
        <v>2019</v>
      </c>
      <c r="C113" s="46">
        <v>2205</v>
      </c>
      <c r="D113" s="46">
        <v>1925</v>
      </c>
      <c r="E113" s="46">
        <v>13</v>
      </c>
      <c r="F113" s="70"/>
      <c r="G113" s="46">
        <v>268</v>
      </c>
      <c r="H113" s="46">
        <v>1128</v>
      </c>
      <c r="I113" s="46">
        <v>973</v>
      </c>
      <c r="J113" s="46">
        <v>6</v>
      </c>
      <c r="K113" s="70"/>
      <c r="L113" s="46">
        <v>149</v>
      </c>
      <c r="M113" s="46">
        <v>5153</v>
      </c>
      <c r="N113" s="46">
        <v>5058</v>
      </c>
      <c r="O113" s="46">
        <v>4176</v>
      </c>
      <c r="P113" s="70"/>
      <c r="Q113" s="46">
        <v>5935</v>
      </c>
      <c r="R113" s="51" cm="1">
        <f t="array" ref="R113">IFERROR(IF(H113&gt;10,H113/C113*0.876,""),“”)</f>
        <v>0.448130612244898</v>
      </c>
      <c r="S113" s="51" cm="1">
        <f t="array" ref="S113">IFERROR(IF(I113&gt;10,I113/D113*0.876,""),“”)</f>
        <v>0.442778181818182</v>
      </c>
      <c r="T113" s="51" t="str" cm="1">
        <f t="array" ref="T113">IFERROR(IF(J113&gt;10,J113/E113*0.876,""),“”)</f>
        <v/>
      </c>
      <c r="U113" s="51" t="str" cm="1">
        <f t="array" ref="U113">IFERROR(IF(K113&gt;10,K113/F113*0.876,""),“”)</f>
        <v/>
      </c>
      <c r="V113" s="78">
        <f t="shared" si="13"/>
        <v>0.448390510948905</v>
      </c>
    </row>
    <row r="114" ht="13" spans="1:22">
      <c r="A114" s="63" t="s">
        <v>249</v>
      </c>
      <c r="B114" s="36">
        <v>2019</v>
      </c>
      <c r="C114" s="46">
        <v>10713</v>
      </c>
      <c r="D114" s="46">
        <v>10029</v>
      </c>
      <c r="E114" s="46">
        <v>8</v>
      </c>
      <c r="F114" s="70"/>
      <c r="G114" s="46">
        <v>676</v>
      </c>
      <c r="H114" s="46">
        <v>4680</v>
      </c>
      <c r="I114" s="46">
        <v>4381</v>
      </c>
      <c r="J114" s="46">
        <v>2</v>
      </c>
      <c r="K114" s="70"/>
      <c r="L114" s="46">
        <v>297</v>
      </c>
      <c r="M114" s="46">
        <v>4443</v>
      </c>
      <c r="N114" s="46">
        <v>4440</v>
      </c>
      <c r="O114" s="46">
        <v>3351</v>
      </c>
      <c r="P114" s="70"/>
      <c r="Q114" s="46">
        <v>4497</v>
      </c>
      <c r="R114" s="51" cm="1">
        <f t="array" ref="R114">IFERROR(IF(H114&gt;10,H114/C114*0.876,""),“”)</f>
        <v>0.382682721926631</v>
      </c>
      <c r="S114" s="51" cm="1">
        <f t="array" ref="S114">IFERROR(IF(I114&gt;10,I114/D114*0.876,""),“”)</f>
        <v>0.382665868979958</v>
      </c>
      <c r="T114" s="51" t="str" cm="1">
        <f t="array" ref="T114">IFERROR(IF(J114&gt;10,J114/E114*0.876,""),“”)</f>
        <v/>
      </c>
      <c r="U114" s="51" t="str" cm="1">
        <f t="array" ref="U114">IFERROR(IF(K114&gt;10,K114/F114*0.876,""),“”)</f>
        <v/>
      </c>
      <c r="V114" s="78">
        <f t="shared" si="13"/>
        <v>0.382805044371789</v>
      </c>
    </row>
    <row r="115" ht="13" spans="1:22">
      <c r="A115" s="63" t="s">
        <v>250</v>
      </c>
      <c r="B115" s="36">
        <v>2019</v>
      </c>
      <c r="C115" s="46">
        <v>7050</v>
      </c>
      <c r="D115" s="46">
        <v>6579</v>
      </c>
      <c r="E115" s="46">
        <v>295</v>
      </c>
      <c r="F115" s="70"/>
      <c r="G115" s="46">
        <v>176</v>
      </c>
      <c r="H115" s="46">
        <v>2481</v>
      </c>
      <c r="I115" s="46">
        <v>2400</v>
      </c>
      <c r="J115" s="46">
        <v>24</v>
      </c>
      <c r="K115" s="70"/>
      <c r="L115" s="46">
        <v>57</v>
      </c>
      <c r="M115" s="46">
        <v>3523</v>
      </c>
      <c r="N115" s="46">
        <v>3632</v>
      </c>
      <c r="O115" s="46">
        <v>842</v>
      </c>
      <c r="P115" s="70"/>
      <c r="Q115" s="46">
        <v>3459</v>
      </c>
      <c r="R115" s="51" cm="1">
        <f t="array" ref="R115">IFERROR(IF(H115&gt;10,H115/C115*0.876,""),“”)</f>
        <v>0.308277446808511</v>
      </c>
      <c r="S115" s="51" cm="1">
        <f t="array" ref="S115">IFERROR(IF(I115&gt;10,I115/D115*0.876,""),“”)</f>
        <v>0.319562243502052</v>
      </c>
      <c r="T115" s="51" cm="1">
        <f t="array" ref="T115">IFERROR(IF(J115&gt;10,J115/E115*0.876,""),“”)</f>
        <v>0.0712677966101695</v>
      </c>
      <c r="U115" s="51" t="str" cm="1">
        <f t="array" ref="U115">IFERROR(IF(K115&gt;10,K115/F115*0.876,""),“”)</f>
        <v/>
      </c>
      <c r="V115" s="78">
        <f t="shared" si="13"/>
        <v>0.318627979274611</v>
      </c>
    </row>
    <row r="116" ht="13" spans="1:22">
      <c r="A116" s="63" t="s">
        <v>251</v>
      </c>
      <c r="B116" s="36">
        <v>2019</v>
      </c>
      <c r="C116" s="46">
        <v>3157</v>
      </c>
      <c r="D116" s="46">
        <v>2777</v>
      </c>
      <c r="E116" s="46">
        <v>101</v>
      </c>
      <c r="F116" s="70"/>
      <c r="G116" s="46">
        <v>279</v>
      </c>
      <c r="H116" s="46">
        <v>1485</v>
      </c>
      <c r="I116" s="46">
        <v>1351</v>
      </c>
      <c r="J116" s="46">
        <v>33</v>
      </c>
      <c r="K116" s="70"/>
      <c r="L116" s="46">
        <v>102</v>
      </c>
      <c r="M116" s="46">
        <v>4796</v>
      </c>
      <c r="N116" s="46">
        <v>4945</v>
      </c>
      <c r="O116" s="46">
        <v>3429</v>
      </c>
      <c r="P116" s="70"/>
      <c r="Q116" s="46">
        <v>3739</v>
      </c>
      <c r="R116" s="51" cm="1">
        <f t="array" ref="R116">IFERROR(IF(H116&gt;10,H116/C116*0.876,""),“”)</f>
        <v>0.41205574912892</v>
      </c>
      <c r="S116" s="51" cm="1">
        <f t="array" ref="S116">IFERROR(IF(I116&gt;10,I116/D116*0.876,""),“”)</f>
        <v>0.426170687792582</v>
      </c>
      <c r="T116" s="51" cm="1">
        <f t="array" ref="T116">IFERROR(IF(J116&gt;10,J116/E116*0.876,""),“”)</f>
        <v>0.286217821782178</v>
      </c>
      <c r="U116" s="51" t="str" cm="1">
        <f t="array" ref="U116">IFERROR(IF(K116&gt;10,K116/F116*0.876,""),“”)</f>
        <v/>
      </c>
      <c r="V116" s="78">
        <f t="shared" si="13"/>
        <v>0.416214659685864</v>
      </c>
    </row>
    <row r="117" ht="13" spans="1:22">
      <c r="A117" s="63" t="s">
        <v>252</v>
      </c>
      <c r="B117" s="36">
        <v>2019</v>
      </c>
      <c r="C117" s="46">
        <v>2280</v>
      </c>
      <c r="D117" s="46">
        <v>2039</v>
      </c>
      <c r="E117" s="46">
        <v>8</v>
      </c>
      <c r="F117" s="46">
        <v>7</v>
      </c>
      <c r="G117" s="46">
        <v>226</v>
      </c>
      <c r="H117" s="46">
        <v>906</v>
      </c>
      <c r="I117" s="46">
        <v>776</v>
      </c>
      <c r="J117" s="46">
        <v>2</v>
      </c>
      <c r="K117" s="46">
        <v>3</v>
      </c>
      <c r="L117" s="46">
        <v>124</v>
      </c>
      <c r="M117" s="46">
        <v>3978</v>
      </c>
      <c r="N117" s="46">
        <v>3800</v>
      </c>
      <c r="O117" s="46">
        <v>3188</v>
      </c>
      <c r="P117" s="46">
        <v>3933</v>
      </c>
      <c r="Q117" s="46">
        <v>5710</v>
      </c>
      <c r="R117" s="51" cm="1">
        <f t="array" ref="R117">IFERROR(IF(H117&gt;10,H117/C117*0.876,""),“”)</f>
        <v>0.348094736842105</v>
      </c>
      <c r="S117" s="51" cm="1">
        <f t="array" ref="S117">IFERROR(IF(I117&gt;10,I117/D117*0.876,""),“”)</f>
        <v>0.333386954389407</v>
      </c>
      <c r="T117" s="51" t="str" cm="1">
        <f t="array" ref="T117">IFERROR(IF(J117&gt;10,J117/E117*0.876,""),“”)</f>
        <v/>
      </c>
      <c r="U117" s="51" t="str" cm="1">
        <f t="array" ref="U117">IFERROR(IF(K117&gt;10,K117/F117*0.876,""),“”)</f>
        <v/>
      </c>
      <c r="V117" s="78">
        <f t="shared" si="13"/>
        <v>0.348549295774648</v>
      </c>
    </row>
    <row r="118" ht="13" spans="1:22">
      <c r="A118" s="63" t="s">
        <v>253</v>
      </c>
      <c r="B118" s="36">
        <v>2019</v>
      </c>
      <c r="C118" s="46">
        <v>8628</v>
      </c>
      <c r="D118" s="46">
        <v>6141</v>
      </c>
      <c r="E118" s="46">
        <v>2217</v>
      </c>
      <c r="F118" s="70"/>
      <c r="G118" s="46">
        <v>271</v>
      </c>
      <c r="H118" s="46">
        <v>3222</v>
      </c>
      <c r="I118" s="46">
        <v>2508</v>
      </c>
      <c r="J118" s="46">
        <v>594</v>
      </c>
      <c r="K118" s="70"/>
      <c r="L118" s="46">
        <v>120</v>
      </c>
      <c r="M118" s="46">
        <v>3841</v>
      </c>
      <c r="N118" s="46">
        <v>4130</v>
      </c>
      <c r="O118" s="46">
        <v>2863</v>
      </c>
      <c r="P118" s="70"/>
      <c r="Q118" s="46">
        <v>4954</v>
      </c>
      <c r="R118" s="51" cm="1">
        <f t="array" ref="R118">IFERROR(IF(H118&gt;10,H118/C118*0.876,""),“”)</f>
        <v>0.327129346314325</v>
      </c>
      <c r="S118" s="51" cm="1">
        <f t="array" ref="S118">IFERROR(IF(I118&gt;10,I118/D118*0.876,""),“”)</f>
        <v>0.357760625305325</v>
      </c>
      <c r="T118" s="51" cm="1">
        <f t="array" ref="T118">IFERROR(IF(J118&gt;10,J118/E118*0.876,""),“”)</f>
        <v>0.234706359945873</v>
      </c>
      <c r="U118" s="51" t="str" cm="1">
        <f t="array" ref="U118">IFERROR(IF(K118&gt;10,K118/F118*0.876,""),“”)</f>
        <v/>
      </c>
      <c r="V118" s="78">
        <f t="shared" si="13"/>
        <v>0.359090313523631</v>
      </c>
    </row>
    <row r="119" ht="13" spans="1:22">
      <c r="A119" s="63" t="s">
        <v>254</v>
      </c>
      <c r="B119" s="36">
        <v>2019</v>
      </c>
      <c r="C119" s="46">
        <v>2294</v>
      </c>
      <c r="D119" s="46">
        <v>1858</v>
      </c>
      <c r="E119" s="46">
        <v>35</v>
      </c>
      <c r="F119" s="70"/>
      <c r="G119" s="46">
        <v>402</v>
      </c>
      <c r="H119" s="46">
        <v>988</v>
      </c>
      <c r="I119" s="46">
        <v>833</v>
      </c>
      <c r="J119" s="46">
        <v>5</v>
      </c>
      <c r="K119" s="70"/>
      <c r="L119" s="46">
        <v>150</v>
      </c>
      <c r="M119" s="46">
        <v>4353</v>
      </c>
      <c r="N119" s="46">
        <v>4483</v>
      </c>
      <c r="O119" s="46">
        <v>1153</v>
      </c>
      <c r="P119" s="70"/>
      <c r="Q119" s="46">
        <v>3987</v>
      </c>
      <c r="R119" s="51" cm="1">
        <f t="array" ref="R119">IFERROR(IF(H119&gt;10,H119/C119*0.876,""),“”)</f>
        <v>0.377283347863993</v>
      </c>
      <c r="S119" s="51" cm="1">
        <f t="array" ref="S119">IFERROR(IF(I119&gt;10,I119/D119*0.876,""),“”)</f>
        <v>0.392738428417653</v>
      </c>
      <c r="T119" s="51" t="str" cm="1">
        <f t="array" ref="T119">IFERROR(IF(J119&gt;10,J119/E119*0.876,""),“”)</f>
        <v/>
      </c>
      <c r="U119" s="51" t="str" cm="1">
        <f t="array" ref="U119">IFERROR(IF(K119&gt;10,K119/F119*0.876,""),“”)</f>
        <v/>
      </c>
      <c r="V119" s="78">
        <f t="shared" si="13"/>
        <v>0.381189907038513</v>
      </c>
    </row>
    <row r="120" ht="13" spans="1:22">
      <c r="A120" s="63" t="s">
        <v>255</v>
      </c>
      <c r="B120" s="36">
        <v>2019</v>
      </c>
      <c r="C120" s="46">
        <v>465</v>
      </c>
      <c r="D120" s="46">
        <v>352</v>
      </c>
      <c r="E120" s="46">
        <v>73</v>
      </c>
      <c r="F120" s="70"/>
      <c r="G120" s="46">
        <v>41</v>
      </c>
      <c r="H120" s="46">
        <v>212</v>
      </c>
      <c r="I120" s="46">
        <v>173</v>
      </c>
      <c r="J120" s="46">
        <v>14</v>
      </c>
      <c r="K120" s="70"/>
      <c r="L120" s="46">
        <v>25</v>
      </c>
      <c r="M120" s="46">
        <v>4563</v>
      </c>
      <c r="N120" s="46">
        <v>4930</v>
      </c>
      <c r="O120" s="46">
        <v>1826</v>
      </c>
      <c r="P120" s="70"/>
      <c r="Q120" s="46">
        <v>6264</v>
      </c>
      <c r="R120" s="51" cm="1">
        <f t="array" ref="R120">IFERROR(IF(H120&gt;10,H120/C120*0.876,""),“”)</f>
        <v>0.39938064516129</v>
      </c>
      <c r="S120" s="51" cm="1">
        <f t="array" ref="S120">IFERROR(IF(I120&gt;10,I120/D120*0.876,""),“”)</f>
        <v>0.430534090909091</v>
      </c>
      <c r="T120" s="51" cm="1">
        <f t="array" ref="T120">IFERROR(IF(J120&gt;10,J120/E120*0.876,""),“”)</f>
        <v>0.168</v>
      </c>
      <c r="U120" s="51" t="str" cm="1">
        <f t="array" ref="U120">IFERROR(IF(K120&gt;10,K120/F120*0.876,""),“”)</f>
        <v/>
      </c>
      <c r="V120" s="78">
        <f t="shared" si="13"/>
        <v>0.442469387755102</v>
      </c>
    </row>
    <row r="121" ht="13" spans="1:22">
      <c r="A121" s="63" t="s">
        <v>256</v>
      </c>
      <c r="B121" s="36">
        <v>2019</v>
      </c>
      <c r="C121" s="46">
        <v>1548</v>
      </c>
      <c r="D121" s="46">
        <v>1319</v>
      </c>
      <c r="E121" s="46">
        <v>168</v>
      </c>
      <c r="F121" s="70"/>
      <c r="G121" s="46">
        <v>61</v>
      </c>
      <c r="H121" s="46">
        <v>554</v>
      </c>
      <c r="I121" s="46">
        <v>467</v>
      </c>
      <c r="J121" s="46">
        <v>50</v>
      </c>
      <c r="K121" s="70"/>
      <c r="L121" s="46">
        <v>37</v>
      </c>
      <c r="M121" s="46">
        <v>3584</v>
      </c>
      <c r="N121" s="46">
        <v>3542</v>
      </c>
      <c r="O121" s="46">
        <v>2980</v>
      </c>
      <c r="P121" s="70"/>
      <c r="Q121" s="46">
        <v>6243</v>
      </c>
      <c r="R121" s="51" cm="1">
        <f t="array" ref="R121">IFERROR(IF(H121&gt;10,H121/C121*0.876,""),“”)</f>
        <v>0.313503875968992</v>
      </c>
      <c r="S121" s="51" cm="1">
        <f t="array" ref="S121">IFERROR(IF(I121&gt;10,I121/D121*0.876,""),“”)</f>
        <v>0.310153146322972</v>
      </c>
      <c r="T121" s="51" cm="1">
        <f t="array" ref="T121">IFERROR(IF(J121&gt;10,J121/E121*0.876,""),“”)</f>
        <v>0.260714285714286</v>
      </c>
      <c r="U121" s="51" t="str" cm="1">
        <f t="array" ref="U121">IFERROR(IF(K121&gt;10,K121/F121*0.876,""),“”)</f>
        <v/>
      </c>
      <c r="V121" s="78">
        <f t="shared" si="13"/>
        <v>0.319930434782609</v>
      </c>
    </row>
    <row r="122" ht="13" spans="1:22">
      <c r="A122" s="63" t="s">
        <v>258</v>
      </c>
      <c r="B122" s="36">
        <v>2019</v>
      </c>
      <c r="C122" s="46">
        <v>1570</v>
      </c>
      <c r="D122" s="46">
        <v>1216</v>
      </c>
      <c r="E122" s="46">
        <v>126</v>
      </c>
      <c r="F122" s="70"/>
      <c r="G122" s="46">
        <v>228</v>
      </c>
      <c r="H122" s="46">
        <v>488</v>
      </c>
      <c r="I122" s="46">
        <v>352</v>
      </c>
      <c r="J122" s="46">
        <v>26</v>
      </c>
      <c r="K122" s="70"/>
      <c r="L122" s="46">
        <v>110</v>
      </c>
      <c r="M122" s="46">
        <v>3084</v>
      </c>
      <c r="N122" s="46">
        <v>2846</v>
      </c>
      <c r="O122" s="46">
        <v>2049</v>
      </c>
      <c r="P122" s="70"/>
      <c r="Q122" s="46">
        <v>5171</v>
      </c>
      <c r="R122" s="51" cm="1">
        <f t="array" ref="R122">IFERROR(IF(H122&gt;10,H122/C122*0.876,""),“”)</f>
        <v>0.272285350318471</v>
      </c>
      <c r="S122" s="51" cm="1">
        <f t="array" ref="S122">IFERROR(IF(I122&gt;10,I122/D122*0.876,""),“”)</f>
        <v>0.253578947368421</v>
      </c>
      <c r="T122" s="51" cm="1">
        <f t="array" ref="T122">IFERROR(IF(J122&gt;10,J122/E122*0.876,""),“”)</f>
        <v>0.180761904761905</v>
      </c>
      <c r="U122" s="51" t="str" cm="1">
        <f t="array" ref="U122">IFERROR(IF(K122&gt;10,K122/F122*0.876,""),“”)</f>
        <v/>
      </c>
      <c r="V122" s="78">
        <f t="shared" si="13"/>
        <v>0.280271468144044</v>
      </c>
    </row>
    <row r="123" ht="13" spans="1:22">
      <c r="A123" s="63" t="s">
        <v>259</v>
      </c>
      <c r="B123" s="36">
        <v>2019</v>
      </c>
      <c r="C123" s="46">
        <v>3410</v>
      </c>
      <c r="D123" s="46">
        <v>3384</v>
      </c>
      <c r="E123" s="70"/>
      <c r="F123" s="70"/>
      <c r="G123" s="46">
        <v>26</v>
      </c>
      <c r="H123" s="46">
        <v>1390</v>
      </c>
      <c r="I123" s="46">
        <v>1381</v>
      </c>
      <c r="J123" s="70"/>
      <c r="K123" s="70"/>
      <c r="L123" s="46">
        <v>8</v>
      </c>
      <c r="M123" s="46">
        <v>4237</v>
      </c>
      <c r="N123" s="46">
        <v>4238</v>
      </c>
      <c r="O123" s="70"/>
      <c r="P123" s="70"/>
      <c r="Q123" s="46">
        <v>3978</v>
      </c>
      <c r="R123" s="51" cm="1">
        <f t="array" ref="R123">IFERROR(IF(H123&gt;10,H123/C123*0.876,""),“”)</f>
        <v>0.357079178885631</v>
      </c>
      <c r="S123" s="51" cm="1">
        <f t="array" ref="S123">IFERROR(IF(I123&gt;10,I123/D123*0.876,""),“”)</f>
        <v>0.357492907801418</v>
      </c>
      <c r="T123" s="51" t="str" cm="1">
        <f t="array" ref="T123">IFERROR(IF(J123&gt;10,J123/E123*0.876,""),“”)</f>
        <v/>
      </c>
      <c r="U123" s="51" t="str" cm="1">
        <f t="array" ref="U123">IFERROR(IF(K123&gt;10,K123/F123*0.876,""),“”)</f>
        <v/>
      </c>
      <c r="V123" s="78">
        <f t="shared" si="13"/>
        <v>0.357079178885631</v>
      </c>
    </row>
    <row r="124" ht="13" spans="1:22">
      <c r="A124" s="63" t="s">
        <v>260</v>
      </c>
      <c r="B124" s="36">
        <v>2019</v>
      </c>
      <c r="C124" s="46">
        <v>1509</v>
      </c>
      <c r="D124" s="46">
        <v>1298</v>
      </c>
      <c r="E124" s="46">
        <v>3</v>
      </c>
      <c r="F124" s="70"/>
      <c r="G124" s="46">
        <v>208</v>
      </c>
      <c r="H124" s="46">
        <v>318</v>
      </c>
      <c r="I124" s="46">
        <v>223</v>
      </c>
      <c r="J124" s="86">
        <v>0.5</v>
      </c>
      <c r="K124" s="70"/>
      <c r="L124" s="46">
        <v>95</v>
      </c>
      <c r="M124" s="46">
        <v>2108</v>
      </c>
      <c r="N124" s="46">
        <v>1715</v>
      </c>
      <c r="O124" s="46">
        <v>6344</v>
      </c>
      <c r="P124" s="70"/>
      <c r="Q124" s="46">
        <v>4902</v>
      </c>
      <c r="R124" s="51" cm="1">
        <f t="array" ref="R124">IFERROR(IF(H124&gt;10,H124/C124*0.876,""),“”)</f>
        <v>0.184604373757455</v>
      </c>
      <c r="S124" s="51" cm="1">
        <f t="array" ref="S124">IFERROR(IF(I124&gt;10,I124/D124*0.876,""),“”)</f>
        <v>0.150499229583975</v>
      </c>
      <c r="T124" s="51" t="str" cm="1">
        <f t="array" ref="T124">IFERROR(IF(J124&gt;10,J124/E124*0.876,""),“”)</f>
        <v/>
      </c>
      <c r="U124" s="51" t="str" cm="1">
        <f t="array" ref="U124">IFERROR(IF(K124&gt;10,K124/F124*0.876,""),“”)</f>
        <v/>
      </c>
      <c r="V124" s="78">
        <f t="shared" si="13"/>
        <v>0.184681274900398</v>
      </c>
    </row>
    <row r="125" ht="13" spans="1:22">
      <c r="A125" s="63" t="s">
        <v>261</v>
      </c>
      <c r="B125" s="36">
        <v>2019</v>
      </c>
      <c r="C125" s="46">
        <v>42</v>
      </c>
      <c r="D125" s="70"/>
      <c r="E125" s="70"/>
      <c r="F125" s="46">
        <v>38</v>
      </c>
      <c r="G125" s="46">
        <v>4</v>
      </c>
      <c r="H125" s="46">
        <v>1</v>
      </c>
      <c r="I125" s="70"/>
      <c r="J125" s="70"/>
      <c r="K125" s="86">
        <v>0.4</v>
      </c>
      <c r="L125" s="46">
        <v>1</v>
      </c>
      <c r="M125" s="46">
        <v>297</v>
      </c>
      <c r="N125" s="70"/>
      <c r="O125" s="70"/>
      <c r="P125" s="46">
        <v>99</v>
      </c>
      <c r="Q125" s="46">
        <v>5272</v>
      </c>
      <c r="R125" s="51" t="str" cm="1">
        <f t="array" ref="R125">IFERROR(IF(H125&gt;10,H125/C125*0.876,""),“”)</f>
        <v/>
      </c>
      <c r="S125" s="51" t="str" cm="1">
        <f t="array" ref="S125">IFERROR(IF(I125&gt;10,I125/D125*0.876,""),“”)</f>
        <v/>
      </c>
      <c r="T125" s="51" t="str" cm="1">
        <f t="array" ref="T125">IFERROR(IF(J125&gt;10,J125/E125*0.876,""),“”)</f>
        <v/>
      </c>
      <c r="U125" s="51" t="str" cm="1">
        <f t="array" ref="U125">IFERROR(IF(K125&gt;10,K125/F125*0.876,""),“”)</f>
        <v/>
      </c>
      <c r="V125" s="78" t="str">
        <f t="shared" si="13"/>
        <v/>
      </c>
    </row>
    <row r="126" ht="13" spans="1:22">
      <c r="A126" s="63" t="s">
        <v>262</v>
      </c>
      <c r="B126" s="36">
        <v>2019</v>
      </c>
      <c r="C126" s="46">
        <v>4380</v>
      </c>
      <c r="D126" s="46">
        <v>4207</v>
      </c>
      <c r="E126" s="46">
        <v>8</v>
      </c>
      <c r="F126" s="70"/>
      <c r="G126" s="46">
        <v>166</v>
      </c>
      <c r="H126" s="46">
        <v>1917</v>
      </c>
      <c r="I126" s="46">
        <v>1828</v>
      </c>
      <c r="J126" s="46">
        <v>5</v>
      </c>
      <c r="K126" s="70"/>
      <c r="L126" s="46">
        <v>84</v>
      </c>
      <c r="M126" s="46">
        <v>4383</v>
      </c>
      <c r="N126" s="46">
        <v>4386</v>
      </c>
      <c r="O126" s="70"/>
      <c r="P126" s="70"/>
      <c r="Q126" s="46">
        <v>4246</v>
      </c>
      <c r="R126" s="51" cm="1">
        <f t="array" ref="R126">IFERROR(IF(H126&gt;10,H126/C126*0.876,""),“”)</f>
        <v>0.3834</v>
      </c>
      <c r="S126" s="51" cm="1">
        <f t="array" ref="S126">IFERROR(IF(I126&gt;10,I126/D126*0.876,""),“”)</f>
        <v>0.380634181126694</v>
      </c>
      <c r="T126" s="51" t="str" cm="1">
        <f t="array" ref="T126">IFERROR(IF(J126&gt;10,J126/E126*0.876,""),“”)</f>
        <v/>
      </c>
      <c r="U126" s="51" t="str" cm="1">
        <f t="array" ref="U126">IFERROR(IF(K126&gt;10,K126/F126*0.876,""),“”)</f>
        <v/>
      </c>
      <c r="V126" s="78">
        <f t="shared" si="13"/>
        <v>0.383099725526075</v>
      </c>
    </row>
    <row r="127" ht="13" spans="1:22">
      <c r="A127" s="63" t="s">
        <v>263</v>
      </c>
      <c r="B127" s="36">
        <v>2019</v>
      </c>
      <c r="C127" s="46">
        <v>2104</v>
      </c>
      <c r="D127" s="46">
        <v>2062</v>
      </c>
      <c r="E127" s="46">
        <v>1</v>
      </c>
      <c r="F127" s="70"/>
      <c r="G127" s="46">
        <v>40</v>
      </c>
      <c r="H127" s="46">
        <v>817</v>
      </c>
      <c r="I127" s="46">
        <v>803</v>
      </c>
      <c r="J127" s="70"/>
      <c r="K127" s="70"/>
      <c r="L127" s="46">
        <v>14</v>
      </c>
      <c r="M127" s="46">
        <v>4236</v>
      </c>
      <c r="N127" s="46">
        <v>4246</v>
      </c>
      <c r="O127" s="70"/>
      <c r="P127" s="70"/>
      <c r="Q127" s="46">
        <v>3818</v>
      </c>
      <c r="R127" s="51" cm="1">
        <f t="array" ref="R127">IFERROR(IF(H127&gt;10,H127/C127*0.876,""),“”)</f>
        <v>0.340157794676806</v>
      </c>
      <c r="S127" s="51" cm="1">
        <f t="array" ref="S127">IFERROR(IF(I127&gt;10,I127/D127*0.876,""),“”)</f>
        <v>0.34113870029098</v>
      </c>
      <c r="T127" s="51" t="str" cm="1">
        <f t="array" ref="T127">IFERROR(IF(J127&gt;10,J127/E127*0.876,""),“”)</f>
        <v/>
      </c>
      <c r="U127" s="51" t="str" cm="1">
        <f t="array" ref="U127">IFERROR(IF(K127&gt;10,K127/F127*0.876,""),“”)</f>
        <v/>
      </c>
      <c r="V127" s="78">
        <f t="shared" si="13"/>
        <v>0.340319543509272</v>
      </c>
    </row>
    <row r="128" ht="13" spans="1:22">
      <c r="A128" s="63" t="s">
        <v>264</v>
      </c>
      <c r="B128" s="36">
        <v>2019</v>
      </c>
      <c r="C128" s="46">
        <v>393</v>
      </c>
      <c r="D128" s="46">
        <v>375</v>
      </c>
      <c r="E128" s="86">
        <v>0.4</v>
      </c>
      <c r="F128" s="70"/>
      <c r="G128" s="46">
        <v>17</v>
      </c>
      <c r="H128" s="46">
        <v>104</v>
      </c>
      <c r="I128" s="46">
        <v>100</v>
      </c>
      <c r="J128" s="42">
        <v>0.1</v>
      </c>
      <c r="K128" s="70"/>
      <c r="L128" s="46">
        <v>4</v>
      </c>
      <c r="M128" s="46">
        <v>2667</v>
      </c>
      <c r="N128" s="46">
        <v>2665</v>
      </c>
      <c r="O128" s="70"/>
      <c r="P128" s="70"/>
      <c r="Q128" s="46">
        <v>2713</v>
      </c>
      <c r="R128" s="51" cm="1">
        <f t="array" ref="R128">IFERROR(IF(H128&gt;10,H128/C128*0.876,""),“”)</f>
        <v>0.23181679389313</v>
      </c>
      <c r="S128" s="51" cm="1">
        <f t="array" ref="S128">IFERROR(IF(I128&gt;10,I128/D128*0.876,""),“”)</f>
        <v>0.2336</v>
      </c>
      <c r="T128" s="51" t="str" cm="1">
        <f t="array" ref="T128">IFERROR(IF(J128&gt;10,J128/E128*0.876,""),“”)</f>
        <v/>
      </c>
      <c r="U128" s="51" t="str" cm="1">
        <f t="array" ref="U128">IFERROR(IF(K128&gt;10,K128/F128*0.876,""),“”)</f>
        <v/>
      </c>
      <c r="V128" s="78">
        <f t="shared" si="13"/>
        <v>0.231829852266938</v>
      </c>
    </row>
    <row r="129" ht="13" spans="1:22">
      <c r="A129" s="63" t="s">
        <v>265</v>
      </c>
      <c r="B129" s="36">
        <v>2019</v>
      </c>
      <c r="C129" s="46">
        <v>3219</v>
      </c>
      <c r="D129" s="46">
        <v>3031</v>
      </c>
      <c r="E129" s="46">
        <v>70</v>
      </c>
      <c r="F129" s="70"/>
      <c r="G129" s="46">
        <v>118</v>
      </c>
      <c r="H129" s="46">
        <v>1381</v>
      </c>
      <c r="I129" s="46">
        <v>1310</v>
      </c>
      <c r="J129" s="46">
        <v>13</v>
      </c>
      <c r="K129" s="70"/>
      <c r="L129" s="46">
        <v>58</v>
      </c>
      <c r="M129" s="46">
        <v>4603</v>
      </c>
      <c r="N129" s="46">
        <v>4659</v>
      </c>
      <c r="O129" s="46">
        <v>1825</v>
      </c>
      <c r="P129" s="70"/>
      <c r="Q129" s="46">
        <v>4937</v>
      </c>
      <c r="R129" s="51" cm="1">
        <f t="array" ref="R129">IFERROR(IF(H129&gt;10,H129/C129*0.876,""),“”)</f>
        <v>0.375817334575955</v>
      </c>
      <c r="S129" s="51" cm="1">
        <f t="array" ref="S129">IFERROR(IF(I129&gt;10,I129/D129*0.876,""),“”)</f>
        <v>0.378607720224348</v>
      </c>
      <c r="T129" s="51" cm="1">
        <f t="array" ref="T129">IFERROR(IF(J129&gt;10,J129/E129*0.876,""),“”)</f>
        <v>0.162685714285714</v>
      </c>
      <c r="U129" s="51" t="str" cm="1">
        <f t="array" ref="U129">IFERROR(IF(K129&gt;10,K129/F129*0.876,""),“”)</f>
        <v/>
      </c>
      <c r="V129" s="78">
        <f t="shared" si="13"/>
        <v>0.380555096856145</v>
      </c>
    </row>
    <row r="130" ht="13.75" spans="1:22">
      <c r="A130" s="65" t="s">
        <v>266</v>
      </c>
      <c r="B130" s="66">
        <v>2019</v>
      </c>
      <c r="C130" s="88">
        <v>5813</v>
      </c>
      <c r="D130" s="88">
        <v>5644</v>
      </c>
      <c r="E130" s="88">
        <v>85</v>
      </c>
      <c r="F130" s="84"/>
      <c r="G130" s="88">
        <v>85</v>
      </c>
      <c r="H130" s="88">
        <v>2777</v>
      </c>
      <c r="I130" s="88">
        <v>2726</v>
      </c>
      <c r="J130" s="88">
        <v>19</v>
      </c>
      <c r="K130" s="84"/>
      <c r="L130" s="88">
        <v>32</v>
      </c>
      <c r="M130" s="88">
        <v>5069</v>
      </c>
      <c r="N130" s="88">
        <v>5126</v>
      </c>
      <c r="O130" s="88">
        <v>2290</v>
      </c>
      <c r="P130" s="84"/>
      <c r="Q130" s="88">
        <v>4190</v>
      </c>
      <c r="R130" s="79" cm="1">
        <f t="array" ref="R130">IFERROR(IF(H130&gt;10,H130/C130*0.876,""),“”)</f>
        <v>0.418484775503183</v>
      </c>
      <c r="S130" s="79" cm="1">
        <f t="array" ref="S130">IFERROR(IF(I130&gt;10,I130/D130*0.876,""),“”)</f>
        <v>0.423099929128278</v>
      </c>
      <c r="T130" s="79" cm="1">
        <f t="array" ref="T130">IFERROR(IF(J130&gt;10,J130/E130*0.876,""),“”)</f>
        <v>0.195811764705882</v>
      </c>
      <c r="U130" s="79" t="str" cm="1">
        <f t="array" ref="U130">IFERROR(IF(K130&gt;10,K130/F130*0.876,""),“”)</f>
        <v/>
      </c>
      <c r="V130" s="80">
        <f t="shared" si="13"/>
        <v>0.421789106145251</v>
      </c>
    </row>
    <row r="131" ht="13" spans="1:22">
      <c r="A131" s="59" t="s">
        <v>234</v>
      </c>
      <c r="B131" s="60">
        <v>2020</v>
      </c>
      <c r="C131" s="61">
        <v>124624</v>
      </c>
      <c r="D131" s="61">
        <v>107912</v>
      </c>
      <c r="E131" s="61">
        <v>9972</v>
      </c>
      <c r="F131" s="61">
        <v>147</v>
      </c>
      <c r="G131" s="61">
        <v>6593</v>
      </c>
      <c r="H131" s="61">
        <v>51770</v>
      </c>
      <c r="I131" s="61">
        <v>46296</v>
      </c>
      <c r="J131" s="61">
        <v>2525</v>
      </c>
      <c r="K131" s="61">
        <v>12</v>
      </c>
      <c r="L131" s="61">
        <v>2936</v>
      </c>
      <c r="M131" s="61">
        <v>4211</v>
      </c>
      <c r="N131" s="61">
        <v>4323</v>
      </c>
      <c r="O131" s="61">
        <v>2610</v>
      </c>
      <c r="P131" s="61">
        <v>863</v>
      </c>
      <c r="Q131" s="61">
        <v>4828</v>
      </c>
      <c r="R131" s="76" cm="1">
        <f t="array" ref="R131">IFERROR(IF(H131&gt;10,H131/C131*0.876,""),“”)</f>
        <v>0.363898767492618</v>
      </c>
      <c r="S131" s="76" cm="1">
        <f t="array" ref="S131">IFERROR(IF(I131&gt;10,I131/D131*0.876,""),“”)</f>
        <v>0.375818222255171</v>
      </c>
      <c r="T131" s="76" cm="1">
        <f t="array" ref="T131">IFERROR(IF(J131&gt;10,J131/E131*0.876,""),“”)</f>
        <v>0.221811070998797</v>
      </c>
      <c r="U131" s="76" cm="1">
        <f t="array" ref="U131">IFERROR(IF(K131&gt;10,K131/F131*0.876,""),“”)</f>
        <v>0.0715102040816327</v>
      </c>
      <c r="V131" s="77">
        <f t="shared" ref="V131:V162" si="14">IFERROR(IF((H131-J131)&gt;10,(H131-J131)/(C131-E131)*0.876,""),"")</f>
        <v>0.376257021246904</v>
      </c>
    </row>
    <row r="132" ht="13" spans="1:22">
      <c r="A132" s="63" t="s">
        <v>235</v>
      </c>
      <c r="B132" s="36">
        <v>2020</v>
      </c>
      <c r="C132" s="44">
        <v>1136</v>
      </c>
      <c r="D132" s="44">
        <v>77</v>
      </c>
      <c r="E132" s="44">
        <v>1000</v>
      </c>
      <c r="F132" s="44">
        <v>22</v>
      </c>
      <c r="G132" s="44">
        <v>38</v>
      </c>
      <c r="H132" s="44">
        <v>434</v>
      </c>
      <c r="I132" s="44">
        <v>10</v>
      </c>
      <c r="J132" s="44">
        <v>397</v>
      </c>
      <c r="K132" s="44">
        <v>4</v>
      </c>
      <c r="L132" s="44">
        <v>23</v>
      </c>
      <c r="M132" s="44">
        <v>3823</v>
      </c>
      <c r="N132" s="44">
        <v>1282</v>
      </c>
      <c r="O132" s="44">
        <v>3974</v>
      </c>
      <c r="P132" s="44">
        <v>1764</v>
      </c>
      <c r="Q132" s="44">
        <v>6328</v>
      </c>
      <c r="R132" s="51" cm="1">
        <f t="array" ref="R132">IFERROR(IF(H132&gt;10,H132/C132*0.876,""),“”)</f>
        <v>0.334669014084507</v>
      </c>
      <c r="S132" s="51" t="str" cm="1">
        <f t="array" ref="S132">IFERROR(IF(I132&gt;10,I132/D132*0.876,""),“”)</f>
        <v/>
      </c>
      <c r="T132" s="51" cm="1">
        <f t="array" ref="T132">IFERROR(IF(J132&gt;10,J132/E132*0.876,""),“”)</f>
        <v>0.347772</v>
      </c>
      <c r="U132" s="51" t="str" cm="1">
        <f t="array" ref="U132">IFERROR(IF(K132&gt;10,K132/F132*0.876,""),“”)</f>
        <v/>
      </c>
      <c r="V132" s="78">
        <f t="shared" si="14"/>
        <v>0.238323529411765</v>
      </c>
    </row>
    <row r="133" ht="13" spans="1:22">
      <c r="A133" s="63" t="s">
        <v>236</v>
      </c>
      <c r="B133" s="36">
        <v>2020</v>
      </c>
      <c r="C133" s="44">
        <v>1668</v>
      </c>
      <c r="D133" s="44">
        <v>1230</v>
      </c>
      <c r="E133" s="44">
        <v>382</v>
      </c>
      <c r="F133" s="70"/>
      <c r="G133" s="44">
        <v>56</v>
      </c>
      <c r="H133" s="44">
        <v>668</v>
      </c>
      <c r="I133" s="44">
        <v>513</v>
      </c>
      <c r="J133" s="44">
        <v>134</v>
      </c>
      <c r="K133" s="70"/>
      <c r="L133" s="44">
        <v>21</v>
      </c>
      <c r="M133" s="44">
        <v>4015</v>
      </c>
      <c r="N133" s="44">
        <v>4155</v>
      </c>
      <c r="O133" s="44">
        <v>3437</v>
      </c>
      <c r="P133" s="70"/>
      <c r="Q133" s="44">
        <v>5204</v>
      </c>
      <c r="R133" s="51" cm="1">
        <f t="array" ref="R133">IFERROR(IF(H133&gt;10,H133/C133*0.876,""),“”)</f>
        <v>0.350820143884892</v>
      </c>
      <c r="S133" s="51" cm="1">
        <f t="array" ref="S133">IFERROR(IF(I133&gt;10,I133/D133*0.876,""),“”)</f>
        <v>0.365356097560976</v>
      </c>
      <c r="T133" s="51" cm="1">
        <f t="array" ref="T133">IFERROR(IF(J133&gt;10,J133/E133*0.876,""),“”)</f>
        <v>0.307287958115183</v>
      </c>
      <c r="U133" s="51" t="str" cm="1">
        <f t="array" ref="U133">IFERROR(IF(K133&gt;10,K133/F133*0.876,""),“”)</f>
        <v/>
      </c>
      <c r="V133" s="78">
        <f t="shared" si="14"/>
        <v>0.363751166407465</v>
      </c>
    </row>
    <row r="134" ht="13" spans="1:22">
      <c r="A134" s="63" t="s">
        <v>237</v>
      </c>
      <c r="B134" s="36">
        <v>2020</v>
      </c>
      <c r="C134" s="44">
        <v>5391</v>
      </c>
      <c r="D134" s="44">
        <v>4952</v>
      </c>
      <c r="E134" s="44">
        <v>94</v>
      </c>
      <c r="F134" s="70"/>
      <c r="G134" s="44">
        <v>345</v>
      </c>
      <c r="H134" s="44">
        <v>2352</v>
      </c>
      <c r="I134" s="44">
        <v>2224</v>
      </c>
      <c r="J134" s="44">
        <v>8</v>
      </c>
      <c r="K134" s="70"/>
      <c r="L134" s="44">
        <v>120</v>
      </c>
      <c r="M134" s="44">
        <v>4447</v>
      </c>
      <c r="N134" s="44">
        <v>4533</v>
      </c>
      <c r="O134" s="70">
        <v>1156</v>
      </c>
      <c r="P134" s="70"/>
      <c r="Q134" s="44">
        <v>3676</v>
      </c>
      <c r="R134" s="51" cm="1">
        <f t="array" ref="R134">IFERROR(IF(H134&gt;10,H134/C134*0.876,""),“”)</f>
        <v>0.382183639398998</v>
      </c>
      <c r="S134" s="51" cm="1">
        <f t="array" ref="S134">IFERROR(IF(I134&gt;10,I134/D134*0.876,""),“”)</f>
        <v>0.393421647819063</v>
      </c>
      <c r="T134" s="51" t="str" cm="1">
        <f t="array" ref="T134">IFERROR(IF(J134&gt;10,J134/E134*0.876,""),“”)</f>
        <v/>
      </c>
      <c r="U134" s="51" t="str" cm="1">
        <f t="array" ref="U134">IFERROR(IF(K134&gt;10,K134/F134*0.876,""),“”)</f>
        <v/>
      </c>
      <c r="V134" s="78">
        <f t="shared" si="14"/>
        <v>0.387642816688692</v>
      </c>
    </row>
    <row r="135" ht="13" spans="1:22">
      <c r="A135" s="63" t="s">
        <v>238</v>
      </c>
      <c r="B135" s="36">
        <v>2020</v>
      </c>
      <c r="C135" s="44">
        <v>6878</v>
      </c>
      <c r="D135" s="44">
        <v>6263</v>
      </c>
      <c r="E135" s="44">
        <v>348</v>
      </c>
      <c r="F135" s="70"/>
      <c r="G135" s="44">
        <v>267</v>
      </c>
      <c r="H135" s="44">
        <v>2924</v>
      </c>
      <c r="I135" s="44">
        <v>2722</v>
      </c>
      <c r="J135" s="44">
        <v>108</v>
      </c>
      <c r="K135" s="70"/>
      <c r="L135" s="44">
        <v>95</v>
      </c>
      <c r="M135" s="44">
        <v>4403</v>
      </c>
      <c r="N135" s="44">
        <v>4475</v>
      </c>
      <c r="O135" s="44">
        <v>3393</v>
      </c>
      <c r="P135" s="70"/>
      <c r="Q135" s="44">
        <v>3895</v>
      </c>
      <c r="R135" s="51" cm="1">
        <f t="array" ref="R135">IFERROR(IF(H135&gt;10,H135/C135*0.876,""),“”)</f>
        <v>0.372408258214597</v>
      </c>
      <c r="S135" s="51" cm="1">
        <f t="array" ref="S135">IFERROR(IF(I135&gt;10,I135/D135*0.876,""),“”)</f>
        <v>0.380723614881047</v>
      </c>
      <c r="T135" s="51" cm="1">
        <f t="array" ref="T135">IFERROR(IF(J135&gt;10,J135/E135*0.876,""),“”)</f>
        <v>0.271862068965517</v>
      </c>
      <c r="U135" s="51" t="str" cm="1">
        <f t="array" ref="U135">IFERROR(IF(K135&gt;10,K135/F135*0.876,""),“”)</f>
        <v/>
      </c>
      <c r="V135" s="78">
        <f t="shared" si="14"/>
        <v>0.377766615620214</v>
      </c>
    </row>
    <row r="136" ht="13" spans="1:22">
      <c r="A136" s="63" t="s">
        <v>239</v>
      </c>
      <c r="B136" s="36">
        <v>2020</v>
      </c>
      <c r="C136" s="44">
        <v>9374</v>
      </c>
      <c r="D136" s="44">
        <v>9207</v>
      </c>
      <c r="E136" s="44">
        <v>74</v>
      </c>
      <c r="F136" s="70"/>
      <c r="G136" s="44">
        <v>93</v>
      </c>
      <c r="H136" s="44">
        <v>4731</v>
      </c>
      <c r="I136" s="44">
        <v>4677</v>
      </c>
      <c r="J136" s="44">
        <v>28.4</v>
      </c>
      <c r="K136" s="70"/>
      <c r="L136" s="44">
        <v>25</v>
      </c>
      <c r="M136" s="44">
        <v>5066</v>
      </c>
      <c r="N136" s="44">
        <v>5095</v>
      </c>
      <c r="O136" s="44">
        <v>3922</v>
      </c>
      <c r="P136" s="70"/>
      <c r="Q136" s="44">
        <v>2984</v>
      </c>
      <c r="R136" s="51" cm="1">
        <f t="array" ref="R136">IFERROR(IF(H136&gt;10,H136/C136*0.876,""),“”)</f>
        <v>0.44211179859185</v>
      </c>
      <c r="S136" s="51" cm="1">
        <f t="array" ref="S136">IFERROR(IF(I136&gt;10,I136/D136*0.876,""),“”)</f>
        <v>0.444993157380254</v>
      </c>
      <c r="T136" s="51" cm="1">
        <f t="array" ref="T136">IFERROR(IF(J136&gt;10,J136/E136*0.876,""),“”)</f>
        <v>0.336194594594595</v>
      </c>
      <c r="U136" s="51" t="str" cm="1">
        <f t="array" ref="U136">IFERROR(IF(K136&gt;10,K136/F136*0.876,""),“”)</f>
        <v/>
      </c>
      <c r="V136" s="78">
        <f t="shared" si="14"/>
        <v>0.442954580645161</v>
      </c>
    </row>
    <row r="137" ht="13" spans="1:22">
      <c r="A137" s="63" t="s">
        <v>240</v>
      </c>
      <c r="B137" s="36">
        <v>2020</v>
      </c>
      <c r="C137" s="44">
        <v>3643</v>
      </c>
      <c r="D137" s="44">
        <v>3499</v>
      </c>
      <c r="E137" s="44">
        <v>6</v>
      </c>
      <c r="F137" s="44">
        <v>15</v>
      </c>
      <c r="G137" s="44">
        <v>123</v>
      </c>
      <c r="H137" s="44">
        <v>1410</v>
      </c>
      <c r="I137" s="44">
        <v>1340</v>
      </c>
      <c r="J137" s="44">
        <v>3</v>
      </c>
      <c r="K137" s="44">
        <v>4</v>
      </c>
      <c r="L137" s="44">
        <v>63</v>
      </c>
      <c r="M137" s="44">
        <v>3951</v>
      </c>
      <c r="N137" s="44">
        <v>3909</v>
      </c>
      <c r="O137" s="44">
        <v>4856</v>
      </c>
      <c r="P137" s="44">
        <v>2509</v>
      </c>
      <c r="Q137" s="44">
        <v>5381</v>
      </c>
      <c r="R137" s="51" cm="1">
        <f t="array" ref="R137">IFERROR(IF(H137&gt;10,H137/C137*0.876,""),“”)</f>
        <v>0.339050233324183</v>
      </c>
      <c r="S137" s="51" cm="1">
        <f t="array" ref="S137">IFERROR(IF(I137&gt;10,I137/D137*0.876,""),“”)</f>
        <v>0.335478708202343</v>
      </c>
      <c r="T137" s="51" t="str" cm="1">
        <f t="array" ref="T137">IFERROR(IF(J137&gt;10,J137/E137*0.876,""),“”)</f>
        <v/>
      </c>
      <c r="U137" s="51" t="str" cm="1">
        <f t="array" ref="U137">IFERROR(IF(K137&gt;10,K137/F137*0.876,""),“”)</f>
        <v/>
      </c>
      <c r="V137" s="78">
        <f t="shared" si="14"/>
        <v>0.338886994775914</v>
      </c>
    </row>
    <row r="138" ht="13" spans="1:22">
      <c r="A138" s="63" t="s">
        <v>241</v>
      </c>
      <c r="B138" s="36">
        <v>2020</v>
      </c>
      <c r="C138" s="44">
        <v>1852</v>
      </c>
      <c r="D138" s="44">
        <v>1733</v>
      </c>
      <c r="E138" s="44">
        <v>1</v>
      </c>
      <c r="F138" s="70"/>
      <c r="G138" s="44">
        <v>118</v>
      </c>
      <c r="H138" s="44">
        <v>721</v>
      </c>
      <c r="I138" s="44">
        <v>677</v>
      </c>
      <c r="J138" s="42">
        <v>0.1</v>
      </c>
      <c r="K138" s="70"/>
      <c r="L138" s="44">
        <v>45</v>
      </c>
      <c r="M138" s="44">
        <v>3909</v>
      </c>
      <c r="N138" s="44">
        <v>3907</v>
      </c>
      <c r="O138" s="44">
        <v>72</v>
      </c>
      <c r="P138" s="70"/>
      <c r="Q138" s="44">
        <v>3949</v>
      </c>
      <c r="R138" s="51" cm="1">
        <f t="array" ref="R138">IFERROR(IF(H138&gt;10,H138/C138*0.876,""),“”)</f>
        <v>0.341034557235421</v>
      </c>
      <c r="S138" s="51" cm="1">
        <f t="array" ref="S138">IFERROR(IF(I138&gt;10,I138/D138*0.876,""),“”)</f>
        <v>0.342211194460473</v>
      </c>
      <c r="T138" s="51" t="str" cm="1">
        <f t="array" ref="T138">IFERROR(IF(J138&gt;10,J138/E138*0.876,""),“”)</f>
        <v/>
      </c>
      <c r="U138" s="51" t="str" cm="1">
        <f t="array" ref="U138">IFERROR(IF(K138&gt;10,K138/F138*0.876,""),“”)</f>
        <v/>
      </c>
      <c r="V138" s="78">
        <f t="shared" si="14"/>
        <v>0.341171474878444</v>
      </c>
    </row>
    <row r="139" ht="13" spans="1:22">
      <c r="A139" s="63" t="s">
        <v>242</v>
      </c>
      <c r="B139" s="36">
        <v>2020</v>
      </c>
      <c r="C139" s="44">
        <v>2423</v>
      </c>
      <c r="D139" s="44">
        <v>2222</v>
      </c>
      <c r="E139" s="44">
        <v>14</v>
      </c>
      <c r="F139" s="44">
        <v>2</v>
      </c>
      <c r="G139" s="44">
        <v>185</v>
      </c>
      <c r="H139" s="44">
        <v>895</v>
      </c>
      <c r="I139" s="44">
        <v>815</v>
      </c>
      <c r="J139" s="46">
        <v>3</v>
      </c>
      <c r="K139" s="70"/>
      <c r="L139" s="44">
        <v>76</v>
      </c>
      <c r="M139" s="44">
        <v>3822</v>
      </c>
      <c r="N139" s="44">
        <v>3736</v>
      </c>
      <c r="O139" s="44">
        <v>2723</v>
      </c>
      <c r="P139" s="70"/>
      <c r="Q139" s="44">
        <v>5290</v>
      </c>
      <c r="R139" s="51" cm="1">
        <f t="array" ref="R139">IFERROR(IF(H139&gt;10,H139/C139*0.876,""),“”)</f>
        <v>0.32357408171688</v>
      </c>
      <c r="S139" s="51" cm="1">
        <f t="array" ref="S139">IFERROR(IF(I139&gt;10,I139/D139*0.876,""),“”)</f>
        <v>0.321305130513051</v>
      </c>
      <c r="T139" s="51" t="str" cm="1">
        <f t="array" ref="T139">IFERROR(IF(J139&gt;10,J139/E139*0.876,""),“”)</f>
        <v/>
      </c>
      <c r="U139" s="51" t="str" cm="1">
        <f t="array" ref="U139">IFERROR(IF(K139&gt;10,K139/F139*0.876,""),“”)</f>
        <v/>
      </c>
      <c r="V139" s="78">
        <f t="shared" si="14"/>
        <v>0.324363636363636</v>
      </c>
    </row>
    <row r="140" ht="13" spans="1:22">
      <c r="A140" s="63" t="s">
        <v>243</v>
      </c>
      <c r="B140" s="36">
        <v>2020</v>
      </c>
      <c r="C140" s="44">
        <v>2450</v>
      </c>
      <c r="D140" s="44">
        <v>1502</v>
      </c>
      <c r="E140" s="44">
        <v>766</v>
      </c>
      <c r="F140" s="44">
        <v>61</v>
      </c>
      <c r="G140" s="44">
        <v>121</v>
      </c>
      <c r="H140" s="44">
        <v>835</v>
      </c>
      <c r="I140" s="44">
        <v>619</v>
      </c>
      <c r="J140" s="44">
        <v>152</v>
      </c>
      <c r="K140" s="44">
        <v>1</v>
      </c>
      <c r="L140" s="44">
        <v>63</v>
      </c>
      <c r="M140" s="44">
        <v>3411</v>
      </c>
      <c r="N140" s="44">
        <v>4120</v>
      </c>
      <c r="O140" s="44">
        <v>1992</v>
      </c>
      <c r="P140" s="44">
        <v>196</v>
      </c>
      <c r="Q140" s="44">
        <v>5185</v>
      </c>
      <c r="R140" s="51" cm="1">
        <f t="array" ref="R140">IFERROR(IF(H140&gt;10,H140/C140*0.876,""),“”)</f>
        <v>0.298555102040816</v>
      </c>
      <c r="S140" s="51" cm="1">
        <f t="array" ref="S140">IFERROR(IF(I140&gt;10,I140/D140*0.876,""),“”)</f>
        <v>0.36101464713715</v>
      </c>
      <c r="T140" s="51" cm="1">
        <f t="array" ref="T140">IFERROR(IF(J140&gt;10,J140/E140*0.876,""),“”)</f>
        <v>0.173827676240209</v>
      </c>
      <c r="U140" s="51" t="str" cm="1">
        <f t="array" ref="U140">IFERROR(IF(K140&gt;10,K140/F140*0.876,""),“”)</f>
        <v/>
      </c>
      <c r="V140" s="78">
        <f t="shared" si="14"/>
        <v>0.355289786223278</v>
      </c>
    </row>
    <row r="141" ht="13" spans="1:22">
      <c r="A141" s="63" t="s">
        <v>244</v>
      </c>
      <c r="B141" s="36">
        <v>2020</v>
      </c>
      <c r="C141" s="44">
        <v>10079</v>
      </c>
      <c r="D141" s="44">
        <v>7921</v>
      </c>
      <c r="E141" s="44">
        <v>1700</v>
      </c>
      <c r="F141" s="70"/>
      <c r="G141" s="44">
        <v>459</v>
      </c>
      <c r="H141" s="44">
        <v>4290</v>
      </c>
      <c r="I141" s="44">
        <v>3570</v>
      </c>
      <c r="J141" s="44">
        <v>477</v>
      </c>
      <c r="K141" s="70"/>
      <c r="L141" s="44">
        <v>243</v>
      </c>
      <c r="M141" s="44">
        <v>4262</v>
      </c>
      <c r="N141" s="44">
        <v>4464</v>
      </c>
      <c r="O141" s="44">
        <v>2934</v>
      </c>
      <c r="P141" s="70"/>
      <c r="Q141" s="44">
        <v>5533</v>
      </c>
      <c r="R141" s="51" cm="1">
        <f t="array" ref="R141">IFERROR(IF(H141&gt;10,H141/C141*0.876,""),“”)</f>
        <v>0.372858418493898</v>
      </c>
      <c r="S141" s="51" cm="1">
        <f t="array" ref="S141">IFERROR(IF(I141&gt;10,I141/D141*0.876,""),“”)</f>
        <v>0.394813786138114</v>
      </c>
      <c r="T141" s="51" cm="1">
        <f t="array" ref="T141">IFERROR(IF(J141&gt;10,J141/E141*0.876,""),“”)</f>
        <v>0.245795294117647</v>
      </c>
      <c r="U141" s="51" t="str" cm="1">
        <f t="array" ref="U141">IFERROR(IF(K141&gt;10,K141/F141*0.876,""),“”)</f>
        <v/>
      </c>
      <c r="V141" s="78">
        <f t="shared" si="14"/>
        <v>0.398638023630505</v>
      </c>
    </row>
    <row r="142" ht="13" spans="1:22">
      <c r="A142" s="63" t="s">
        <v>245</v>
      </c>
      <c r="B142" s="36">
        <v>2020</v>
      </c>
      <c r="C142" s="44">
        <v>6358</v>
      </c>
      <c r="D142" s="44">
        <v>4738</v>
      </c>
      <c r="E142" s="44">
        <v>1262</v>
      </c>
      <c r="F142" s="44">
        <v>2</v>
      </c>
      <c r="G142" s="44">
        <v>355</v>
      </c>
      <c r="H142" s="44">
        <v>2432</v>
      </c>
      <c r="I142" s="44">
        <v>2102</v>
      </c>
      <c r="J142" s="44">
        <v>163</v>
      </c>
      <c r="K142" s="42">
        <v>0.03</v>
      </c>
      <c r="L142" s="44">
        <v>166</v>
      </c>
      <c r="M142" s="44">
        <v>3888</v>
      </c>
      <c r="N142" s="44">
        <v>4495</v>
      </c>
      <c r="O142" s="44">
        <v>1287</v>
      </c>
      <c r="P142" s="70"/>
      <c r="Q142" s="44">
        <v>5331</v>
      </c>
      <c r="R142" s="51" cm="1">
        <f t="array" ref="R142">IFERROR(IF(H142&gt;10,H142/C142*0.876,""),“”)</f>
        <v>0.33507895564643</v>
      </c>
      <c r="S142" s="51" cm="1">
        <f t="array" ref="S142">IFERROR(IF(I142&gt;10,I142/D142*0.876,""),“”)</f>
        <v>0.388634867032503</v>
      </c>
      <c r="T142" s="51" cm="1">
        <f t="array" ref="T142">IFERROR(IF(J142&gt;10,J142/E142*0.876,""),“”)</f>
        <v>0.113144215530903</v>
      </c>
      <c r="U142" s="51" t="str" cm="1">
        <f t="array" ref="U142">IFERROR(IF(K142&gt;10,K142/F142*0.876,""),“”)</f>
        <v/>
      </c>
      <c r="V142" s="78">
        <f t="shared" si="14"/>
        <v>0.390040031397174</v>
      </c>
    </row>
    <row r="143" ht="13" spans="1:22">
      <c r="A143" s="63" t="s">
        <v>246</v>
      </c>
      <c r="B143" s="36">
        <v>2020</v>
      </c>
      <c r="C143" s="44">
        <v>5561</v>
      </c>
      <c r="D143" s="44">
        <v>5143</v>
      </c>
      <c r="E143" s="44">
        <v>14</v>
      </c>
      <c r="F143" s="70"/>
      <c r="G143" s="44">
        <v>404</v>
      </c>
      <c r="H143" s="44">
        <v>2531</v>
      </c>
      <c r="I143" s="44">
        <v>2314</v>
      </c>
      <c r="J143" s="44">
        <v>3</v>
      </c>
      <c r="K143" s="70"/>
      <c r="L143" s="44">
        <v>214</v>
      </c>
      <c r="M143" s="44">
        <v>4577</v>
      </c>
      <c r="N143" s="44">
        <v>4509</v>
      </c>
      <c r="O143" s="44">
        <v>657</v>
      </c>
      <c r="P143" s="70"/>
      <c r="Q143" s="44">
        <v>5544</v>
      </c>
      <c r="R143" s="51" cm="1">
        <f t="array" ref="R143">IFERROR(IF(H143&gt;10,H143/C143*0.876,""),“”)</f>
        <v>0.398697356590541</v>
      </c>
      <c r="S143" s="51" cm="1">
        <f t="array" ref="S143">IFERROR(IF(I143&gt;10,I143/D143*0.876,""),“”)</f>
        <v>0.394140384989306</v>
      </c>
      <c r="T143" s="51" t="str" cm="1">
        <f t="array" ref="T143">IFERROR(IF(J143&gt;10,J143/E143*0.876,""),“”)</f>
        <v/>
      </c>
      <c r="U143" s="51" t="str" cm="1">
        <f t="array" ref="U143">IFERROR(IF(K143&gt;10,K143/F143*0.876,""),“”)</f>
        <v/>
      </c>
      <c r="V143" s="78">
        <f t="shared" si="14"/>
        <v>0.399229853975122</v>
      </c>
    </row>
    <row r="144" ht="13" spans="1:22">
      <c r="A144" s="63" t="s">
        <v>247</v>
      </c>
      <c r="B144" s="36">
        <v>2020</v>
      </c>
      <c r="C144" s="44">
        <v>3478</v>
      </c>
      <c r="D144" s="44">
        <v>2862</v>
      </c>
      <c r="E144" s="44">
        <v>391</v>
      </c>
      <c r="F144" s="46"/>
      <c r="G144" s="44">
        <v>224</v>
      </c>
      <c r="H144" s="44">
        <v>1551</v>
      </c>
      <c r="I144" s="44">
        <v>1380</v>
      </c>
      <c r="J144" s="44">
        <v>64</v>
      </c>
      <c r="K144" s="87"/>
      <c r="L144" s="44">
        <v>106</v>
      </c>
      <c r="M144" s="44">
        <v>4610</v>
      </c>
      <c r="N144" s="44">
        <v>4993</v>
      </c>
      <c r="O144" s="44">
        <v>1628</v>
      </c>
      <c r="P144" s="70"/>
      <c r="Q144" s="44">
        <v>5232</v>
      </c>
      <c r="R144" s="51" cm="1">
        <f t="array" ref="R144">IFERROR(IF(H144&gt;10,H144/C144*0.876,""),“”)</f>
        <v>0.390648648648649</v>
      </c>
      <c r="S144" s="51" cm="1">
        <f t="array" ref="S144">IFERROR(IF(I144&gt;10,I144/D144*0.876,""),“”)</f>
        <v>0.422389937106918</v>
      </c>
      <c r="T144" s="51" cm="1">
        <f t="array" ref="T144">IFERROR(IF(J144&gt;10,J144/E144*0.876,""),“”)</f>
        <v>0.143386189258312</v>
      </c>
      <c r="U144" s="51" t="str" cm="1">
        <f t="array" ref="U144">IFERROR(IF(K144&gt;10,K144/F144*0.876,""),“”)</f>
        <v/>
      </c>
      <c r="V144" s="78">
        <f t="shared" si="14"/>
        <v>0.421966958211856</v>
      </c>
    </row>
    <row r="145" ht="13" spans="1:22">
      <c r="A145" s="63" t="s">
        <v>248</v>
      </c>
      <c r="B145" s="36">
        <v>2020</v>
      </c>
      <c r="C145" s="44">
        <v>2455</v>
      </c>
      <c r="D145" s="44">
        <v>2056</v>
      </c>
      <c r="E145" s="44">
        <v>14</v>
      </c>
      <c r="F145" s="70"/>
      <c r="G145" s="44">
        <v>385</v>
      </c>
      <c r="H145" s="44">
        <v>1199</v>
      </c>
      <c r="I145" s="44">
        <v>1018</v>
      </c>
      <c r="J145" s="44">
        <v>4</v>
      </c>
      <c r="K145" s="70"/>
      <c r="L145" s="44">
        <v>177</v>
      </c>
      <c r="M145" s="44">
        <v>5144</v>
      </c>
      <c r="N145" s="44">
        <v>5106</v>
      </c>
      <c r="O145" s="44">
        <v>2806</v>
      </c>
      <c r="P145" s="70"/>
      <c r="Q145" s="44">
        <v>5463</v>
      </c>
      <c r="R145" s="51" cm="1">
        <f t="array" ref="R145">IFERROR(IF(H145&gt;10,H145/C145*0.876,""),“”)</f>
        <v>0.427830549898167</v>
      </c>
      <c r="S145" s="51" cm="1">
        <f t="array" ref="S145">IFERROR(IF(I145&gt;10,I145/D145*0.876,""),“”)</f>
        <v>0.433739299610895</v>
      </c>
      <c r="T145" s="51" t="str" cm="1">
        <f t="array" ref="T145">IFERROR(IF(J145&gt;10,J145/E145*0.876,""),“”)</f>
        <v/>
      </c>
      <c r="U145" s="51" t="str" cm="1">
        <f t="array" ref="U145">IFERROR(IF(K145&gt;10,K145/F145*0.876,""),“”)</f>
        <v/>
      </c>
      <c r="V145" s="78">
        <f t="shared" si="14"/>
        <v>0.428848832445719</v>
      </c>
    </row>
    <row r="146" ht="13" spans="1:22">
      <c r="A146" s="63" t="s">
        <v>249</v>
      </c>
      <c r="B146" s="36">
        <v>2020</v>
      </c>
      <c r="C146" s="44">
        <v>11135</v>
      </c>
      <c r="D146" s="44">
        <v>10305</v>
      </c>
      <c r="E146" s="44">
        <v>11</v>
      </c>
      <c r="F146" s="70"/>
      <c r="G146" s="44">
        <v>819</v>
      </c>
      <c r="H146" s="44">
        <v>5116</v>
      </c>
      <c r="I146" s="44">
        <v>4752</v>
      </c>
      <c r="J146" s="44">
        <v>3</v>
      </c>
      <c r="K146" s="70"/>
      <c r="L146" s="44">
        <v>362</v>
      </c>
      <c r="M146" s="44">
        <v>4377</v>
      </c>
      <c r="N146" s="44">
        <v>4351</v>
      </c>
      <c r="O146" s="44">
        <v>3370</v>
      </c>
      <c r="P146" s="70"/>
      <c r="Q146" s="44">
        <v>4761</v>
      </c>
      <c r="R146" s="51" cm="1">
        <f t="array" ref="R146">IFERROR(IF(H146&gt;10,H146/C146*0.876,""),“”)</f>
        <v>0.402480107768298</v>
      </c>
      <c r="S146" s="51" cm="1">
        <f t="array" ref="S146">IFERROR(IF(I146&gt;10,I146/D146*0.876,""),“”)</f>
        <v>0.403954585152838</v>
      </c>
      <c r="T146" s="51" t="str" cm="1">
        <f t="array" ref="T146">IFERROR(IF(J146&gt;10,J146/E146*0.876,""),“”)</f>
        <v/>
      </c>
      <c r="U146" s="51" t="str" cm="1">
        <f t="array" ref="U146">IFERROR(IF(K146&gt;10,K146/F146*0.876,""),“”)</f>
        <v/>
      </c>
      <c r="V146" s="78">
        <f t="shared" si="14"/>
        <v>0.402641855447681</v>
      </c>
    </row>
    <row r="147" ht="13" spans="1:22">
      <c r="A147" s="63" t="s">
        <v>250</v>
      </c>
      <c r="B147" s="36">
        <v>2020</v>
      </c>
      <c r="C147" s="44">
        <v>7068</v>
      </c>
      <c r="D147" s="44">
        <v>6482</v>
      </c>
      <c r="E147" s="44">
        <v>344</v>
      </c>
      <c r="F147" s="70"/>
      <c r="G147" s="44">
        <v>242</v>
      </c>
      <c r="H147" s="44">
        <v>2400</v>
      </c>
      <c r="I147" s="44">
        <v>2300</v>
      </c>
      <c r="J147" s="44">
        <v>29</v>
      </c>
      <c r="K147" s="70"/>
      <c r="L147" s="44">
        <v>71</v>
      </c>
      <c r="M147" s="44">
        <v>3330</v>
      </c>
      <c r="N147" s="44">
        <v>3443</v>
      </c>
      <c r="O147" s="44">
        <v>816</v>
      </c>
      <c r="P147" s="70"/>
      <c r="Q147" s="44">
        <v>3650</v>
      </c>
      <c r="R147" s="51" cm="1">
        <f t="array" ref="R147">IFERROR(IF(H147&gt;10,H147/C147*0.876,""),“”)</f>
        <v>0.297453310696095</v>
      </c>
      <c r="S147" s="51" cm="1">
        <f t="array" ref="S147">IFERROR(IF(I147&gt;10,I147/D147*0.876,""),“”)</f>
        <v>0.310829990743598</v>
      </c>
      <c r="T147" s="51" cm="1">
        <f t="array" ref="T147">IFERROR(IF(J147&gt;10,J147/E147*0.876,""),“”)</f>
        <v>0.0738488372093023</v>
      </c>
      <c r="U147" s="51" t="str" cm="1">
        <f t="array" ref="U147">IFERROR(IF(K147&gt;10,K147/F147*0.876,""),“”)</f>
        <v/>
      </c>
      <c r="V147" s="78">
        <f t="shared" si="14"/>
        <v>0.308892920880428</v>
      </c>
    </row>
    <row r="148" ht="13" spans="1:22">
      <c r="A148" s="63" t="s">
        <v>251</v>
      </c>
      <c r="B148" s="36">
        <v>2020</v>
      </c>
      <c r="C148" s="44">
        <v>3316</v>
      </c>
      <c r="D148" s="44">
        <v>2891</v>
      </c>
      <c r="E148" s="44">
        <v>112</v>
      </c>
      <c r="F148" s="70"/>
      <c r="G148" s="44">
        <v>314</v>
      </c>
      <c r="H148" s="44">
        <v>1243</v>
      </c>
      <c r="I148" s="44">
        <v>1102</v>
      </c>
      <c r="J148" s="44">
        <v>30</v>
      </c>
      <c r="K148" s="70"/>
      <c r="L148" s="44">
        <v>111</v>
      </c>
      <c r="M148" s="44">
        <v>3851</v>
      </c>
      <c r="N148" s="44">
        <v>3889</v>
      </c>
      <c r="O148" s="44">
        <v>2805</v>
      </c>
      <c r="P148" s="70"/>
      <c r="Q148" s="44">
        <v>3840</v>
      </c>
      <c r="R148" s="51" cm="1">
        <f t="array" ref="R148">IFERROR(IF(H148&gt;10,H148/C148*0.876,""),“”)</f>
        <v>0.328367913148372</v>
      </c>
      <c r="S148" s="51" cm="1">
        <f t="array" ref="S148">IFERROR(IF(I148&gt;10,I148/D148*0.876,""),“”)</f>
        <v>0.333916291940505</v>
      </c>
      <c r="T148" s="51" cm="1">
        <f t="array" ref="T148">IFERROR(IF(J148&gt;10,J148/E148*0.876,""),“”)</f>
        <v>0.234642857142857</v>
      </c>
      <c r="U148" s="51" t="str" cm="1">
        <f t="array" ref="U148">IFERROR(IF(K148&gt;10,K148/F148*0.876,""),“”)</f>
        <v/>
      </c>
      <c r="V148" s="78">
        <f t="shared" si="14"/>
        <v>0.331644194756554</v>
      </c>
    </row>
    <row r="149" ht="13" spans="1:22">
      <c r="A149" s="63" t="s">
        <v>252</v>
      </c>
      <c r="B149" s="36">
        <v>2020</v>
      </c>
      <c r="C149" s="44">
        <v>2269</v>
      </c>
      <c r="D149" s="44">
        <v>2024</v>
      </c>
      <c r="E149" s="44">
        <v>8</v>
      </c>
      <c r="F149" s="44">
        <v>5</v>
      </c>
      <c r="G149" s="44">
        <v>231</v>
      </c>
      <c r="H149" s="44">
        <v>849</v>
      </c>
      <c r="I149" s="44">
        <v>710</v>
      </c>
      <c r="J149" s="44">
        <v>3</v>
      </c>
      <c r="K149" s="44">
        <v>3</v>
      </c>
      <c r="L149" s="44">
        <v>134</v>
      </c>
      <c r="M149" s="44">
        <v>3761</v>
      </c>
      <c r="N149" s="44">
        <v>3517</v>
      </c>
      <c r="O149" s="44">
        <v>2482</v>
      </c>
      <c r="P149" s="44">
        <v>5421</v>
      </c>
      <c r="Q149" s="44">
        <v>6004</v>
      </c>
      <c r="R149" s="51" cm="1">
        <f t="array" ref="R149">IFERROR(IF(H149&gt;10,H149/C149*0.876,""),“”)</f>
        <v>0.327776112825033</v>
      </c>
      <c r="S149" s="51" cm="1">
        <f t="array" ref="S149">IFERROR(IF(I149&gt;10,I149/D149*0.876,""),“”)</f>
        <v>0.307292490118577</v>
      </c>
      <c r="T149" s="51" t="str" cm="1">
        <f t="array" ref="T149">IFERROR(IF(J149&gt;10,J149/E149*0.876,""),“”)</f>
        <v/>
      </c>
      <c r="U149" s="51" t="str" cm="1">
        <f t="array" ref="U149">IFERROR(IF(K149&gt;10,K149/F149*0.876,""),“”)</f>
        <v/>
      </c>
      <c r="V149" s="78">
        <f t="shared" si="14"/>
        <v>0.327773551525874</v>
      </c>
    </row>
    <row r="150" ht="13" spans="1:22">
      <c r="A150" s="63" t="s">
        <v>253</v>
      </c>
      <c r="B150" s="36">
        <v>2020</v>
      </c>
      <c r="C150" s="44">
        <v>9582</v>
      </c>
      <c r="D150" s="44">
        <v>6620</v>
      </c>
      <c r="E150" s="44">
        <v>2696</v>
      </c>
      <c r="F150" s="70"/>
      <c r="G150" s="44">
        <v>267</v>
      </c>
      <c r="H150" s="44">
        <v>3425</v>
      </c>
      <c r="I150" s="44">
        <v>2518</v>
      </c>
      <c r="J150" s="44">
        <v>751</v>
      </c>
      <c r="K150" s="70"/>
      <c r="L150" s="44">
        <v>156</v>
      </c>
      <c r="M150" s="44">
        <v>3740</v>
      </c>
      <c r="N150" s="46">
        <v>3947</v>
      </c>
      <c r="O150" s="44">
        <v>2976</v>
      </c>
      <c r="P150" s="70"/>
      <c r="Q150" s="44">
        <v>5999</v>
      </c>
      <c r="R150" s="51" cm="1">
        <f t="array" ref="R150">IFERROR(IF(H150&gt;10,H150/C150*0.876,""),“”)</f>
        <v>0.313118346900438</v>
      </c>
      <c r="S150" s="51" cm="1">
        <f t="array" ref="S150">IFERROR(IF(I150&gt;10,I150/D150*0.876,""),“”)</f>
        <v>0.333197583081571</v>
      </c>
      <c r="T150" s="51" cm="1">
        <f t="array" ref="T150">IFERROR(IF(J150&gt;10,J150/E150*0.876,""),“”)</f>
        <v>0.244019287833828</v>
      </c>
      <c r="U150" s="51" t="str" cm="1">
        <f t="array" ref="U150">IFERROR(IF(K150&gt;10,K150/F150*0.876,""),“”)</f>
        <v/>
      </c>
      <c r="V150" s="78">
        <f t="shared" si="14"/>
        <v>0.340171943072901</v>
      </c>
    </row>
    <row r="151" ht="13" spans="1:22">
      <c r="A151" s="63" t="s">
        <v>254</v>
      </c>
      <c r="B151" s="36">
        <v>2020</v>
      </c>
      <c r="C151" s="44">
        <v>2344</v>
      </c>
      <c r="D151" s="44">
        <v>1859</v>
      </c>
      <c r="E151" s="44">
        <v>54</v>
      </c>
      <c r="F151" s="70"/>
      <c r="G151" s="44">
        <v>431</v>
      </c>
      <c r="H151" s="44">
        <v>1032</v>
      </c>
      <c r="I151" s="44">
        <v>865</v>
      </c>
      <c r="J151" s="44">
        <v>9</v>
      </c>
      <c r="K151" s="70"/>
      <c r="L151" s="44">
        <v>157</v>
      </c>
      <c r="M151" s="44">
        <v>4492</v>
      </c>
      <c r="N151" s="44">
        <v>4655</v>
      </c>
      <c r="O151" s="44">
        <v>1971</v>
      </c>
      <c r="P151" s="70"/>
      <c r="Q151" s="44">
        <v>3983</v>
      </c>
      <c r="R151" s="51" cm="1">
        <f t="array" ref="R151">IFERROR(IF(H151&gt;10,H151/C151*0.876,""),“”)</f>
        <v>0.385679180887372</v>
      </c>
      <c r="S151" s="51" cm="1">
        <f t="array" ref="S151">IFERROR(IF(I151&gt;10,I151/D151*0.876,""),“”)</f>
        <v>0.407606239913932</v>
      </c>
      <c r="T151" s="51" t="str" cm="1">
        <f t="array" ref="T151">IFERROR(IF(J151&gt;10,J151/E151*0.876,""),“”)</f>
        <v/>
      </c>
      <c r="U151" s="51" t="str" cm="1">
        <f t="array" ref="U151">IFERROR(IF(K151&gt;10,K151/F151*0.876,""),“”)</f>
        <v/>
      </c>
      <c r="V151" s="78">
        <f t="shared" si="14"/>
        <v>0.391331004366812</v>
      </c>
    </row>
    <row r="152" ht="13" spans="1:22">
      <c r="A152" s="63" t="s">
        <v>255</v>
      </c>
      <c r="B152" s="36">
        <v>2020</v>
      </c>
      <c r="C152" s="44">
        <v>546</v>
      </c>
      <c r="D152" s="44">
        <v>324</v>
      </c>
      <c r="E152" s="44">
        <v>169</v>
      </c>
      <c r="F152" s="70"/>
      <c r="G152" s="44">
        <v>53</v>
      </c>
      <c r="H152" s="44">
        <v>215</v>
      </c>
      <c r="I152" s="44">
        <v>160</v>
      </c>
      <c r="J152" s="44">
        <v>28</v>
      </c>
      <c r="K152" s="70"/>
      <c r="L152" s="44">
        <v>28</v>
      </c>
      <c r="M152" s="44">
        <v>4063</v>
      </c>
      <c r="N152" s="44">
        <v>4936</v>
      </c>
      <c r="O152" s="44">
        <v>1671</v>
      </c>
      <c r="P152" s="70"/>
      <c r="Q152" s="44">
        <v>5914</v>
      </c>
      <c r="R152" s="51" cm="1">
        <f t="array" ref="R152">IFERROR(IF(H152&gt;10,H152/C152*0.876,""),“”)</f>
        <v>0.344945054945055</v>
      </c>
      <c r="S152" s="51" cm="1">
        <f t="array" ref="S152">IFERROR(IF(I152&gt;10,I152/D152*0.876,""),“”)</f>
        <v>0.432592592592593</v>
      </c>
      <c r="T152" s="51" cm="1">
        <f t="array" ref="T152">IFERROR(IF(J152&gt;10,J152/E152*0.876,""),“”)</f>
        <v>0.145136094674556</v>
      </c>
      <c r="U152" s="51" t="str" cm="1">
        <f t="array" ref="U152">IFERROR(IF(K152&gt;10,K152/F152*0.876,""),“”)</f>
        <v/>
      </c>
      <c r="V152" s="78">
        <f t="shared" si="14"/>
        <v>0.434514588859416</v>
      </c>
    </row>
    <row r="153" ht="13" spans="1:22">
      <c r="A153" s="63" t="s">
        <v>256</v>
      </c>
      <c r="B153" s="36">
        <v>2020</v>
      </c>
      <c r="C153" s="44">
        <v>1545</v>
      </c>
      <c r="D153" s="44">
        <v>1329</v>
      </c>
      <c r="E153" s="44">
        <v>149</v>
      </c>
      <c r="F153" s="70"/>
      <c r="G153" s="44">
        <v>67</v>
      </c>
      <c r="H153" s="44">
        <v>538</v>
      </c>
      <c r="I153" s="44">
        <v>458</v>
      </c>
      <c r="J153" s="44">
        <v>42</v>
      </c>
      <c r="K153" s="70"/>
      <c r="L153" s="44">
        <v>38</v>
      </c>
      <c r="M153" s="44">
        <v>3403</v>
      </c>
      <c r="N153" s="44">
        <v>3352</v>
      </c>
      <c r="O153" s="44">
        <v>2795</v>
      </c>
      <c r="P153" s="70"/>
      <c r="Q153" s="44">
        <v>5984</v>
      </c>
      <c r="R153" s="51" cm="1">
        <f t="array" ref="R153">IFERROR(IF(H153&gt;10,H153/C153*0.876,""),“”)</f>
        <v>0.305040776699029</v>
      </c>
      <c r="S153" s="51" cm="1">
        <f t="array" ref="S153">IFERROR(IF(I153&gt;10,I153/D153*0.876,""),“”)</f>
        <v>0.301887133182844</v>
      </c>
      <c r="T153" s="51" cm="1">
        <f t="array" ref="T153">IFERROR(IF(J153&gt;10,J153/E153*0.876,""),“”)</f>
        <v>0.246926174496644</v>
      </c>
      <c r="U153" s="51" t="str" cm="1">
        <f t="array" ref="U153">IFERROR(IF(K153&gt;10,K153/F153*0.876,""),“”)</f>
        <v/>
      </c>
      <c r="V153" s="78">
        <f t="shared" si="14"/>
        <v>0.311243553008596</v>
      </c>
    </row>
    <row r="154" ht="13" spans="1:22">
      <c r="A154" s="63" t="s">
        <v>258</v>
      </c>
      <c r="B154" s="36">
        <v>2020</v>
      </c>
      <c r="C154" s="44">
        <v>1596</v>
      </c>
      <c r="D154" s="44">
        <v>1212</v>
      </c>
      <c r="E154" s="44">
        <v>128</v>
      </c>
      <c r="F154" s="70"/>
      <c r="G154" s="44">
        <v>256</v>
      </c>
      <c r="H154" s="44">
        <v>513</v>
      </c>
      <c r="I154" s="44">
        <v>361</v>
      </c>
      <c r="J154" s="44">
        <v>26</v>
      </c>
      <c r="K154" s="70"/>
      <c r="L154" s="44">
        <v>125</v>
      </c>
      <c r="M154" s="44">
        <v>3247</v>
      </c>
      <c r="N154" s="44">
        <v>2974</v>
      </c>
      <c r="O154" s="44">
        <v>2064</v>
      </c>
      <c r="P154" s="70"/>
      <c r="Q154" s="44">
        <v>5400</v>
      </c>
      <c r="R154" s="51" cm="1">
        <f t="array" ref="R154">IFERROR(IF(H154&gt;10,H154/C154*0.876,""),“”)</f>
        <v>0.281571428571429</v>
      </c>
      <c r="S154" s="51" cm="1">
        <f t="array" ref="S154">IFERROR(IF(I154&gt;10,I154/D154*0.876,""),“”)</f>
        <v>0.260920792079208</v>
      </c>
      <c r="T154" s="51" cm="1">
        <f t="array" ref="T154">IFERROR(IF(J154&gt;10,J154/E154*0.876,""),“”)</f>
        <v>0.1779375</v>
      </c>
      <c r="U154" s="51" t="str" cm="1">
        <f t="array" ref="U154">IFERROR(IF(K154&gt;10,K154/F154*0.876,""),“”)</f>
        <v/>
      </c>
      <c r="V154" s="78">
        <f t="shared" si="14"/>
        <v>0.290607629427793</v>
      </c>
    </row>
    <row r="155" ht="13" spans="1:22">
      <c r="A155" s="63" t="s">
        <v>259</v>
      </c>
      <c r="B155" s="36">
        <v>2020</v>
      </c>
      <c r="C155" s="44">
        <v>3560</v>
      </c>
      <c r="D155" s="44">
        <v>3469</v>
      </c>
      <c r="E155" s="70">
        <v>56</v>
      </c>
      <c r="F155" s="70"/>
      <c r="G155" s="44">
        <v>35</v>
      </c>
      <c r="H155" s="44">
        <v>1354</v>
      </c>
      <c r="I155" s="44">
        <v>1323</v>
      </c>
      <c r="J155" s="70">
        <v>19</v>
      </c>
      <c r="K155" s="70"/>
      <c r="L155" s="44">
        <v>12</v>
      </c>
      <c r="M155" s="44">
        <v>3883</v>
      </c>
      <c r="N155" s="44">
        <v>3883</v>
      </c>
      <c r="O155" s="70"/>
      <c r="P155" s="70"/>
      <c r="Q155" s="44">
        <v>3808</v>
      </c>
      <c r="R155" s="51" cm="1">
        <f t="array" ref="R155">IFERROR(IF(H155&gt;10,H155/C155*0.876,""),“”)</f>
        <v>0.333175280898876</v>
      </c>
      <c r="S155" s="51" cm="1">
        <f t="array" ref="S155">IFERROR(IF(I155&gt;10,I155/D155*0.876,""),“”)</f>
        <v>0.3340870567887</v>
      </c>
      <c r="T155" s="51" cm="1">
        <f t="array" ref="T155">IFERROR(IF(J155&gt;10,J155/E155*0.876,""),“”)</f>
        <v>0.297214285714286</v>
      </c>
      <c r="U155" s="51" t="str" cm="1">
        <f t="array" ref="U155">IFERROR(IF(K155&gt;10,K155/F155*0.876,""),“”)</f>
        <v/>
      </c>
      <c r="V155" s="78">
        <f t="shared" si="14"/>
        <v>0.33375</v>
      </c>
    </row>
    <row r="156" ht="13" spans="1:22">
      <c r="A156" s="63" t="s">
        <v>260</v>
      </c>
      <c r="B156" s="36">
        <v>2020</v>
      </c>
      <c r="C156" s="44">
        <v>1517</v>
      </c>
      <c r="D156" s="44">
        <v>1298</v>
      </c>
      <c r="E156" s="44">
        <v>3</v>
      </c>
      <c r="F156" s="70"/>
      <c r="G156" s="44">
        <v>216</v>
      </c>
      <c r="H156" s="44">
        <v>415</v>
      </c>
      <c r="I156" s="44">
        <v>318</v>
      </c>
      <c r="J156" s="44">
        <v>0.5</v>
      </c>
      <c r="K156" s="70"/>
      <c r="L156" s="44">
        <v>97</v>
      </c>
      <c r="M156" s="44">
        <v>2721</v>
      </c>
      <c r="N156" s="44">
        <v>2447</v>
      </c>
      <c r="O156" s="44">
        <v>4497</v>
      </c>
      <c r="P156" s="70"/>
      <c r="Q156" s="44">
        <v>4629</v>
      </c>
      <c r="R156" s="51" cm="1">
        <f t="array" ref="R156">IFERROR(IF(H156&gt;10,H156/C156*0.876,""),“”)</f>
        <v>0.239644034278181</v>
      </c>
      <c r="S156" s="51" cm="1">
        <f t="array" ref="S156">IFERROR(IF(I156&gt;10,I156/D156*0.876,""),“”)</f>
        <v>0.214613251155624</v>
      </c>
      <c r="T156" s="51" t="str" cm="1">
        <f t="array" ref="T156">IFERROR(IF(J156&gt;10,J156/E156*0.876,""),“”)</f>
        <v/>
      </c>
      <c r="U156" s="51" t="str" cm="1">
        <f t="array" ref="U156">IFERROR(IF(K156&gt;10,K156/F156*0.876,""),“”)</f>
        <v/>
      </c>
      <c r="V156" s="78">
        <f t="shared" si="14"/>
        <v>0.239829590488771</v>
      </c>
    </row>
    <row r="157" ht="13" spans="1:22">
      <c r="A157" s="63" t="s">
        <v>261</v>
      </c>
      <c r="B157" s="36">
        <v>2020</v>
      </c>
      <c r="C157" s="44">
        <v>43</v>
      </c>
      <c r="D157" s="70"/>
      <c r="E157" s="70"/>
      <c r="F157" s="44">
        <v>39</v>
      </c>
      <c r="G157" s="44">
        <v>4</v>
      </c>
      <c r="H157" s="44">
        <v>1</v>
      </c>
      <c r="I157" s="70"/>
      <c r="J157" s="70"/>
      <c r="K157" s="86"/>
      <c r="L157" s="44">
        <v>1</v>
      </c>
      <c r="M157" s="44">
        <v>313</v>
      </c>
      <c r="N157" s="70"/>
      <c r="O157" s="70"/>
      <c r="P157" s="44">
        <v>174</v>
      </c>
      <c r="Q157" s="44">
        <v>3644</v>
      </c>
      <c r="R157" s="51" t="str" cm="1">
        <f t="array" ref="R157">IFERROR(IF(H157&gt;10,H157/C157*0.876,""),“”)</f>
        <v/>
      </c>
      <c r="S157" s="51" t="str" cm="1">
        <f t="array" ref="S157">IFERROR(IF(I157&gt;10,I157/D157*0.876,""),“”)</f>
        <v/>
      </c>
      <c r="T157" s="51" t="str" cm="1">
        <f t="array" ref="T157">IFERROR(IF(J157&gt;10,J157/E157*0.876,""),“”)</f>
        <v/>
      </c>
      <c r="U157" s="51" t="str" cm="1">
        <f t="array" ref="U157">IFERROR(IF(K157&gt;10,K157/F157*0.876,""),“”)</f>
        <v/>
      </c>
      <c r="V157" s="78" t="str">
        <f t="shared" si="14"/>
        <v/>
      </c>
    </row>
    <row r="158" ht="13" spans="1:22">
      <c r="A158" s="63" t="s">
        <v>262</v>
      </c>
      <c r="B158" s="36">
        <v>2020</v>
      </c>
      <c r="C158" s="44">
        <v>4993</v>
      </c>
      <c r="D158" s="44">
        <v>4768</v>
      </c>
      <c r="E158" s="44">
        <v>22</v>
      </c>
      <c r="F158" s="70"/>
      <c r="G158" s="44">
        <v>203</v>
      </c>
      <c r="H158" s="44">
        <v>2084</v>
      </c>
      <c r="I158" s="44">
        <v>1974</v>
      </c>
      <c r="J158" s="44">
        <v>8</v>
      </c>
      <c r="K158" s="70"/>
      <c r="L158" s="44">
        <v>103</v>
      </c>
      <c r="M158" s="44">
        <v>4234</v>
      </c>
      <c r="N158" s="44">
        <v>4226</v>
      </c>
      <c r="O158" s="70"/>
      <c r="P158" s="70"/>
      <c r="Q158" s="44">
        <v>4585</v>
      </c>
      <c r="R158" s="51" cm="1">
        <f t="array" ref="R158">IFERROR(IF(H158&gt;10,H158/C158*0.876,""),“”)</f>
        <v>0.365628680152213</v>
      </c>
      <c r="S158" s="51" cm="1">
        <f t="array" ref="S158">IFERROR(IF(I158&gt;10,I158/D158*0.876,""),“”)</f>
        <v>0.362672818791946</v>
      </c>
      <c r="T158" s="51" t="str" cm="1">
        <f t="array" ref="T158">IFERROR(IF(J158&gt;10,J158/E158*0.876,""),“”)</f>
        <v/>
      </c>
      <c r="U158" s="51" t="str" cm="1">
        <f t="array" ref="U158">IFERROR(IF(K158&gt;10,K158/F158*0.876,""),“”)</f>
        <v/>
      </c>
      <c r="V158" s="78">
        <f t="shared" si="14"/>
        <v>0.365837054918527</v>
      </c>
    </row>
    <row r="159" ht="13" spans="1:22">
      <c r="A159" s="63" t="s">
        <v>263</v>
      </c>
      <c r="B159" s="36">
        <v>2020</v>
      </c>
      <c r="C159" s="44">
        <v>2308</v>
      </c>
      <c r="D159" s="44">
        <v>2262</v>
      </c>
      <c r="E159" s="44">
        <v>1</v>
      </c>
      <c r="F159" s="70"/>
      <c r="G159" s="44">
        <v>45</v>
      </c>
      <c r="H159" s="44">
        <v>901</v>
      </c>
      <c r="I159" s="44">
        <v>885</v>
      </c>
      <c r="J159" s="70"/>
      <c r="K159" s="70"/>
      <c r="L159" s="44">
        <v>16</v>
      </c>
      <c r="M159" s="44">
        <v>4550</v>
      </c>
      <c r="N159" s="44">
        <v>4556</v>
      </c>
      <c r="O159" s="70"/>
      <c r="P159" s="70"/>
      <c r="Q159" s="44">
        <v>4267</v>
      </c>
      <c r="R159" s="51" cm="1">
        <f t="array" ref="R159">IFERROR(IF(H159&gt;10,H159/C159*0.876,""),“”)</f>
        <v>0.341974003466204</v>
      </c>
      <c r="S159" s="51" cm="1">
        <f t="array" ref="S159">IFERROR(IF(I159&gt;10,I159/D159*0.876,""),“”)</f>
        <v>0.342732095490716</v>
      </c>
      <c r="T159" s="51" t="str" cm="1">
        <f t="array" ref="T159">IFERROR(IF(J159&gt;10,J159/E159*0.876,""),“”)</f>
        <v/>
      </c>
      <c r="U159" s="51" t="str" cm="1">
        <f t="array" ref="U159">IFERROR(IF(K159&gt;10,K159/F159*0.876,""),“”)</f>
        <v/>
      </c>
      <c r="V159" s="78">
        <f t="shared" si="14"/>
        <v>0.342122236671001</v>
      </c>
    </row>
    <row r="160" ht="13" spans="1:22">
      <c r="A160" s="63" t="s">
        <v>264</v>
      </c>
      <c r="B160" s="36">
        <v>2020</v>
      </c>
      <c r="C160" s="44">
        <v>393</v>
      </c>
      <c r="D160" s="44">
        <v>375</v>
      </c>
      <c r="E160" s="44">
        <v>0.5</v>
      </c>
      <c r="F160" s="70"/>
      <c r="G160" s="44">
        <v>17</v>
      </c>
      <c r="H160" s="44">
        <v>101</v>
      </c>
      <c r="I160" s="44">
        <v>100</v>
      </c>
      <c r="J160" s="42">
        <v>0.1</v>
      </c>
      <c r="K160" s="70"/>
      <c r="L160" s="44">
        <v>1</v>
      </c>
      <c r="M160" s="44">
        <v>2572</v>
      </c>
      <c r="N160" s="44">
        <v>2658</v>
      </c>
      <c r="O160" s="70"/>
      <c r="P160" s="70"/>
      <c r="Q160" s="44">
        <v>665</v>
      </c>
      <c r="R160" s="51" cm="1">
        <f t="array" ref="R160">IFERROR(IF(H160&gt;10,H160/C160*0.876,""),“”)</f>
        <v>0.225129770992366</v>
      </c>
      <c r="S160" s="51" cm="1">
        <f t="array" ref="S160">IFERROR(IF(I160&gt;10,I160/D160*0.876,""),“”)</f>
        <v>0.2336</v>
      </c>
      <c r="T160" s="51" t="str" cm="1">
        <f t="array" ref="T160">IFERROR(IF(J160&gt;10,J160/E160*0.876,""),“”)</f>
        <v/>
      </c>
      <c r="U160" s="51" t="str" cm="1">
        <f t="array" ref="U160">IFERROR(IF(K160&gt;10,K160/F160*0.876,""),“”)</f>
        <v/>
      </c>
      <c r="V160" s="78">
        <f t="shared" si="14"/>
        <v>0.225193375796178</v>
      </c>
    </row>
    <row r="161" ht="13" spans="1:22">
      <c r="A161" s="63" t="s">
        <v>265</v>
      </c>
      <c r="B161" s="36">
        <v>2020</v>
      </c>
      <c r="C161" s="44">
        <v>3326</v>
      </c>
      <c r="D161" s="44">
        <v>3136</v>
      </c>
      <c r="E161" s="44">
        <v>70</v>
      </c>
      <c r="F161" s="70"/>
      <c r="G161" s="44">
        <v>120</v>
      </c>
      <c r="H161" s="44">
        <v>1415</v>
      </c>
      <c r="I161" s="44">
        <v>1351</v>
      </c>
      <c r="J161" s="44">
        <v>12</v>
      </c>
      <c r="K161" s="70"/>
      <c r="L161" s="44">
        <v>52</v>
      </c>
      <c r="M161" s="44">
        <v>4411</v>
      </c>
      <c r="N161" s="44">
        <v>4472</v>
      </c>
      <c r="O161" s="44">
        <v>1769</v>
      </c>
      <c r="P161" s="70"/>
      <c r="Q161" s="44">
        <v>4410</v>
      </c>
      <c r="R161" s="51" cm="1">
        <f t="array" ref="R161">IFERROR(IF(H161&gt;10,H161/C161*0.876,""),“”)</f>
        <v>0.372681900180397</v>
      </c>
      <c r="S161" s="51" cm="1">
        <f t="array" ref="S161">IFERROR(IF(I161&gt;10,I161/D161*0.876,""),“”)</f>
        <v>0.377383928571429</v>
      </c>
      <c r="T161" s="51" cm="1">
        <f t="array" ref="T161">IFERROR(IF(J161&gt;10,J161/E161*0.876,""),“”)</f>
        <v>0.150171428571429</v>
      </c>
      <c r="U161" s="51" t="str" cm="1">
        <f t="array" ref="U161">IFERROR(IF(K161&gt;10,K161/F161*0.876,""),“”)</f>
        <v/>
      </c>
      <c r="V161" s="78">
        <f t="shared" si="14"/>
        <v>0.377465601965602</v>
      </c>
    </row>
    <row r="162" ht="13.75" spans="1:22">
      <c r="A162" s="65" t="s">
        <v>266</v>
      </c>
      <c r="B162" s="66">
        <v>2020</v>
      </c>
      <c r="C162" s="67">
        <v>6337</v>
      </c>
      <c r="D162" s="67">
        <v>6152</v>
      </c>
      <c r="E162" s="67">
        <v>85</v>
      </c>
      <c r="F162" s="84"/>
      <c r="G162" s="67">
        <v>100</v>
      </c>
      <c r="H162" s="67">
        <v>3193</v>
      </c>
      <c r="I162" s="67">
        <v>3137</v>
      </c>
      <c r="J162" s="67">
        <v>18</v>
      </c>
      <c r="K162" s="84"/>
      <c r="L162" s="67">
        <v>38</v>
      </c>
      <c r="M162" s="67">
        <v>5260</v>
      </c>
      <c r="N162" s="67">
        <v>5324</v>
      </c>
      <c r="O162" s="67">
        <v>2170</v>
      </c>
      <c r="P162" s="84"/>
      <c r="Q162" s="67">
        <v>4020</v>
      </c>
      <c r="R162" s="79" cm="1">
        <f t="array" ref="R162">IFERROR(IF(H162&gt;10,H162/C162*0.876,""),“”)</f>
        <v>0.441386776077008</v>
      </c>
      <c r="S162" s="79" cm="1">
        <f t="array" ref="S162">IFERROR(IF(I162&gt;10,I162/D162*0.876,""),“”)</f>
        <v>0.446685955786736</v>
      </c>
      <c r="T162" s="79" cm="1">
        <f t="array" ref="T162">IFERROR(IF(J162&gt;10,J162/E162*0.876,""),“”)</f>
        <v>0.185505882352941</v>
      </c>
      <c r="U162" s="79" t="str" cm="1">
        <f t="array" ref="U162">IFERROR(IF(K162&gt;10,K162/F162*0.876,""),“”)</f>
        <v/>
      </c>
      <c r="V162" s="80">
        <f t="shared" si="14"/>
        <v>0.444865642994242</v>
      </c>
    </row>
    <row r="163" s="27" customFormat="1" ht="13" spans="1:22">
      <c r="A163" s="59" t="s">
        <v>234</v>
      </c>
      <c r="B163" s="60">
        <v>2021</v>
      </c>
      <c r="C163" s="61">
        <v>129739</v>
      </c>
      <c r="D163" s="61">
        <v>110962</v>
      </c>
      <c r="E163" s="61">
        <v>10894</v>
      </c>
      <c r="F163" s="61">
        <v>165</v>
      </c>
      <c r="G163" s="61">
        <v>7718</v>
      </c>
      <c r="H163" s="61">
        <v>56655</v>
      </c>
      <c r="I163" s="61">
        <v>50426</v>
      </c>
      <c r="J163" s="61">
        <v>2871</v>
      </c>
      <c r="K163" s="61">
        <v>16</v>
      </c>
      <c r="L163" s="61">
        <v>3342</v>
      </c>
      <c r="M163" s="61">
        <v>4444</v>
      </c>
      <c r="N163" s="61">
        <v>4601</v>
      </c>
      <c r="O163" s="61">
        <v>2688</v>
      </c>
      <c r="P163" s="61">
        <v>1013</v>
      </c>
      <c r="Q163" s="61">
        <v>4690</v>
      </c>
      <c r="R163" s="76" cm="1">
        <f t="array" ref="R163">IFERROR(IF(H163&gt;10,H163/C163*0.876,""),“”)</f>
        <v>0.382535552147003</v>
      </c>
      <c r="S163" s="76" cm="1">
        <f t="array" ref="S163">IFERROR(IF(I163&gt;10,I163/D163*0.876,""),“”)</f>
        <v>0.398092824570574</v>
      </c>
      <c r="T163" s="76" cm="1">
        <f t="array" ref="T163">IFERROR(IF(J163&gt;10,J163/E163*0.876,""),“”)</f>
        <v>0.230860657242519</v>
      </c>
      <c r="U163" s="76" cm="1">
        <f t="array" ref="U163">IFERROR(IF(K163&gt;10,K163/F163*0.876,""),“”)</f>
        <v>0.0849454545454545</v>
      </c>
      <c r="V163" s="77">
        <f t="shared" ref="V163:V226" si="15">IFERROR(IF((H163-J163)&gt;10,(H163-J163)/(C163-E163)*0.876,""),"")</f>
        <v>0.396438924649754</v>
      </c>
    </row>
    <row r="164" s="27" customFormat="1" ht="13" spans="1:22">
      <c r="A164" s="63" t="s">
        <v>235</v>
      </c>
      <c r="B164" s="36">
        <v>2021</v>
      </c>
      <c r="C164" s="44">
        <v>1137</v>
      </c>
      <c r="D164" s="44">
        <v>77</v>
      </c>
      <c r="E164" s="44">
        <v>1000</v>
      </c>
      <c r="F164" s="44">
        <v>22</v>
      </c>
      <c r="G164" s="44">
        <v>38</v>
      </c>
      <c r="H164" s="44">
        <v>447</v>
      </c>
      <c r="I164" s="44">
        <v>15</v>
      </c>
      <c r="J164" s="44">
        <v>405</v>
      </c>
      <c r="K164" s="44">
        <v>2</v>
      </c>
      <c r="L164" s="44">
        <v>25</v>
      </c>
      <c r="M164" s="44">
        <v>3929</v>
      </c>
      <c r="N164" s="44">
        <v>1894</v>
      </c>
      <c r="O164" s="44">
        <v>4047</v>
      </c>
      <c r="P164" s="44">
        <v>859</v>
      </c>
      <c r="Q164" s="44">
        <v>6754</v>
      </c>
      <c r="R164" s="51" cm="1">
        <f t="array" ref="R164">IFERROR(IF(H164&gt;10,H164/C164*0.876,""),“”)</f>
        <v>0.344390501319261</v>
      </c>
      <c r="S164" s="51" cm="1">
        <f t="array" ref="S164">IFERROR(IF(I164&gt;10,I164/D164*0.876,""),“”)</f>
        <v>0.170649350649351</v>
      </c>
      <c r="T164" s="51" cm="1">
        <f t="array" ref="T164">IFERROR(IF(J164&gt;10,J164/E164*0.876,""),“”)</f>
        <v>0.35478</v>
      </c>
      <c r="U164" s="51" t="str" cm="1">
        <f t="array" ref="U164">IFERROR(IF(K164&gt;10,K164/F164*0.876,""),“”)</f>
        <v/>
      </c>
      <c r="V164" s="78">
        <f t="shared" si="15"/>
        <v>0.268554744525547</v>
      </c>
    </row>
    <row r="165" s="27" customFormat="1" ht="13" spans="1:22">
      <c r="A165" s="63" t="s">
        <v>236</v>
      </c>
      <c r="B165" s="36">
        <v>2021</v>
      </c>
      <c r="C165" s="44">
        <v>1884</v>
      </c>
      <c r="D165" s="44">
        <v>1224</v>
      </c>
      <c r="E165" s="44">
        <v>564</v>
      </c>
      <c r="F165" s="70">
        <v>18</v>
      </c>
      <c r="G165" s="44">
        <v>77</v>
      </c>
      <c r="H165" s="44">
        <v>739</v>
      </c>
      <c r="I165" s="44">
        <v>552</v>
      </c>
      <c r="J165" s="44">
        <v>147</v>
      </c>
      <c r="K165" s="70">
        <v>5</v>
      </c>
      <c r="L165" s="44">
        <v>34</v>
      </c>
      <c r="M165" s="44">
        <v>3921</v>
      </c>
      <c r="N165" s="44">
        <v>4462</v>
      </c>
      <c r="O165" s="44">
        <v>2621</v>
      </c>
      <c r="P165" s="70">
        <v>3003</v>
      </c>
      <c r="Q165" s="44">
        <v>4960</v>
      </c>
      <c r="R165" s="51" cm="1">
        <f t="array" ref="R165">IFERROR(IF(H165&gt;10,H165/C165*0.876,""),“”)</f>
        <v>0.343611464968153</v>
      </c>
      <c r="S165" s="51" cm="1">
        <f t="array" ref="S165">IFERROR(IF(I165&gt;10,I165/D165*0.876,""),“”)</f>
        <v>0.395058823529412</v>
      </c>
      <c r="T165" s="51" cm="1">
        <f t="array" ref="T165">IFERROR(IF(J165&gt;10,J165/E165*0.876,""),“”)</f>
        <v>0.22831914893617</v>
      </c>
      <c r="U165" s="51" t="str" cm="1">
        <f t="array" ref="U165">IFERROR(IF(K165&gt;10,K165/F165*0.876,""),“”)</f>
        <v/>
      </c>
      <c r="V165" s="78">
        <f t="shared" si="15"/>
        <v>0.392872727272727</v>
      </c>
    </row>
    <row r="166" s="27" customFormat="1" ht="13" spans="1:22">
      <c r="A166" s="63" t="s">
        <v>237</v>
      </c>
      <c r="B166" s="36">
        <v>2021</v>
      </c>
      <c r="C166" s="44">
        <v>5424</v>
      </c>
      <c r="D166" s="44">
        <v>4888</v>
      </c>
      <c r="E166" s="44">
        <v>92</v>
      </c>
      <c r="F166" s="70"/>
      <c r="G166" s="44">
        <v>443</v>
      </c>
      <c r="H166" s="44">
        <v>2260</v>
      </c>
      <c r="I166" s="44">
        <v>2111</v>
      </c>
      <c r="J166" s="44">
        <v>11</v>
      </c>
      <c r="K166" s="70"/>
      <c r="L166" s="44">
        <v>137</v>
      </c>
      <c r="M166" s="44">
        <v>4160</v>
      </c>
      <c r="N166" s="44">
        <v>4275</v>
      </c>
      <c r="O166" s="70">
        <v>1146</v>
      </c>
      <c r="P166" s="70"/>
      <c r="Q166" s="44">
        <v>3425</v>
      </c>
      <c r="R166" s="51" cm="1">
        <f t="array" ref="R166">IFERROR(IF(H166&gt;10,H166/C166*0.876,""),“”)</f>
        <v>0.365</v>
      </c>
      <c r="S166" s="51" cm="1">
        <f t="array" ref="S166">IFERROR(IF(I166&gt;10,I166/D166*0.876,""),“”)</f>
        <v>0.378321603927987</v>
      </c>
      <c r="T166" s="51" cm="1">
        <f t="array" ref="T166">IFERROR(IF(J166&gt;10,J166/E166*0.876,""),“”)</f>
        <v>0.104739130434783</v>
      </c>
      <c r="U166" s="51" t="str" cm="1">
        <f t="array" ref="U166">IFERROR(IF(K166&gt;10,K166/F166*0.876,""),“”)</f>
        <v/>
      </c>
      <c r="V166" s="78">
        <f t="shared" si="15"/>
        <v>0.369490622655664</v>
      </c>
    </row>
    <row r="167" s="27" customFormat="1" ht="13" spans="1:22">
      <c r="A167" s="63" t="s">
        <v>238</v>
      </c>
      <c r="B167" s="36">
        <v>2021</v>
      </c>
      <c r="C167" s="44">
        <v>7533</v>
      </c>
      <c r="D167" s="44">
        <v>6884</v>
      </c>
      <c r="E167" s="44">
        <v>347</v>
      </c>
      <c r="F167" s="70"/>
      <c r="G167" s="44">
        <v>302</v>
      </c>
      <c r="H167" s="44">
        <v>3145</v>
      </c>
      <c r="I167" s="44">
        <v>2941</v>
      </c>
      <c r="J167" s="44">
        <v>103</v>
      </c>
      <c r="K167" s="70"/>
      <c r="L167" s="44">
        <v>101</v>
      </c>
      <c r="M167" s="44">
        <v>4364</v>
      </c>
      <c r="N167" s="44">
        <v>4453</v>
      </c>
      <c r="O167" s="44">
        <v>3184</v>
      </c>
      <c r="P167" s="70"/>
      <c r="Q167" s="44">
        <v>3597</v>
      </c>
      <c r="R167" s="51" cm="1">
        <f t="array" ref="R167">IFERROR(IF(H167&gt;10,H167/C167*0.876,""),“”)</f>
        <v>0.365726802070888</v>
      </c>
      <c r="S167" s="51" cm="1">
        <f t="array" ref="S167">IFERROR(IF(I167&gt;10,I167/D167*0.876,""),“”)</f>
        <v>0.374246949447995</v>
      </c>
      <c r="T167" s="51" cm="1">
        <f t="array" ref="T167">IFERROR(IF(J167&gt;10,J167/E167*0.876,""),“”)</f>
        <v>0.260023054755043</v>
      </c>
      <c r="U167" s="51" t="str" cm="1">
        <f t="array" ref="U167">IFERROR(IF(K167&gt;10,K167/F167*0.876,""),“”)</f>
        <v/>
      </c>
      <c r="V167" s="78">
        <f t="shared" si="15"/>
        <v>0.370831060395213</v>
      </c>
    </row>
    <row r="168" s="27" customFormat="1" ht="13" spans="1:22">
      <c r="A168" s="63" t="s">
        <v>239</v>
      </c>
      <c r="B168" s="36">
        <v>2021</v>
      </c>
      <c r="C168" s="44">
        <v>9834</v>
      </c>
      <c r="D168" s="44">
        <v>9620</v>
      </c>
      <c r="E168" s="44">
        <v>106</v>
      </c>
      <c r="F168" s="70"/>
      <c r="G168" s="44">
        <v>108</v>
      </c>
      <c r="H168" s="44">
        <v>4769</v>
      </c>
      <c r="I168" s="44">
        <v>4706</v>
      </c>
      <c r="J168" s="44">
        <v>33</v>
      </c>
      <c r="K168" s="70"/>
      <c r="L168" s="44">
        <v>30</v>
      </c>
      <c r="M168" s="44">
        <v>4994</v>
      </c>
      <c r="N168" s="44">
        <v>5034</v>
      </c>
      <c r="O168" s="44">
        <v>3119</v>
      </c>
      <c r="P168" s="70"/>
      <c r="Q168" s="44">
        <v>3087</v>
      </c>
      <c r="R168" s="51" cm="1">
        <f t="array" ref="R168">IFERROR(IF(H168&gt;10,H168/C168*0.876,""),“”)</f>
        <v>0.424816351433801</v>
      </c>
      <c r="S168" s="51" cm="1">
        <f t="array" ref="S168">IFERROR(IF(I168&gt;10,I168/D168*0.876,""),“”)</f>
        <v>0.42852972972973</v>
      </c>
      <c r="T168" s="51" cm="1">
        <f t="array" ref="T168">IFERROR(IF(J168&gt;10,J168/E168*0.876,""),“”)</f>
        <v>0.272716981132075</v>
      </c>
      <c r="U168" s="51" t="str" cm="1">
        <f t="array" ref="U168">IFERROR(IF(K168&gt;10,K168/F168*0.876,""),“”)</f>
        <v/>
      </c>
      <c r="V168" s="78">
        <f t="shared" si="15"/>
        <v>0.426473684210526</v>
      </c>
    </row>
    <row r="169" s="27" customFormat="1" ht="13" spans="1:22">
      <c r="A169" s="63" t="s">
        <v>240</v>
      </c>
      <c r="B169" s="36">
        <v>2021</v>
      </c>
      <c r="C169" s="44">
        <v>3737</v>
      </c>
      <c r="D169" s="44">
        <v>3550</v>
      </c>
      <c r="E169" s="44">
        <v>3</v>
      </c>
      <c r="F169" s="44">
        <v>15</v>
      </c>
      <c r="G169" s="44">
        <v>169</v>
      </c>
      <c r="H169" s="44">
        <v>1399</v>
      </c>
      <c r="I169" s="44">
        <v>1324</v>
      </c>
      <c r="J169" s="44">
        <v>1</v>
      </c>
      <c r="K169" s="44">
        <v>4</v>
      </c>
      <c r="L169" s="44">
        <v>70</v>
      </c>
      <c r="M169" s="44">
        <v>3787</v>
      </c>
      <c r="N169" s="44">
        <v>3754</v>
      </c>
      <c r="O169" s="44">
        <v>5247</v>
      </c>
      <c r="P169" s="44">
        <v>2458</v>
      </c>
      <c r="Q169" s="44">
        <v>4744</v>
      </c>
      <c r="R169" s="51" cm="1">
        <f t="array" ref="R169">IFERROR(IF(H169&gt;10,H169/C169*0.876,""),“”)</f>
        <v>0.327943270002676</v>
      </c>
      <c r="S169" s="51" cm="1">
        <f t="array" ref="S169">IFERROR(IF(I169&gt;10,I169/D169*0.876,""),“”)</f>
        <v>0.326710985915493</v>
      </c>
      <c r="T169" s="51" t="str" cm="1">
        <f t="array" ref="T169">IFERROR(IF(J169&gt;10,J169/E169*0.876,""),“”)</f>
        <v/>
      </c>
      <c r="U169" s="51" t="str" cm="1">
        <f t="array" ref="U169">IFERROR(IF(K169&gt;10,K169/F169*0.876,""),“”)</f>
        <v/>
      </c>
      <c r="V169" s="78">
        <f t="shared" si="15"/>
        <v>0.327972147830745</v>
      </c>
    </row>
    <row r="170" s="27" customFormat="1" ht="13" spans="1:22">
      <c r="A170" s="63" t="s">
        <v>241</v>
      </c>
      <c r="B170" s="36">
        <v>2021</v>
      </c>
      <c r="C170" s="44">
        <v>1855</v>
      </c>
      <c r="D170" s="44">
        <v>1706</v>
      </c>
      <c r="E170" s="44">
        <v>2</v>
      </c>
      <c r="F170" s="70"/>
      <c r="G170" s="44">
        <v>148</v>
      </c>
      <c r="H170" s="44">
        <v>688</v>
      </c>
      <c r="I170" s="44">
        <v>646</v>
      </c>
      <c r="J170" s="42">
        <v>0.2</v>
      </c>
      <c r="K170" s="70"/>
      <c r="L170" s="44">
        <v>43</v>
      </c>
      <c r="M170" s="44">
        <v>3745</v>
      </c>
      <c r="N170" s="44">
        <v>3781</v>
      </c>
      <c r="O170" s="44">
        <v>1995</v>
      </c>
      <c r="P170" s="70"/>
      <c r="Q170" s="44">
        <v>3285</v>
      </c>
      <c r="R170" s="51" cm="1">
        <f t="array" ref="R170">IFERROR(IF(H170&gt;10,H170/C170*0.876,""),“”)</f>
        <v>0.324899191374663</v>
      </c>
      <c r="S170" s="51" cm="1">
        <f t="array" ref="S170">IFERROR(IF(I170&gt;10,I170/D170*0.876,""),“”)</f>
        <v>0.331709261430246</v>
      </c>
      <c r="T170" s="51" t="str" cm="1">
        <f t="array" ref="T170">IFERROR(IF(J170&gt;10,J170/E170*0.876,""),“”)</f>
        <v/>
      </c>
      <c r="U170" s="51" t="str" cm="1">
        <f t="array" ref="U170">IFERROR(IF(K170&gt;10,K170/F170*0.876,""),“”)</f>
        <v/>
      </c>
      <c r="V170" s="78">
        <f t="shared" si="15"/>
        <v>0.325155315704263</v>
      </c>
    </row>
    <row r="171" s="27" customFormat="1" ht="13" spans="1:22">
      <c r="A171" s="63" t="s">
        <v>242</v>
      </c>
      <c r="B171" s="36">
        <v>2021</v>
      </c>
      <c r="C171" s="44">
        <v>2531</v>
      </c>
      <c r="D171" s="44">
        <v>2250</v>
      </c>
      <c r="E171" s="44">
        <v>15</v>
      </c>
      <c r="F171" s="44">
        <v>2</v>
      </c>
      <c r="G171" s="44">
        <v>265</v>
      </c>
      <c r="H171" s="44">
        <v>905</v>
      </c>
      <c r="I171" s="44">
        <v>804</v>
      </c>
      <c r="J171" s="46">
        <v>4</v>
      </c>
      <c r="K171" s="70"/>
      <c r="L171" s="44">
        <v>97</v>
      </c>
      <c r="M171" s="44">
        <v>3664</v>
      </c>
      <c r="N171" s="44">
        <v>3592</v>
      </c>
      <c r="O171" s="44">
        <v>2999</v>
      </c>
      <c r="P171" s="70"/>
      <c r="Q171" s="44">
        <v>4506</v>
      </c>
      <c r="R171" s="51" cm="1">
        <f t="array" ref="R171">IFERROR(IF(H171&gt;10,H171/C171*0.876,""),“”)</f>
        <v>0.313227973133149</v>
      </c>
      <c r="S171" s="51" cm="1">
        <f t="array" ref="S171">IFERROR(IF(I171&gt;10,I171/D171*0.876,""),“”)</f>
        <v>0.313024</v>
      </c>
      <c r="T171" s="51" t="str" cm="1">
        <f t="array" ref="T171">IFERROR(IF(J171&gt;10,J171/E171*0.876,""),“”)</f>
        <v/>
      </c>
      <c r="U171" s="51" t="str" cm="1">
        <f t="array" ref="U171">IFERROR(IF(K171&gt;10,K171/F171*0.876,""),“”)</f>
        <v/>
      </c>
      <c r="V171" s="78">
        <f t="shared" si="15"/>
        <v>0.313702702702703</v>
      </c>
    </row>
    <row r="172" s="27" customFormat="1" ht="13" spans="1:22">
      <c r="A172" s="63" t="s">
        <v>243</v>
      </c>
      <c r="B172" s="36">
        <v>2021</v>
      </c>
      <c r="C172" s="44">
        <v>2510</v>
      </c>
      <c r="D172" s="44">
        <v>1502</v>
      </c>
      <c r="E172" s="44">
        <v>814</v>
      </c>
      <c r="F172" s="44">
        <v>61</v>
      </c>
      <c r="G172" s="44">
        <v>133</v>
      </c>
      <c r="H172" s="44">
        <v>973</v>
      </c>
      <c r="I172" s="44">
        <v>750</v>
      </c>
      <c r="J172" s="44">
        <v>152</v>
      </c>
      <c r="K172" s="44">
        <v>2</v>
      </c>
      <c r="L172" s="44">
        <v>70</v>
      </c>
      <c r="M172" s="44">
        <v>3951</v>
      </c>
      <c r="N172" s="44">
        <v>4996</v>
      </c>
      <c r="O172" s="44">
        <v>1968</v>
      </c>
      <c r="P172" s="44">
        <v>248</v>
      </c>
      <c r="Q172" s="44">
        <v>5337</v>
      </c>
      <c r="R172" s="51" cm="1">
        <f t="array" ref="R172">IFERROR(IF(H172&gt;10,H172/C172*0.876,""),“”)</f>
        <v>0.339580876494024</v>
      </c>
      <c r="S172" s="51" cm="1">
        <f t="array" ref="S172">IFERROR(IF(I172&gt;10,I172/D172*0.876,""),“”)</f>
        <v>0.437416777629827</v>
      </c>
      <c r="T172" s="51" cm="1">
        <f t="array" ref="T172">IFERROR(IF(J172&gt;10,J172/E172*0.876,""),“”)</f>
        <v>0.163577395577396</v>
      </c>
      <c r="U172" s="51" t="str" cm="1">
        <f t="array" ref="U172">IFERROR(IF(K172&gt;10,K172/F172*0.876,""),“”)</f>
        <v/>
      </c>
      <c r="V172" s="78">
        <f t="shared" si="15"/>
        <v>0.424054245283019</v>
      </c>
    </row>
    <row r="173" s="27" customFormat="1" ht="13" spans="1:22">
      <c r="A173" s="63" t="s">
        <v>244</v>
      </c>
      <c r="B173" s="36">
        <v>2021</v>
      </c>
      <c r="C173" s="44">
        <v>10322</v>
      </c>
      <c r="D173" s="44">
        <v>7881</v>
      </c>
      <c r="E173" s="44">
        <v>1915</v>
      </c>
      <c r="F173" s="70"/>
      <c r="G173" s="44">
        <v>527</v>
      </c>
      <c r="H173" s="44">
        <v>4739</v>
      </c>
      <c r="I173" s="44">
        <v>4004</v>
      </c>
      <c r="J173" s="44">
        <v>488</v>
      </c>
      <c r="K173" s="70"/>
      <c r="L173" s="44">
        <v>247</v>
      </c>
      <c r="M173" s="44">
        <v>4619</v>
      </c>
      <c r="N173" s="44">
        <v>5064</v>
      </c>
      <c r="O173" s="44">
        <v>2611</v>
      </c>
      <c r="P173" s="70"/>
      <c r="Q173" s="44">
        <v>5041</v>
      </c>
      <c r="R173" s="51" cm="1">
        <f t="array" ref="R173">IFERROR(IF(H173&gt;10,H173/C173*0.876,""),“”)</f>
        <v>0.402186010463089</v>
      </c>
      <c r="S173" s="51" cm="1">
        <f t="array" ref="S173">IFERROR(IF(I173&gt;10,I173/D173*0.876,""),“”)</f>
        <v>0.445058241339931</v>
      </c>
      <c r="T173" s="51" cm="1">
        <f t="array" ref="T173">IFERROR(IF(J173&gt;10,J173/E173*0.876,""),“”)</f>
        <v>0.223231331592689</v>
      </c>
      <c r="U173" s="51" t="str" cm="1">
        <f t="array" ref="U173">IFERROR(IF(K173&gt;10,K173/F173*0.876,""),“”)</f>
        <v/>
      </c>
      <c r="V173" s="78">
        <f t="shared" si="15"/>
        <v>0.442949446889497</v>
      </c>
    </row>
    <row r="174" s="27" customFormat="1" ht="13" spans="1:22">
      <c r="A174" s="63" t="s">
        <v>245</v>
      </c>
      <c r="B174" s="36">
        <v>2021</v>
      </c>
      <c r="C174" s="44">
        <v>6462</v>
      </c>
      <c r="D174" s="44">
        <v>4791</v>
      </c>
      <c r="E174" s="44">
        <v>1263</v>
      </c>
      <c r="F174" s="44">
        <v>2</v>
      </c>
      <c r="G174" s="44">
        <v>405</v>
      </c>
      <c r="H174" s="44">
        <v>3053</v>
      </c>
      <c r="I174" s="44">
        <v>2610</v>
      </c>
      <c r="J174" s="44">
        <v>239</v>
      </c>
      <c r="K174" s="42">
        <v>0.04</v>
      </c>
      <c r="L174" s="44">
        <v>204</v>
      </c>
      <c r="M174" s="44">
        <v>4761</v>
      </c>
      <c r="N174" s="44">
        <v>5484</v>
      </c>
      <c r="O174" s="44">
        <v>1888</v>
      </c>
      <c r="P174" s="70"/>
      <c r="Q174" s="44">
        <v>5233</v>
      </c>
      <c r="R174" s="51" cm="1">
        <f t="array" ref="R174">IFERROR(IF(H174&gt;10,H174/C174*0.876,""),“”)</f>
        <v>0.413870009285051</v>
      </c>
      <c r="S174" s="51" cm="1">
        <f t="array" ref="S174">IFERROR(IF(I174&gt;10,I174/D174*0.876,""),“”)</f>
        <v>0.477219787100814</v>
      </c>
      <c r="T174" s="51" cm="1">
        <f t="array" ref="T174">IFERROR(IF(J174&gt;10,J174/E174*0.876,""),“”)</f>
        <v>0.165767220902613</v>
      </c>
      <c r="U174" s="51" t="str" cm="1">
        <f t="array" ref="U174">IFERROR(IF(K174&gt;10,K174/F174*0.876,""),“”)</f>
        <v/>
      </c>
      <c r="V174" s="78">
        <f t="shared" si="15"/>
        <v>0.474141950375072</v>
      </c>
    </row>
    <row r="175" s="27" customFormat="1" ht="13" spans="1:22">
      <c r="A175" s="63" t="s">
        <v>246</v>
      </c>
      <c r="B175" s="36">
        <v>2021</v>
      </c>
      <c r="C175" s="44">
        <v>5740</v>
      </c>
      <c r="D175" s="44">
        <v>5274</v>
      </c>
      <c r="E175" s="44">
        <v>13</v>
      </c>
      <c r="F175" s="70"/>
      <c r="G175" s="44">
        <v>453</v>
      </c>
      <c r="H175" s="44">
        <v>2702</v>
      </c>
      <c r="I175" s="44">
        <v>2477</v>
      </c>
      <c r="J175" s="44">
        <v>3</v>
      </c>
      <c r="K175" s="70"/>
      <c r="L175" s="44">
        <v>222</v>
      </c>
      <c r="M175" s="44">
        <v>4739</v>
      </c>
      <c r="N175" s="44">
        <v>4699</v>
      </c>
      <c r="O175" s="44">
        <v>732</v>
      </c>
      <c r="P175" s="70"/>
      <c r="Q175" s="44">
        <v>5282</v>
      </c>
      <c r="R175" s="51" cm="1">
        <f t="array" ref="R175">IFERROR(IF(H175&gt;10,H175/C175*0.876,""),“”)</f>
        <v>0.412360975609756</v>
      </c>
      <c r="S175" s="51" cm="1">
        <f t="array" ref="S175">IFERROR(IF(I175&gt;10,I175/D175*0.876,""),“”)</f>
        <v>0.411424345847554</v>
      </c>
      <c r="T175" s="51" t="str" cm="1">
        <f t="array" ref="T175">IFERROR(IF(J175&gt;10,J175/E175*0.876,""),“”)</f>
        <v/>
      </c>
      <c r="U175" s="51" t="str" cm="1">
        <f t="array" ref="U175">IFERROR(IF(K175&gt;10,K175/F175*0.876,""),“”)</f>
        <v/>
      </c>
      <c r="V175" s="78">
        <f t="shared" si="15"/>
        <v>0.412838135149293</v>
      </c>
    </row>
    <row r="176" s="27" customFormat="1" ht="13" spans="1:22">
      <c r="A176" s="63" t="s">
        <v>247</v>
      </c>
      <c r="B176" s="36">
        <v>2021</v>
      </c>
      <c r="C176" s="44">
        <v>3596</v>
      </c>
      <c r="D176" s="44">
        <v>2936</v>
      </c>
      <c r="E176" s="44">
        <v>393</v>
      </c>
      <c r="F176" s="46"/>
      <c r="G176" s="44">
        <v>267</v>
      </c>
      <c r="H176" s="44">
        <v>1703</v>
      </c>
      <c r="I176" s="44">
        <v>1509</v>
      </c>
      <c r="J176" s="44">
        <v>68</v>
      </c>
      <c r="K176" s="87"/>
      <c r="L176" s="44">
        <v>127</v>
      </c>
      <c r="M176" s="44">
        <v>4877</v>
      </c>
      <c r="N176" s="44">
        <v>5308</v>
      </c>
      <c r="O176" s="44">
        <v>1710</v>
      </c>
      <c r="P176" s="70"/>
      <c r="Q176" s="44">
        <v>4920</v>
      </c>
      <c r="R176" s="51" cm="1">
        <f t="array" ref="R176">IFERROR(IF(H176&gt;10,H176/C176*0.876,""),“”)</f>
        <v>0.414857619577308</v>
      </c>
      <c r="S176" s="51" cm="1">
        <f t="array" ref="S176">IFERROR(IF(I176&gt;10,I176/D176*0.876,""),“”)</f>
        <v>0.450232970027248</v>
      </c>
      <c r="T176" s="51" cm="1">
        <f t="array" ref="T176">IFERROR(IF(J176&gt;10,J176/E176*0.876,""),“”)</f>
        <v>0.151572519083969</v>
      </c>
      <c r="U176" s="51" t="str" cm="1">
        <f t="array" ref="U176">IFERROR(IF(K176&gt;10,K176/F176*0.876,""),“”)</f>
        <v/>
      </c>
      <c r="V176" s="78">
        <f t="shared" si="15"/>
        <v>0.447162035591633</v>
      </c>
    </row>
    <row r="177" s="27" customFormat="1" ht="13" spans="1:22">
      <c r="A177" s="63" t="s">
        <v>248</v>
      </c>
      <c r="B177" s="36">
        <v>2021</v>
      </c>
      <c r="C177" s="44">
        <v>2711</v>
      </c>
      <c r="D177" s="44">
        <v>2260</v>
      </c>
      <c r="E177" s="44">
        <v>14</v>
      </c>
      <c r="F177" s="70"/>
      <c r="G177" s="44">
        <v>438</v>
      </c>
      <c r="H177" s="44">
        <v>1306</v>
      </c>
      <c r="I177" s="44">
        <v>1075</v>
      </c>
      <c r="J177" s="44">
        <v>6</v>
      </c>
      <c r="K177" s="70"/>
      <c r="L177" s="44">
        <v>225</v>
      </c>
      <c r="M177" s="44">
        <v>5170</v>
      </c>
      <c r="N177" s="44">
        <v>5122</v>
      </c>
      <c r="O177" s="44">
        <v>4920</v>
      </c>
      <c r="P177" s="70"/>
      <c r="Q177" s="44">
        <v>5424</v>
      </c>
      <c r="R177" s="51" cm="1">
        <f t="array" ref="R177">IFERROR(IF(H177&gt;10,H177/C177*0.876,""),“”)</f>
        <v>0.422005164146072</v>
      </c>
      <c r="S177" s="51" cm="1">
        <f t="array" ref="S177">IFERROR(IF(I177&gt;10,I177/D177*0.876,""),“”)</f>
        <v>0.416681415929204</v>
      </c>
      <c r="T177" s="51" t="str" cm="1">
        <f t="array" ref="T177">IFERROR(IF(J177&gt;10,J177/E177*0.876,""),“”)</f>
        <v/>
      </c>
      <c r="U177" s="51" t="str" cm="1">
        <f t="array" ref="U177">IFERROR(IF(K177&gt;10,K177/F177*0.876,""),“”)</f>
        <v/>
      </c>
      <c r="V177" s="78">
        <f t="shared" si="15"/>
        <v>0.422246941045606</v>
      </c>
    </row>
    <row r="178" s="27" customFormat="1" ht="13" spans="1:22">
      <c r="A178" s="63" t="s">
        <v>249</v>
      </c>
      <c r="B178" s="36">
        <v>2021</v>
      </c>
      <c r="C178" s="44">
        <v>11599</v>
      </c>
      <c r="D178" s="44">
        <v>10636</v>
      </c>
      <c r="E178" s="44">
        <v>12</v>
      </c>
      <c r="F178" s="70"/>
      <c r="G178" s="44">
        <v>951</v>
      </c>
      <c r="H178" s="44">
        <v>5267</v>
      </c>
      <c r="I178" s="44">
        <v>4886</v>
      </c>
      <c r="J178" s="44">
        <v>3</v>
      </c>
      <c r="K178" s="70"/>
      <c r="L178" s="44">
        <v>379</v>
      </c>
      <c r="M178" s="44">
        <v>4553</v>
      </c>
      <c r="N178" s="44">
        <v>4574</v>
      </c>
      <c r="O178" s="44">
        <v>2722</v>
      </c>
      <c r="P178" s="70"/>
      <c r="Q178" s="44">
        <v>4311</v>
      </c>
      <c r="R178" s="51" cm="1">
        <f t="array" ref="R178">IFERROR(IF(H178&gt;10,H178/C178*0.876,""),“”)</f>
        <v>0.397783602034658</v>
      </c>
      <c r="S178" s="51" cm="1">
        <f t="array" ref="S178">IFERROR(IF(I178&gt;10,I178/D178*0.876,""),“”)</f>
        <v>0.402419706656638</v>
      </c>
      <c r="T178" s="51" t="str" cm="1">
        <f t="array" ref="T178">IFERROR(IF(J178&gt;10,J178/E178*0.876,""),“”)</f>
        <v/>
      </c>
      <c r="U178" s="51" t="str" cm="1">
        <f t="array" ref="U178">IFERROR(IF(K178&gt;10,K178/F178*0.876,""),“”)</f>
        <v/>
      </c>
      <c r="V178" s="78">
        <f t="shared" si="15"/>
        <v>0.397968758090964</v>
      </c>
    </row>
    <row r="179" s="27" customFormat="1" ht="13" spans="1:22">
      <c r="A179" s="63" t="s">
        <v>250</v>
      </c>
      <c r="B179" s="36">
        <v>2021</v>
      </c>
      <c r="C179" s="44">
        <v>7301</v>
      </c>
      <c r="D179" s="44">
        <v>6626</v>
      </c>
      <c r="E179" s="44">
        <v>344</v>
      </c>
      <c r="F179" s="70"/>
      <c r="G179" s="44">
        <v>331</v>
      </c>
      <c r="H179" s="44">
        <v>2350</v>
      </c>
      <c r="I179" s="44">
        <v>2241</v>
      </c>
      <c r="J179" s="44">
        <v>11</v>
      </c>
      <c r="K179" s="70"/>
      <c r="L179" s="44">
        <v>98</v>
      </c>
      <c r="M179" s="44">
        <v>3273</v>
      </c>
      <c r="N179" s="44">
        <v>3417</v>
      </c>
      <c r="O179" s="44">
        <v>264</v>
      </c>
      <c r="P179" s="70"/>
      <c r="Q179" s="44">
        <v>3544</v>
      </c>
      <c r="R179" s="51" cm="1">
        <f t="array" ref="R179">IFERROR(IF(H179&gt;10,H179/C179*0.876,""),“”)</f>
        <v>0.281961375154088</v>
      </c>
      <c r="S179" s="51" cm="1">
        <f t="array" ref="S179">IFERROR(IF(I179&gt;10,I179/D179*0.876,""),“”)</f>
        <v>0.296274675520676</v>
      </c>
      <c r="T179" s="51" cm="1">
        <f t="array" ref="T179">IFERROR(IF(J179&gt;10,J179/E179*0.876,""),“”)</f>
        <v>0.0280116279069767</v>
      </c>
      <c r="U179" s="51" t="str" cm="1">
        <f t="array" ref="U179">IFERROR(IF(K179&gt;10,K179/F179*0.876,""),“”)</f>
        <v/>
      </c>
      <c r="V179" s="78">
        <f t="shared" si="15"/>
        <v>0.294518326865028</v>
      </c>
    </row>
    <row r="180" s="27" customFormat="1" ht="13" spans="1:22">
      <c r="A180" s="63" t="s">
        <v>251</v>
      </c>
      <c r="B180" s="36">
        <v>2021</v>
      </c>
      <c r="C180" s="44">
        <v>3372</v>
      </c>
      <c r="D180" s="44">
        <v>2893</v>
      </c>
      <c r="E180" s="44">
        <v>138</v>
      </c>
      <c r="F180" s="70"/>
      <c r="G180" s="44">
        <v>341</v>
      </c>
      <c r="H180" s="44">
        <v>1475</v>
      </c>
      <c r="I180" s="44">
        <v>1307</v>
      </c>
      <c r="J180" s="44">
        <v>39</v>
      </c>
      <c r="K180" s="70"/>
      <c r="L180" s="44">
        <v>130</v>
      </c>
      <c r="M180" s="44">
        <v>4399</v>
      </c>
      <c r="N180" s="44">
        <v>4520</v>
      </c>
      <c r="O180" s="44">
        <v>3013</v>
      </c>
      <c r="P180" s="70"/>
      <c r="Q180" s="44">
        <v>3834</v>
      </c>
      <c r="R180" s="51" cm="1">
        <f t="array" ref="R180">IFERROR(IF(H180&gt;10,H180/C180*0.876,""),“”)</f>
        <v>0.383185053380783</v>
      </c>
      <c r="S180" s="51" cm="1">
        <f t="array" ref="S180">IFERROR(IF(I180&gt;10,I180/D180*0.876,""),“”)</f>
        <v>0.395759419287936</v>
      </c>
      <c r="T180" s="51" cm="1">
        <f t="array" ref="T180">IFERROR(IF(J180&gt;10,J180/E180*0.876,""),“”)</f>
        <v>0.247565217391304</v>
      </c>
      <c r="U180" s="51" t="str" cm="1">
        <f t="array" ref="U180">IFERROR(IF(K180&gt;10,K180/F180*0.876,""),“”)</f>
        <v/>
      </c>
      <c r="V180" s="78">
        <f t="shared" si="15"/>
        <v>0.388972170686456</v>
      </c>
    </row>
    <row r="181" s="27" customFormat="1" ht="13" spans="1:22">
      <c r="A181" s="63" t="s">
        <v>252</v>
      </c>
      <c r="B181" s="36">
        <v>2021</v>
      </c>
      <c r="C181" s="44">
        <v>2502</v>
      </c>
      <c r="D181" s="44">
        <v>2228</v>
      </c>
      <c r="E181" s="44">
        <v>11</v>
      </c>
      <c r="F181" s="44">
        <v>5</v>
      </c>
      <c r="G181" s="44">
        <v>258</v>
      </c>
      <c r="H181" s="44">
        <v>1024</v>
      </c>
      <c r="I181" s="44">
        <v>873</v>
      </c>
      <c r="J181" s="44">
        <v>3</v>
      </c>
      <c r="K181" s="44">
        <v>3</v>
      </c>
      <c r="L181" s="44">
        <v>145</v>
      </c>
      <c r="M181" s="44">
        <v>4391</v>
      </c>
      <c r="N181" s="44">
        <v>4205</v>
      </c>
      <c r="O181" s="44">
        <v>1646</v>
      </c>
      <c r="P181" s="44">
        <v>6854</v>
      </c>
      <c r="Q181" s="44">
        <v>6080</v>
      </c>
      <c r="R181" s="51" cm="1">
        <f t="array" ref="R181">IFERROR(IF(H181&gt;10,H181/C181*0.876,""),“”)</f>
        <v>0.35852278177458</v>
      </c>
      <c r="S181" s="51" cm="1">
        <f t="array" ref="S181">IFERROR(IF(I181&gt;10,I181/D181*0.876,""),“”)</f>
        <v>0.343244165170557</v>
      </c>
      <c r="T181" s="51" t="str" cm="1">
        <f t="array" ref="T181">IFERROR(IF(J181&gt;10,J181/E181*0.876,""),“”)</f>
        <v/>
      </c>
      <c r="U181" s="51" t="str" cm="1">
        <f t="array" ref="U181">IFERROR(IF(K181&gt;10,K181/F181*0.876,""),“”)</f>
        <v/>
      </c>
      <c r="V181" s="78">
        <f t="shared" si="15"/>
        <v>0.359050983540747</v>
      </c>
    </row>
    <row r="182" s="27" customFormat="1" ht="13" spans="1:22">
      <c r="A182" s="63" t="s">
        <v>253</v>
      </c>
      <c r="B182" s="36">
        <v>2021</v>
      </c>
      <c r="C182" s="44">
        <v>10256</v>
      </c>
      <c r="D182" s="44">
        <v>6825</v>
      </c>
      <c r="E182" s="44">
        <v>3080</v>
      </c>
      <c r="F182" s="70"/>
      <c r="G182" s="44">
        <v>351</v>
      </c>
      <c r="H182" s="44">
        <v>4487</v>
      </c>
      <c r="I182" s="44">
        <v>3372</v>
      </c>
      <c r="J182" s="44">
        <v>917</v>
      </c>
      <c r="K182" s="70"/>
      <c r="L182" s="44">
        <v>198</v>
      </c>
      <c r="M182" s="44">
        <v>4484</v>
      </c>
      <c r="N182" s="46">
        <v>5015</v>
      </c>
      <c r="O182" s="44">
        <v>3072</v>
      </c>
      <c r="P182" s="70"/>
      <c r="Q182" s="44">
        <v>6426</v>
      </c>
      <c r="R182" s="51" cm="1">
        <f t="array" ref="R182">IFERROR(IF(H182&gt;10,H182/C182*0.876,""),“”)</f>
        <v>0.38325</v>
      </c>
      <c r="S182" s="51" cm="1">
        <f t="array" ref="S182">IFERROR(IF(I182&gt;10,I182/D182*0.876,""),“”)</f>
        <v>0.432801758241758</v>
      </c>
      <c r="T182" s="51" cm="1">
        <f t="array" ref="T182">IFERROR(IF(J182&gt;10,J182/E182*0.876,""),“”)</f>
        <v>0.260809090909091</v>
      </c>
      <c r="U182" s="51" t="str" cm="1">
        <f t="array" ref="U182">IFERROR(IF(K182&gt;10,K182/F182*0.876,""),“”)</f>
        <v/>
      </c>
      <c r="V182" s="78">
        <f t="shared" si="15"/>
        <v>0.435802675585284</v>
      </c>
    </row>
    <row r="183" s="27" customFormat="1" ht="13" spans="1:22">
      <c r="A183" s="63" t="s">
        <v>254</v>
      </c>
      <c r="B183" s="36">
        <v>2021</v>
      </c>
      <c r="C183" s="44">
        <v>2481</v>
      </c>
      <c r="D183" s="44">
        <v>1965</v>
      </c>
      <c r="E183" s="44">
        <v>53</v>
      </c>
      <c r="F183" s="70"/>
      <c r="G183" s="44">
        <v>462</v>
      </c>
      <c r="H183" s="44">
        <v>1120</v>
      </c>
      <c r="I183" s="44">
        <v>944</v>
      </c>
      <c r="J183" s="44">
        <v>10</v>
      </c>
      <c r="K183" s="70"/>
      <c r="L183" s="44">
        <v>166</v>
      </c>
      <c r="M183" s="44">
        <v>4689</v>
      </c>
      <c r="N183" s="44">
        <v>4909</v>
      </c>
      <c r="O183" s="44">
        <v>1733</v>
      </c>
      <c r="P183" s="70"/>
      <c r="Q183" s="44">
        <v>4026</v>
      </c>
      <c r="R183" s="51" cm="1">
        <f t="array" ref="R183">IFERROR(IF(H183&gt;10,H183/C183*0.876,""),“”)</f>
        <v>0.395453446191052</v>
      </c>
      <c r="S183" s="51" cm="1">
        <f t="array" ref="S183">IFERROR(IF(I183&gt;10,I183/D183*0.876,""),“”)</f>
        <v>0.420836641221374</v>
      </c>
      <c r="T183" s="51" t="str" cm="1">
        <f t="array" ref="T183">IFERROR(IF(J183&gt;10,J183/E183*0.876,""),“”)</f>
        <v/>
      </c>
      <c r="U183" s="51" t="str" cm="1">
        <f t="array" ref="U183">IFERROR(IF(K183&gt;10,K183/F183*0.876,""),“”)</f>
        <v/>
      </c>
      <c r="V183" s="78">
        <f t="shared" si="15"/>
        <v>0.400477759472817</v>
      </c>
    </row>
    <row r="184" s="27" customFormat="1" ht="13" spans="1:22">
      <c r="A184" s="63" t="s">
        <v>255</v>
      </c>
      <c r="B184" s="36">
        <v>2021</v>
      </c>
      <c r="C184" s="44">
        <v>598</v>
      </c>
      <c r="D184" s="44">
        <v>324</v>
      </c>
      <c r="E184" s="44">
        <v>215</v>
      </c>
      <c r="F184" s="70"/>
      <c r="G184" s="44">
        <v>60</v>
      </c>
      <c r="H184" s="44">
        <v>254</v>
      </c>
      <c r="I184" s="44">
        <v>166</v>
      </c>
      <c r="J184" s="44">
        <v>50</v>
      </c>
      <c r="K184" s="70"/>
      <c r="L184" s="44">
        <v>38</v>
      </c>
      <c r="M184" s="44">
        <v>4510</v>
      </c>
      <c r="N184" s="44">
        <v>5112</v>
      </c>
      <c r="O184" s="44">
        <v>2755</v>
      </c>
      <c r="P184" s="70"/>
      <c r="Q184" s="44">
        <v>6464</v>
      </c>
      <c r="R184" s="51" cm="1">
        <f t="array" ref="R184">IFERROR(IF(H184&gt;10,H184/C184*0.876,""),“”)</f>
        <v>0.372080267558528</v>
      </c>
      <c r="S184" s="51" cm="1">
        <f t="array" ref="S184">IFERROR(IF(I184&gt;10,I184/D184*0.876,""),“”)</f>
        <v>0.448814814814815</v>
      </c>
      <c r="T184" s="51" cm="1">
        <f t="array" ref="T184">IFERROR(IF(J184&gt;10,J184/E184*0.876,""),“”)</f>
        <v>0.203720930232558</v>
      </c>
      <c r="U184" s="51" t="str" cm="1">
        <f t="array" ref="U184">IFERROR(IF(K184&gt;10,K184/F184*0.876,""),“”)</f>
        <v/>
      </c>
      <c r="V184" s="78">
        <f t="shared" si="15"/>
        <v>0.466590078328982</v>
      </c>
    </row>
    <row r="185" s="27" customFormat="1" ht="13" spans="1:22">
      <c r="A185" s="63" t="s">
        <v>256</v>
      </c>
      <c r="B185" s="36">
        <v>2021</v>
      </c>
      <c r="C185" s="44">
        <v>1553</v>
      </c>
      <c r="D185" s="44">
        <v>1329</v>
      </c>
      <c r="E185" s="44">
        <v>141</v>
      </c>
      <c r="F185" s="70"/>
      <c r="G185" s="44">
        <v>83</v>
      </c>
      <c r="H185" s="44">
        <v>667</v>
      </c>
      <c r="I185" s="44">
        <v>570</v>
      </c>
      <c r="J185" s="44">
        <v>55</v>
      </c>
      <c r="K185" s="70"/>
      <c r="L185" s="44">
        <v>42</v>
      </c>
      <c r="M185" s="44">
        <v>4314</v>
      </c>
      <c r="N185" s="44">
        <v>4296</v>
      </c>
      <c r="O185" s="44">
        <v>3741</v>
      </c>
      <c r="P185" s="70"/>
      <c r="Q185" s="44">
        <v>5839</v>
      </c>
      <c r="R185" s="51" cm="1">
        <f t="array" ref="R185">IFERROR(IF(H185&gt;10,H185/C185*0.876,""),“”)</f>
        <v>0.376234385061172</v>
      </c>
      <c r="S185" s="51" cm="1">
        <f t="array" ref="S185">IFERROR(IF(I185&gt;10,I185/D185*0.876,""),“”)</f>
        <v>0.375711060948081</v>
      </c>
      <c r="T185" s="51" cm="1">
        <f t="array" ref="T185">IFERROR(IF(J185&gt;10,J185/E185*0.876,""),“”)</f>
        <v>0.341702127659574</v>
      </c>
      <c r="U185" s="51" t="str" cm="1">
        <f t="array" ref="U185">IFERROR(IF(K185&gt;10,K185/F185*0.876,""),“”)</f>
        <v/>
      </c>
      <c r="V185" s="78">
        <f t="shared" si="15"/>
        <v>0.379682719546742</v>
      </c>
    </row>
    <row r="186" s="27" customFormat="1" ht="13" spans="1:22">
      <c r="A186" s="63" t="s">
        <v>258</v>
      </c>
      <c r="B186" s="36">
        <v>2021</v>
      </c>
      <c r="C186" s="44">
        <v>1825</v>
      </c>
      <c r="D186" s="44">
        <v>1412</v>
      </c>
      <c r="E186" s="44">
        <v>120</v>
      </c>
      <c r="F186" s="70"/>
      <c r="G186" s="44">
        <v>293</v>
      </c>
      <c r="H186" s="44">
        <v>655</v>
      </c>
      <c r="I186" s="44">
        <v>469</v>
      </c>
      <c r="J186" s="44">
        <v>33</v>
      </c>
      <c r="K186" s="70"/>
      <c r="L186" s="44">
        <v>153</v>
      </c>
      <c r="M186" s="44">
        <v>3954</v>
      </c>
      <c r="N186" s="44">
        <v>3720</v>
      </c>
      <c r="O186" s="44">
        <v>2765</v>
      </c>
      <c r="P186" s="70"/>
      <c r="Q186" s="44">
        <v>5581</v>
      </c>
      <c r="R186" s="51" cm="1">
        <f t="array" ref="R186">IFERROR(IF(H186&gt;10,H186/C186*0.876,""),“”)</f>
        <v>0.3144</v>
      </c>
      <c r="S186" s="51" cm="1">
        <f t="array" ref="S186">IFERROR(IF(I186&gt;10,I186/D186*0.876,""),“”)</f>
        <v>0.290966005665722</v>
      </c>
      <c r="T186" s="51" cm="1">
        <f t="array" ref="T186">IFERROR(IF(J186&gt;10,J186/E186*0.876,""),“”)</f>
        <v>0.2409</v>
      </c>
      <c r="U186" s="51" t="str" cm="1">
        <f t="array" ref="U186">IFERROR(IF(K186&gt;10,K186/F186*0.876,""),“”)</f>
        <v/>
      </c>
      <c r="V186" s="78">
        <f t="shared" si="15"/>
        <v>0.319573020527859</v>
      </c>
    </row>
    <row r="187" s="27" customFormat="1" ht="13" spans="1:22">
      <c r="A187" s="63" t="s">
        <v>259</v>
      </c>
      <c r="B187" s="36">
        <v>2021</v>
      </c>
      <c r="C187" s="44">
        <v>3572</v>
      </c>
      <c r="D187" s="44">
        <v>3469</v>
      </c>
      <c r="E187" s="70">
        <v>62</v>
      </c>
      <c r="F187" s="70"/>
      <c r="G187" s="44">
        <v>42</v>
      </c>
      <c r="H187" s="44">
        <v>1485</v>
      </c>
      <c r="I187" s="44">
        <v>1444</v>
      </c>
      <c r="J187" s="70">
        <v>23</v>
      </c>
      <c r="K187" s="70"/>
      <c r="L187" s="44">
        <v>18</v>
      </c>
      <c r="M187" s="44">
        <v>4240</v>
      </c>
      <c r="N187" s="44">
        <v>4238</v>
      </c>
      <c r="O187" s="70"/>
      <c r="P187" s="70"/>
      <c r="Q187" s="44">
        <v>4393</v>
      </c>
      <c r="R187" s="51" cm="1">
        <f t="array" ref="R187">IFERROR(IF(H187&gt;10,H187/C187*0.876,""),“”)</f>
        <v>0.364182530795073</v>
      </c>
      <c r="S187" s="51" cm="1">
        <f t="array" ref="S187">IFERROR(IF(I187&gt;10,I187/D187*0.876,""),“”)</f>
        <v>0.364642260017296</v>
      </c>
      <c r="T187" s="51" cm="1">
        <f t="array" ref="T187">IFERROR(IF(J187&gt;10,J187/E187*0.876,""),“”)</f>
        <v>0.324967741935484</v>
      </c>
      <c r="U187" s="51" t="str" cm="1">
        <f t="array" ref="U187">IFERROR(IF(K187&gt;10,K187/F187*0.876,""),“”)</f>
        <v/>
      </c>
      <c r="V187" s="78">
        <f t="shared" si="15"/>
        <v>0.364875213675214</v>
      </c>
    </row>
    <row r="188" s="27" customFormat="1" ht="13" spans="1:22">
      <c r="A188" s="63" t="s">
        <v>260</v>
      </c>
      <c r="B188" s="36">
        <v>2021</v>
      </c>
      <c r="C188" s="44">
        <v>1529</v>
      </c>
      <c r="D188" s="44">
        <v>1298</v>
      </c>
      <c r="E188" s="44">
        <v>3</v>
      </c>
      <c r="F188" s="70"/>
      <c r="G188" s="44">
        <v>228</v>
      </c>
      <c r="H188" s="44">
        <v>455</v>
      </c>
      <c r="I188" s="44">
        <v>353</v>
      </c>
      <c r="J188" s="44">
        <v>0.3</v>
      </c>
      <c r="K188" s="70"/>
      <c r="L188" s="44">
        <v>102</v>
      </c>
      <c r="M188" s="44">
        <v>2998</v>
      </c>
      <c r="N188" s="44">
        <v>2723</v>
      </c>
      <c r="O188" s="44">
        <v>1781</v>
      </c>
      <c r="P188" s="70"/>
      <c r="Q188" s="44">
        <v>4819</v>
      </c>
      <c r="R188" s="51" cm="1">
        <f t="array" ref="R188">IFERROR(IF(H188&gt;10,H188/C188*0.876,""),“”)</f>
        <v>0.260680183126226</v>
      </c>
      <c r="S188" s="51" cm="1">
        <f t="array" ref="S188">IFERROR(IF(I188&gt;10,I188/D188*0.876,""),“”)</f>
        <v>0.238234206471495</v>
      </c>
      <c r="T188" s="51" t="str" cm="1">
        <f t="array" ref="T188">IFERROR(IF(J188&gt;10,J188/E188*0.876,""),“”)</f>
        <v/>
      </c>
      <c r="U188" s="51" t="str" cm="1">
        <f t="array" ref="U188">IFERROR(IF(K188&gt;10,K188/F188*0.876,""),“”)</f>
        <v/>
      </c>
      <c r="V188" s="78">
        <f t="shared" si="15"/>
        <v>0.261020445609436</v>
      </c>
    </row>
    <row r="189" s="27" customFormat="1" ht="13" spans="1:22">
      <c r="A189" s="63" t="s">
        <v>261</v>
      </c>
      <c r="B189" s="36">
        <v>2021</v>
      </c>
      <c r="C189" s="44">
        <v>43</v>
      </c>
      <c r="D189" s="70"/>
      <c r="E189" s="70"/>
      <c r="F189" s="44">
        <v>39</v>
      </c>
      <c r="G189" s="44">
        <v>1</v>
      </c>
      <c r="H189" s="44">
        <v>1</v>
      </c>
      <c r="I189" s="70"/>
      <c r="J189" s="70"/>
      <c r="K189" s="86">
        <v>0.4</v>
      </c>
      <c r="L189" s="44">
        <v>1</v>
      </c>
      <c r="M189" s="44">
        <v>273</v>
      </c>
      <c r="N189" s="70"/>
      <c r="O189" s="70"/>
      <c r="P189" s="44">
        <v>105</v>
      </c>
      <c r="Q189" s="44">
        <v>4385</v>
      </c>
      <c r="R189" s="51" t="str" cm="1">
        <f t="array" ref="R189">IFERROR(IF(H189&gt;10,H189/C189*0.876,""),“”)</f>
        <v/>
      </c>
      <c r="S189" s="51" t="str" cm="1">
        <f t="array" ref="S189">IFERROR(IF(I189&gt;10,I189/D189*0.876,""),“”)</f>
        <v/>
      </c>
      <c r="T189" s="51" t="str" cm="1">
        <f t="array" ref="T189">IFERROR(IF(J189&gt;10,J189/E189*0.876,""),“”)</f>
        <v/>
      </c>
      <c r="U189" s="51" t="str" cm="1">
        <f t="array" ref="U189">IFERROR(IF(K189&gt;10,K189/F189*0.876,""),“”)</f>
        <v/>
      </c>
      <c r="V189" s="78" t="str">
        <f t="shared" si="15"/>
        <v/>
      </c>
    </row>
    <row r="190" s="27" customFormat="1" ht="13" spans="1:22">
      <c r="A190" s="63" t="s">
        <v>262</v>
      </c>
      <c r="B190" s="36">
        <v>2021</v>
      </c>
      <c r="C190" s="44">
        <v>4952</v>
      </c>
      <c r="D190" s="44">
        <v>4716</v>
      </c>
      <c r="E190" s="44">
        <v>22</v>
      </c>
      <c r="F190" s="70"/>
      <c r="G190" s="44">
        <v>214</v>
      </c>
      <c r="H190" s="44">
        <v>2310</v>
      </c>
      <c r="I190" s="44">
        <v>2198</v>
      </c>
      <c r="J190" s="44">
        <v>14</v>
      </c>
      <c r="K190" s="70"/>
      <c r="L190" s="44">
        <v>98</v>
      </c>
      <c r="M190" s="44">
        <v>1662</v>
      </c>
      <c r="N190" s="44">
        <v>4655</v>
      </c>
      <c r="O190" s="70">
        <v>7229</v>
      </c>
      <c r="P190" s="70"/>
      <c r="Q190" s="44">
        <v>4594</v>
      </c>
      <c r="R190" s="51" cm="1">
        <f t="array" ref="R190">IFERROR(IF(H190&gt;10,H190/C190*0.876,""),“”)</f>
        <v>0.408634894991922</v>
      </c>
      <c r="S190" s="51" cm="1">
        <f t="array" ref="S190">IFERROR(IF(I190&gt;10,I190/D190*0.876,""),“”)</f>
        <v>0.408279898218829</v>
      </c>
      <c r="T190" s="51" cm="1">
        <f t="array" ref="T190">IFERROR(IF(J190&gt;10,J190/E190*0.876,""),“”)</f>
        <v>0.557454545454545</v>
      </c>
      <c r="U190" s="51" t="str" cm="1">
        <f t="array" ref="U190">IFERROR(IF(K190&gt;10,K190/F190*0.876,""),“”)</f>
        <v/>
      </c>
      <c r="V190" s="78">
        <f t="shared" si="15"/>
        <v>0.407970791075051</v>
      </c>
    </row>
    <row r="191" s="27" customFormat="1" ht="13" spans="1:22">
      <c r="A191" s="63" t="s">
        <v>263</v>
      </c>
      <c r="B191" s="36">
        <v>2021</v>
      </c>
      <c r="C191" s="44">
        <v>2309</v>
      </c>
      <c r="D191" s="44">
        <v>2257</v>
      </c>
      <c r="E191" s="44"/>
      <c r="F191" s="70"/>
      <c r="G191" s="44">
        <v>51</v>
      </c>
      <c r="H191" s="44">
        <v>1042</v>
      </c>
      <c r="I191" s="44">
        <v>1019</v>
      </c>
      <c r="J191" s="70"/>
      <c r="K191" s="70"/>
      <c r="L191" s="44">
        <v>24</v>
      </c>
      <c r="M191" s="44">
        <v>4971</v>
      </c>
      <c r="N191" s="44">
        <v>4963</v>
      </c>
      <c r="O191" s="70"/>
      <c r="P191" s="70"/>
      <c r="Q191" s="44">
        <v>5349</v>
      </c>
      <c r="R191" s="51" cm="1">
        <f t="array" ref="R191">IFERROR(IF(H191&gt;10,H191/C191*0.876,""),“”)</f>
        <v>0.395319185794716</v>
      </c>
      <c r="S191" s="51" cm="1">
        <f t="array" ref="S191">IFERROR(IF(I191&gt;10,I191/D191*0.876,""),“”)</f>
        <v>0.395500221533008</v>
      </c>
      <c r="T191" s="51" t="str" cm="1">
        <f t="array" ref="T191">IFERROR(IF(J191&gt;10,J191/E191*0.876,""),“”)</f>
        <v/>
      </c>
      <c r="U191" s="51" t="str" cm="1">
        <f t="array" ref="U191">IFERROR(IF(K191&gt;10,K191/F191*0.876,""),“”)</f>
        <v/>
      </c>
      <c r="V191" s="78">
        <f t="shared" si="15"/>
        <v>0.395319185794716</v>
      </c>
    </row>
    <row r="192" s="27" customFormat="1" ht="13" spans="1:22">
      <c r="A192" s="63" t="s">
        <v>264</v>
      </c>
      <c r="B192" s="36">
        <v>2021</v>
      </c>
      <c r="C192" s="44">
        <v>393</v>
      </c>
      <c r="D192" s="44">
        <v>375</v>
      </c>
      <c r="E192" s="44">
        <v>1</v>
      </c>
      <c r="F192" s="70"/>
      <c r="G192" s="44">
        <v>17</v>
      </c>
      <c r="H192" s="44">
        <v>144</v>
      </c>
      <c r="I192" s="44">
        <v>142</v>
      </c>
      <c r="J192" s="42">
        <v>0.2</v>
      </c>
      <c r="K192" s="70"/>
      <c r="L192" s="44">
        <v>1</v>
      </c>
      <c r="M192" s="44">
        <v>3656</v>
      </c>
      <c r="N192" s="44">
        <v>3793</v>
      </c>
      <c r="O192" s="70"/>
      <c r="P192" s="70"/>
      <c r="Q192" s="44">
        <v>603</v>
      </c>
      <c r="R192" s="51" cm="1">
        <f t="array" ref="R192">IFERROR(IF(H192&gt;10,H192/C192*0.876,""),“”)</f>
        <v>0.320977099236641</v>
      </c>
      <c r="S192" s="51" cm="1">
        <f t="array" ref="S192">IFERROR(IF(I192&gt;10,I192/D192*0.876,""),“”)</f>
        <v>0.331712</v>
      </c>
      <c r="T192" s="51" t="str" cm="1">
        <f t="array" ref="T192">IFERROR(IF(J192&gt;10,J192/E192*0.876,""),“”)</f>
        <v/>
      </c>
      <c r="U192" s="51" t="str" cm="1">
        <f t="array" ref="U192">IFERROR(IF(K192&gt;10,K192/F192*0.876,""),“”)</f>
        <v/>
      </c>
      <c r="V192" s="78">
        <f t="shared" si="15"/>
        <v>0.321348979591837</v>
      </c>
    </row>
    <row r="193" s="27" customFormat="1" ht="13" spans="1:22">
      <c r="A193" s="63" t="s">
        <v>265</v>
      </c>
      <c r="B193" s="36">
        <v>2021</v>
      </c>
      <c r="C193" s="44">
        <v>3333</v>
      </c>
      <c r="D193" s="44">
        <v>3166</v>
      </c>
      <c r="E193" s="44">
        <v>53</v>
      </c>
      <c r="F193" s="70"/>
      <c r="G193" s="44">
        <v>114</v>
      </c>
      <c r="H193" s="44">
        <v>1507</v>
      </c>
      <c r="I193" s="44">
        <v>1438</v>
      </c>
      <c r="J193" s="44">
        <v>12</v>
      </c>
      <c r="K193" s="70"/>
      <c r="L193" s="44">
        <v>57</v>
      </c>
      <c r="M193" s="44">
        <v>4529</v>
      </c>
      <c r="N193" s="44">
        <v>4548</v>
      </c>
      <c r="O193" s="44">
        <v>2294</v>
      </c>
      <c r="P193" s="70"/>
      <c r="Q193" s="44">
        <v>5042</v>
      </c>
      <c r="R193" s="51" cm="1">
        <f t="array" ref="R193">IFERROR(IF(H193&gt;10,H193/C193*0.876,""),“”)</f>
        <v>0.396079207920792</v>
      </c>
      <c r="S193" s="51" cm="1">
        <f t="array" ref="S193">IFERROR(IF(I193&gt;10,I193/D193*0.876,""),“”)</f>
        <v>0.397879974731522</v>
      </c>
      <c r="T193" s="51" cm="1">
        <f t="array" ref="T193">IFERROR(IF(J193&gt;10,J193/E193*0.876,""),“”)</f>
        <v>0.198339622641509</v>
      </c>
      <c r="U193" s="51" t="str" cm="1">
        <f t="array" ref="U193">IFERROR(IF(K193&gt;10,K193/F193*0.876,""),“”)</f>
        <v/>
      </c>
      <c r="V193" s="78">
        <f t="shared" si="15"/>
        <v>0.399274390243902</v>
      </c>
    </row>
    <row r="194" s="27" customFormat="1" ht="13.75" spans="1:22">
      <c r="A194" s="65" t="s">
        <v>266</v>
      </c>
      <c r="B194" s="66">
        <v>2021</v>
      </c>
      <c r="C194" s="67">
        <v>6845</v>
      </c>
      <c r="D194" s="67">
        <v>6599</v>
      </c>
      <c r="E194" s="67">
        <v>99</v>
      </c>
      <c r="F194" s="84"/>
      <c r="G194" s="67">
        <v>147</v>
      </c>
      <c r="H194" s="67">
        <v>3584</v>
      </c>
      <c r="I194" s="67">
        <v>3482</v>
      </c>
      <c r="J194" s="67">
        <v>41</v>
      </c>
      <c r="K194" s="84"/>
      <c r="L194" s="67">
        <v>61</v>
      </c>
      <c r="M194" s="67">
        <v>5129</v>
      </c>
      <c r="N194" s="67">
        <v>5162</v>
      </c>
      <c r="O194" s="67">
        <v>4165</v>
      </c>
      <c r="P194" s="84"/>
      <c r="Q194" s="67">
        <v>4242</v>
      </c>
      <c r="R194" s="79" cm="1">
        <f t="array" ref="R194">IFERROR(IF(H194&gt;10,H194/C194*0.876,""),“”)</f>
        <v>0.458668224981738</v>
      </c>
      <c r="S194" s="79" cm="1">
        <f t="array" ref="S194">IFERROR(IF(I194&gt;10,I194/D194*0.876,""),“”)</f>
        <v>0.462226397939082</v>
      </c>
      <c r="T194" s="79" cm="1">
        <f t="array" ref="T194">IFERROR(IF(J194&gt;10,J194/E194*0.876,""),“”)</f>
        <v>0.362787878787879</v>
      </c>
      <c r="U194" s="79" t="str" cm="1">
        <f t="array" ref="U194">IFERROR(IF(K194&gt;10,K194/F194*0.876,""),“”)</f>
        <v/>
      </c>
      <c r="V194" s="80">
        <f t="shared" si="15"/>
        <v>0.460075303883783</v>
      </c>
    </row>
    <row r="195" ht="13.75" spans="1:22">
      <c r="A195" s="59" t="s">
        <v>234</v>
      </c>
      <c r="B195" s="60">
        <v>2022</v>
      </c>
      <c r="C195" s="89">
        <v>133329</v>
      </c>
      <c r="D195" s="89">
        <v>112434</v>
      </c>
      <c r="E195" s="89">
        <v>11565</v>
      </c>
      <c r="F195" s="89">
        <v>164</v>
      </c>
      <c r="G195" s="89">
        <v>9166</v>
      </c>
      <c r="H195" s="89">
        <v>57344</v>
      </c>
      <c r="I195" s="89">
        <v>50792</v>
      </c>
      <c r="J195" s="89">
        <v>2741</v>
      </c>
      <c r="K195" s="89">
        <v>9</v>
      </c>
      <c r="L195" s="89">
        <v>3801</v>
      </c>
      <c r="M195" s="89">
        <v>4388</v>
      </c>
      <c r="N195" s="89">
        <v>4593</v>
      </c>
      <c r="O195" s="89">
        <v>2426</v>
      </c>
      <c r="P195" s="89">
        <v>606</v>
      </c>
      <c r="Q195" s="89">
        <v>4342</v>
      </c>
      <c r="R195" s="79" cm="1">
        <f t="array" ref="R195">IFERROR(IF(H195&gt;10,H195/C195*0.876,""),“”)</f>
        <v>0.376762324775555</v>
      </c>
      <c r="S195" s="79" cm="1">
        <f t="array" ref="S195">IFERROR(IF(I195&gt;10,I195/D195*0.876,""),“”)</f>
        <v>0.395732536421367</v>
      </c>
      <c r="T195" s="79" cm="1">
        <f t="array" ref="T195">IFERROR(IF(J195&gt;10,J195/E195*0.876,""),“”)</f>
        <v>0.207619195849546</v>
      </c>
      <c r="U195" s="79" t="str" cm="1">
        <f t="array" ref="U195">IFERROR(IF(K195&gt;10,K195/F195*0.876,""),“”)</f>
        <v/>
      </c>
      <c r="V195" s="80">
        <f t="shared" si="15"/>
        <v>0.392827338129496</v>
      </c>
    </row>
    <row r="196" ht="13.75" spans="1:22">
      <c r="A196" s="63" t="s">
        <v>235</v>
      </c>
      <c r="B196" s="60">
        <v>2022</v>
      </c>
      <c r="C196" s="89">
        <v>1137</v>
      </c>
      <c r="D196" s="89">
        <v>77</v>
      </c>
      <c r="E196" s="89">
        <v>1001</v>
      </c>
      <c r="F196" s="89">
        <v>22</v>
      </c>
      <c r="G196" s="89">
        <v>38</v>
      </c>
      <c r="H196" s="89">
        <v>442</v>
      </c>
      <c r="I196" s="89">
        <v>9</v>
      </c>
      <c r="J196" s="89">
        <v>404</v>
      </c>
      <c r="K196" s="89">
        <v>2</v>
      </c>
      <c r="L196" s="89">
        <v>27</v>
      </c>
      <c r="M196" s="89">
        <v>3886</v>
      </c>
      <c r="N196" s="89">
        <v>1196</v>
      </c>
      <c r="O196" s="89">
        <v>4042</v>
      </c>
      <c r="P196" s="89">
        <v>786</v>
      </c>
      <c r="Q196" s="89">
        <v>7031</v>
      </c>
      <c r="R196" s="79" cm="1">
        <f t="array" ref="R196">IFERROR(IF(H196&gt;10,H196/C196*0.876,""),“”)</f>
        <v>0.340538258575198</v>
      </c>
      <c r="S196" s="79" t="str" cm="1">
        <f t="array" ref="S196">IFERROR(IF(I196&gt;10,I196/D196*0.876,""),“”)</f>
        <v/>
      </c>
      <c r="T196" s="79" cm="1">
        <f t="array" ref="T196">IFERROR(IF(J196&gt;10,J196/E196*0.876,""),“”)</f>
        <v>0.35355044955045</v>
      </c>
      <c r="U196" s="79" t="str" cm="1">
        <f t="array" ref="U196">IFERROR(IF(K196&gt;10,K196/F196*0.876,""),“”)</f>
        <v/>
      </c>
      <c r="V196" s="80">
        <f t="shared" si="15"/>
        <v>0.244764705882353</v>
      </c>
    </row>
    <row r="197" ht="13.75" spans="1:22">
      <c r="A197" s="63" t="s">
        <v>236</v>
      </c>
      <c r="B197" s="60">
        <v>2022</v>
      </c>
      <c r="C197" s="89">
        <v>1896</v>
      </c>
      <c r="D197" s="89">
        <v>1238</v>
      </c>
      <c r="E197" s="89">
        <v>561</v>
      </c>
      <c r="F197" s="89">
        <v>18</v>
      </c>
      <c r="G197" s="89">
        <v>78</v>
      </c>
      <c r="H197" s="89">
        <v>700</v>
      </c>
      <c r="I197" s="89">
        <v>529</v>
      </c>
      <c r="J197" s="89">
        <v>132</v>
      </c>
      <c r="K197" s="89">
        <v>1</v>
      </c>
      <c r="L197" s="89">
        <v>38</v>
      </c>
      <c r="M197" s="89">
        <v>3689</v>
      </c>
      <c r="N197" s="89">
        <v>4282</v>
      </c>
      <c r="O197" s="89">
        <v>2353</v>
      </c>
      <c r="P197" s="89">
        <v>329</v>
      </c>
      <c r="Q197" s="89">
        <v>4856</v>
      </c>
      <c r="R197" s="79" cm="1">
        <f t="array" ref="R197">IFERROR(IF(H197&gt;10,H197/C197*0.876,""),“”)</f>
        <v>0.323417721518987</v>
      </c>
      <c r="S197" s="79" cm="1">
        <f t="array" ref="S197">IFERROR(IF(I197&gt;10,I197/D197*0.876,""),“”)</f>
        <v>0.374316639741519</v>
      </c>
      <c r="T197" s="79" cm="1">
        <f t="array" ref="T197">IFERROR(IF(J197&gt;10,J197/E197*0.876,""),“”)</f>
        <v>0.206117647058824</v>
      </c>
      <c r="U197" s="79" t="str" cm="1">
        <f t="array" ref="U197">IFERROR(IF(K197&gt;10,K197/F197*0.876,""),“”)</f>
        <v/>
      </c>
      <c r="V197" s="80">
        <f t="shared" si="15"/>
        <v>0.372710112359551</v>
      </c>
    </row>
    <row r="198" ht="13.75" spans="1:22">
      <c r="A198" s="63" t="s">
        <v>237</v>
      </c>
      <c r="B198" s="60">
        <v>2022</v>
      </c>
      <c r="C198" s="89">
        <v>5383</v>
      </c>
      <c r="D198" s="89">
        <v>4835</v>
      </c>
      <c r="E198" s="89">
        <v>94</v>
      </c>
      <c r="F198" s="44"/>
      <c r="G198" s="89">
        <v>454</v>
      </c>
      <c r="H198" s="89">
        <v>2268</v>
      </c>
      <c r="I198" s="89">
        <v>2084</v>
      </c>
      <c r="J198" s="89">
        <v>18</v>
      </c>
      <c r="K198" s="44"/>
      <c r="L198" s="89">
        <v>166</v>
      </c>
      <c r="M198" s="89">
        <v>4224</v>
      </c>
      <c r="N198" s="89">
        <v>4309</v>
      </c>
      <c r="O198" s="89">
        <v>1926</v>
      </c>
      <c r="P198" s="44"/>
      <c r="Q198" s="89">
        <v>3747</v>
      </c>
      <c r="R198" s="79" cm="1">
        <f t="array" ref="R198">IFERROR(IF(H198&gt;10,H198/C198*0.876,""),“”)</f>
        <v>0.369081924577373</v>
      </c>
      <c r="S198" s="79" cm="1">
        <f t="array" ref="S198">IFERROR(IF(I198&gt;10,I198/D198*0.876,""),“”)</f>
        <v>0.37757683557394</v>
      </c>
      <c r="T198" s="79" cm="1">
        <f t="array" ref="T198">IFERROR(IF(J198&gt;10,J198/E198*0.876,""),“”)</f>
        <v>0.167744680851064</v>
      </c>
      <c r="U198" s="79" t="str" cm="1">
        <f t="array" ref="U198">IFERROR(IF(K198&gt;10,K198/F198*0.876,""),“”)</f>
        <v/>
      </c>
      <c r="V198" s="80">
        <f t="shared" si="15"/>
        <v>0.372660238230289</v>
      </c>
    </row>
    <row r="199" ht="13.75" spans="1:22">
      <c r="A199" s="63" t="s">
        <v>238</v>
      </c>
      <c r="B199" s="60">
        <v>2022</v>
      </c>
      <c r="C199" s="89">
        <v>7842</v>
      </c>
      <c r="D199" s="89">
        <v>7104</v>
      </c>
      <c r="E199" s="89">
        <v>355</v>
      </c>
      <c r="F199" s="44"/>
      <c r="G199" s="89">
        <v>382</v>
      </c>
      <c r="H199" s="89">
        <v>3463</v>
      </c>
      <c r="I199" s="89">
        <v>3229</v>
      </c>
      <c r="J199" s="89">
        <v>102</v>
      </c>
      <c r="K199" s="44"/>
      <c r="L199" s="89">
        <v>131</v>
      </c>
      <c r="M199" s="89">
        <v>4489</v>
      </c>
      <c r="N199" s="89">
        <v>4591</v>
      </c>
      <c r="O199" s="89">
        <v>3039</v>
      </c>
      <c r="P199" s="44"/>
      <c r="Q199" s="89">
        <v>3797</v>
      </c>
      <c r="R199" s="79" cm="1">
        <f t="array" ref="R199">IFERROR(IF(H199&gt;10,H199/C199*0.876,""),“”)</f>
        <v>0.386838561591431</v>
      </c>
      <c r="S199" s="79" cm="1">
        <f t="array" ref="S199">IFERROR(IF(I199&gt;10,I199/D199*0.876,""),“”)</f>
        <v>0.398170608108108</v>
      </c>
      <c r="T199" s="79" cm="1">
        <f t="array" ref="T199">IFERROR(IF(J199&gt;10,J199/E199*0.876,""),“”)</f>
        <v>0.251695774647887</v>
      </c>
      <c r="U199" s="79" t="str" cm="1">
        <f t="array" ref="U199">IFERROR(IF(K199&gt;10,K199/F199*0.876,""),“”)</f>
        <v/>
      </c>
      <c r="V199" s="80">
        <f t="shared" si="15"/>
        <v>0.393246427140377</v>
      </c>
    </row>
    <row r="200" ht="13.75" spans="1:22">
      <c r="A200" s="63" t="s">
        <v>239</v>
      </c>
      <c r="B200" s="60">
        <v>2022</v>
      </c>
      <c r="C200" s="89">
        <v>10503</v>
      </c>
      <c r="D200" s="89">
        <v>10205</v>
      </c>
      <c r="E200" s="89">
        <v>42</v>
      </c>
      <c r="F200" s="44"/>
      <c r="G200" s="89">
        <v>255</v>
      </c>
      <c r="H200" s="89">
        <v>5115</v>
      </c>
      <c r="I200" s="89">
        <v>5019</v>
      </c>
      <c r="J200" s="89">
        <v>1</v>
      </c>
      <c r="K200" s="44"/>
      <c r="L200" s="89">
        <v>95</v>
      </c>
      <c r="M200" s="89">
        <v>5007</v>
      </c>
      <c r="N200" s="89">
        <v>5061</v>
      </c>
      <c r="O200" s="89">
        <v>287</v>
      </c>
      <c r="P200" s="44"/>
      <c r="Q200" s="89">
        <v>3680</v>
      </c>
      <c r="R200" s="79" cm="1">
        <f t="array" ref="R200">IFERROR(IF(H200&gt;10,H200/C200*0.876,""),“”)</f>
        <v>0.426615252784919</v>
      </c>
      <c r="S200" s="79" cm="1">
        <f t="array" ref="S200">IFERROR(IF(I200&gt;10,I200/D200*0.876,""),“”)</f>
        <v>0.430832337089662</v>
      </c>
      <c r="T200" s="79" t="str" cm="1">
        <f t="array" ref="T200">IFERROR(IF(J200&gt;10,J200/E200*0.876,""),“”)</f>
        <v/>
      </c>
      <c r="U200" s="79" t="str" cm="1">
        <f t="array" ref="U200">IFERROR(IF(K200&gt;10,K200/F200*0.876,""),“”)</f>
        <v/>
      </c>
      <c r="V200" s="80">
        <f t="shared" si="15"/>
        <v>0.428244336105535</v>
      </c>
    </row>
    <row r="201" ht="13.75" spans="1:22">
      <c r="A201" s="63" t="s">
        <v>240</v>
      </c>
      <c r="B201" s="60">
        <v>2022</v>
      </c>
      <c r="C201" s="89">
        <v>3835</v>
      </c>
      <c r="D201" s="89">
        <v>3513</v>
      </c>
      <c r="E201" s="89">
        <v>3</v>
      </c>
      <c r="F201" s="89">
        <v>15</v>
      </c>
      <c r="G201" s="89">
        <v>304</v>
      </c>
      <c r="H201" s="89">
        <v>1286</v>
      </c>
      <c r="I201" s="89">
        <v>1141</v>
      </c>
      <c r="J201" s="89">
        <v>1</v>
      </c>
      <c r="K201" s="89">
        <v>3</v>
      </c>
      <c r="L201" s="89">
        <v>140</v>
      </c>
      <c r="M201" s="89">
        <v>3402</v>
      </c>
      <c r="N201" s="89">
        <v>3278</v>
      </c>
      <c r="O201" s="89">
        <v>4344</v>
      </c>
      <c r="P201" s="89">
        <v>1962</v>
      </c>
      <c r="Q201" s="89">
        <v>5028</v>
      </c>
      <c r="R201" s="79" cm="1">
        <f t="array" ref="R201">IFERROR(IF(H201&gt;10,H201/C201*0.876,""),“”)</f>
        <v>0.293751238591917</v>
      </c>
      <c r="S201" s="79" cm="1">
        <f t="array" ref="S201">IFERROR(IF(I201&gt;10,I201/D201*0.876,""),“”)</f>
        <v>0.284519214346712</v>
      </c>
      <c r="T201" s="79" t="str" cm="1">
        <f t="array" ref="T201">IFERROR(IF(J201&gt;10,J201/E201*0.876,""),“”)</f>
        <v/>
      </c>
      <c r="U201" s="79" t="str" cm="1">
        <f t="array" ref="U201">IFERROR(IF(K201&gt;10,K201/F201*0.876,""),“”)</f>
        <v/>
      </c>
      <c r="V201" s="80">
        <f t="shared" si="15"/>
        <v>0.29375260960334</v>
      </c>
    </row>
    <row r="202" ht="13.75" spans="1:22">
      <c r="A202" s="63" t="s">
        <v>241</v>
      </c>
      <c r="B202" s="60">
        <v>2022</v>
      </c>
      <c r="C202" s="89">
        <v>1855</v>
      </c>
      <c r="D202" s="89">
        <v>1705</v>
      </c>
      <c r="E202" s="89">
        <v>2</v>
      </c>
      <c r="F202" s="44"/>
      <c r="G202" s="89">
        <v>148</v>
      </c>
      <c r="H202" s="89">
        <v>639</v>
      </c>
      <c r="I202" s="89">
        <v>596</v>
      </c>
      <c r="J202" s="89">
        <v>0.4</v>
      </c>
      <c r="K202" s="44"/>
      <c r="L202" s="89">
        <v>43</v>
      </c>
      <c r="M202" s="89">
        <v>3442</v>
      </c>
      <c r="N202" s="89">
        <v>3493</v>
      </c>
      <c r="O202" s="89">
        <v>2642</v>
      </c>
      <c r="P202" s="44"/>
      <c r="Q202" s="89">
        <v>2866</v>
      </c>
      <c r="R202" s="79" cm="1">
        <f t="array" ref="R202">IFERROR(IF(H202&gt;10,H202/C202*0.876,""),“”)</f>
        <v>0.301759568733154</v>
      </c>
      <c r="S202" s="79" cm="1">
        <f t="array" ref="S202">IFERROR(IF(I202&gt;10,I202/D202*0.876,""),“”)</f>
        <v>0.306214662756598</v>
      </c>
      <c r="T202" s="79" t="str" cm="1">
        <f t="array" ref="T202">IFERROR(IF(J202&gt;10,J202/E202*0.876,""),“”)</f>
        <v/>
      </c>
      <c r="U202" s="79" t="str" cm="1">
        <f t="array" ref="U202">IFERROR(IF(K202&gt;10,K202/F202*0.876,""),“”)</f>
        <v/>
      </c>
      <c r="V202" s="80">
        <f t="shared" si="15"/>
        <v>0.301896168375607</v>
      </c>
    </row>
    <row r="203" ht="13.75" spans="1:22">
      <c r="A203" s="63" t="s">
        <v>242</v>
      </c>
      <c r="B203" s="60">
        <v>2022</v>
      </c>
      <c r="C203" s="89">
        <v>2531</v>
      </c>
      <c r="D203" s="89">
        <v>2205</v>
      </c>
      <c r="E203" s="89">
        <v>15</v>
      </c>
      <c r="F203" s="89">
        <v>2</v>
      </c>
      <c r="G203" s="89">
        <v>309</v>
      </c>
      <c r="H203" s="89">
        <v>835</v>
      </c>
      <c r="I203" s="89">
        <v>721</v>
      </c>
      <c r="J203" s="89">
        <v>4</v>
      </c>
      <c r="K203" s="44"/>
      <c r="L203" s="89">
        <v>109</v>
      </c>
      <c r="M203" s="89">
        <v>3297</v>
      </c>
      <c r="N203" s="89">
        <v>3245</v>
      </c>
      <c r="O203" s="89">
        <v>3276</v>
      </c>
      <c r="P203" s="44"/>
      <c r="Q203" s="89">
        <v>3724</v>
      </c>
      <c r="R203" s="79" cm="1">
        <f t="array" ref="R203">IFERROR(IF(H203&gt;10,H203/C203*0.876,""),“”)</f>
        <v>0.289000395100751</v>
      </c>
      <c r="S203" s="79" cm="1">
        <f t="array" ref="S203">IFERROR(IF(I203&gt;10,I203/D203*0.876,""),“”)</f>
        <v>0.286438095238095</v>
      </c>
      <c r="T203" s="79" t="str" cm="1">
        <f t="array" ref="T203">IFERROR(IF(J203&gt;10,J203/E203*0.876,""),“”)</f>
        <v/>
      </c>
      <c r="U203" s="79" t="str" cm="1">
        <f t="array" ref="U203">IFERROR(IF(K203&gt;10,K203/F203*0.876,""),“”)</f>
        <v/>
      </c>
      <c r="V203" s="80">
        <f t="shared" si="15"/>
        <v>0.289330683624801</v>
      </c>
    </row>
    <row r="204" ht="13.75" spans="1:22">
      <c r="A204" s="63" t="s">
        <v>243</v>
      </c>
      <c r="B204" s="60">
        <v>2022</v>
      </c>
      <c r="C204" s="89">
        <v>2528</v>
      </c>
      <c r="D204" s="89">
        <v>1499</v>
      </c>
      <c r="E204" s="89">
        <v>815</v>
      </c>
      <c r="F204" s="89">
        <v>61</v>
      </c>
      <c r="G204" s="89">
        <v>152</v>
      </c>
      <c r="H204" s="89">
        <v>921</v>
      </c>
      <c r="I204" s="89">
        <v>702</v>
      </c>
      <c r="J204" s="89">
        <v>143</v>
      </c>
      <c r="K204" s="89">
        <v>2</v>
      </c>
      <c r="L204" s="89">
        <v>74</v>
      </c>
      <c r="M204" s="89">
        <v>3627</v>
      </c>
      <c r="N204" s="89">
        <v>4675</v>
      </c>
      <c r="O204" s="89">
        <v>1756</v>
      </c>
      <c r="P204" s="89">
        <v>313</v>
      </c>
      <c r="Q204" s="89">
        <v>4666</v>
      </c>
      <c r="R204" s="79" cm="1">
        <f t="array" ref="R204">IFERROR(IF(H204&gt;10,H204/C204*0.876,""),“”)</f>
        <v>0.319143987341772</v>
      </c>
      <c r="S204" s="79" cm="1">
        <f t="array" ref="S204">IFERROR(IF(I204&gt;10,I204/D204*0.876,""),“”)</f>
        <v>0.410241494329553</v>
      </c>
      <c r="T204" s="79" cm="1">
        <f t="array" ref="T204">IFERROR(IF(J204&gt;10,J204/E204*0.876,""),“”)</f>
        <v>0.153703067484663</v>
      </c>
      <c r="U204" s="79" t="str" cm="1">
        <f t="array" ref="U204">IFERROR(IF(K204&gt;10,K204/F204*0.876,""),“”)</f>
        <v/>
      </c>
      <c r="V204" s="80">
        <f t="shared" si="15"/>
        <v>0.397856392294221</v>
      </c>
    </row>
    <row r="205" ht="13.75" spans="1:22">
      <c r="A205" s="63" t="s">
        <v>244</v>
      </c>
      <c r="B205" s="60">
        <v>2022</v>
      </c>
      <c r="C205" s="89">
        <v>10437</v>
      </c>
      <c r="D205" s="89">
        <v>7892</v>
      </c>
      <c r="E205" s="89">
        <v>1974</v>
      </c>
      <c r="F205" s="44"/>
      <c r="G205" s="89">
        <v>571</v>
      </c>
      <c r="H205" s="89">
        <v>4624</v>
      </c>
      <c r="I205" s="89">
        <v>3882</v>
      </c>
      <c r="J205" s="89">
        <v>474</v>
      </c>
      <c r="K205" s="44"/>
      <c r="L205" s="89">
        <v>268</v>
      </c>
      <c r="M205" s="89">
        <v>4439</v>
      </c>
      <c r="N205" s="89">
        <v>4912</v>
      </c>
      <c r="O205" s="89">
        <v>2433</v>
      </c>
      <c r="P205" s="44"/>
      <c r="Q205" s="89">
        <v>4747</v>
      </c>
      <c r="R205" s="79" cm="1">
        <f t="array" ref="R205">IFERROR(IF(H205&gt;10,H205/C205*0.876,""),“”)</f>
        <v>0.388102328255246</v>
      </c>
      <c r="S205" s="79" cm="1">
        <f t="array" ref="S205">IFERROR(IF(I205&gt;10,I205/D205*0.876,""),“”)</f>
        <v>0.430896097313735</v>
      </c>
      <c r="T205" s="79" cm="1">
        <f t="array" ref="T205">IFERROR(IF(J205&gt;10,J205/E205*0.876,""),“”)</f>
        <v>0.210346504559271</v>
      </c>
      <c r="U205" s="79" t="str" cm="1">
        <f t="array" ref="U205">IFERROR(IF(K205&gt;10,K205/F205*0.876,""),“”)</f>
        <v/>
      </c>
      <c r="V205" s="80">
        <f t="shared" si="15"/>
        <v>0.429563984402694</v>
      </c>
    </row>
    <row r="206" ht="13.75" spans="1:22">
      <c r="A206" s="63" t="s">
        <v>245</v>
      </c>
      <c r="B206" s="60">
        <v>2022</v>
      </c>
      <c r="C206" s="89">
        <v>6534</v>
      </c>
      <c r="D206" s="89">
        <v>4804</v>
      </c>
      <c r="E206" s="89">
        <v>1328</v>
      </c>
      <c r="F206" s="89">
        <v>2</v>
      </c>
      <c r="G206" s="89">
        <v>399</v>
      </c>
      <c r="H206" s="89">
        <v>3059</v>
      </c>
      <c r="I206" s="89">
        <v>2619</v>
      </c>
      <c r="J206" s="89">
        <v>231</v>
      </c>
      <c r="K206" s="44">
        <v>0.004</v>
      </c>
      <c r="L206" s="89">
        <v>209</v>
      </c>
      <c r="M206" s="89">
        <v>4720</v>
      </c>
      <c r="N206" s="89">
        <v>5454</v>
      </c>
      <c r="O206" s="89">
        <v>1788</v>
      </c>
      <c r="P206" s="44"/>
      <c r="Q206" s="89">
        <v>5360</v>
      </c>
      <c r="R206" s="79" cm="1">
        <f t="array" ref="R206">IFERROR(IF(H206&gt;10,H206/C206*0.876,""),“”)</f>
        <v>0.410113865932048</v>
      </c>
      <c r="S206" s="79" cm="1">
        <f t="array" ref="S206">IFERROR(IF(I206&gt;10,I206/D206*0.876,""),“”)</f>
        <v>0.477569525395504</v>
      </c>
      <c r="T206" s="79" cm="1">
        <f t="array" ref="T206">IFERROR(IF(J206&gt;10,J206/E206*0.876,""),“”)</f>
        <v>0.152376506024096</v>
      </c>
      <c r="U206" s="79" t="str" cm="1">
        <f t="array" ref="U206">IFERROR(IF(K206&gt;10,K206/F206*0.876,""),“”)</f>
        <v/>
      </c>
      <c r="V206" s="80">
        <f t="shared" si="15"/>
        <v>0.475860161352286</v>
      </c>
    </row>
    <row r="207" ht="13.75" spans="1:22">
      <c r="A207" s="63" t="s">
        <v>246</v>
      </c>
      <c r="B207" s="60">
        <v>2022</v>
      </c>
      <c r="C207" s="89">
        <v>5853</v>
      </c>
      <c r="D207" s="89">
        <v>5378</v>
      </c>
      <c r="E207" s="89">
        <v>31</v>
      </c>
      <c r="F207" s="44"/>
      <c r="G207" s="89">
        <v>444</v>
      </c>
      <c r="H207" s="89">
        <v>2875</v>
      </c>
      <c r="I207" s="89">
        <v>2646</v>
      </c>
      <c r="J207" s="89">
        <v>4</v>
      </c>
      <c r="K207" s="44"/>
      <c r="L207" s="89">
        <v>226</v>
      </c>
      <c r="M207" s="89">
        <v>4894</v>
      </c>
      <c r="N207" s="89">
        <v>4880</v>
      </c>
      <c r="O207" s="89">
        <v>392</v>
      </c>
      <c r="P207" s="44"/>
      <c r="Q207" s="89">
        <v>5188</v>
      </c>
      <c r="R207" s="79" cm="1">
        <f t="array" ref="R207">IFERROR(IF(H207&gt;10,H207/C207*0.876,""),“”)</f>
        <v>0.43029215786776</v>
      </c>
      <c r="S207" s="79" cm="1">
        <f t="array" ref="S207">IFERROR(IF(I207&gt;10,I207/D207*0.876,""),“”)</f>
        <v>0.430995909259948</v>
      </c>
      <c r="T207" s="79" t="str" cm="1">
        <f t="array" ref="T207">IFERROR(IF(J207&gt;10,J207/E207*0.876,""),“”)</f>
        <v/>
      </c>
      <c r="U207" s="79" t="str" cm="1">
        <f t="array" ref="U207">IFERROR(IF(K207&gt;10,K207/F207*0.876,""),“”)</f>
        <v/>
      </c>
      <c r="V207" s="80">
        <f t="shared" si="15"/>
        <v>0.431981449673652</v>
      </c>
    </row>
    <row r="208" ht="13.75" spans="1:22">
      <c r="A208" s="63" t="s">
        <v>247</v>
      </c>
      <c r="B208" s="60">
        <v>2022</v>
      </c>
      <c r="C208" s="89">
        <v>3681</v>
      </c>
      <c r="D208" s="89">
        <v>2990</v>
      </c>
      <c r="E208" s="89">
        <v>393</v>
      </c>
      <c r="F208" s="44"/>
      <c r="G208" s="89">
        <v>299</v>
      </c>
      <c r="H208" s="89">
        <v>1586</v>
      </c>
      <c r="I208" s="89">
        <v>1399</v>
      </c>
      <c r="J208" s="89">
        <v>58</v>
      </c>
      <c r="K208" s="44"/>
      <c r="L208" s="89">
        <v>129</v>
      </c>
      <c r="M208" s="89">
        <v>4370</v>
      </c>
      <c r="N208" s="89">
        <v>4735</v>
      </c>
      <c r="O208" s="89">
        <v>1453</v>
      </c>
      <c r="P208" s="44"/>
      <c r="Q208" s="89">
        <v>4589</v>
      </c>
      <c r="R208" s="79" cm="1">
        <f t="array" ref="R208">IFERROR(IF(H208&gt;10,H208/C208*0.876,""),“”)</f>
        <v>0.377434392828036</v>
      </c>
      <c r="S208" s="79" cm="1">
        <f t="array" ref="S208">IFERROR(IF(I208&gt;10,I208/D208*0.876,""),“”)</f>
        <v>0.409874247491639</v>
      </c>
      <c r="T208" s="79" cm="1">
        <f t="array" ref="T208">IFERROR(IF(J208&gt;10,J208/E208*0.876,""),“”)</f>
        <v>0.129282442748092</v>
      </c>
      <c r="U208" s="79" t="str" cm="1">
        <f t="array" ref="U208">IFERROR(IF(K208&gt;10,K208/F208*0.876,""),“”)</f>
        <v/>
      </c>
      <c r="V208" s="80">
        <f t="shared" si="15"/>
        <v>0.407094890510949</v>
      </c>
    </row>
    <row r="209" ht="13.75" spans="1:22">
      <c r="A209" s="63" t="s">
        <v>248</v>
      </c>
      <c r="B209" s="60">
        <v>2022</v>
      </c>
      <c r="C209" s="89">
        <v>3026</v>
      </c>
      <c r="D209" s="89">
        <v>2549</v>
      </c>
      <c r="E209" s="89">
        <v>15</v>
      </c>
      <c r="F209" s="44"/>
      <c r="G209" s="89">
        <v>463</v>
      </c>
      <c r="H209" s="89">
        <v>1391</v>
      </c>
      <c r="I209" s="89">
        <v>1140</v>
      </c>
      <c r="J209" s="89">
        <v>2</v>
      </c>
      <c r="K209" s="44"/>
      <c r="L209" s="89">
        <v>249</v>
      </c>
      <c r="M209" s="89">
        <v>4833</v>
      </c>
      <c r="N209" s="89">
        <v>4733</v>
      </c>
      <c r="O209" s="89">
        <v>1356</v>
      </c>
      <c r="P209" s="44"/>
      <c r="Q209" s="89">
        <v>5445</v>
      </c>
      <c r="R209" s="79" cm="1">
        <f t="array" ref="R209">IFERROR(IF(H209&gt;10,H209/C209*0.876,""),“”)</f>
        <v>0.402682088565763</v>
      </c>
      <c r="S209" s="79" cm="1">
        <f t="array" ref="S209">IFERROR(IF(I209&gt;10,I209/D209*0.876,""),“”)</f>
        <v>0.391777167516673</v>
      </c>
      <c r="T209" s="79" t="str" cm="1">
        <f t="array" ref="T209">IFERROR(IF(J209&gt;10,J209/E209*0.876,""),“”)</f>
        <v/>
      </c>
      <c r="U209" s="79" t="str" cm="1">
        <f t="array" ref="U209">IFERROR(IF(K209&gt;10,K209/F209*0.876,""),“”)</f>
        <v/>
      </c>
      <c r="V209" s="80">
        <f t="shared" si="15"/>
        <v>0.404106276984391</v>
      </c>
    </row>
    <row r="210" ht="13.75" spans="1:22">
      <c r="A210" s="63" t="s">
        <v>249</v>
      </c>
      <c r="B210" s="60">
        <v>2022</v>
      </c>
      <c r="C210" s="89">
        <v>11753</v>
      </c>
      <c r="D210" s="89">
        <v>10697</v>
      </c>
      <c r="E210" s="89">
        <v>17</v>
      </c>
      <c r="F210" s="44"/>
      <c r="G210" s="89">
        <v>1039</v>
      </c>
      <c r="H210" s="89">
        <v>5126</v>
      </c>
      <c r="I210" s="89">
        <v>4713</v>
      </c>
      <c r="J210" s="89">
        <v>4</v>
      </c>
      <c r="K210" s="44"/>
      <c r="L210" s="89">
        <v>409</v>
      </c>
      <c r="M210" s="89">
        <v>4416</v>
      </c>
      <c r="N210" s="89">
        <v>4450</v>
      </c>
      <c r="O210" s="89">
        <v>3606</v>
      </c>
      <c r="P210" s="44"/>
      <c r="Q210" s="89">
        <v>4071</v>
      </c>
      <c r="R210" s="79" cm="1">
        <f t="array" ref="R210">IFERROR(IF(H210&gt;10,H210/C210*0.876,""),“”)</f>
        <v>0.382062111801242</v>
      </c>
      <c r="S210" s="79" cm="1">
        <f t="array" ref="S210">IFERROR(IF(I210&gt;10,I210/D210*0.876,""),“”)</f>
        <v>0.385957558193886</v>
      </c>
      <c r="T210" s="79" t="str" cm="1">
        <f t="array" ref="T210">IFERROR(IF(J210&gt;10,J210/E210*0.876,""),“”)</f>
        <v/>
      </c>
      <c r="U210" s="79" t="str" cm="1">
        <f t="array" ref="U210">IFERROR(IF(K210&gt;10,K210/F210*0.876,""),“”)</f>
        <v/>
      </c>
      <c r="V210" s="80">
        <f t="shared" si="15"/>
        <v>0.382316973415133</v>
      </c>
    </row>
    <row r="211" ht="13.75" spans="1:22">
      <c r="A211" s="63" t="s">
        <v>250</v>
      </c>
      <c r="B211" s="60">
        <v>2022</v>
      </c>
      <c r="C211" s="89">
        <v>7272</v>
      </c>
      <c r="D211" s="89">
        <v>6549</v>
      </c>
      <c r="E211" s="89">
        <v>340</v>
      </c>
      <c r="F211" s="44"/>
      <c r="G211" s="89">
        <v>383</v>
      </c>
      <c r="H211" s="89">
        <v>2619</v>
      </c>
      <c r="I211" s="89">
        <v>2466</v>
      </c>
      <c r="J211" s="89">
        <v>9</v>
      </c>
      <c r="K211" s="44"/>
      <c r="L211" s="89">
        <v>144</v>
      </c>
      <c r="M211" s="89">
        <v>3626</v>
      </c>
      <c r="N211" s="89">
        <v>3771</v>
      </c>
      <c r="O211" s="89">
        <v>210</v>
      </c>
      <c r="P211" s="44"/>
      <c r="Q211" s="89">
        <v>4201</v>
      </c>
      <c r="R211" s="79" cm="1">
        <f t="array" ref="R211">IFERROR(IF(H211&gt;10,H211/C211*0.876,""),“”)</f>
        <v>0.315490099009901</v>
      </c>
      <c r="S211" s="79" cm="1">
        <f t="array" ref="S211">IFERROR(IF(I211&gt;10,I211/D211*0.876,""),“”)</f>
        <v>0.329854328905176</v>
      </c>
      <c r="T211" s="79" t="str" cm="1">
        <f t="array" ref="T211">IFERROR(IF(J211&gt;10,J211/E211*0.876,""),“”)</f>
        <v/>
      </c>
      <c r="U211" s="79" t="str" cm="1">
        <f t="array" ref="U211">IFERROR(IF(K211&gt;10,K211/F211*0.876,""),“”)</f>
        <v/>
      </c>
      <c r="V211" s="80">
        <f t="shared" si="15"/>
        <v>0.329826889786497</v>
      </c>
    </row>
    <row r="212" ht="13.75" spans="1:22">
      <c r="A212" s="63" t="s">
        <v>251</v>
      </c>
      <c r="B212" s="60">
        <v>2022</v>
      </c>
      <c r="C212" s="89">
        <v>3563</v>
      </c>
      <c r="D212" s="89">
        <v>3022</v>
      </c>
      <c r="E212" s="89">
        <v>137</v>
      </c>
      <c r="F212" s="44"/>
      <c r="G212" s="89">
        <v>404</v>
      </c>
      <c r="H212" s="89">
        <v>1592</v>
      </c>
      <c r="I212" s="89">
        <v>1405</v>
      </c>
      <c r="J212" s="89">
        <v>38</v>
      </c>
      <c r="K212" s="44"/>
      <c r="L212" s="89">
        <v>149</v>
      </c>
      <c r="M212" s="89">
        <v>4623</v>
      </c>
      <c r="N212" s="89">
        <v>4782</v>
      </c>
      <c r="O212" s="89">
        <v>2796</v>
      </c>
      <c r="P212" s="44"/>
      <c r="Q212" s="89">
        <v>3994</v>
      </c>
      <c r="R212" s="79" cm="1">
        <f t="array" ref="R212">IFERROR(IF(H212&gt;10,H212/C212*0.876,""),“”)</f>
        <v>0.391409486387875</v>
      </c>
      <c r="S212" s="79" cm="1">
        <f t="array" ref="S212">IFERROR(IF(I212&gt;10,I212/D212*0.876,""),“”)</f>
        <v>0.407273328921244</v>
      </c>
      <c r="T212" s="79" cm="1">
        <f t="array" ref="T212">IFERROR(IF(J212&gt;10,J212/E212*0.876,""),“”)</f>
        <v>0.242978102189781</v>
      </c>
      <c r="U212" s="79" t="str" cm="1">
        <f t="array" ref="U212">IFERROR(IF(K212&gt;10,K212/F212*0.876,""),“”)</f>
        <v/>
      </c>
      <c r="V212" s="80">
        <f t="shared" si="15"/>
        <v>0.397345008756567</v>
      </c>
    </row>
    <row r="213" ht="13.75" spans="1:22">
      <c r="A213" s="63" t="s">
        <v>252</v>
      </c>
      <c r="B213" s="60">
        <v>2022</v>
      </c>
      <c r="C213" s="89">
        <v>2588</v>
      </c>
      <c r="D213" s="89">
        <v>2283</v>
      </c>
      <c r="E213" s="89">
        <v>10</v>
      </c>
      <c r="F213" s="89">
        <v>5</v>
      </c>
      <c r="G213" s="89">
        <v>290</v>
      </c>
      <c r="H213" s="89">
        <v>1041</v>
      </c>
      <c r="I213" s="89">
        <v>876</v>
      </c>
      <c r="J213" s="89">
        <v>3</v>
      </c>
      <c r="K213" s="89">
        <v>2</v>
      </c>
      <c r="L213" s="89">
        <v>160</v>
      </c>
      <c r="M213" s="89">
        <v>4129</v>
      </c>
      <c r="N213" s="89">
        <v>3934</v>
      </c>
      <c r="O213" s="89">
        <v>1637</v>
      </c>
      <c r="P213" s="89">
        <v>4356</v>
      </c>
      <c r="Q213" s="89">
        <v>5775</v>
      </c>
      <c r="R213" s="79" cm="1">
        <f t="array" ref="R213">IFERROR(IF(H213&gt;10,H213/C213*0.876,""),“”)</f>
        <v>0.352363214837712</v>
      </c>
      <c r="S213" s="79" cm="1">
        <f t="array" ref="S213">IFERROR(IF(I213&gt;10,I213/D213*0.876,""),“”)</f>
        <v>0.336126149802891</v>
      </c>
      <c r="T213" s="79" t="str" cm="1">
        <f t="array" ref="T213">IFERROR(IF(J213&gt;10,J213/E213*0.876,""),“”)</f>
        <v/>
      </c>
      <c r="U213" s="79" t="str" cm="1">
        <f t="array" ref="U213">IFERROR(IF(K213&gt;10,K213/F213*0.876,""),“”)</f>
        <v/>
      </c>
      <c r="V213" s="80">
        <f t="shared" si="15"/>
        <v>0.352710628394104</v>
      </c>
    </row>
    <row r="214" ht="13.75" spans="1:22">
      <c r="A214" s="63" t="s">
        <v>253</v>
      </c>
      <c r="B214" s="60">
        <v>2022</v>
      </c>
      <c r="C214" s="89">
        <v>10741</v>
      </c>
      <c r="D214" s="89">
        <v>6895</v>
      </c>
      <c r="E214" s="89">
        <v>3455</v>
      </c>
      <c r="F214" s="44"/>
      <c r="G214" s="89">
        <v>390</v>
      </c>
      <c r="H214" s="89">
        <v>4334</v>
      </c>
      <c r="I214" s="89">
        <v>3265</v>
      </c>
      <c r="J214" s="89">
        <v>864</v>
      </c>
      <c r="K214" s="44"/>
      <c r="L214" s="89">
        <v>205</v>
      </c>
      <c r="M214" s="89">
        <v>4275</v>
      </c>
      <c r="N214" s="89">
        <v>5088</v>
      </c>
      <c r="O214" s="89">
        <v>2584</v>
      </c>
      <c r="P214" s="44"/>
      <c r="Q214" s="89">
        <v>5273</v>
      </c>
      <c r="R214" s="79" cm="1">
        <f t="array" ref="R214">IFERROR(IF(H214&gt;10,H214/C214*0.876,""),“”)</f>
        <v>0.353466530118239</v>
      </c>
      <c r="S214" s="79" cm="1">
        <f t="array" ref="S214">IFERROR(IF(I214&gt;10,I214/D214*0.876,""),“”)</f>
        <v>0.41481363306744</v>
      </c>
      <c r="T214" s="79" cm="1">
        <f t="array" ref="T214">IFERROR(IF(J214&gt;10,J214/E214*0.876,""),“”)</f>
        <v>0.219063386396527</v>
      </c>
      <c r="U214" s="79" t="str" cm="1">
        <f t="array" ref="U214">IFERROR(IF(K214&gt;10,K214/F214*0.876,""),“”)</f>
        <v/>
      </c>
      <c r="V214" s="80">
        <f t="shared" si="15"/>
        <v>0.417200109799616</v>
      </c>
    </row>
    <row r="215" ht="13.75" spans="1:22">
      <c r="A215" s="63" t="s">
        <v>254</v>
      </c>
      <c r="B215" s="60">
        <v>2022</v>
      </c>
      <c r="C215" s="89">
        <v>2757</v>
      </c>
      <c r="D215" s="89">
        <v>2207</v>
      </c>
      <c r="E215" s="89">
        <v>54</v>
      </c>
      <c r="F215" s="44"/>
      <c r="G215" s="89">
        <v>497</v>
      </c>
      <c r="H215" s="89">
        <v>999</v>
      </c>
      <c r="I215" s="89">
        <v>827</v>
      </c>
      <c r="J215" s="89">
        <v>9</v>
      </c>
      <c r="K215" s="44"/>
      <c r="L215" s="89">
        <v>163</v>
      </c>
      <c r="M215" s="89">
        <v>3928</v>
      </c>
      <c r="N215" s="89">
        <v>4069</v>
      </c>
      <c r="O215" s="89">
        <v>1437</v>
      </c>
      <c r="P215" s="44"/>
      <c r="Q215" s="89">
        <v>3574</v>
      </c>
      <c r="R215" s="79" cm="1">
        <f t="array" ref="R215">IFERROR(IF(H215&gt;10,H215/C215*0.876,""),“”)</f>
        <v>0.317418933623504</v>
      </c>
      <c r="S215" s="79" cm="1">
        <f t="array" ref="S215">IFERROR(IF(I215&gt;10,I215/D215*0.876,""),“”)</f>
        <v>0.328251925690983</v>
      </c>
      <c r="T215" s="79" t="str" cm="1">
        <f t="array" ref="T215">IFERROR(IF(J215&gt;10,J215/E215*0.876,""),“”)</f>
        <v/>
      </c>
      <c r="U215" s="79" t="str" cm="1">
        <f t="array" ref="U215">IFERROR(IF(K215&gt;10,K215/F215*0.876,""),“”)</f>
        <v/>
      </c>
      <c r="V215" s="80">
        <f t="shared" si="15"/>
        <v>0.320843507214206</v>
      </c>
    </row>
    <row r="216" ht="13.75" spans="1:22">
      <c r="A216" s="63" t="s">
        <v>255</v>
      </c>
      <c r="B216" s="60">
        <v>2022</v>
      </c>
      <c r="C216" s="89">
        <v>750</v>
      </c>
      <c r="D216" s="89">
        <v>324</v>
      </c>
      <c r="E216" s="89">
        <v>357</v>
      </c>
      <c r="F216" s="44"/>
      <c r="G216" s="89">
        <v>69</v>
      </c>
      <c r="H216" s="89">
        <v>249</v>
      </c>
      <c r="I216" s="89">
        <v>150</v>
      </c>
      <c r="J216" s="89">
        <v>60</v>
      </c>
      <c r="K216" s="44"/>
      <c r="L216" s="89">
        <v>38</v>
      </c>
      <c r="M216" s="89">
        <v>3839</v>
      </c>
      <c r="N216" s="89">
        <v>4625</v>
      </c>
      <c r="O216" s="89">
        <v>2292</v>
      </c>
      <c r="P216" s="44"/>
      <c r="Q216" s="89">
        <v>5889</v>
      </c>
      <c r="R216" s="79" cm="1">
        <f t="array" ref="R216">IFERROR(IF(H216&gt;10,H216/C216*0.876,""),“”)</f>
        <v>0.290832</v>
      </c>
      <c r="S216" s="79" cm="1">
        <f t="array" ref="S216">IFERROR(IF(I216&gt;10,I216/D216*0.876,""),“”)</f>
        <v>0.405555555555556</v>
      </c>
      <c r="T216" s="79" cm="1">
        <f t="array" ref="T216">IFERROR(IF(J216&gt;10,J216/E216*0.876,""),“”)</f>
        <v>0.147226890756303</v>
      </c>
      <c r="U216" s="79" t="str" cm="1">
        <f t="array" ref="U216">IFERROR(IF(K216&gt;10,K216/F216*0.876,""),“”)</f>
        <v/>
      </c>
      <c r="V216" s="80">
        <f t="shared" si="15"/>
        <v>0.421282442748092</v>
      </c>
    </row>
    <row r="217" ht="13.75" spans="1:22">
      <c r="A217" s="63" t="s">
        <v>256</v>
      </c>
      <c r="B217" s="60">
        <v>2022</v>
      </c>
      <c r="C217" s="89">
        <v>1644</v>
      </c>
      <c r="D217" s="89">
        <v>1393</v>
      </c>
      <c r="E217" s="89">
        <v>141</v>
      </c>
      <c r="F217" s="44"/>
      <c r="G217" s="89">
        <v>110</v>
      </c>
      <c r="H217" s="89">
        <v>748</v>
      </c>
      <c r="I217" s="89">
        <v>635</v>
      </c>
      <c r="J217" s="89">
        <v>63</v>
      </c>
      <c r="K217" s="44"/>
      <c r="L217" s="89">
        <v>50</v>
      </c>
      <c r="M217" s="89">
        <v>4760</v>
      </c>
      <c r="N217" s="89">
        <v>4773</v>
      </c>
      <c r="O217" s="89">
        <v>4485</v>
      </c>
      <c r="P217" s="44"/>
      <c r="Q217" s="89">
        <v>4989</v>
      </c>
      <c r="R217" s="79" cm="1">
        <f t="array" ref="R217">IFERROR(IF(H217&gt;10,H217/C217*0.876,""),“”)</f>
        <v>0.398569343065693</v>
      </c>
      <c r="S217" s="79" cm="1">
        <f t="array" ref="S217">IFERROR(IF(I217&gt;10,I217/D217*0.876,""),“”)</f>
        <v>0.39932519741565</v>
      </c>
      <c r="T217" s="79" cm="1">
        <f t="array" ref="T217">IFERROR(IF(J217&gt;10,J217/E217*0.876,""),“”)</f>
        <v>0.391404255319149</v>
      </c>
      <c r="U217" s="79" t="str" cm="1">
        <f t="array" ref="U217">IFERROR(IF(K217&gt;10,K217/F217*0.876,""),“”)</f>
        <v/>
      </c>
      <c r="V217" s="80">
        <f t="shared" si="15"/>
        <v>0.399241516966068</v>
      </c>
    </row>
    <row r="218" ht="13.75" spans="1:22">
      <c r="A218" s="63" t="s">
        <v>258</v>
      </c>
      <c r="B218" s="60">
        <v>2022</v>
      </c>
      <c r="C218" s="89">
        <v>1840</v>
      </c>
      <c r="D218" s="89">
        <v>1378</v>
      </c>
      <c r="E218" s="89">
        <v>145</v>
      </c>
      <c r="F218" s="44"/>
      <c r="G218" s="89">
        <v>317</v>
      </c>
      <c r="H218" s="89">
        <v>773</v>
      </c>
      <c r="I218" s="89">
        <v>577</v>
      </c>
      <c r="J218" s="89">
        <v>40</v>
      </c>
      <c r="K218" s="44"/>
      <c r="L218" s="89">
        <v>156</v>
      </c>
      <c r="M218" s="89">
        <v>4325</v>
      </c>
      <c r="N218" s="89">
        <v>4238</v>
      </c>
      <c r="O218" s="89">
        <v>2855</v>
      </c>
      <c r="P218" s="44"/>
      <c r="Q218" s="89">
        <v>5318</v>
      </c>
      <c r="R218" s="79" cm="1">
        <f t="array" ref="R218">IFERROR(IF(H218&gt;10,H218/C218*0.876,""),“”)</f>
        <v>0.368015217391304</v>
      </c>
      <c r="S218" s="79" cm="1">
        <f t="array" ref="S218">IFERROR(IF(I218&gt;10,I218/D218*0.876,""),“”)</f>
        <v>0.366801161103048</v>
      </c>
      <c r="T218" s="79" cm="1">
        <f t="array" ref="T218">IFERROR(IF(J218&gt;10,J218/E218*0.876,""),“”)</f>
        <v>0.241655172413793</v>
      </c>
      <c r="U218" s="79" t="str" cm="1">
        <f t="array" ref="U218">IFERROR(IF(K218&gt;10,K218/F218*0.876,""),“”)</f>
        <v/>
      </c>
      <c r="V218" s="80">
        <f t="shared" si="15"/>
        <v>0.378824778761062</v>
      </c>
    </row>
    <row r="219" ht="13.75" spans="1:22">
      <c r="A219" s="63" t="s">
        <v>259</v>
      </c>
      <c r="B219" s="60">
        <v>2022</v>
      </c>
      <c r="C219" s="89">
        <v>3793</v>
      </c>
      <c r="D219" s="89">
        <v>3365</v>
      </c>
      <c r="E219" s="89">
        <v>71</v>
      </c>
      <c r="F219" s="44"/>
      <c r="G219" s="89">
        <v>356</v>
      </c>
      <c r="H219" s="89">
        <v>1438</v>
      </c>
      <c r="I219" s="89">
        <v>1360</v>
      </c>
      <c r="J219" s="89">
        <v>26</v>
      </c>
      <c r="K219" s="44"/>
      <c r="L219" s="89">
        <v>52</v>
      </c>
      <c r="M219" s="89">
        <v>3865</v>
      </c>
      <c r="N219" s="89">
        <v>4117</v>
      </c>
      <c r="O219" s="44"/>
      <c r="P219" s="44"/>
      <c r="Q219" s="89">
        <v>1484</v>
      </c>
      <c r="R219" s="79" cm="1">
        <f t="array" ref="R219">IFERROR(IF(H219&gt;10,H219/C219*0.876,""),“”)</f>
        <v>0.332108621144213</v>
      </c>
      <c r="S219" s="79" cm="1">
        <f t="array" ref="S219">IFERROR(IF(I219&gt;10,I219/D219*0.876,""),“”)</f>
        <v>0.354044576523031</v>
      </c>
      <c r="T219" s="79" cm="1">
        <f t="array" ref="T219">IFERROR(IF(J219&gt;10,J219/E219*0.876,""),“”)</f>
        <v>0.320788732394366</v>
      </c>
      <c r="U219" s="79" t="str" cm="1">
        <f t="array" ref="U219">IFERROR(IF(K219&gt;10,K219/F219*0.876,""),“”)</f>
        <v/>
      </c>
      <c r="V219" s="80">
        <f t="shared" si="15"/>
        <v>0.332324556689952</v>
      </c>
    </row>
    <row r="220" ht="13.75" spans="1:22">
      <c r="A220" s="63" t="s">
        <v>260</v>
      </c>
      <c r="B220" s="60">
        <v>2022</v>
      </c>
      <c r="C220" s="89">
        <v>1534</v>
      </c>
      <c r="D220" s="89">
        <v>1298</v>
      </c>
      <c r="E220" s="89">
        <v>3</v>
      </c>
      <c r="F220" s="44"/>
      <c r="G220" s="89">
        <v>232</v>
      </c>
      <c r="H220" s="89">
        <v>457</v>
      </c>
      <c r="I220" s="89">
        <v>390</v>
      </c>
      <c r="J220" s="44">
        <v>0.1</v>
      </c>
      <c r="K220" s="44"/>
      <c r="L220" s="89">
        <v>67</v>
      </c>
      <c r="M220" s="89">
        <v>2988</v>
      </c>
      <c r="N220" s="89">
        <v>3008</v>
      </c>
      <c r="O220" s="44"/>
      <c r="P220" s="44"/>
      <c r="Q220" s="89">
        <v>2879</v>
      </c>
      <c r="R220" s="79" cm="1">
        <f t="array" ref="R220">IFERROR(IF(H220&gt;10,H220/C220*0.876,""),“”)</f>
        <v>0.260972620599739</v>
      </c>
      <c r="S220" s="79" cm="1">
        <f t="array" ref="S220">IFERROR(IF(I220&gt;10,I220/D220*0.876,""),“”)</f>
        <v>0.263204930662558</v>
      </c>
      <c r="T220" s="79" t="str" cm="1">
        <f t="array" ref="T220">IFERROR(IF(J220&gt;10,J220/E220*0.876,""),“”)</f>
        <v/>
      </c>
      <c r="U220" s="79" t="str" cm="1">
        <f t="array" ref="U220">IFERROR(IF(K220&gt;10,K220/F220*0.876,""),“”)</f>
        <v/>
      </c>
      <c r="V220" s="80">
        <f t="shared" si="15"/>
        <v>0.26142677988243</v>
      </c>
    </row>
    <row r="221" ht="13.75" spans="1:22">
      <c r="A221" s="63" t="s">
        <v>261</v>
      </c>
      <c r="B221" s="60">
        <v>2022</v>
      </c>
      <c r="C221" s="89">
        <v>42</v>
      </c>
      <c r="D221" s="44"/>
      <c r="E221" s="44"/>
      <c r="F221" s="89">
        <v>38</v>
      </c>
      <c r="G221" s="89">
        <v>4</v>
      </c>
      <c r="H221" s="89">
        <v>1</v>
      </c>
      <c r="I221" s="44"/>
      <c r="J221" s="44"/>
      <c r="K221" s="44">
        <v>0.2</v>
      </c>
      <c r="L221" s="89">
        <v>1</v>
      </c>
      <c r="M221" s="89">
        <v>277</v>
      </c>
      <c r="N221" s="44"/>
      <c r="O221" s="44"/>
      <c r="P221" s="89">
        <v>46</v>
      </c>
      <c r="Q221" s="89">
        <v>5299</v>
      </c>
      <c r="R221" s="79" t="str" cm="1">
        <f t="array" ref="R221">IFERROR(IF(H221&gt;10,H221/C221*0.876,""),“”)</f>
        <v/>
      </c>
      <c r="S221" s="79" t="str" cm="1">
        <f t="array" ref="S221">IFERROR(IF(I221&gt;10,I221/D221*0.876,""),“”)</f>
        <v/>
      </c>
      <c r="T221" s="79" t="str" cm="1">
        <f t="array" ref="T221">IFERROR(IF(J221&gt;10,J221/E221*0.876,""),“”)</f>
        <v/>
      </c>
      <c r="U221" s="79" t="str" cm="1">
        <f t="array" ref="U221">IFERROR(IF(K221&gt;10,K221/F221*0.876,""),“”)</f>
        <v/>
      </c>
      <c r="V221" s="80" t="str">
        <f t="shared" si="15"/>
        <v/>
      </c>
    </row>
    <row r="222" ht="13.75" spans="1:22">
      <c r="A222" s="63" t="s">
        <v>262</v>
      </c>
      <c r="B222" s="60">
        <v>2022</v>
      </c>
      <c r="C222" s="89">
        <v>5080</v>
      </c>
      <c r="D222" s="89">
        <v>4699</v>
      </c>
      <c r="E222" s="89">
        <v>27</v>
      </c>
      <c r="F222" s="44"/>
      <c r="G222" s="89">
        <v>354</v>
      </c>
      <c r="H222" s="89">
        <v>2389</v>
      </c>
      <c r="I222" s="89">
        <v>2221</v>
      </c>
      <c r="J222" s="89">
        <v>14</v>
      </c>
      <c r="K222" s="44"/>
      <c r="L222" s="89">
        <v>155</v>
      </c>
      <c r="M222" s="89">
        <v>4825</v>
      </c>
      <c r="N222" s="89">
        <v>4813</v>
      </c>
      <c r="O222" s="89">
        <v>5668</v>
      </c>
      <c r="P222" s="44"/>
      <c r="Q222" s="89">
        <v>4941</v>
      </c>
      <c r="R222" s="79" cm="1">
        <f t="array" ref="R222">IFERROR(IF(H222&gt;10,H222/C222*0.876,""),“”)</f>
        <v>0.411961417322835</v>
      </c>
      <c r="S222" s="79" cm="1">
        <f t="array" ref="S222">IFERROR(IF(I222&gt;10,I222/D222*0.876,""),“”)</f>
        <v>0.414044690359651</v>
      </c>
      <c r="T222" s="79" cm="1">
        <f t="array" ref="T222">IFERROR(IF(J222&gt;10,J222/E222*0.876,""),“”)</f>
        <v>0.454222222222222</v>
      </c>
      <c r="U222" s="79" t="str" cm="1">
        <f t="array" ref="U222">IFERROR(IF(K222&gt;10,K222/F222*0.876,""),“”)</f>
        <v/>
      </c>
      <c r="V222" s="80">
        <f t="shared" si="15"/>
        <v>0.41173560261231</v>
      </c>
    </row>
    <row r="223" ht="13.75" spans="1:22">
      <c r="A223" s="63" t="s">
        <v>263</v>
      </c>
      <c r="B223" s="60">
        <v>2022</v>
      </c>
      <c r="C223" s="89">
        <v>2313</v>
      </c>
      <c r="D223" s="89">
        <v>2259</v>
      </c>
      <c r="E223" s="44"/>
      <c r="F223" s="44"/>
      <c r="G223" s="89">
        <v>54</v>
      </c>
      <c r="H223" s="89">
        <v>1067</v>
      </c>
      <c r="I223" s="89">
        <v>1049</v>
      </c>
      <c r="J223" s="44"/>
      <c r="K223" s="44"/>
      <c r="L223" s="89">
        <v>18</v>
      </c>
      <c r="M223" s="89">
        <v>5081</v>
      </c>
      <c r="N223" s="89">
        <v>5114</v>
      </c>
      <c r="O223" s="44"/>
      <c r="P223" s="44"/>
      <c r="Q223" s="89">
        <v>3688</v>
      </c>
      <c r="R223" s="79" cm="1">
        <f t="array" ref="R223">IFERROR(IF(H223&gt;10,H223/C223*0.876,""),“”)</f>
        <v>0.404103761348898</v>
      </c>
      <c r="S223" s="79" cm="1">
        <f t="array" ref="S223">IFERROR(IF(I223&gt;10,I223/D223*0.876,""),“”)</f>
        <v>0.406783532536521</v>
      </c>
      <c r="T223" s="79" t="str" cm="1">
        <f t="array" ref="T223">IFERROR(IF(J223&gt;10,J223/E223*0.876,""),“”)</f>
        <v/>
      </c>
      <c r="U223" s="79" t="str" cm="1">
        <f t="array" ref="U223">IFERROR(IF(K223&gt;10,K223/F223*0.876,""),“”)</f>
        <v/>
      </c>
      <c r="V223" s="80">
        <f t="shared" si="15"/>
        <v>0.404103761348898</v>
      </c>
    </row>
    <row r="224" ht="13.75" spans="1:22">
      <c r="A224" s="63" t="s">
        <v>264</v>
      </c>
      <c r="B224" s="60">
        <v>2022</v>
      </c>
      <c r="C224" s="89">
        <v>393</v>
      </c>
      <c r="D224" s="89">
        <v>371</v>
      </c>
      <c r="E224" s="89">
        <v>1</v>
      </c>
      <c r="F224" s="44"/>
      <c r="G224" s="89">
        <v>22</v>
      </c>
      <c r="H224" s="89">
        <v>154</v>
      </c>
      <c r="I224" s="89">
        <v>151</v>
      </c>
      <c r="J224" s="44">
        <v>0.3</v>
      </c>
      <c r="K224" s="44"/>
      <c r="L224" s="89">
        <v>3</v>
      </c>
      <c r="M224" s="89">
        <v>4062</v>
      </c>
      <c r="N224" s="89">
        <v>4076</v>
      </c>
      <c r="O224" s="44"/>
      <c r="P224" s="44"/>
      <c r="Q224" s="89">
        <v>3475</v>
      </c>
      <c r="R224" s="79" cm="1">
        <f t="array" ref="R224">IFERROR(IF(H224&gt;10,H224/C224*0.876,""),“”)</f>
        <v>0.343267175572519</v>
      </c>
      <c r="S224" s="79" cm="1">
        <f t="array" ref="S224">IFERROR(IF(I224&gt;10,I224/D224*0.876,""),“”)</f>
        <v>0.356539083557951</v>
      </c>
      <c r="T224" s="79" t="str" cm="1">
        <f t="array" ref="T224">IFERROR(IF(J224&gt;10,J224/E224*0.876,""),“”)</f>
        <v/>
      </c>
      <c r="U224" s="79" t="str" cm="1">
        <f t="array" ref="U224">IFERROR(IF(K224&gt;10,K224/F224*0.876,""),“”)</f>
        <v/>
      </c>
      <c r="V224" s="80">
        <f t="shared" si="15"/>
        <v>0.343472448979592</v>
      </c>
    </row>
    <row r="225" ht="13.75" spans="1:22">
      <c r="A225" s="63" t="s">
        <v>265</v>
      </c>
      <c r="B225" s="60">
        <v>2022</v>
      </c>
      <c r="C225" s="89">
        <v>3304</v>
      </c>
      <c r="D225" s="89">
        <v>3070</v>
      </c>
      <c r="E225" s="89">
        <v>53</v>
      </c>
      <c r="F225" s="44"/>
      <c r="G225" s="89">
        <v>181</v>
      </c>
      <c r="H225" s="89">
        <v>1610</v>
      </c>
      <c r="I225" s="89">
        <v>1535</v>
      </c>
      <c r="J225" s="89">
        <v>9</v>
      </c>
      <c r="K225" s="44"/>
      <c r="L225" s="89">
        <v>66</v>
      </c>
      <c r="M225" s="89">
        <v>4918</v>
      </c>
      <c r="N225" s="89">
        <v>5010</v>
      </c>
      <c r="O225" s="89">
        <v>1697</v>
      </c>
      <c r="P225" s="44"/>
      <c r="Q225" s="89">
        <v>4186</v>
      </c>
      <c r="R225" s="79" cm="1">
        <f t="array" ref="R225">IFERROR(IF(H225&gt;10,H225/C225*0.876,""),“”)</f>
        <v>0.426864406779661</v>
      </c>
      <c r="S225" s="79" cm="1">
        <f t="array" ref="S225">IFERROR(IF(I225&gt;10,I225/D225*0.876,""),“”)</f>
        <v>0.438</v>
      </c>
      <c r="T225" s="79" t="str" cm="1">
        <f t="array" ref="T225">IFERROR(IF(J225&gt;10,J225/E225*0.876,""),“”)</f>
        <v/>
      </c>
      <c r="U225" s="79" t="str" cm="1">
        <f t="array" ref="U225">IFERROR(IF(K225&gt;10,K225/F225*0.876,""),“”)</f>
        <v/>
      </c>
      <c r="V225" s="80">
        <f t="shared" si="15"/>
        <v>0.431398338972624</v>
      </c>
    </row>
    <row r="226" ht="13.75" spans="1:22">
      <c r="A226" s="65" t="s">
        <v>266</v>
      </c>
      <c r="B226" s="60">
        <v>2022</v>
      </c>
      <c r="C226" s="89">
        <v>6924</v>
      </c>
      <c r="D226" s="89">
        <v>6631</v>
      </c>
      <c r="E226" s="89">
        <v>126</v>
      </c>
      <c r="F226" s="44"/>
      <c r="G226" s="89">
        <v>168</v>
      </c>
      <c r="H226" s="89">
        <v>3543</v>
      </c>
      <c r="I226" s="89">
        <v>3457</v>
      </c>
      <c r="J226" s="89">
        <v>26</v>
      </c>
      <c r="K226" s="44"/>
      <c r="L226" s="89">
        <v>60</v>
      </c>
      <c r="M226" s="89">
        <v>5131</v>
      </c>
      <c r="N226" s="89">
        <v>5214</v>
      </c>
      <c r="O226" s="89">
        <v>2376</v>
      </c>
      <c r="P226" s="44"/>
      <c r="Q226" s="89">
        <v>3615</v>
      </c>
      <c r="R226" s="79" cm="1">
        <f t="array" ref="R226">IFERROR(IF(H226&gt;10,H226/C226*0.876,""),“”)</f>
        <v>0.448247833622184</v>
      </c>
      <c r="S226" s="79" cm="1">
        <f t="array" ref="S226">IFERROR(IF(I226&gt;10,I226/D226*0.876,""),“”)</f>
        <v>0.456693108128487</v>
      </c>
      <c r="T226" s="79" cm="1">
        <f t="array" ref="T226">IFERROR(IF(J226&gt;10,J226/E226*0.876,""),“”)</f>
        <v>0.180761904761905</v>
      </c>
      <c r="U226" s="79" t="str" cm="1">
        <f t="array" ref="U226">IFERROR(IF(K226&gt;10,K226/F226*0.876,""),“”)</f>
        <v/>
      </c>
      <c r="V226" s="80">
        <f t="shared" si="15"/>
        <v>0.453205648720212</v>
      </c>
    </row>
  </sheetData>
  <mergeCells count="9">
    <mergeCell ref="C1:F1"/>
    <mergeCell ref="H1:K1"/>
    <mergeCell ref="M1:P1"/>
    <mergeCell ref="R1:V1"/>
    <mergeCell ref="Z1:AF1"/>
    <mergeCell ref="A1:A2"/>
    <mergeCell ref="B1:B2"/>
    <mergeCell ref="X1:X2"/>
    <mergeCell ref="Y1:Y2"/>
  </mergeCells>
  <conditionalFormatting sqref="C3:L34">
    <cfRule type="colorScale" priority="14">
      <colorScale>
        <cfvo type="min"/>
        <cfvo type="percentile" val="50"/>
        <cfvo type="max"/>
        <color rgb="FFF8696B"/>
        <color rgb="FFFFEB84"/>
        <color rgb="FF63BE7B"/>
      </colorScale>
    </cfRule>
  </conditionalFormatting>
  <conditionalFormatting sqref="M3:Q162">
    <cfRule type="colorScale" priority="12">
      <colorScale>
        <cfvo type="min"/>
        <cfvo type="percentile" val="50"/>
        <cfvo type="max"/>
        <color rgb="FFF8696B"/>
        <color rgb="FFFCFCFF"/>
        <color rgb="FF5A8AC6"/>
      </colorScale>
    </cfRule>
  </conditionalFormatting>
  <conditionalFormatting sqref="Z3:AE28 Z30:AE37 Z38:AB38 AD38:AE38 Z39:AE41 AC42:AE42 Z43:AE58 Z60:AE60 AE62 Z63:AA63 Z64 Z65:AE68 AE69 Z73:AE73 Z75:AB75 Z76:AE76 Z85:AE85 Z86:AA86 Z93:AE93">
    <cfRule type="cellIs" dxfId="0" priority="5" operator="equal">
      <formula>0</formula>
    </cfRule>
  </conditionalFormatting>
  <conditionalFormatting sqref="Z3:AE28 Z76:AE76 Z75:AB75 Z73:AE73 AE69 Z85:AE85 Z93:AE93 Z86:AA86 Z60:AE60 Z65:AE68 AE62 Z63:AA63 Z64 Z30:AE37 Z39:AE41 Z38:AB38 AD38:AE38 Z43:AE58 AC42:AE42">
    <cfRule type="colorScale" priority="18">
      <colorScale>
        <cfvo type="min"/>
        <cfvo type="percentile" val="50"/>
        <cfvo type="max"/>
        <color rgb="FFF8696B"/>
        <color rgb="FFFCFCFF"/>
        <color rgb="FF5A8AC6"/>
      </colorScale>
    </cfRule>
  </conditionalFormatting>
  <conditionalFormatting sqref="AF3:AF28 AF76 AF73 AF69 AF85 AF93 AF60 AF65:AF68 AF62 AF30:AF37 AF39:AF41 AF38 AF43:AF58 AF42">
    <cfRule type="colorScale" priority="2">
      <colorScale>
        <cfvo type="min"/>
        <cfvo type="percentile" val="50"/>
        <cfvo type="max"/>
        <color rgb="FFF8696B"/>
        <color rgb="FFFCFCFF"/>
        <color rgb="FF5A8AC6"/>
      </colorScale>
    </cfRule>
  </conditionalFormatting>
  <conditionalFormatting sqref="AF3:AF28 AF30:AF37 AF38 AF39:AF41 AF42 AF43:AF58 AF60 AF62 AF65:AF68 AF69 AF73 AF76 AF85 AF93">
    <cfRule type="cellIs" dxfId="0" priority="1" operator="equal">
      <formula>0</formula>
    </cfRule>
  </conditionalFormatting>
  <conditionalFormatting sqref="C35:L130">
    <cfRule type="colorScale" priority="17">
      <colorScale>
        <cfvo type="min"/>
        <cfvo type="percentile" val="50"/>
        <cfvo type="max"/>
        <color rgb="FFF8696B"/>
        <color rgb="FFFFEB84"/>
        <color rgb="FF63BE7B"/>
      </colorScale>
    </cfRule>
  </conditionalFormatting>
  <conditionalFormatting sqref="C131:L162">
    <cfRule type="colorScale" priority="13">
      <colorScale>
        <cfvo type="min"/>
        <cfvo type="percentile" val="50"/>
        <cfvo type="max"/>
        <color rgb="FFF8696B"/>
        <color rgb="FFFFEB84"/>
        <color rgb="FF63BE7B"/>
      </colorScale>
    </cfRule>
  </conditionalFormatting>
  <conditionalFormatting sqref="C163:L194">
    <cfRule type="colorScale" priority="8">
      <colorScale>
        <cfvo type="min"/>
        <cfvo type="percentile" val="50"/>
        <cfvo type="max"/>
        <color rgb="FFF8696B"/>
        <color rgb="FFFFEB84"/>
        <color rgb="FF63BE7B"/>
      </colorScale>
    </cfRule>
  </conditionalFormatting>
  <conditionalFormatting sqref="M163:Q194">
    <cfRule type="colorScale" priority="7">
      <colorScale>
        <cfvo type="min"/>
        <cfvo type="percentile" val="50"/>
        <cfvo type="max"/>
        <color rgb="FFF8696B"/>
        <color rgb="FFFCFCFF"/>
        <color rgb="FF5A8AC6"/>
      </colorScale>
    </cfRule>
  </conditionalFormatting>
  <conditionalFormatting sqref="C195:L226">
    <cfRule type="colorScale" priority="4">
      <colorScale>
        <cfvo type="min"/>
        <cfvo type="percentile" val="50"/>
        <cfvo type="max"/>
        <color rgb="FFF8696B"/>
        <color rgb="FFFFEB84"/>
        <color rgb="FF63BE7B"/>
      </colorScale>
    </cfRule>
  </conditionalFormatting>
  <conditionalFormatting sqref="M195:Q226">
    <cfRule type="colorScale" priority="3">
      <colorScale>
        <cfvo type="min"/>
        <cfvo type="percentile" val="50"/>
        <cfvo type="max"/>
        <color rgb="FFF8696B"/>
        <color rgb="FFFCFCFF"/>
        <color rgb="FF5A8AC6"/>
      </colorScale>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5"/>
  <sheetViews>
    <sheetView zoomScale="85" zoomScaleNormal="85" topLeftCell="L1" workbookViewId="0">
      <selection activeCell="AL5" sqref="AL5"/>
    </sheetView>
  </sheetViews>
  <sheetFormatPr defaultColWidth="9" defaultRowHeight="12.5"/>
  <cols>
    <col min="1" max="1" width="19.3363636363636" customWidth="1"/>
    <col min="2" max="2" width="8.89090909090909" customWidth="1"/>
    <col min="29" max="29" width="9" customWidth="1"/>
  </cols>
  <sheetData>
    <row r="1" ht="13" spans="1:43">
      <c r="A1" s="29"/>
      <c r="B1" s="30" t="s">
        <v>307</v>
      </c>
      <c r="C1" s="31"/>
      <c r="D1" s="31"/>
      <c r="E1" s="31"/>
      <c r="F1" s="31"/>
      <c r="G1" s="31"/>
      <c r="H1" s="32"/>
      <c r="I1" s="34" t="s">
        <v>308</v>
      </c>
      <c r="J1" s="35"/>
      <c r="K1" s="35"/>
      <c r="L1" s="35"/>
      <c r="M1" s="35"/>
      <c r="N1" s="35"/>
      <c r="P1" s="36" t="s">
        <v>212</v>
      </c>
      <c r="Q1" s="38" t="s">
        <v>309</v>
      </c>
      <c r="R1" s="39"/>
      <c r="S1" s="39"/>
      <c r="T1" s="39"/>
      <c r="U1" s="39"/>
      <c r="V1" s="39"/>
      <c r="W1" s="39"/>
      <c r="X1" s="40" t="s">
        <v>310</v>
      </c>
      <c r="Y1" s="48"/>
      <c r="Z1" s="48"/>
      <c r="AA1" s="48"/>
      <c r="AB1" s="48"/>
      <c r="AC1" s="49"/>
      <c r="AD1" s="40" t="s">
        <v>311</v>
      </c>
      <c r="AE1" s="48"/>
      <c r="AF1" s="48"/>
      <c r="AG1" s="48"/>
      <c r="AH1" s="48"/>
      <c r="AI1" s="49"/>
      <c r="AK1" s="36" t="s">
        <v>212</v>
      </c>
      <c r="AL1" s="40" t="s">
        <v>312</v>
      </c>
      <c r="AM1" s="48"/>
      <c r="AN1" s="48"/>
      <c r="AO1" s="48"/>
      <c r="AP1" s="48"/>
      <c r="AQ1" s="49"/>
    </row>
    <row r="2" ht="13" spans="1:43">
      <c r="A2" s="29"/>
      <c r="B2" s="29">
        <v>2016</v>
      </c>
      <c r="C2" s="29">
        <v>2017</v>
      </c>
      <c r="D2" s="29">
        <v>2018</v>
      </c>
      <c r="E2" s="29">
        <v>2019</v>
      </c>
      <c r="F2" s="29">
        <v>2020</v>
      </c>
      <c r="G2" s="29">
        <v>2021</v>
      </c>
      <c r="H2" s="29">
        <v>2022</v>
      </c>
      <c r="I2" s="29">
        <v>2017</v>
      </c>
      <c r="J2" s="29">
        <v>2018</v>
      </c>
      <c r="K2" s="29">
        <v>2019</v>
      </c>
      <c r="L2" s="29">
        <v>2020</v>
      </c>
      <c r="M2" s="29">
        <v>2021</v>
      </c>
      <c r="N2" s="29">
        <v>2022</v>
      </c>
      <c r="P2" s="36"/>
      <c r="Q2" s="41" t="s">
        <v>223</v>
      </c>
      <c r="R2" s="41" t="s">
        <v>224</v>
      </c>
      <c r="S2" s="41" t="s">
        <v>225</v>
      </c>
      <c r="T2" s="41" t="s">
        <v>226</v>
      </c>
      <c r="U2" s="41" t="s">
        <v>227</v>
      </c>
      <c r="V2" s="37" t="s">
        <v>228</v>
      </c>
      <c r="W2" s="42" t="s">
        <v>229</v>
      </c>
      <c r="X2" s="42" t="s">
        <v>313</v>
      </c>
      <c r="Y2" s="42" t="s">
        <v>314</v>
      </c>
      <c r="Z2" s="42" t="s">
        <v>315</v>
      </c>
      <c r="AA2" s="42" t="s">
        <v>227</v>
      </c>
      <c r="AB2" s="42" t="s">
        <v>228</v>
      </c>
      <c r="AC2" s="42" t="s">
        <v>229</v>
      </c>
      <c r="AD2" s="50" t="s">
        <v>313</v>
      </c>
      <c r="AE2" s="50" t="s">
        <v>314</v>
      </c>
      <c r="AF2" s="50" t="s">
        <v>315</v>
      </c>
      <c r="AG2" s="50" t="s">
        <v>227</v>
      </c>
      <c r="AH2" s="50" t="s">
        <v>228</v>
      </c>
      <c r="AI2" s="50" t="s">
        <v>229</v>
      </c>
      <c r="AK2" s="36"/>
      <c r="AL2" s="50" t="s">
        <v>313</v>
      </c>
      <c r="AM2" s="50" t="s">
        <v>314</v>
      </c>
      <c r="AN2" s="50" t="s">
        <v>315</v>
      </c>
      <c r="AO2" s="50" t="s">
        <v>227</v>
      </c>
      <c r="AP2" s="50" t="s">
        <v>228</v>
      </c>
      <c r="AQ2" s="50" t="s">
        <v>229</v>
      </c>
    </row>
    <row r="3" ht="13" spans="1:43">
      <c r="A3" s="29" t="s">
        <v>53</v>
      </c>
      <c r="B3" s="29">
        <v>6710</v>
      </c>
      <c r="C3" s="33">
        <v>9384</v>
      </c>
      <c r="D3" s="33">
        <v>12406</v>
      </c>
      <c r="E3" s="33">
        <v>14167</v>
      </c>
      <c r="F3" s="33">
        <v>17287.87</v>
      </c>
      <c r="G3" s="33">
        <v>19847.94</v>
      </c>
      <c r="H3" s="33">
        <v>23442.4</v>
      </c>
      <c r="I3" s="33">
        <v>3658</v>
      </c>
      <c r="J3" s="33">
        <v>5027</v>
      </c>
      <c r="K3" s="33">
        <v>6263</v>
      </c>
      <c r="L3" s="33">
        <v>7822.9</v>
      </c>
      <c r="M3" s="33">
        <v>10750.8</v>
      </c>
      <c r="N3" s="33">
        <v>15761.6</v>
      </c>
      <c r="P3" s="37" t="s">
        <v>234</v>
      </c>
      <c r="Q3" s="35">
        <v>665</v>
      </c>
      <c r="R3" s="35">
        <v>1178</v>
      </c>
      <c r="S3" s="35">
        <v>1769</v>
      </c>
      <c r="T3" s="35">
        <v>2240</v>
      </c>
      <c r="U3" s="35">
        <v>2611</v>
      </c>
      <c r="V3" s="35">
        <v>3270</v>
      </c>
      <c r="W3" s="43">
        <v>4276</v>
      </c>
      <c r="X3" s="44">
        <v>154</v>
      </c>
      <c r="Y3" s="46">
        <v>388</v>
      </c>
      <c r="Z3" s="44">
        <v>541</v>
      </c>
      <c r="AA3" s="44">
        <v>679</v>
      </c>
      <c r="AB3" s="37">
        <v>925</v>
      </c>
      <c r="AC3" s="37">
        <v>1437</v>
      </c>
      <c r="AD3" s="29">
        <f t="shared" ref="AD3:AD34" si="0">R3-X3</f>
        <v>1024</v>
      </c>
      <c r="AE3" s="29">
        <f t="shared" ref="AE3:AE34" si="1">S3-Y3</f>
        <v>1381</v>
      </c>
      <c r="AF3" s="29">
        <f t="shared" ref="AF3:AF34" si="2">T3-Z3</f>
        <v>1699</v>
      </c>
      <c r="AG3" s="29">
        <f t="shared" ref="AG3:AG34" si="3">U3-AA3</f>
        <v>1932</v>
      </c>
      <c r="AH3" s="29">
        <f t="shared" ref="AH3:AH34" si="4">V3-AB3</f>
        <v>2345</v>
      </c>
      <c r="AI3" s="29">
        <f>W3-AC3</f>
        <v>2839</v>
      </c>
      <c r="AK3" s="37" t="s">
        <v>234</v>
      </c>
      <c r="AL3" s="51">
        <f t="shared" ref="AL3:AL24" si="5">AD3/(AVERAGE(B3:C3))*10000/8760</f>
        <v>0.145265287894805</v>
      </c>
      <c r="AM3" s="51">
        <f t="shared" ref="AM3:AM24" si="6">AE3/(AVERAGE(C3:D3))*10000/8760</f>
        <v>0.144697936508934</v>
      </c>
      <c r="AN3" s="51">
        <f t="shared" ref="AN3:AN24" si="7">AF3/(AVERAGE(D3:E3))*10000/8760</f>
        <v>0.145975066187106</v>
      </c>
      <c r="AO3" s="51">
        <f t="shared" ref="AO3:AO24" si="8">AG3/(AVERAGE(E3:F3))*10000/8760</f>
        <v>0.140231350633768</v>
      </c>
      <c r="AP3" s="51">
        <f t="shared" ref="AP3:AP24" si="9">AH3/(AVERAGE(F3:G3))*10000/8760</f>
        <v>0.144170311043136</v>
      </c>
      <c r="AQ3" s="51">
        <f t="shared" ref="AQ3:AQ34" si="10">AI3/(AVERAGE(G3:H3))*10000/8760</f>
        <v>0.149727055962539</v>
      </c>
    </row>
    <row r="4" ht="13" spans="1:43">
      <c r="A4" s="29" t="s">
        <v>57</v>
      </c>
      <c r="B4" s="29">
        <v>5</v>
      </c>
      <c r="C4" s="33">
        <v>3</v>
      </c>
      <c r="D4" s="33">
        <v>5</v>
      </c>
      <c r="E4" s="33">
        <v>5</v>
      </c>
      <c r="F4" s="33">
        <v>5.1</v>
      </c>
      <c r="G4" s="33">
        <v>5.1</v>
      </c>
      <c r="H4" s="33">
        <v>5.1</v>
      </c>
      <c r="I4" s="33">
        <v>22</v>
      </c>
      <c r="J4" s="33">
        <v>35</v>
      </c>
      <c r="K4" s="33">
        <v>46</v>
      </c>
      <c r="L4" s="33">
        <v>56.4</v>
      </c>
      <c r="M4" s="33">
        <v>75</v>
      </c>
      <c r="N4" s="33">
        <v>90.2</v>
      </c>
      <c r="P4" s="37" t="s">
        <v>235</v>
      </c>
      <c r="Q4" s="35">
        <v>1</v>
      </c>
      <c r="R4" s="35">
        <v>2</v>
      </c>
      <c r="S4" s="35">
        <v>3</v>
      </c>
      <c r="T4" s="35">
        <v>5</v>
      </c>
      <c r="U4" s="35">
        <v>6</v>
      </c>
      <c r="V4" s="35">
        <v>6</v>
      </c>
      <c r="W4" s="43">
        <v>9</v>
      </c>
      <c r="X4" s="44">
        <v>1</v>
      </c>
      <c r="Y4" s="46">
        <v>2</v>
      </c>
      <c r="Z4" s="44">
        <v>4</v>
      </c>
      <c r="AA4" s="44">
        <v>5</v>
      </c>
      <c r="AB4" s="37">
        <v>5</v>
      </c>
      <c r="AC4" s="37">
        <v>8</v>
      </c>
      <c r="AD4" s="29">
        <f t="shared" si="0"/>
        <v>1</v>
      </c>
      <c r="AE4" s="29">
        <f t="shared" si="1"/>
        <v>1</v>
      </c>
      <c r="AF4" s="29">
        <f t="shared" si="2"/>
        <v>1</v>
      </c>
      <c r="AG4" s="29">
        <f t="shared" si="3"/>
        <v>1</v>
      </c>
      <c r="AH4" s="29">
        <f t="shared" si="4"/>
        <v>1</v>
      </c>
      <c r="AI4" s="29">
        <f t="shared" ref="AI4:AI34" si="11">W4-AC4</f>
        <v>1</v>
      </c>
      <c r="AK4" s="37" t="s">
        <v>235</v>
      </c>
      <c r="AL4" s="51">
        <f t="shared" si="5"/>
        <v>0.285388127853881</v>
      </c>
      <c r="AM4" s="51">
        <f t="shared" si="6"/>
        <v>0.285388127853881</v>
      </c>
      <c r="AN4" s="51">
        <f t="shared" si="7"/>
        <v>0.228310502283105</v>
      </c>
      <c r="AO4" s="51">
        <f t="shared" si="8"/>
        <v>0.2260500022605</v>
      </c>
      <c r="AP4" s="51">
        <f t="shared" si="9"/>
        <v>0.22383382576775</v>
      </c>
      <c r="AQ4" s="51">
        <f t="shared" si="10"/>
        <v>0.22383382576775</v>
      </c>
    </row>
    <row r="5" ht="13" spans="1:43">
      <c r="A5" s="29" t="s">
        <v>62</v>
      </c>
      <c r="B5" s="29">
        <v>48</v>
      </c>
      <c r="C5" s="33">
        <v>53</v>
      </c>
      <c r="D5" s="33">
        <v>97</v>
      </c>
      <c r="E5" s="33">
        <v>104</v>
      </c>
      <c r="F5" s="33">
        <v>118.84</v>
      </c>
      <c r="G5" s="33">
        <v>118.85</v>
      </c>
      <c r="H5" s="33">
        <v>121.7</v>
      </c>
      <c r="I5" s="33">
        <v>15</v>
      </c>
      <c r="J5" s="33">
        <v>31</v>
      </c>
      <c r="K5" s="33">
        <v>38</v>
      </c>
      <c r="L5" s="33">
        <v>44.7</v>
      </c>
      <c r="M5" s="33">
        <v>58.9</v>
      </c>
      <c r="N5" s="33">
        <v>98.9</v>
      </c>
      <c r="P5" s="37" t="s">
        <v>236</v>
      </c>
      <c r="Q5" s="35">
        <v>3</v>
      </c>
      <c r="R5" s="35">
        <v>6.2</v>
      </c>
      <c r="S5" s="45">
        <v>8</v>
      </c>
      <c r="T5" s="45">
        <v>15</v>
      </c>
      <c r="U5" s="35">
        <v>19</v>
      </c>
      <c r="V5" s="35">
        <v>20</v>
      </c>
      <c r="W5" s="43">
        <v>24</v>
      </c>
      <c r="X5" s="44">
        <v>1</v>
      </c>
      <c r="Y5" s="46">
        <v>2</v>
      </c>
      <c r="Z5" s="44">
        <v>3</v>
      </c>
      <c r="AA5" s="44">
        <v>4</v>
      </c>
      <c r="AB5" s="37">
        <v>4</v>
      </c>
      <c r="AC5" s="37">
        <v>7</v>
      </c>
      <c r="AD5" s="29">
        <f t="shared" si="0"/>
        <v>5.2</v>
      </c>
      <c r="AE5" s="29">
        <f t="shared" si="1"/>
        <v>6</v>
      </c>
      <c r="AF5" s="29">
        <f t="shared" si="2"/>
        <v>12</v>
      </c>
      <c r="AG5" s="29">
        <f t="shared" si="3"/>
        <v>15</v>
      </c>
      <c r="AH5" s="29">
        <f t="shared" si="4"/>
        <v>16</v>
      </c>
      <c r="AI5" s="29">
        <f t="shared" si="11"/>
        <v>17</v>
      </c>
      <c r="AK5" s="37" t="s">
        <v>236</v>
      </c>
      <c r="AL5" s="51">
        <f t="shared" si="5"/>
        <v>0.11754600117546</v>
      </c>
      <c r="AM5" s="51">
        <f t="shared" si="6"/>
        <v>0.091324200913242</v>
      </c>
      <c r="AN5" s="51">
        <f t="shared" si="7"/>
        <v>0.136304777482451</v>
      </c>
      <c r="AO5" s="51">
        <f t="shared" si="8"/>
        <v>0.153682352102252</v>
      </c>
      <c r="AP5" s="51">
        <f t="shared" si="9"/>
        <v>0.15368623150026</v>
      </c>
      <c r="AQ5" s="51">
        <f t="shared" si="10"/>
        <v>0.161350178291947</v>
      </c>
    </row>
    <row r="6" ht="13" spans="1:43">
      <c r="A6" s="29" t="s">
        <v>67</v>
      </c>
      <c r="B6" s="29">
        <v>404</v>
      </c>
      <c r="C6" s="33">
        <v>517</v>
      </c>
      <c r="D6" s="33">
        <v>856</v>
      </c>
      <c r="E6" s="33">
        <v>962</v>
      </c>
      <c r="F6" s="33">
        <v>1445.52</v>
      </c>
      <c r="G6" s="33">
        <v>1658.84</v>
      </c>
      <c r="H6" s="33">
        <v>1994.1</v>
      </c>
      <c r="I6" s="33">
        <v>351</v>
      </c>
      <c r="J6" s="33">
        <v>378</v>
      </c>
      <c r="K6" s="33">
        <v>512</v>
      </c>
      <c r="L6" s="33">
        <v>745.8</v>
      </c>
      <c r="M6" s="33">
        <v>1262.5</v>
      </c>
      <c r="N6" s="33">
        <v>1861.2</v>
      </c>
      <c r="P6" s="37" t="s">
        <v>237</v>
      </c>
      <c r="Q6" s="35">
        <v>40</v>
      </c>
      <c r="R6" s="35">
        <v>77</v>
      </c>
      <c r="S6" s="35">
        <v>126</v>
      </c>
      <c r="T6" s="35">
        <v>176</v>
      </c>
      <c r="U6" s="35">
        <v>211</v>
      </c>
      <c r="V6" s="35">
        <v>279</v>
      </c>
      <c r="W6" s="43">
        <v>443</v>
      </c>
      <c r="X6" s="44">
        <v>11</v>
      </c>
      <c r="Y6" s="46">
        <v>32</v>
      </c>
      <c r="Z6" s="44">
        <v>53</v>
      </c>
      <c r="AA6" s="44">
        <v>70</v>
      </c>
      <c r="AB6" s="37">
        <v>114</v>
      </c>
      <c r="AC6" s="37">
        <v>201</v>
      </c>
      <c r="AD6" s="29">
        <f t="shared" si="0"/>
        <v>66</v>
      </c>
      <c r="AE6" s="29">
        <f t="shared" si="1"/>
        <v>94</v>
      </c>
      <c r="AF6" s="29">
        <f t="shared" si="2"/>
        <v>123</v>
      </c>
      <c r="AG6" s="29">
        <f t="shared" si="3"/>
        <v>141</v>
      </c>
      <c r="AH6" s="29">
        <f t="shared" si="4"/>
        <v>165</v>
      </c>
      <c r="AI6" s="29">
        <f t="shared" si="11"/>
        <v>242</v>
      </c>
      <c r="AK6" s="37" t="s">
        <v>237</v>
      </c>
      <c r="AL6" s="51">
        <f t="shared" si="5"/>
        <v>0.163610131929261</v>
      </c>
      <c r="AM6" s="51">
        <f t="shared" si="6"/>
        <v>0.156308719698557</v>
      </c>
      <c r="AN6" s="51">
        <f t="shared" si="7"/>
        <v>0.154467501544675</v>
      </c>
      <c r="AO6" s="51">
        <f t="shared" si="8"/>
        <v>0.133713451277322</v>
      </c>
      <c r="AP6" s="51">
        <f t="shared" si="9"/>
        <v>0.121349433946811</v>
      </c>
      <c r="AQ6" s="51">
        <f t="shared" si="10"/>
        <v>0.15125116085266</v>
      </c>
    </row>
    <row r="7" ht="13" spans="1:43">
      <c r="A7" s="29" t="s">
        <v>72</v>
      </c>
      <c r="B7" s="29">
        <v>284</v>
      </c>
      <c r="C7" s="33">
        <v>530</v>
      </c>
      <c r="D7" s="33">
        <v>681</v>
      </c>
      <c r="E7" s="33">
        <v>857</v>
      </c>
      <c r="F7" s="33">
        <v>1028.32</v>
      </c>
      <c r="G7" s="33">
        <v>1101.84</v>
      </c>
      <c r="H7" s="33">
        <v>1257</v>
      </c>
      <c r="I7" s="33">
        <v>60</v>
      </c>
      <c r="J7" s="33">
        <v>183</v>
      </c>
      <c r="K7" s="33">
        <v>231</v>
      </c>
      <c r="L7" s="33">
        <v>280.2</v>
      </c>
      <c r="M7" s="33">
        <v>355.9</v>
      </c>
      <c r="N7" s="33">
        <v>438.7</v>
      </c>
      <c r="P7" s="37" t="s">
        <v>238</v>
      </c>
      <c r="Q7" s="35">
        <v>27</v>
      </c>
      <c r="R7" s="35">
        <v>56</v>
      </c>
      <c r="S7" s="35">
        <v>94</v>
      </c>
      <c r="T7" s="35">
        <v>128</v>
      </c>
      <c r="U7" s="35">
        <v>159</v>
      </c>
      <c r="V7" s="35">
        <v>189</v>
      </c>
      <c r="W7" s="43">
        <v>219</v>
      </c>
      <c r="X7" s="44">
        <v>5</v>
      </c>
      <c r="Y7" s="46">
        <v>14</v>
      </c>
      <c r="Z7" s="44">
        <v>25</v>
      </c>
      <c r="AA7" s="44">
        <v>31</v>
      </c>
      <c r="AB7" s="37">
        <v>40</v>
      </c>
      <c r="AC7" s="37">
        <v>52</v>
      </c>
      <c r="AD7" s="29">
        <f t="shared" si="0"/>
        <v>51</v>
      </c>
      <c r="AE7" s="29">
        <f t="shared" si="1"/>
        <v>80</v>
      </c>
      <c r="AF7" s="29">
        <f t="shared" si="2"/>
        <v>103</v>
      </c>
      <c r="AG7" s="29">
        <f t="shared" si="3"/>
        <v>128</v>
      </c>
      <c r="AH7" s="29">
        <f t="shared" si="4"/>
        <v>149</v>
      </c>
      <c r="AI7" s="29">
        <f t="shared" si="11"/>
        <v>167</v>
      </c>
      <c r="AK7" s="37" t="s">
        <v>238</v>
      </c>
      <c r="AL7" s="51">
        <f t="shared" si="5"/>
        <v>0.143044663592609</v>
      </c>
      <c r="AM7" s="51">
        <f t="shared" si="6"/>
        <v>0.150824444117658</v>
      </c>
      <c r="AN7" s="51">
        <f t="shared" si="7"/>
        <v>0.1528997512039</v>
      </c>
      <c r="AO7" s="51">
        <f t="shared" si="8"/>
        <v>0.155006812064994</v>
      </c>
      <c r="AP7" s="51">
        <f t="shared" si="9"/>
        <v>0.159698167462457</v>
      </c>
      <c r="AQ7" s="51">
        <f t="shared" si="10"/>
        <v>0.161638152147999</v>
      </c>
    </row>
    <row r="8" ht="13" spans="1:43">
      <c r="A8" s="29" t="s">
        <v>77</v>
      </c>
      <c r="B8" s="29">
        <v>637</v>
      </c>
      <c r="C8" s="33">
        <v>741</v>
      </c>
      <c r="D8" s="33">
        <v>933</v>
      </c>
      <c r="E8" s="33">
        <v>1001</v>
      </c>
      <c r="F8" s="33">
        <v>1138</v>
      </c>
      <c r="G8" s="33">
        <v>1299.5</v>
      </c>
      <c r="H8" s="33">
        <v>1429.6</v>
      </c>
      <c r="I8" s="33">
        <v>2</v>
      </c>
      <c r="J8" s="33">
        <v>13</v>
      </c>
      <c r="K8" s="33">
        <v>80</v>
      </c>
      <c r="L8" s="33">
        <v>90.1</v>
      </c>
      <c r="M8" s="33">
        <v>102.5</v>
      </c>
      <c r="N8" s="33">
        <v>121.2</v>
      </c>
      <c r="P8" s="37" t="s">
        <v>239</v>
      </c>
      <c r="Q8" s="35">
        <v>83</v>
      </c>
      <c r="R8" s="35">
        <v>113</v>
      </c>
      <c r="S8" s="35">
        <v>130</v>
      </c>
      <c r="T8" s="35">
        <v>163</v>
      </c>
      <c r="U8" s="35">
        <v>188</v>
      </c>
      <c r="V8" s="35">
        <v>212</v>
      </c>
      <c r="W8" s="43">
        <v>245</v>
      </c>
      <c r="X8" s="44">
        <v>0.3</v>
      </c>
      <c r="Y8" s="46">
        <v>1</v>
      </c>
      <c r="Z8" s="44">
        <v>3</v>
      </c>
      <c r="AA8" s="44">
        <v>13</v>
      </c>
      <c r="AB8" s="37">
        <v>15</v>
      </c>
      <c r="AC8" s="37">
        <v>17</v>
      </c>
      <c r="AD8" s="29">
        <f t="shared" si="0"/>
        <v>112.7</v>
      </c>
      <c r="AE8" s="29">
        <f t="shared" si="1"/>
        <v>129</v>
      </c>
      <c r="AF8" s="29">
        <f t="shared" si="2"/>
        <v>160</v>
      </c>
      <c r="AG8" s="29">
        <f t="shared" si="3"/>
        <v>175</v>
      </c>
      <c r="AH8" s="29">
        <f t="shared" si="4"/>
        <v>197</v>
      </c>
      <c r="AI8" s="29">
        <f t="shared" si="11"/>
        <v>228</v>
      </c>
      <c r="AK8" s="37" t="s">
        <v>239</v>
      </c>
      <c r="AL8" s="51">
        <f t="shared" si="5"/>
        <v>0.186724191635021</v>
      </c>
      <c r="AM8" s="51">
        <f t="shared" si="6"/>
        <v>0.175938200684113</v>
      </c>
      <c r="AN8" s="51">
        <f t="shared" si="7"/>
        <v>0.18888149103049</v>
      </c>
      <c r="AO8" s="51">
        <f t="shared" si="8"/>
        <v>0.186789798501839</v>
      </c>
      <c r="AP8" s="51">
        <f t="shared" si="9"/>
        <v>0.184521718768294</v>
      </c>
      <c r="AQ8" s="51">
        <f t="shared" si="10"/>
        <v>0.190739784253226</v>
      </c>
    </row>
    <row r="9" ht="13" spans="1:43">
      <c r="A9" s="29" t="s">
        <v>82</v>
      </c>
      <c r="B9" s="29">
        <v>36</v>
      </c>
      <c r="C9" s="33">
        <v>185</v>
      </c>
      <c r="D9" s="33">
        <v>219</v>
      </c>
      <c r="E9" s="33">
        <v>246</v>
      </c>
      <c r="F9" s="33">
        <v>281.89</v>
      </c>
      <c r="G9" s="33">
        <v>317.5</v>
      </c>
      <c r="H9" s="33">
        <v>381.3</v>
      </c>
      <c r="I9" s="33">
        <v>38</v>
      </c>
      <c r="J9" s="33">
        <v>83</v>
      </c>
      <c r="K9" s="33">
        <v>97</v>
      </c>
      <c r="L9" s="33">
        <v>117.9</v>
      </c>
      <c r="M9" s="33">
        <v>160</v>
      </c>
      <c r="N9" s="33">
        <v>219.3</v>
      </c>
      <c r="P9" s="37" t="s">
        <v>240</v>
      </c>
      <c r="Q9" s="35">
        <v>4</v>
      </c>
      <c r="R9" s="35">
        <v>12</v>
      </c>
      <c r="S9" s="35">
        <v>32</v>
      </c>
      <c r="T9" s="35">
        <v>42</v>
      </c>
      <c r="U9" s="35">
        <v>51</v>
      </c>
      <c r="V9" s="35">
        <v>55</v>
      </c>
      <c r="W9" s="43">
        <v>76</v>
      </c>
      <c r="X9" s="44">
        <v>3</v>
      </c>
      <c r="Y9" s="46">
        <v>7</v>
      </c>
      <c r="Z9" s="44">
        <v>10</v>
      </c>
      <c r="AA9" s="44">
        <v>12</v>
      </c>
      <c r="AB9" s="37">
        <v>14</v>
      </c>
      <c r="AC9" s="37">
        <v>24</v>
      </c>
      <c r="AD9" s="29">
        <f t="shared" si="0"/>
        <v>9</v>
      </c>
      <c r="AE9" s="29">
        <f t="shared" si="1"/>
        <v>25</v>
      </c>
      <c r="AF9" s="29">
        <f t="shared" si="2"/>
        <v>32</v>
      </c>
      <c r="AG9" s="29">
        <f t="shared" si="3"/>
        <v>39</v>
      </c>
      <c r="AH9" s="29">
        <f t="shared" si="4"/>
        <v>41</v>
      </c>
      <c r="AI9" s="29">
        <f t="shared" si="11"/>
        <v>52</v>
      </c>
      <c r="AK9" s="37" t="s">
        <v>240</v>
      </c>
      <c r="AL9" s="51">
        <f t="shared" si="5"/>
        <v>0.0929771276266039</v>
      </c>
      <c r="AM9" s="51">
        <f t="shared" si="6"/>
        <v>0.141281251412813</v>
      </c>
      <c r="AN9" s="51">
        <f t="shared" si="7"/>
        <v>0.157116904796975</v>
      </c>
      <c r="AO9" s="51">
        <f t="shared" si="8"/>
        <v>0.16867357951545</v>
      </c>
      <c r="AP9" s="51">
        <f t="shared" si="9"/>
        <v>0.156170950359654</v>
      </c>
      <c r="AQ9" s="51">
        <f t="shared" si="10"/>
        <v>0.169893333124234</v>
      </c>
    </row>
    <row r="10" ht="13" spans="1:43">
      <c r="A10" s="29" t="s">
        <v>87</v>
      </c>
      <c r="B10" s="29">
        <v>51</v>
      </c>
      <c r="C10" s="33">
        <v>107</v>
      </c>
      <c r="D10" s="33">
        <v>203</v>
      </c>
      <c r="E10" s="33">
        <v>205</v>
      </c>
      <c r="F10" s="33">
        <v>260.91</v>
      </c>
      <c r="G10" s="33">
        <v>265.79</v>
      </c>
      <c r="H10" s="33">
        <v>294.6</v>
      </c>
      <c r="I10" s="33">
        <v>52</v>
      </c>
      <c r="J10" s="33">
        <v>62</v>
      </c>
      <c r="K10" s="33">
        <v>69</v>
      </c>
      <c r="L10" s="33">
        <v>76</v>
      </c>
      <c r="M10" s="33">
        <v>80.1</v>
      </c>
      <c r="N10" s="33">
        <v>92</v>
      </c>
      <c r="P10" s="37" t="s">
        <v>241</v>
      </c>
      <c r="Q10" s="35">
        <v>3</v>
      </c>
      <c r="R10" s="35">
        <v>13</v>
      </c>
      <c r="S10" s="35">
        <v>24</v>
      </c>
      <c r="T10" s="35">
        <v>40</v>
      </c>
      <c r="U10" s="35">
        <v>45</v>
      </c>
      <c r="V10" s="35">
        <v>52</v>
      </c>
      <c r="W10" s="43">
        <v>59</v>
      </c>
      <c r="X10" s="44">
        <v>2</v>
      </c>
      <c r="Y10" s="46">
        <v>7</v>
      </c>
      <c r="Z10" s="44">
        <v>9</v>
      </c>
      <c r="AA10" s="44">
        <v>9</v>
      </c>
      <c r="AB10" s="37">
        <v>10</v>
      </c>
      <c r="AC10" s="37">
        <v>12</v>
      </c>
      <c r="AD10" s="29">
        <f t="shared" si="0"/>
        <v>11</v>
      </c>
      <c r="AE10" s="29">
        <f t="shared" si="1"/>
        <v>17</v>
      </c>
      <c r="AF10" s="29">
        <f t="shared" si="2"/>
        <v>31</v>
      </c>
      <c r="AG10" s="29">
        <f t="shared" si="3"/>
        <v>36</v>
      </c>
      <c r="AH10" s="29">
        <f t="shared" si="4"/>
        <v>42</v>
      </c>
      <c r="AI10" s="29">
        <f t="shared" si="11"/>
        <v>47</v>
      </c>
      <c r="AK10" s="37" t="s">
        <v>241</v>
      </c>
      <c r="AL10" s="51">
        <f t="shared" si="5"/>
        <v>0.158950349690769</v>
      </c>
      <c r="AM10" s="51">
        <f t="shared" si="6"/>
        <v>0.12520253351009</v>
      </c>
      <c r="AN10" s="51">
        <f t="shared" si="7"/>
        <v>0.173471214970006</v>
      </c>
      <c r="AO10" s="51">
        <f t="shared" si="8"/>
        <v>0.176411282912833</v>
      </c>
      <c r="AP10" s="51">
        <f t="shared" si="9"/>
        <v>0.182058877841094</v>
      </c>
      <c r="AQ10" s="51">
        <f t="shared" si="10"/>
        <v>0.191484387788967</v>
      </c>
    </row>
    <row r="11" ht="13" spans="1:43">
      <c r="A11" s="29" t="s">
        <v>92</v>
      </c>
      <c r="B11" s="29">
        <v>12</v>
      </c>
      <c r="C11" s="33">
        <v>64</v>
      </c>
      <c r="D11" s="33">
        <v>141</v>
      </c>
      <c r="E11" s="33">
        <v>195</v>
      </c>
      <c r="F11" s="33">
        <v>234.99</v>
      </c>
      <c r="G11" s="33">
        <v>329.99</v>
      </c>
      <c r="H11" s="33">
        <v>366.9</v>
      </c>
      <c r="I11" s="33">
        <v>30</v>
      </c>
      <c r="J11" s="33">
        <v>74</v>
      </c>
      <c r="K11" s="33">
        <v>80</v>
      </c>
      <c r="L11" s="33">
        <v>82.7</v>
      </c>
      <c r="M11" s="33">
        <v>89.8</v>
      </c>
      <c r="N11" s="33">
        <v>108.4</v>
      </c>
      <c r="P11" s="37" t="s">
        <v>242</v>
      </c>
      <c r="Q11" s="35">
        <v>1</v>
      </c>
      <c r="R11" s="35">
        <v>6</v>
      </c>
      <c r="S11" s="45">
        <v>20</v>
      </c>
      <c r="T11" s="45">
        <v>32</v>
      </c>
      <c r="U11" s="35">
        <v>43</v>
      </c>
      <c r="V11" s="35">
        <v>51</v>
      </c>
      <c r="W11" s="43">
        <v>71</v>
      </c>
      <c r="X11" s="44">
        <v>1</v>
      </c>
      <c r="Y11" s="46">
        <v>5</v>
      </c>
      <c r="Z11" s="44">
        <v>9</v>
      </c>
      <c r="AA11" s="44">
        <v>10</v>
      </c>
      <c r="AB11" s="37">
        <v>10</v>
      </c>
      <c r="AC11" s="37">
        <v>13</v>
      </c>
      <c r="AD11" s="29">
        <f t="shared" si="0"/>
        <v>5</v>
      </c>
      <c r="AE11" s="29">
        <f t="shared" si="1"/>
        <v>15</v>
      </c>
      <c r="AF11" s="29">
        <f t="shared" si="2"/>
        <v>23</v>
      </c>
      <c r="AG11" s="29">
        <f t="shared" si="3"/>
        <v>33</v>
      </c>
      <c r="AH11" s="29">
        <f t="shared" si="4"/>
        <v>41</v>
      </c>
      <c r="AI11" s="29">
        <f t="shared" si="11"/>
        <v>58</v>
      </c>
      <c r="AK11" s="37" t="s">
        <v>242</v>
      </c>
      <c r="AL11" s="51">
        <f t="shared" si="5"/>
        <v>0.150204277817832</v>
      </c>
      <c r="AM11" s="51">
        <f t="shared" si="6"/>
        <v>0.167056465085199</v>
      </c>
      <c r="AN11" s="51">
        <f t="shared" si="7"/>
        <v>0.156283974777125</v>
      </c>
      <c r="AO11" s="51">
        <f t="shared" si="8"/>
        <v>0.175219111498929</v>
      </c>
      <c r="AP11" s="51">
        <f t="shared" si="9"/>
        <v>0.165682512542166</v>
      </c>
      <c r="AQ11" s="51">
        <f t="shared" si="10"/>
        <v>0.1900157719643</v>
      </c>
    </row>
    <row r="12" ht="13" spans="1:43">
      <c r="A12" s="29" t="s">
        <v>97</v>
      </c>
      <c r="B12" s="29">
        <v>2</v>
      </c>
      <c r="C12" s="33">
        <v>0</v>
      </c>
      <c r="D12" s="33">
        <v>7</v>
      </c>
      <c r="E12" s="33">
        <v>6</v>
      </c>
      <c r="F12" s="33">
        <v>19.7</v>
      </c>
      <c r="G12" s="33">
        <v>24.09</v>
      </c>
      <c r="H12" s="33">
        <v>24</v>
      </c>
      <c r="I12" s="33">
        <v>59</v>
      </c>
      <c r="J12" s="33">
        <v>82</v>
      </c>
      <c r="K12" s="33">
        <v>103</v>
      </c>
      <c r="L12" s="33">
        <v>116.9</v>
      </c>
      <c r="M12" s="33">
        <v>144.2</v>
      </c>
      <c r="N12" s="33">
        <v>170.9</v>
      </c>
      <c r="P12" s="37" t="s">
        <v>243</v>
      </c>
      <c r="Q12" s="35">
        <v>1</v>
      </c>
      <c r="R12" s="35">
        <v>3</v>
      </c>
      <c r="S12" s="45">
        <v>6</v>
      </c>
      <c r="T12" s="45">
        <v>8</v>
      </c>
      <c r="U12" s="45">
        <v>10</v>
      </c>
      <c r="V12" s="35">
        <v>15</v>
      </c>
      <c r="W12" s="43">
        <v>18</v>
      </c>
      <c r="X12" s="44">
        <v>2</v>
      </c>
      <c r="Y12" s="46">
        <v>5</v>
      </c>
      <c r="Z12" s="44">
        <v>7</v>
      </c>
      <c r="AA12" s="44">
        <v>9</v>
      </c>
      <c r="AB12" s="37">
        <v>12</v>
      </c>
      <c r="AC12" s="37">
        <v>15</v>
      </c>
      <c r="AD12" s="29">
        <f t="shared" si="0"/>
        <v>1</v>
      </c>
      <c r="AE12" s="29">
        <f t="shared" si="1"/>
        <v>1</v>
      </c>
      <c r="AF12" s="29">
        <f t="shared" si="2"/>
        <v>1</v>
      </c>
      <c r="AG12" s="29">
        <f t="shared" si="3"/>
        <v>1</v>
      </c>
      <c r="AH12" s="29">
        <f t="shared" si="4"/>
        <v>3</v>
      </c>
      <c r="AI12" s="29">
        <f t="shared" si="11"/>
        <v>3</v>
      </c>
      <c r="AK12" s="37" t="s">
        <v>243</v>
      </c>
      <c r="AL12" s="51">
        <f t="shared" si="5"/>
        <v>1.14155251141553</v>
      </c>
      <c r="AM12" s="51">
        <f t="shared" si="6"/>
        <v>0.326157860404436</v>
      </c>
      <c r="AN12" s="51">
        <f t="shared" si="7"/>
        <v>0.175623463294696</v>
      </c>
      <c r="AO12" s="51">
        <f t="shared" si="8"/>
        <v>0.0888367713163833</v>
      </c>
      <c r="AP12" s="51">
        <f t="shared" si="9"/>
        <v>0.156412767035697</v>
      </c>
      <c r="AQ12" s="51">
        <f t="shared" si="10"/>
        <v>0.142427013277046</v>
      </c>
    </row>
    <row r="13" ht="13" spans="1:43">
      <c r="A13" s="29" t="s">
        <v>102</v>
      </c>
      <c r="B13" s="29">
        <v>373</v>
      </c>
      <c r="C13" s="33">
        <v>580</v>
      </c>
      <c r="D13" s="33">
        <v>792</v>
      </c>
      <c r="E13" s="33">
        <v>821</v>
      </c>
      <c r="F13" s="33">
        <v>895.91</v>
      </c>
      <c r="G13" s="33">
        <v>941.08</v>
      </c>
      <c r="H13" s="33">
        <v>953.3</v>
      </c>
      <c r="I13" s="33">
        <v>327</v>
      </c>
      <c r="J13" s="33">
        <v>540</v>
      </c>
      <c r="K13" s="33">
        <v>665</v>
      </c>
      <c r="L13" s="33">
        <v>788.1</v>
      </c>
      <c r="M13" s="33">
        <v>974.9</v>
      </c>
      <c r="N13" s="33">
        <v>1555.2</v>
      </c>
      <c r="P13" s="37" t="s">
        <v>244</v>
      </c>
      <c r="Q13" s="35">
        <v>47</v>
      </c>
      <c r="R13" s="35">
        <v>81</v>
      </c>
      <c r="S13" s="35">
        <v>120</v>
      </c>
      <c r="T13" s="35">
        <v>154</v>
      </c>
      <c r="U13" s="35">
        <v>167</v>
      </c>
      <c r="V13" s="35">
        <v>195</v>
      </c>
      <c r="W13" s="43">
        <v>255</v>
      </c>
      <c r="X13" s="44">
        <v>19</v>
      </c>
      <c r="Y13" s="46">
        <v>40</v>
      </c>
      <c r="Z13" s="44">
        <v>53</v>
      </c>
      <c r="AA13" s="44">
        <v>61</v>
      </c>
      <c r="AB13" s="37">
        <v>77</v>
      </c>
      <c r="AC13" s="37">
        <v>131</v>
      </c>
      <c r="AD13" s="29">
        <f t="shared" si="0"/>
        <v>62</v>
      </c>
      <c r="AE13" s="29">
        <f t="shared" si="1"/>
        <v>80</v>
      </c>
      <c r="AF13" s="29">
        <f t="shared" si="2"/>
        <v>101</v>
      </c>
      <c r="AG13" s="29">
        <f t="shared" si="3"/>
        <v>106</v>
      </c>
      <c r="AH13" s="29">
        <f t="shared" si="4"/>
        <v>118</v>
      </c>
      <c r="AI13" s="29">
        <f t="shared" si="11"/>
        <v>124</v>
      </c>
      <c r="AK13" s="37" t="s">
        <v>244</v>
      </c>
      <c r="AL13" s="51">
        <f t="shared" si="5"/>
        <v>0.148533590152702</v>
      </c>
      <c r="AM13" s="51">
        <f t="shared" si="6"/>
        <v>0.133125657307933</v>
      </c>
      <c r="AN13" s="51">
        <f t="shared" si="7"/>
        <v>0.142959458962143</v>
      </c>
      <c r="AO13" s="51">
        <f t="shared" si="8"/>
        <v>0.140956213441643</v>
      </c>
      <c r="AP13" s="51">
        <f t="shared" si="9"/>
        <v>0.146656428556532</v>
      </c>
      <c r="AQ13" s="51">
        <f t="shared" si="10"/>
        <v>0.14944468524322</v>
      </c>
    </row>
    <row r="14" ht="13" spans="1:43">
      <c r="A14" s="29" t="s">
        <v>107</v>
      </c>
      <c r="B14" s="29">
        <v>131</v>
      </c>
      <c r="C14" s="33">
        <v>315</v>
      </c>
      <c r="D14" s="33">
        <v>361</v>
      </c>
      <c r="E14" s="33">
        <v>414</v>
      </c>
      <c r="F14" s="33">
        <v>412.17</v>
      </c>
      <c r="G14" s="33">
        <v>577.03</v>
      </c>
      <c r="H14" s="33">
        <v>613.4</v>
      </c>
      <c r="I14" s="33">
        <v>499</v>
      </c>
      <c r="J14" s="33">
        <v>777</v>
      </c>
      <c r="K14" s="33">
        <v>925</v>
      </c>
      <c r="L14" s="33">
        <v>1067.2</v>
      </c>
      <c r="M14" s="33">
        <v>1264.8</v>
      </c>
      <c r="N14" s="33">
        <v>1925.5</v>
      </c>
      <c r="P14" s="37" t="s">
        <v>245</v>
      </c>
      <c r="Q14" s="35">
        <v>22</v>
      </c>
      <c r="R14" s="35">
        <v>56</v>
      </c>
      <c r="S14" s="35">
        <v>100</v>
      </c>
      <c r="T14" s="35">
        <v>119</v>
      </c>
      <c r="U14" s="35">
        <v>131</v>
      </c>
      <c r="V14" s="35">
        <v>155</v>
      </c>
      <c r="W14" s="43">
        <v>216</v>
      </c>
      <c r="X14" s="44">
        <v>31</v>
      </c>
      <c r="Y14" s="46">
        <v>63</v>
      </c>
      <c r="Z14" s="44">
        <v>75</v>
      </c>
      <c r="AA14" s="44">
        <v>88</v>
      </c>
      <c r="AB14" s="37">
        <v>103</v>
      </c>
      <c r="AC14" s="37">
        <v>148</v>
      </c>
      <c r="AD14" s="29">
        <f t="shared" si="0"/>
        <v>25</v>
      </c>
      <c r="AE14" s="29">
        <f t="shared" si="1"/>
        <v>37</v>
      </c>
      <c r="AF14" s="29">
        <f t="shared" si="2"/>
        <v>44</v>
      </c>
      <c r="AG14" s="29">
        <f t="shared" si="3"/>
        <v>43</v>
      </c>
      <c r="AH14" s="29">
        <f t="shared" si="4"/>
        <v>52</v>
      </c>
      <c r="AI14" s="29">
        <f t="shared" si="11"/>
        <v>68</v>
      </c>
      <c r="AK14" s="37" t="s">
        <v>245</v>
      </c>
      <c r="AL14" s="51">
        <f t="shared" si="5"/>
        <v>0.127976738947929</v>
      </c>
      <c r="AM14" s="51">
        <f t="shared" si="6"/>
        <v>0.124962848882765</v>
      </c>
      <c r="AN14" s="51">
        <f t="shared" si="7"/>
        <v>0.129621446457505</v>
      </c>
      <c r="AO14" s="51">
        <f t="shared" si="8"/>
        <v>0.118829679099623</v>
      </c>
      <c r="AP14" s="51">
        <f t="shared" si="9"/>
        <v>0.120017651826946</v>
      </c>
      <c r="AQ14" s="51">
        <f t="shared" si="10"/>
        <v>0.130416019045649</v>
      </c>
    </row>
    <row r="15" ht="13" spans="1:43">
      <c r="A15" s="29" t="s">
        <v>112</v>
      </c>
      <c r="B15" s="29">
        <v>267</v>
      </c>
      <c r="C15" s="33">
        <v>565</v>
      </c>
      <c r="D15" s="33">
        <v>677</v>
      </c>
      <c r="E15" s="33">
        <v>773</v>
      </c>
      <c r="F15" s="33">
        <v>825.56</v>
      </c>
      <c r="G15" s="33">
        <v>947.02</v>
      </c>
      <c r="H15" s="33">
        <v>1063.8</v>
      </c>
      <c r="I15" s="33">
        <v>323</v>
      </c>
      <c r="J15" s="33">
        <v>441</v>
      </c>
      <c r="K15" s="33">
        <v>480</v>
      </c>
      <c r="L15" s="33">
        <v>544.1</v>
      </c>
      <c r="M15" s="33">
        <v>759.8</v>
      </c>
      <c r="N15" s="33">
        <v>1090.3</v>
      </c>
      <c r="P15" s="37" t="s">
        <v>246</v>
      </c>
      <c r="Q15" s="35">
        <v>21</v>
      </c>
      <c r="R15" s="35">
        <v>62</v>
      </c>
      <c r="S15" s="35">
        <v>104</v>
      </c>
      <c r="T15" s="35">
        <v>125</v>
      </c>
      <c r="U15" s="35">
        <v>130</v>
      </c>
      <c r="V15" s="35">
        <v>155</v>
      </c>
      <c r="W15" s="43">
        <v>206</v>
      </c>
      <c r="X15" s="44">
        <v>18</v>
      </c>
      <c r="Y15" s="46">
        <v>36</v>
      </c>
      <c r="Z15" s="44">
        <v>46</v>
      </c>
      <c r="AA15" s="44">
        <v>45</v>
      </c>
      <c r="AB15" s="37">
        <v>52</v>
      </c>
      <c r="AC15" s="37">
        <v>80</v>
      </c>
      <c r="AD15" s="29">
        <f t="shared" si="0"/>
        <v>44</v>
      </c>
      <c r="AE15" s="29">
        <f t="shared" si="1"/>
        <v>68</v>
      </c>
      <c r="AF15" s="29">
        <f t="shared" si="2"/>
        <v>79</v>
      </c>
      <c r="AG15" s="29">
        <f t="shared" si="3"/>
        <v>85</v>
      </c>
      <c r="AH15" s="29">
        <f t="shared" si="4"/>
        <v>103</v>
      </c>
      <c r="AI15" s="29">
        <f t="shared" si="11"/>
        <v>126</v>
      </c>
      <c r="AK15" s="37" t="s">
        <v>246</v>
      </c>
      <c r="AL15" s="51">
        <f t="shared" si="5"/>
        <v>0.120741131015104</v>
      </c>
      <c r="AM15" s="51">
        <f t="shared" si="6"/>
        <v>0.125000919124405</v>
      </c>
      <c r="AN15" s="51">
        <f t="shared" si="7"/>
        <v>0.124389859864588</v>
      </c>
      <c r="AO15" s="51">
        <f t="shared" si="8"/>
        <v>0.121399213630167</v>
      </c>
      <c r="AP15" s="51">
        <f t="shared" si="9"/>
        <v>0.13266527736497</v>
      </c>
      <c r="AQ15" s="51">
        <f t="shared" si="10"/>
        <v>0.143061652896188</v>
      </c>
    </row>
    <row r="16" ht="13" spans="1:43">
      <c r="A16" s="29" t="s">
        <v>117</v>
      </c>
      <c r="B16" s="29">
        <v>11</v>
      </c>
      <c r="C16" s="33">
        <v>0</v>
      </c>
      <c r="D16" s="33">
        <v>37</v>
      </c>
      <c r="E16" s="33">
        <v>38</v>
      </c>
      <c r="F16" s="33">
        <v>37.8</v>
      </c>
      <c r="G16" s="33">
        <v>39.16</v>
      </c>
      <c r="H16" s="33">
        <v>39.2</v>
      </c>
      <c r="I16" s="33">
        <v>109</v>
      </c>
      <c r="J16" s="33">
        <v>111</v>
      </c>
      <c r="K16" s="33">
        <v>131</v>
      </c>
      <c r="L16" s="33">
        <v>164.3</v>
      </c>
      <c r="M16" s="33">
        <v>237.9</v>
      </c>
      <c r="N16" s="33">
        <v>425.8</v>
      </c>
      <c r="P16" s="37" t="s">
        <v>247</v>
      </c>
      <c r="Q16" s="35">
        <v>1</v>
      </c>
      <c r="R16" s="35">
        <v>6</v>
      </c>
      <c r="S16" s="35">
        <v>14</v>
      </c>
      <c r="T16" s="35">
        <v>16</v>
      </c>
      <c r="U16" s="35">
        <v>19</v>
      </c>
      <c r="V16" s="35">
        <v>25</v>
      </c>
      <c r="W16" s="43">
        <v>38</v>
      </c>
      <c r="X16" s="44">
        <v>3</v>
      </c>
      <c r="Y16" s="46">
        <v>9</v>
      </c>
      <c r="Z16" s="44">
        <v>11</v>
      </c>
      <c r="AA16" s="44">
        <v>15</v>
      </c>
      <c r="AB16" s="37">
        <v>20</v>
      </c>
      <c r="AC16" s="37">
        <v>34</v>
      </c>
      <c r="AD16" s="29">
        <f t="shared" si="0"/>
        <v>3</v>
      </c>
      <c r="AE16" s="29">
        <f t="shared" si="1"/>
        <v>5</v>
      </c>
      <c r="AF16" s="29">
        <f t="shared" si="2"/>
        <v>5</v>
      </c>
      <c r="AG16" s="29">
        <f t="shared" si="3"/>
        <v>4</v>
      </c>
      <c r="AH16" s="29">
        <f t="shared" si="4"/>
        <v>5</v>
      </c>
      <c r="AI16" s="29">
        <f t="shared" si="11"/>
        <v>4</v>
      </c>
      <c r="AK16" s="37" t="s">
        <v>247</v>
      </c>
      <c r="AL16" s="51">
        <f t="shared" si="5"/>
        <v>0.62266500622665</v>
      </c>
      <c r="AM16" s="51">
        <f t="shared" si="6"/>
        <v>0.30852770578798</v>
      </c>
      <c r="AN16" s="51">
        <f t="shared" si="7"/>
        <v>0.15220700152207</v>
      </c>
      <c r="AO16" s="51">
        <f t="shared" si="8"/>
        <v>0.120480476138842</v>
      </c>
      <c r="AP16" s="51">
        <f t="shared" si="9"/>
        <v>0.148330627782683</v>
      </c>
      <c r="AQ16" s="51">
        <f t="shared" si="10"/>
        <v>0.11654441157892</v>
      </c>
    </row>
    <row r="17" ht="13" spans="1:43">
      <c r="A17" s="29" t="s">
        <v>122</v>
      </c>
      <c r="B17" s="29">
        <v>171</v>
      </c>
      <c r="C17" s="33">
        <v>277</v>
      </c>
      <c r="D17" s="33">
        <v>294</v>
      </c>
      <c r="E17" s="33">
        <v>367</v>
      </c>
      <c r="F17" s="33">
        <v>476.66</v>
      </c>
      <c r="G17" s="33">
        <v>551.95</v>
      </c>
      <c r="H17" s="33">
        <v>695.1</v>
      </c>
      <c r="I17" s="33">
        <v>172</v>
      </c>
      <c r="J17" s="33">
        <v>242</v>
      </c>
      <c r="K17" s="33">
        <v>263</v>
      </c>
      <c r="L17" s="33">
        <v>299.2</v>
      </c>
      <c r="M17" s="33">
        <v>359.2</v>
      </c>
      <c r="N17" s="33">
        <v>506.7</v>
      </c>
      <c r="P17" s="37" t="s">
        <v>248</v>
      </c>
      <c r="Q17" s="35">
        <v>11</v>
      </c>
      <c r="R17" s="35">
        <v>30</v>
      </c>
      <c r="S17" s="35">
        <v>52</v>
      </c>
      <c r="T17" s="35">
        <v>56</v>
      </c>
      <c r="U17" s="35">
        <v>62</v>
      </c>
      <c r="V17" s="35">
        <v>80</v>
      </c>
      <c r="W17" s="43">
        <v>103</v>
      </c>
      <c r="X17" s="44">
        <v>8</v>
      </c>
      <c r="Y17" s="46">
        <v>21</v>
      </c>
      <c r="Z17" s="44">
        <v>24</v>
      </c>
      <c r="AA17" s="44">
        <v>26</v>
      </c>
      <c r="AB17" s="37">
        <v>30</v>
      </c>
      <c r="AC17" s="37">
        <v>38</v>
      </c>
      <c r="AD17" s="29">
        <f t="shared" si="0"/>
        <v>22</v>
      </c>
      <c r="AE17" s="29">
        <f t="shared" si="1"/>
        <v>31</v>
      </c>
      <c r="AF17" s="29">
        <f t="shared" si="2"/>
        <v>32</v>
      </c>
      <c r="AG17" s="29">
        <f t="shared" si="3"/>
        <v>36</v>
      </c>
      <c r="AH17" s="29">
        <f t="shared" si="4"/>
        <v>50</v>
      </c>
      <c r="AI17" s="29">
        <f t="shared" si="11"/>
        <v>65</v>
      </c>
      <c r="AK17" s="37" t="s">
        <v>248</v>
      </c>
      <c r="AL17" s="51">
        <f t="shared" si="5"/>
        <v>0.112116764514025</v>
      </c>
      <c r="AM17" s="51">
        <f t="shared" si="6"/>
        <v>0.12395141104687</v>
      </c>
      <c r="AN17" s="51">
        <f t="shared" si="7"/>
        <v>0.11052853363176</v>
      </c>
      <c r="AO17" s="51">
        <f t="shared" si="8"/>
        <v>0.0974228727472178</v>
      </c>
      <c r="AP17" s="51">
        <f t="shared" si="9"/>
        <v>0.110980110189044</v>
      </c>
      <c r="AQ17" s="51">
        <f t="shared" si="10"/>
        <v>0.119002306630863</v>
      </c>
    </row>
    <row r="18" ht="13" spans="1:43">
      <c r="A18" s="29" t="s">
        <v>127</v>
      </c>
      <c r="B18" s="29">
        <v>336</v>
      </c>
      <c r="C18" s="33">
        <v>578</v>
      </c>
      <c r="D18" s="33">
        <v>648</v>
      </c>
      <c r="E18" s="33">
        <v>677</v>
      </c>
      <c r="F18" s="33">
        <v>805.02</v>
      </c>
      <c r="G18" s="33">
        <v>1008.97</v>
      </c>
      <c r="H18" s="33">
        <v>1249.7</v>
      </c>
      <c r="I18" s="33">
        <v>474</v>
      </c>
      <c r="J18" s="33">
        <v>713</v>
      </c>
      <c r="K18" s="33">
        <v>943</v>
      </c>
      <c r="L18" s="33">
        <v>1467.4</v>
      </c>
      <c r="M18" s="33">
        <v>2334.4</v>
      </c>
      <c r="N18" s="33">
        <v>3020.2</v>
      </c>
      <c r="P18" s="37" t="s">
        <v>249</v>
      </c>
      <c r="Q18" s="35">
        <v>31</v>
      </c>
      <c r="R18" s="35">
        <v>73</v>
      </c>
      <c r="S18" s="35">
        <v>137</v>
      </c>
      <c r="T18" s="35">
        <v>167</v>
      </c>
      <c r="U18" s="35">
        <v>206</v>
      </c>
      <c r="V18" s="35">
        <v>310</v>
      </c>
      <c r="W18" s="43">
        <v>462</v>
      </c>
      <c r="X18" s="44">
        <v>20</v>
      </c>
      <c r="Y18" s="46">
        <v>60</v>
      </c>
      <c r="Z18" s="44">
        <v>80</v>
      </c>
      <c r="AA18" s="44">
        <v>117</v>
      </c>
      <c r="AB18" s="37">
        <v>202</v>
      </c>
      <c r="AC18" s="37">
        <v>328</v>
      </c>
      <c r="AD18" s="29">
        <f t="shared" si="0"/>
        <v>53</v>
      </c>
      <c r="AE18" s="29">
        <f t="shared" si="1"/>
        <v>77</v>
      </c>
      <c r="AF18" s="29">
        <f t="shared" si="2"/>
        <v>87</v>
      </c>
      <c r="AG18" s="29">
        <f t="shared" si="3"/>
        <v>89</v>
      </c>
      <c r="AH18" s="29">
        <f t="shared" si="4"/>
        <v>108</v>
      </c>
      <c r="AI18" s="29">
        <f t="shared" si="11"/>
        <v>134</v>
      </c>
      <c r="AK18" s="37" t="s">
        <v>249</v>
      </c>
      <c r="AL18" s="51">
        <f t="shared" si="5"/>
        <v>0.132390116203551</v>
      </c>
      <c r="AM18" s="51">
        <f t="shared" si="6"/>
        <v>0.143392403554642</v>
      </c>
      <c r="AN18" s="51">
        <f t="shared" si="7"/>
        <v>0.149909537348152</v>
      </c>
      <c r="AO18" s="51">
        <f t="shared" si="8"/>
        <v>0.137107695599225</v>
      </c>
      <c r="AP18" s="51">
        <f t="shared" si="9"/>
        <v>0.135929824566703</v>
      </c>
      <c r="AQ18" s="51">
        <f t="shared" si="10"/>
        <v>0.135449655354417</v>
      </c>
    </row>
    <row r="19" ht="13" spans="1:43">
      <c r="A19" s="29" t="s">
        <v>132</v>
      </c>
      <c r="B19" s="29">
        <v>248</v>
      </c>
      <c r="C19" s="33">
        <v>492</v>
      </c>
      <c r="D19" s="33">
        <v>600</v>
      </c>
      <c r="E19" s="33">
        <v>600</v>
      </c>
      <c r="F19" s="33">
        <v>603.85</v>
      </c>
      <c r="G19" s="33">
        <v>625.8</v>
      </c>
      <c r="H19" s="33">
        <v>628.8</v>
      </c>
      <c r="I19" s="33">
        <v>211</v>
      </c>
      <c r="J19" s="33">
        <v>391</v>
      </c>
      <c r="K19" s="33">
        <v>454</v>
      </c>
      <c r="L19" s="33">
        <v>570.8</v>
      </c>
      <c r="M19" s="33">
        <v>929.8</v>
      </c>
      <c r="N19" s="33">
        <v>1704.2</v>
      </c>
      <c r="P19" s="37" t="s">
        <v>250</v>
      </c>
      <c r="Q19" s="35">
        <v>12</v>
      </c>
      <c r="R19" s="35">
        <v>44</v>
      </c>
      <c r="S19" s="35">
        <v>84</v>
      </c>
      <c r="T19" s="35">
        <v>102</v>
      </c>
      <c r="U19" s="35">
        <v>112</v>
      </c>
      <c r="V19" s="35">
        <v>136</v>
      </c>
      <c r="W19" s="43">
        <v>206</v>
      </c>
      <c r="X19" s="44">
        <v>4</v>
      </c>
      <c r="Y19" s="46">
        <v>27</v>
      </c>
      <c r="Z19" s="44">
        <v>38</v>
      </c>
      <c r="AA19" s="44">
        <v>49</v>
      </c>
      <c r="AB19" s="37">
        <v>72</v>
      </c>
      <c r="AC19" s="37">
        <v>140</v>
      </c>
      <c r="AD19" s="29">
        <f t="shared" si="0"/>
        <v>40</v>
      </c>
      <c r="AE19" s="29">
        <f t="shared" si="1"/>
        <v>57</v>
      </c>
      <c r="AF19" s="29">
        <f t="shared" si="2"/>
        <v>64</v>
      </c>
      <c r="AG19" s="29">
        <f t="shared" si="3"/>
        <v>63</v>
      </c>
      <c r="AH19" s="29">
        <f t="shared" si="4"/>
        <v>64</v>
      </c>
      <c r="AI19" s="29">
        <f t="shared" si="11"/>
        <v>66</v>
      </c>
      <c r="AK19" s="37" t="s">
        <v>250</v>
      </c>
      <c r="AL19" s="51">
        <f t="shared" si="5"/>
        <v>0.123411082315192</v>
      </c>
      <c r="AM19" s="51">
        <f t="shared" si="6"/>
        <v>0.119173064378544</v>
      </c>
      <c r="AN19" s="51">
        <f t="shared" si="7"/>
        <v>0.121765601217656</v>
      </c>
      <c r="AO19" s="51">
        <f t="shared" si="8"/>
        <v>0.119479683048848</v>
      </c>
      <c r="AP19" s="51">
        <f t="shared" si="9"/>
        <v>0.118829521783587</v>
      </c>
      <c r="AQ19" s="51">
        <f t="shared" si="10"/>
        <v>0.120105955290012</v>
      </c>
    </row>
    <row r="20" ht="13" spans="1:43">
      <c r="A20" s="29" t="s">
        <v>137</v>
      </c>
      <c r="B20" s="29">
        <v>167</v>
      </c>
      <c r="C20" s="33">
        <v>236</v>
      </c>
      <c r="D20" s="33">
        <v>335</v>
      </c>
      <c r="E20" s="33">
        <v>420</v>
      </c>
      <c r="F20" s="33">
        <v>485.66</v>
      </c>
      <c r="G20" s="33">
        <v>713</v>
      </c>
      <c r="H20" s="33">
        <v>975.6</v>
      </c>
      <c r="I20" s="33">
        <v>177</v>
      </c>
      <c r="J20" s="33">
        <v>175</v>
      </c>
      <c r="K20" s="33">
        <v>201</v>
      </c>
      <c r="L20" s="33">
        <v>211.9</v>
      </c>
      <c r="M20" s="33">
        <v>239.6</v>
      </c>
      <c r="N20" s="33">
        <v>340.1</v>
      </c>
      <c r="P20" s="37" t="s">
        <v>251</v>
      </c>
      <c r="Q20" s="35">
        <v>11</v>
      </c>
      <c r="R20" s="35">
        <v>28</v>
      </c>
      <c r="S20" s="35">
        <v>49</v>
      </c>
      <c r="T20" s="35">
        <v>57</v>
      </c>
      <c r="U20" s="35">
        <v>65</v>
      </c>
      <c r="V20" s="35">
        <v>83</v>
      </c>
      <c r="W20" s="43">
        <v>129</v>
      </c>
      <c r="X20" s="44">
        <v>5</v>
      </c>
      <c r="Y20" s="46">
        <v>13</v>
      </c>
      <c r="Z20" s="44">
        <v>17</v>
      </c>
      <c r="AA20" s="44">
        <v>19</v>
      </c>
      <c r="AB20" s="37">
        <v>20</v>
      </c>
      <c r="AC20" s="37">
        <v>26</v>
      </c>
      <c r="AD20" s="29">
        <f t="shared" si="0"/>
        <v>23</v>
      </c>
      <c r="AE20" s="29">
        <f t="shared" si="1"/>
        <v>36</v>
      </c>
      <c r="AF20" s="29">
        <f t="shared" si="2"/>
        <v>40</v>
      </c>
      <c r="AG20" s="29">
        <f t="shared" si="3"/>
        <v>46</v>
      </c>
      <c r="AH20" s="29">
        <f t="shared" si="4"/>
        <v>63</v>
      </c>
      <c r="AI20" s="29">
        <f t="shared" si="11"/>
        <v>103</v>
      </c>
      <c r="AK20" s="37" t="s">
        <v>251</v>
      </c>
      <c r="AL20" s="51">
        <f t="shared" si="5"/>
        <v>0.130301279218646</v>
      </c>
      <c r="AM20" s="51">
        <f t="shared" si="6"/>
        <v>0.143943574118945</v>
      </c>
      <c r="AN20" s="51">
        <f t="shared" si="7"/>
        <v>0.120959206507605</v>
      </c>
      <c r="AO20" s="51">
        <f t="shared" si="8"/>
        <v>0.115962757602443</v>
      </c>
      <c r="AP20" s="51">
        <f t="shared" si="9"/>
        <v>0.119997010360199</v>
      </c>
      <c r="AQ20" s="51">
        <f t="shared" si="10"/>
        <v>0.139263186871727</v>
      </c>
    </row>
    <row r="21" ht="13" spans="1:43">
      <c r="A21" s="29" t="s">
        <v>142</v>
      </c>
      <c r="B21" s="29">
        <v>0</v>
      </c>
      <c r="C21" s="33">
        <v>86</v>
      </c>
      <c r="D21" s="33">
        <v>126</v>
      </c>
      <c r="E21" s="33">
        <v>155</v>
      </c>
      <c r="F21" s="33">
        <v>190.62</v>
      </c>
      <c r="G21" s="33">
        <v>220.15</v>
      </c>
      <c r="H21" s="33">
        <v>286.1</v>
      </c>
      <c r="I21" s="33">
        <v>90</v>
      </c>
      <c r="J21" s="33">
        <v>166</v>
      </c>
      <c r="K21" s="33">
        <v>189</v>
      </c>
      <c r="L21" s="33">
        <v>200.1</v>
      </c>
      <c r="M21" s="33">
        <v>231</v>
      </c>
      <c r="N21" s="33">
        <v>349.8</v>
      </c>
      <c r="P21" s="37" t="s">
        <v>252</v>
      </c>
      <c r="Q21" s="35">
        <v>2</v>
      </c>
      <c r="R21" s="35">
        <v>6</v>
      </c>
      <c r="S21" s="45">
        <v>20</v>
      </c>
      <c r="T21" s="45">
        <v>26</v>
      </c>
      <c r="U21" s="45">
        <v>30</v>
      </c>
      <c r="V21" s="35">
        <v>38</v>
      </c>
      <c r="W21" s="43">
        <v>53</v>
      </c>
      <c r="X21" s="44">
        <v>4</v>
      </c>
      <c r="Y21" s="46">
        <v>10</v>
      </c>
      <c r="Z21" s="44">
        <v>13</v>
      </c>
      <c r="AA21" s="44">
        <v>14</v>
      </c>
      <c r="AB21" s="37">
        <v>17</v>
      </c>
      <c r="AC21" s="37">
        <v>25</v>
      </c>
      <c r="AD21" s="29">
        <f t="shared" si="0"/>
        <v>2</v>
      </c>
      <c r="AE21" s="29">
        <f t="shared" si="1"/>
        <v>10</v>
      </c>
      <c r="AF21" s="29">
        <f t="shared" si="2"/>
        <v>13</v>
      </c>
      <c r="AG21" s="29">
        <f t="shared" si="3"/>
        <v>16</v>
      </c>
      <c r="AH21" s="29">
        <f t="shared" si="4"/>
        <v>21</v>
      </c>
      <c r="AI21" s="29">
        <f t="shared" si="11"/>
        <v>28</v>
      </c>
      <c r="AK21" s="37" t="s">
        <v>252</v>
      </c>
      <c r="AL21" s="51">
        <f t="shared" si="5"/>
        <v>0.0530954656472337</v>
      </c>
      <c r="AM21" s="51">
        <f t="shared" si="6"/>
        <v>0.107693633152408</v>
      </c>
      <c r="AN21" s="51">
        <f t="shared" si="7"/>
        <v>0.105624075789337</v>
      </c>
      <c r="AO21" s="51">
        <f t="shared" si="8"/>
        <v>0.105693190108491</v>
      </c>
      <c r="AP21" s="51">
        <f t="shared" si="9"/>
        <v>0.116720319106683</v>
      </c>
      <c r="AQ21" s="51">
        <f t="shared" si="10"/>
        <v>0.126275438299791</v>
      </c>
    </row>
    <row r="22" ht="13" spans="1:43">
      <c r="A22" s="29" t="s">
        <v>147</v>
      </c>
      <c r="B22" s="29">
        <v>68</v>
      </c>
      <c r="C22" s="33">
        <v>210</v>
      </c>
      <c r="D22" s="33">
        <v>318</v>
      </c>
      <c r="E22" s="33">
        <v>302</v>
      </c>
      <c r="F22" s="33">
        <v>408.82</v>
      </c>
      <c r="G22" s="33">
        <v>508.2</v>
      </c>
      <c r="H22" s="33">
        <v>753.4</v>
      </c>
      <c r="I22" s="33">
        <v>122</v>
      </c>
      <c r="J22" s="33">
        <v>209</v>
      </c>
      <c r="K22" s="33">
        <v>308</v>
      </c>
      <c r="L22" s="33">
        <v>384.9</v>
      </c>
      <c r="M22" s="33">
        <v>511.9</v>
      </c>
      <c r="N22" s="33">
        <v>836.8</v>
      </c>
      <c r="P22" s="37" t="s">
        <v>253</v>
      </c>
      <c r="Q22" s="35">
        <v>8</v>
      </c>
      <c r="R22" s="35">
        <v>20</v>
      </c>
      <c r="S22" s="35">
        <v>38</v>
      </c>
      <c r="T22" s="35">
        <v>53</v>
      </c>
      <c r="U22" s="35">
        <v>74</v>
      </c>
      <c r="V22" s="35">
        <v>103</v>
      </c>
      <c r="W22" s="43">
        <v>135</v>
      </c>
      <c r="X22" s="44">
        <v>8</v>
      </c>
      <c r="Y22" s="46">
        <v>15</v>
      </c>
      <c r="Z22" s="44">
        <v>22</v>
      </c>
      <c r="AA22" s="44">
        <v>32</v>
      </c>
      <c r="AB22" s="37">
        <v>50</v>
      </c>
      <c r="AC22" s="37">
        <v>67</v>
      </c>
      <c r="AD22" s="29">
        <f t="shared" si="0"/>
        <v>12</v>
      </c>
      <c r="AE22" s="29">
        <f t="shared" si="1"/>
        <v>23</v>
      </c>
      <c r="AF22" s="29">
        <f t="shared" si="2"/>
        <v>31</v>
      </c>
      <c r="AG22" s="29">
        <f t="shared" si="3"/>
        <v>42</v>
      </c>
      <c r="AH22" s="29">
        <f t="shared" si="4"/>
        <v>53</v>
      </c>
      <c r="AI22" s="29">
        <f t="shared" si="11"/>
        <v>68</v>
      </c>
      <c r="AK22" s="37" t="s">
        <v>253</v>
      </c>
      <c r="AL22" s="51">
        <f t="shared" si="5"/>
        <v>0.0985512959495417</v>
      </c>
      <c r="AM22" s="51">
        <f t="shared" si="6"/>
        <v>0.0994534384945344</v>
      </c>
      <c r="AN22" s="51">
        <f t="shared" si="7"/>
        <v>0.114155251141553</v>
      </c>
      <c r="AO22" s="51">
        <f t="shared" si="8"/>
        <v>0.134901115555139</v>
      </c>
      <c r="AP22" s="51">
        <f t="shared" si="9"/>
        <v>0.131954119005088</v>
      </c>
      <c r="AQ22" s="51">
        <f t="shared" si="10"/>
        <v>0.123058926404971</v>
      </c>
    </row>
    <row r="23" ht="13" spans="1:43">
      <c r="A23" s="29" t="s">
        <v>152</v>
      </c>
      <c r="B23" s="29">
        <v>9</v>
      </c>
      <c r="C23" s="33">
        <v>51</v>
      </c>
      <c r="D23" s="33">
        <v>95</v>
      </c>
      <c r="E23" s="33">
        <v>105</v>
      </c>
      <c r="F23" s="33">
        <v>162.46</v>
      </c>
      <c r="G23" s="33">
        <v>259.16</v>
      </c>
      <c r="H23" s="33">
        <v>437.3</v>
      </c>
      <c r="I23" s="33">
        <v>27</v>
      </c>
      <c r="J23" s="33">
        <v>29</v>
      </c>
      <c r="K23" s="33">
        <v>30</v>
      </c>
      <c r="L23" s="33">
        <v>42.7</v>
      </c>
      <c r="M23" s="33">
        <v>52.6</v>
      </c>
      <c r="N23" s="33">
        <v>83</v>
      </c>
      <c r="P23" s="37" t="s">
        <v>254</v>
      </c>
      <c r="Q23" s="35">
        <v>1</v>
      </c>
      <c r="R23" s="35">
        <v>4</v>
      </c>
      <c r="S23" s="35">
        <v>9</v>
      </c>
      <c r="T23" s="35">
        <v>14</v>
      </c>
      <c r="U23" s="35">
        <v>19</v>
      </c>
      <c r="V23" s="35">
        <v>29</v>
      </c>
      <c r="W23" s="43">
        <v>43</v>
      </c>
      <c r="X23" s="44">
        <v>1</v>
      </c>
      <c r="Y23" s="46">
        <v>1</v>
      </c>
      <c r="Z23" s="44">
        <v>2</v>
      </c>
      <c r="AA23" s="44">
        <v>3</v>
      </c>
      <c r="AB23" s="37">
        <v>4</v>
      </c>
      <c r="AC23" s="37">
        <v>6</v>
      </c>
      <c r="AD23" s="29">
        <f t="shared" si="0"/>
        <v>3</v>
      </c>
      <c r="AE23" s="29">
        <f t="shared" si="1"/>
        <v>8</v>
      </c>
      <c r="AF23" s="29">
        <f t="shared" si="2"/>
        <v>12</v>
      </c>
      <c r="AG23" s="29">
        <f t="shared" si="3"/>
        <v>16</v>
      </c>
      <c r="AH23" s="29">
        <f t="shared" si="4"/>
        <v>25</v>
      </c>
      <c r="AI23" s="29">
        <f t="shared" si="11"/>
        <v>37</v>
      </c>
      <c r="AK23" s="37" t="s">
        <v>254</v>
      </c>
      <c r="AL23" s="51">
        <f t="shared" si="5"/>
        <v>0.114155251141553</v>
      </c>
      <c r="AM23" s="51">
        <f t="shared" si="6"/>
        <v>0.125101645086633</v>
      </c>
      <c r="AN23" s="51">
        <f t="shared" si="7"/>
        <v>0.136986301369863</v>
      </c>
      <c r="AO23" s="51">
        <f t="shared" si="8"/>
        <v>0.136579975941437</v>
      </c>
      <c r="AP23" s="51">
        <f t="shared" si="9"/>
        <v>0.135376940303535</v>
      </c>
      <c r="AQ23" s="51">
        <f t="shared" si="10"/>
        <v>0.121291798301049</v>
      </c>
    </row>
    <row r="24" ht="13" spans="1:43">
      <c r="A24" s="29" t="s">
        <v>157</v>
      </c>
      <c r="B24" s="29">
        <v>24</v>
      </c>
      <c r="C24" s="33">
        <v>32</v>
      </c>
      <c r="D24" s="33">
        <v>123</v>
      </c>
      <c r="E24" s="33">
        <v>127</v>
      </c>
      <c r="F24" s="33">
        <v>108.01</v>
      </c>
      <c r="G24" s="33">
        <v>127.1</v>
      </c>
      <c r="H24" s="33">
        <v>199.7</v>
      </c>
      <c r="I24" s="33">
        <v>11</v>
      </c>
      <c r="J24" s="33">
        <v>13</v>
      </c>
      <c r="K24" s="33">
        <v>13</v>
      </c>
      <c r="L24" s="33">
        <v>12.6</v>
      </c>
      <c r="M24" s="33">
        <v>19.4</v>
      </c>
      <c r="N24" s="33">
        <v>46.1</v>
      </c>
      <c r="P24" s="37" t="s">
        <v>255</v>
      </c>
      <c r="Q24" s="35">
        <v>3</v>
      </c>
      <c r="R24" s="35">
        <v>3</v>
      </c>
      <c r="S24" s="35">
        <v>6</v>
      </c>
      <c r="T24" s="35">
        <v>14</v>
      </c>
      <c r="U24" s="35">
        <v>15</v>
      </c>
      <c r="V24" s="35">
        <v>16</v>
      </c>
      <c r="W24" s="43">
        <v>22</v>
      </c>
      <c r="X24" s="44">
        <v>0.2</v>
      </c>
      <c r="Y24" s="46">
        <v>1</v>
      </c>
      <c r="Z24" s="44">
        <v>1</v>
      </c>
      <c r="AA24" s="44">
        <v>1</v>
      </c>
      <c r="AB24" s="37">
        <v>1</v>
      </c>
      <c r="AC24" s="37">
        <v>2</v>
      </c>
      <c r="AD24" s="29">
        <f t="shared" si="0"/>
        <v>2.8</v>
      </c>
      <c r="AE24" s="29">
        <f t="shared" si="1"/>
        <v>5</v>
      </c>
      <c r="AF24" s="29">
        <f t="shared" si="2"/>
        <v>13</v>
      </c>
      <c r="AG24" s="29">
        <f t="shared" si="3"/>
        <v>14</v>
      </c>
      <c r="AH24" s="29">
        <f t="shared" si="4"/>
        <v>15</v>
      </c>
      <c r="AI24" s="29">
        <f t="shared" si="11"/>
        <v>20</v>
      </c>
      <c r="AK24" s="37" t="s">
        <v>255</v>
      </c>
      <c r="AL24" s="51">
        <f t="shared" si="5"/>
        <v>0.114155251141553</v>
      </c>
      <c r="AM24" s="51">
        <f t="shared" si="6"/>
        <v>0.0736485491235823</v>
      </c>
      <c r="AN24" s="51">
        <f t="shared" si="7"/>
        <v>0.118721461187215</v>
      </c>
      <c r="AO24" s="51">
        <f t="shared" si="8"/>
        <v>0.136008979701437</v>
      </c>
      <c r="AP24" s="51">
        <f t="shared" si="9"/>
        <v>0.14566192566231</v>
      </c>
      <c r="AQ24" s="51">
        <f t="shared" si="10"/>
        <v>0.139724909597984</v>
      </c>
    </row>
    <row r="25" ht="13" spans="1:43">
      <c r="A25" s="29" t="s">
        <v>162</v>
      </c>
      <c r="B25" s="29">
        <v>0</v>
      </c>
      <c r="C25" s="33">
        <v>0</v>
      </c>
      <c r="D25" s="33">
        <v>0</v>
      </c>
      <c r="E25" s="33">
        <v>58</v>
      </c>
      <c r="F25" s="33">
        <v>49.17</v>
      </c>
      <c r="G25" s="33">
        <v>54.17</v>
      </c>
      <c r="H25" s="33">
        <v>54.2</v>
      </c>
      <c r="I25" s="33">
        <v>12</v>
      </c>
      <c r="J25" s="33">
        <v>43</v>
      </c>
      <c r="K25" s="33">
        <v>7</v>
      </c>
      <c r="L25" s="33">
        <v>7.4</v>
      </c>
      <c r="M25" s="33">
        <v>9.2</v>
      </c>
      <c r="N25" s="33">
        <v>15.1</v>
      </c>
      <c r="P25" s="37" t="s">
        <v>256</v>
      </c>
      <c r="Q25" s="35">
        <v>0.02</v>
      </c>
      <c r="R25" s="35">
        <v>0.2</v>
      </c>
      <c r="S25" s="45">
        <v>2</v>
      </c>
      <c r="T25" s="45">
        <v>3</v>
      </c>
      <c r="U25" s="35">
        <v>4</v>
      </c>
      <c r="V25" s="35">
        <v>5</v>
      </c>
      <c r="W25" s="43">
        <v>6</v>
      </c>
      <c r="X25" s="44">
        <v>0.2</v>
      </c>
      <c r="Y25" s="46">
        <v>2</v>
      </c>
      <c r="Z25" s="44">
        <v>0.4</v>
      </c>
      <c r="AA25" s="44">
        <v>0.4</v>
      </c>
      <c r="AB25" s="37">
        <v>1</v>
      </c>
      <c r="AC25" s="37">
        <v>1</v>
      </c>
      <c r="AD25" s="29">
        <f t="shared" si="0"/>
        <v>0</v>
      </c>
      <c r="AE25" s="29">
        <f t="shared" si="1"/>
        <v>0</v>
      </c>
      <c r="AF25" s="29">
        <f t="shared" si="2"/>
        <v>2.6</v>
      </c>
      <c r="AG25" s="29">
        <f t="shared" si="3"/>
        <v>3.6</v>
      </c>
      <c r="AH25" s="29">
        <f t="shared" si="4"/>
        <v>4</v>
      </c>
      <c r="AI25" s="29">
        <f t="shared" si="11"/>
        <v>5</v>
      </c>
      <c r="AK25" s="37" t="s">
        <v>256</v>
      </c>
      <c r="AL25" s="51"/>
      <c r="AM25" s="51"/>
      <c r="AN25" s="51">
        <f t="shared" ref="AN25:AN34" si="12">AF25/(AVERAGE(D25:E25))*10000/8760</f>
        <v>0.102346087230357</v>
      </c>
      <c r="AO25" s="51">
        <f t="shared" ref="AO25:AO34" si="13">AG25/(AVERAGE(E25:F25))*10000/8760</f>
        <v>0.0766928998991488</v>
      </c>
      <c r="AP25" s="51">
        <f t="shared" ref="AP25:AP34" si="14">AH25/(AVERAGE(F25:G25))*10000/8760</f>
        <v>0.0883725574929766</v>
      </c>
      <c r="AQ25" s="51">
        <f t="shared" si="10"/>
        <v>0.105338424971443</v>
      </c>
    </row>
    <row r="26" ht="13" spans="1:43">
      <c r="A26" s="29" t="s">
        <v>167</v>
      </c>
      <c r="B26" s="29">
        <v>90</v>
      </c>
      <c r="C26" s="33">
        <v>116</v>
      </c>
      <c r="D26" s="33">
        <v>168</v>
      </c>
      <c r="E26" s="33">
        <v>169</v>
      </c>
      <c r="F26" s="33">
        <v>169.01</v>
      </c>
      <c r="G26" s="33">
        <v>169.01</v>
      </c>
      <c r="H26" s="33">
        <v>173</v>
      </c>
      <c r="I26" s="33">
        <v>19</v>
      </c>
      <c r="J26" s="33">
        <v>13</v>
      </c>
      <c r="K26" s="33">
        <v>19</v>
      </c>
      <c r="L26" s="33">
        <v>22.1</v>
      </c>
      <c r="M26" s="33">
        <v>26.9</v>
      </c>
      <c r="N26" s="33">
        <v>33.2</v>
      </c>
      <c r="P26" s="37" t="s">
        <v>258</v>
      </c>
      <c r="Q26" s="35">
        <v>11</v>
      </c>
      <c r="R26" s="35">
        <v>16</v>
      </c>
      <c r="S26" s="45">
        <v>22</v>
      </c>
      <c r="T26" s="45">
        <v>28</v>
      </c>
      <c r="U26" s="45">
        <v>27</v>
      </c>
      <c r="V26" s="35">
        <v>30</v>
      </c>
      <c r="W26" s="43">
        <v>30</v>
      </c>
      <c r="X26" s="44">
        <v>1</v>
      </c>
      <c r="Y26" s="46">
        <v>1</v>
      </c>
      <c r="Z26" s="44">
        <v>2</v>
      </c>
      <c r="AA26" s="44">
        <v>2</v>
      </c>
      <c r="AB26" s="37">
        <v>2</v>
      </c>
      <c r="AC26" s="37">
        <v>3</v>
      </c>
      <c r="AD26" s="29">
        <f t="shared" si="0"/>
        <v>15</v>
      </c>
      <c r="AE26" s="29">
        <f t="shared" si="1"/>
        <v>21</v>
      </c>
      <c r="AF26" s="29">
        <f t="shared" si="2"/>
        <v>26</v>
      </c>
      <c r="AG26" s="29">
        <f t="shared" si="3"/>
        <v>25</v>
      </c>
      <c r="AH26" s="29">
        <f t="shared" si="4"/>
        <v>28</v>
      </c>
      <c r="AI26" s="29">
        <f t="shared" si="11"/>
        <v>27</v>
      </c>
      <c r="AK26" s="37" t="s">
        <v>258</v>
      </c>
      <c r="AL26" s="51">
        <f t="shared" ref="AL26:AL34" si="15">AD26/(AVERAGE(B26:C26))*10000/8760</f>
        <v>0.166245511371193</v>
      </c>
      <c r="AM26" s="51">
        <f t="shared" ref="AM26:AM34" si="16">AE26/(AVERAGE(C26:D26))*10000/8760</f>
        <v>0.168821146054409</v>
      </c>
      <c r="AN26" s="51">
        <f t="shared" si="12"/>
        <v>0.176144601167974</v>
      </c>
      <c r="AO26" s="51">
        <f t="shared" si="13"/>
        <v>0.168863718738429</v>
      </c>
      <c r="AP26" s="51">
        <f t="shared" si="14"/>
        <v>0.189121769833943</v>
      </c>
      <c r="AQ26" s="51">
        <f t="shared" si="10"/>
        <v>0.18023986320996</v>
      </c>
    </row>
    <row r="27" ht="13" spans="1:43">
      <c r="A27" s="29" t="s">
        <v>172</v>
      </c>
      <c r="B27" s="29">
        <v>46</v>
      </c>
      <c r="C27" s="33">
        <v>135</v>
      </c>
      <c r="D27" s="33">
        <v>161</v>
      </c>
      <c r="E27" s="33">
        <v>491</v>
      </c>
      <c r="F27" s="33">
        <v>970.67</v>
      </c>
      <c r="G27" s="33">
        <v>1117.6</v>
      </c>
      <c r="H27" s="33">
        <v>1396.6</v>
      </c>
      <c r="I27" s="33"/>
      <c r="J27" s="33">
        <v>17</v>
      </c>
      <c r="K27" s="33">
        <v>19</v>
      </c>
      <c r="L27" s="33">
        <v>19</v>
      </c>
      <c r="M27" s="33">
        <v>19.4</v>
      </c>
      <c r="N27" s="33">
        <v>23.7</v>
      </c>
      <c r="P27" s="37" t="s">
        <v>259</v>
      </c>
      <c r="Q27" s="35">
        <v>1</v>
      </c>
      <c r="R27" s="35">
        <v>6</v>
      </c>
      <c r="S27" s="45">
        <v>16</v>
      </c>
      <c r="T27" s="45">
        <v>20</v>
      </c>
      <c r="U27" s="45">
        <v>45</v>
      </c>
      <c r="V27" s="35">
        <v>83</v>
      </c>
      <c r="W27" s="43">
        <v>110</v>
      </c>
      <c r="X27" s="46"/>
      <c r="Y27" s="46">
        <v>1</v>
      </c>
      <c r="Z27" s="44">
        <v>1</v>
      </c>
      <c r="AA27" s="44">
        <v>1</v>
      </c>
      <c r="AB27" s="37">
        <v>1</v>
      </c>
      <c r="AC27" s="37">
        <v>1</v>
      </c>
      <c r="AD27" s="29">
        <f t="shared" si="0"/>
        <v>6</v>
      </c>
      <c r="AE27" s="29">
        <f t="shared" si="1"/>
        <v>15</v>
      </c>
      <c r="AF27" s="29">
        <f t="shared" si="2"/>
        <v>19</v>
      </c>
      <c r="AG27" s="29">
        <f t="shared" si="3"/>
        <v>44</v>
      </c>
      <c r="AH27" s="29">
        <f t="shared" si="4"/>
        <v>82</v>
      </c>
      <c r="AI27" s="29">
        <f t="shared" si="11"/>
        <v>109</v>
      </c>
      <c r="AK27" s="37" t="s">
        <v>259</v>
      </c>
      <c r="AL27" s="51">
        <f t="shared" si="15"/>
        <v>0.0756830394308635</v>
      </c>
      <c r="AM27" s="51">
        <f t="shared" si="16"/>
        <v>0.115697889670492</v>
      </c>
      <c r="AN27" s="51">
        <f t="shared" si="12"/>
        <v>0.0665322015855674</v>
      </c>
      <c r="AO27" s="51">
        <f t="shared" si="13"/>
        <v>0.0687272920731535</v>
      </c>
      <c r="AP27" s="51">
        <f t="shared" si="14"/>
        <v>0.0896505776897366</v>
      </c>
      <c r="AQ27" s="51">
        <f t="shared" si="10"/>
        <v>0.0989811659727088</v>
      </c>
    </row>
    <row r="28" ht="13" spans="1:43">
      <c r="A28" s="29" t="s">
        <v>177</v>
      </c>
      <c r="B28" s="29">
        <v>208</v>
      </c>
      <c r="C28" s="33">
        <v>237.5</v>
      </c>
      <c r="D28" s="33">
        <v>312</v>
      </c>
      <c r="E28" s="33">
        <v>350</v>
      </c>
      <c r="F28" s="33">
        <v>295.43</v>
      </c>
      <c r="G28" s="33">
        <v>349.91</v>
      </c>
      <c r="H28" s="33">
        <v>525.2</v>
      </c>
      <c r="I28" s="33">
        <v>0.5</v>
      </c>
      <c r="J28" s="33">
        <v>14</v>
      </c>
      <c r="K28" s="33">
        <v>25</v>
      </c>
      <c r="L28" s="33">
        <v>38.4</v>
      </c>
      <c r="M28" s="33">
        <v>47.2</v>
      </c>
      <c r="N28" s="33">
        <v>60.1</v>
      </c>
      <c r="P28" s="37" t="s">
        <v>260</v>
      </c>
      <c r="Q28" s="35">
        <v>23</v>
      </c>
      <c r="R28" s="35">
        <v>28</v>
      </c>
      <c r="S28" s="35">
        <v>34</v>
      </c>
      <c r="T28" s="35">
        <v>48</v>
      </c>
      <c r="U28" s="35">
        <v>50</v>
      </c>
      <c r="V28" s="35">
        <v>51</v>
      </c>
      <c r="W28" s="43">
        <v>55</v>
      </c>
      <c r="X28" s="44">
        <v>0.3</v>
      </c>
      <c r="Y28" s="46">
        <v>1</v>
      </c>
      <c r="Z28" s="44">
        <v>2</v>
      </c>
      <c r="AA28" s="44">
        <v>3</v>
      </c>
      <c r="AB28" s="37">
        <v>4</v>
      </c>
      <c r="AC28" s="37">
        <v>4</v>
      </c>
      <c r="AD28" s="29">
        <f t="shared" si="0"/>
        <v>27.7</v>
      </c>
      <c r="AE28" s="29">
        <f t="shared" si="1"/>
        <v>33</v>
      </c>
      <c r="AF28" s="29">
        <f t="shared" si="2"/>
        <v>46</v>
      </c>
      <c r="AG28" s="29">
        <f t="shared" si="3"/>
        <v>47</v>
      </c>
      <c r="AH28" s="29">
        <f t="shared" si="4"/>
        <v>47</v>
      </c>
      <c r="AI28" s="29">
        <f t="shared" si="11"/>
        <v>51</v>
      </c>
      <c r="AK28" s="37" t="s">
        <v>260</v>
      </c>
      <c r="AL28" s="51">
        <f t="shared" si="15"/>
        <v>0.141957371789944</v>
      </c>
      <c r="AM28" s="51">
        <f t="shared" si="16"/>
        <v>0.137110947685941</v>
      </c>
      <c r="AN28" s="51">
        <f t="shared" si="12"/>
        <v>0.158644759894605</v>
      </c>
      <c r="AO28" s="51">
        <f t="shared" si="13"/>
        <v>0.166254955724183</v>
      </c>
      <c r="AP28" s="51">
        <f t="shared" si="14"/>
        <v>0.166278141867945</v>
      </c>
      <c r="AQ28" s="51">
        <f t="shared" si="10"/>
        <v>0.133055680045233</v>
      </c>
    </row>
    <row r="29" ht="13" spans="1:43">
      <c r="A29" s="29" t="s">
        <v>182</v>
      </c>
      <c r="B29" s="29">
        <v>33</v>
      </c>
      <c r="C29" s="33">
        <v>79</v>
      </c>
      <c r="D29" s="33">
        <v>98</v>
      </c>
      <c r="E29" s="33">
        <v>110</v>
      </c>
      <c r="F29" s="33">
        <v>136.26</v>
      </c>
      <c r="G29" s="33">
        <v>136.51</v>
      </c>
      <c r="H29" s="33">
        <v>175.9</v>
      </c>
      <c r="I29" s="33"/>
      <c r="J29" s="33"/>
      <c r="K29" s="33">
        <v>0</v>
      </c>
      <c r="L29" s="33">
        <v>0</v>
      </c>
      <c r="M29" s="33">
        <v>2.2</v>
      </c>
      <c r="N29" s="33">
        <v>2.2</v>
      </c>
      <c r="P29" s="37" t="s">
        <v>261</v>
      </c>
      <c r="Q29" s="35">
        <v>4</v>
      </c>
      <c r="R29" s="35">
        <v>6</v>
      </c>
      <c r="S29" s="45">
        <v>8</v>
      </c>
      <c r="T29" s="45">
        <v>13</v>
      </c>
      <c r="U29" s="35">
        <v>14</v>
      </c>
      <c r="V29" s="35">
        <v>17</v>
      </c>
      <c r="W29" s="43">
        <v>19</v>
      </c>
      <c r="X29" s="47"/>
      <c r="Y29" s="47"/>
      <c r="Z29" s="47"/>
      <c r="AA29" s="47"/>
      <c r="AB29" s="37"/>
      <c r="AC29" s="37">
        <v>0.2</v>
      </c>
      <c r="AD29" s="29">
        <f t="shared" si="0"/>
        <v>6</v>
      </c>
      <c r="AE29" s="29">
        <f t="shared" si="1"/>
        <v>8</v>
      </c>
      <c r="AF29" s="29">
        <f t="shared" si="2"/>
        <v>13</v>
      </c>
      <c r="AG29" s="29">
        <f t="shared" si="3"/>
        <v>14</v>
      </c>
      <c r="AH29" s="29">
        <f t="shared" si="4"/>
        <v>17</v>
      </c>
      <c r="AI29" s="29">
        <f t="shared" si="11"/>
        <v>18.8</v>
      </c>
      <c r="AK29" s="37" t="s">
        <v>261</v>
      </c>
      <c r="AL29" s="51">
        <f t="shared" si="15"/>
        <v>0.122309197651663</v>
      </c>
      <c r="AM29" s="51">
        <f t="shared" si="16"/>
        <v>0.10319118747259</v>
      </c>
      <c r="AN29" s="51">
        <f t="shared" si="12"/>
        <v>0.142694063926941</v>
      </c>
      <c r="AO29" s="51">
        <f t="shared" si="13"/>
        <v>0.129795623810748</v>
      </c>
      <c r="AP29" s="51">
        <f t="shared" si="14"/>
        <v>0.142291254126656</v>
      </c>
      <c r="AQ29" s="51">
        <f t="shared" si="10"/>
        <v>0.137391166829563</v>
      </c>
    </row>
    <row r="30" ht="13" spans="1:43">
      <c r="A30" s="29" t="s">
        <v>187</v>
      </c>
      <c r="B30" s="29">
        <v>322</v>
      </c>
      <c r="C30" s="33">
        <v>484</v>
      </c>
      <c r="D30" s="33">
        <v>640</v>
      </c>
      <c r="E30" s="33">
        <v>778</v>
      </c>
      <c r="F30" s="33">
        <v>893.42</v>
      </c>
      <c r="G30" s="33">
        <v>1102.82</v>
      </c>
      <c r="H30" s="33">
        <v>1193.7</v>
      </c>
      <c r="I30" s="33">
        <v>51</v>
      </c>
      <c r="J30" s="33">
        <v>76</v>
      </c>
      <c r="K30" s="33">
        <v>162</v>
      </c>
      <c r="L30" s="33">
        <v>190.7</v>
      </c>
      <c r="M30" s="33">
        <v>210.9</v>
      </c>
      <c r="N30" s="33">
        <v>322.5</v>
      </c>
      <c r="P30" s="37" t="s">
        <v>262</v>
      </c>
      <c r="Q30" s="35">
        <v>20</v>
      </c>
      <c r="R30" s="35">
        <v>52</v>
      </c>
      <c r="S30" s="35">
        <v>71</v>
      </c>
      <c r="T30" s="35">
        <v>94</v>
      </c>
      <c r="U30" s="35">
        <v>119</v>
      </c>
      <c r="V30" s="35">
        <v>141</v>
      </c>
      <c r="W30" s="43">
        <v>169</v>
      </c>
      <c r="X30" s="44">
        <v>2</v>
      </c>
      <c r="Y30" s="46">
        <v>6</v>
      </c>
      <c r="Z30" s="44">
        <v>14</v>
      </c>
      <c r="AA30" s="44">
        <v>16</v>
      </c>
      <c r="AB30" s="37">
        <v>20</v>
      </c>
      <c r="AC30" s="37">
        <v>25</v>
      </c>
      <c r="AD30" s="29">
        <f t="shared" si="0"/>
        <v>50</v>
      </c>
      <c r="AE30" s="29">
        <f t="shared" si="1"/>
        <v>65</v>
      </c>
      <c r="AF30" s="29">
        <f t="shared" si="2"/>
        <v>80</v>
      </c>
      <c r="AG30" s="29">
        <f t="shared" si="3"/>
        <v>103</v>
      </c>
      <c r="AH30" s="29">
        <f t="shared" si="4"/>
        <v>121</v>
      </c>
      <c r="AI30" s="29">
        <f t="shared" si="11"/>
        <v>144</v>
      </c>
      <c r="AK30" s="37" t="s">
        <v>262</v>
      </c>
      <c r="AL30" s="51">
        <f t="shared" si="15"/>
        <v>0.141631825237658</v>
      </c>
      <c r="AM30" s="51">
        <f t="shared" si="16"/>
        <v>0.132030094736671</v>
      </c>
      <c r="AN30" s="51">
        <f t="shared" si="12"/>
        <v>0.128807053474248</v>
      </c>
      <c r="AO30" s="51">
        <f t="shared" si="13"/>
        <v>0.140694629328115</v>
      </c>
      <c r="AP30" s="51">
        <f t="shared" si="14"/>
        <v>0.138388023365205</v>
      </c>
      <c r="AQ30" s="51">
        <f t="shared" si="10"/>
        <v>0.143158833055088</v>
      </c>
    </row>
    <row r="31" ht="13" spans="1:43">
      <c r="A31" s="29" t="s">
        <v>192</v>
      </c>
      <c r="B31" s="29">
        <v>680</v>
      </c>
      <c r="C31" s="33">
        <v>768</v>
      </c>
      <c r="D31" s="33">
        <v>790</v>
      </c>
      <c r="E31" s="33">
        <v>836</v>
      </c>
      <c r="F31" s="33">
        <v>891.32</v>
      </c>
      <c r="G31" s="33">
        <v>1047.65</v>
      </c>
      <c r="H31" s="33">
        <v>1310.9</v>
      </c>
      <c r="I31" s="33">
        <v>18</v>
      </c>
      <c r="J31" s="33">
        <v>49</v>
      </c>
      <c r="K31" s="33">
        <v>71</v>
      </c>
      <c r="L31" s="33">
        <v>74</v>
      </c>
      <c r="M31" s="33">
        <v>77.1</v>
      </c>
      <c r="N31" s="33">
        <v>85.5</v>
      </c>
      <c r="P31" s="37" t="s">
        <v>263</v>
      </c>
      <c r="Q31" s="35">
        <v>60</v>
      </c>
      <c r="R31" s="35">
        <v>73</v>
      </c>
      <c r="S31" s="35">
        <v>95</v>
      </c>
      <c r="T31" s="35">
        <v>118</v>
      </c>
      <c r="U31" s="45">
        <v>133</v>
      </c>
      <c r="V31" s="35">
        <v>150</v>
      </c>
      <c r="W31" s="43">
        <v>180</v>
      </c>
      <c r="X31" s="44">
        <v>1</v>
      </c>
      <c r="Y31" s="46">
        <v>2</v>
      </c>
      <c r="Z31" s="44">
        <v>6</v>
      </c>
      <c r="AA31" s="44">
        <v>9</v>
      </c>
      <c r="AB31" s="37">
        <v>9</v>
      </c>
      <c r="AC31" s="37">
        <v>10</v>
      </c>
      <c r="AD31" s="29">
        <f t="shared" si="0"/>
        <v>72</v>
      </c>
      <c r="AE31" s="29">
        <f t="shared" si="1"/>
        <v>93</v>
      </c>
      <c r="AF31" s="29">
        <f t="shared" si="2"/>
        <v>112</v>
      </c>
      <c r="AG31" s="29">
        <f t="shared" si="3"/>
        <v>124</v>
      </c>
      <c r="AH31" s="29">
        <f t="shared" si="4"/>
        <v>141</v>
      </c>
      <c r="AI31" s="29">
        <f t="shared" si="11"/>
        <v>170</v>
      </c>
      <c r="AK31" s="37" t="s">
        <v>263</v>
      </c>
      <c r="AL31" s="51">
        <f t="shared" si="15"/>
        <v>0.113524559146295</v>
      </c>
      <c r="AM31" s="51">
        <f t="shared" si="16"/>
        <v>0.136282905727399</v>
      </c>
      <c r="AN31" s="51">
        <f t="shared" si="12"/>
        <v>0.157261846591069</v>
      </c>
      <c r="AO31" s="51">
        <f t="shared" si="13"/>
        <v>0.163898422313787</v>
      </c>
      <c r="AP31" s="51">
        <f t="shared" si="14"/>
        <v>0.166025161925753</v>
      </c>
      <c r="AQ31" s="51">
        <f t="shared" si="10"/>
        <v>0.164562063081672</v>
      </c>
    </row>
    <row r="32" ht="13" spans="1:43">
      <c r="A32" s="29" t="s">
        <v>197</v>
      </c>
      <c r="B32" s="29">
        <v>682</v>
      </c>
      <c r="C32" s="33">
        <v>786</v>
      </c>
      <c r="D32" s="33">
        <v>952</v>
      </c>
      <c r="E32" s="33">
        <v>1086</v>
      </c>
      <c r="F32" s="33">
        <v>1532.09</v>
      </c>
      <c r="G32" s="33">
        <v>1594.77</v>
      </c>
      <c r="H32" s="33">
        <v>1805.5</v>
      </c>
      <c r="I32" s="33">
        <v>5</v>
      </c>
      <c r="J32" s="33">
        <v>10</v>
      </c>
      <c r="K32" s="33">
        <v>15</v>
      </c>
      <c r="L32" s="33">
        <v>15.7</v>
      </c>
      <c r="M32" s="33">
        <v>16</v>
      </c>
      <c r="N32" s="33">
        <v>15.7</v>
      </c>
      <c r="P32" s="37" t="s">
        <v>264</v>
      </c>
      <c r="Q32" s="35">
        <v>90</v>
      </c>
      <c r="R32" s="35">
        <v>113</v>
      </c>
      <c r="S32" s="35">
        <v>131</v>
      </c>
      <c r="T32" s="35">
        <v>158</v>
      </c>
      <c r="U32" s="35">
        <v>167</v>
      </c>
      <c r="V32" s="35">
        <v>211</v>
      </c>
      <c r="W32" s="43">
        <v>256</v>
      </c>
      <c r="X32" s="44">
        <v>0.3</v>
      </c>
      <c r="Y32" s="46">
        <v>1</v>
      </c>
      <c r="Z32" s="44">
        <v>2</v>
      </c>
      <c r="AA32" s="44">
        <v>2</v>
      </c>
      <c r="AB32" s="37">
        <v>2</v>
      </c>
      <c r="AC32" s="37">
        <v>2</v>
      </c>
      <c r="AD32" s="29">
        <f t="shared" si="0"/>
        <v>112.7</v>
      </c>
      <c r="AE32" s="29">
        <f t="shared" si="1"/>
        <v>130</v>
      </c>
      <c r="AF32" s="29">
        <f t="shared" si="2"/>
        <v>156</v>
      </c>
      <c r="AG32" s="29">
        <f t="shared" si="3"/>
        <v>165</v>
      </c>
      <c r="AH32" s="29">
        <f t="shared" si="4"/>
        <v>209</v>
      </c>
      <c r="AI32" s="29">
        <f t="shared" si="11"/>
        <v>254</v>
      </c>
      <c r="AK32" s="37" t="s">
        <v>264</v>
      </c>
      <c r="AL32" s="51">
        <f t="shared" si="15"/>
        <v>0.175276523210531</v>
      </c>
      <c r="AM32" s="51">
        <f t="shared" si="16"/>
        <v>0.170773102973554</v>
      </c>
      <c r="AN32" s="51">
        <f t="shared" si="12"/>
        <v>0.174761719117588</v>
      </c>
      <c r="AO32" s="51">
        <f t="shared" si="13"/>
        <v>0.143888227206522</v>
      </c>
      <c r="AP32" s="51">
        <f t="shared" si="14"/>
        <v>0.152603234481777</v>
      </c>
      <c r="AQ32" s="51">
        <f t="shared" si="10"/>
        <v>0.170547831730741</v>
      </c>
    </row>
    <row r="33" ht="13" spans="1:43">
      <c r="A33" s="29" t="s">
        <v>202</v>
      </c>
      <c r="B33" s="29">
        <v>505</v>
      </c>
      <c r="C33" s="33">
        <v>587</v>
      </c>
      <c r="D33" s="33">
        <v>761</v>
      </c>
      <c r="E33" s="33">
        <v>844</v>
      </c>
      <c r="F33" s="33">
        <v>1121.96</v>
      </c>
      <c r="G33" s="33">
        <v>1303.36</v>
      </c>
      <c r="H33" s="33">
        <v>1491.6</v>
      </c>
      <c r="I33" s="33">
        <v>33</v>
      </c>
      <c r="J33" s="33">
        <v>55</v>
      </c>
      <c r="K33" s="33">
        <v>74</v>
      </c>
      <c r="L33" s="33">
        <v>75.2</v>
      </c>
      <c r="M33" s="33">
        <v>80.6</v>
      </c>
      <c r="N33" s="33">
        <v>92.2</v>
      </c>
      <c r="P33" s="37" t="s">
        <v>265</v>
      </c>
      <c r="Q33" s="35">
        <v>55</v>
      </c>
      <c r="R33" s="35">
        <v>76</v>
      </c>
      <c r="S33" s="35">
        <v>97</v>
      </c>
      <c r="T33" s="35">
        <v>115</v>
      </c>
      <c r="U33" s="35">
        <v>136</v>
      </c>
      <c r="V33" s="35">
        <v>183</v>
      </c>
      <c r="W33" s="43">
        <v>221</v>
      </c>
      <c r="X33" s="44">
        <v>3</v>
      </c>
      <c r="Y33" s="46">
        <v>4</v>
      </c>
      <c r="Z33" s="44">
        <v>8</v>
      </c>
      <c r="AA33" s="44">
        <v>10</v>
      </c>
      <c r="AB33" s="37">
        <v>10</v>
      </c>
      <c r="AC33" s="37">
        <v>12</v>
      </c>
      <c r="AD33" s="29">
        <f t="shared" si="0"/>
        <v>73</v>
      </c>
      <c r="AE33" s="29">
        <f t="shared" si="1"/>
        <v>93</v>
      </c>
      <c r="AF33" s="29">
        <f t="shared" si="2"/>
        <v>107</v>
      </c>
      <c r="AG33" s="29">
        <f t="shared" si="3"/>
        <v>126</v>
      </c>
      <c r="AH33" s="29">
        <f t="shared" si="4"/>
        <v>173</v>
      </c>
      <c r="AI33" s="29">
        <f t="shared" si="11"/>
        <v>209</v>
      </c>
      <c r="AK33" s="37" t="s">
        <v>265</v>
      </c>
      <c r="AL33" s="51">
        <f t="shared" si="15"/>
        <v>0.152625152625153</v>
      </c>
      <c r="AM33" s="51">
        <f t="shared" si="16"/>
        <v>0.157513922198285</v>
      </c>
      <c r="AN33" s="51">
        <f t="shared" si="12"/>
        <v>0.15220700152207</v>
      </c>
      <c r="AO33" s="51">
        <f t="shared" si="13"/>
        <v>0.146326086429384</v>
      </c>
      <c r="AP33" s="51">
        <f t="shared" si="14"/>
        <v>0.162855692836315</v>
      </c>
      <c r="AQ33" s="51">
        <f t="shared" si="10"/>
        <v>0.170724786677337</v>
      </c>
    </row>
    <row r="34" ht="13" spans="1:43">
      <c r="A34" s="29" t="s">
        <v>207</v>
      </c>
      <c r="B34" s="29">
        <v>862</v>
      </c>
      <c r="C34" s="33">
        <v>933</v>
      </c>
      <c r="D34" s="33">
        <v>976</v>
      </c>
      <c r="E34" s="33">
        <v>1027</v>
      </c>
      <c r="F34" s="33">
        <v>1205.48</v>
      </c>
      <c r="G34" s="33">
        <v>1254.78</v>
      </c>
      <c r="H34" s="33">
        <v>1440.3</v>
      </c>
      <c r="I34" s="33">
        <v>1</v>
      </c>
      <c r="J34" s="33">
        <v>2</v>
      </c>
      <c r="K34" s="33">
        <v>14</v>
      </c>
      <c r="L34" s="33">
        <v>16.7</v>
      </c>
      <c r="M34" s="33">
        <v>17.2</v>
      </c>
      <c r="N34" s="33">
        <v>26.9</v>
      </c>
      <c r="P34" s="37" t="s">
        <v>266</v>
      </c>
      <c r="Q34" s="35">
        <v>67</v>
      </c>
      <c r="R34" s="35">
        <v>107</v>
      </c>
      <c r="S34" s="35">
        <v>116</v>
      </c>
      <c r="T34" s="35">
        <v>132</v>
      </c>
      <c r="U34" s="35">
        <v>157</v>
      </c>
      <c r="V34" s="35">
        <v>196</v>
      </c>
      <c r="W34" s="43">
        <v>200</v>
      </c>
      <c r="X34" s="42">
        <v>0.01</v>
      </c>
      <c r="Y34" s="42">
        <v>0.1</v>
      </c>
      <c r="Z34" s="42">
        <v>1</v>
      </c>
      <c r="AA34" s="46">
        <v>2</v>
      </c>
      <c r="AB34" s="37">
        <v>2</v>
      </c>
      <c r="AC34" s="37">
        <v>2</v>
      </c>
      <c r="AD34" s="29">
        <f t="shared" si="0"/>
        <v>106.99</v>
      </c>
      <c r="AE34" s="29">
        <f t="shared" si="1"/>
        <v>115.9</v>
      </c>
      <c r="AF34" s="29">
        <f t="shared" si="2"/>
        <v>131</v>
      </c>
      <c r="AG34" s="29">
        <f t="shared" si="3"/>
        <v>155</v>
      </c>
      <c r="AH34" s="29">
        <f t="shared" si="4"/>
        <v>194</v>
      </c>
      <c r="AI34" s="29">
        <f t="shared" si="11"/>
        <v>198</v>
      </c>
      <c r="AK34" s="37" t="s">
        <v>266</v>
      </c>
      <c r="AL34" s="51">
        <f t="shared" si="15"/>
        <v>0.136083234759161</v>
      </c>
      <c r="AM34" s="51">
        <f t="shared" si="16"/>
        <v>0.13861281935365</v>
      </c>
      <c r="AN34" s="51">
        <f t="shared" si="12"/>
        <v>0.14931939989559</v>
      </c>
      <c r="AO34" s="51">
        <f t="shared" si="13"/>
        <v>0.158514870699318</v>
      </c>
      <c r="AP34" s="51">
        <f t="shared" si="14"/>
        <v>0.180030718066068</v>
      </c>
      <c r="AQ34" s="51">
        <f t="shared" si="10"/>
        <v>0.167733349110434</v>
      </c>
    </row>
    <row r="35" spans="1:14">
      <c r="A35" s="29" t="s">
        <v>316</v>
      </c>
      <c r="B35" s="29">
        <v>0</v>
      </c>
      <c r="C35" s="33">
        <v>0</v>
      </c>
      <c r="D35" s="33">
        <v>0</v>
      </c>
      <c r="E35" s="33">
        <v>39</v>
      </c>
      <c r="F35" s="33">
        <v>77.2</v>
      </c>
      <c r="G35" s="33">
        <v>77.2</v>
      </c>
      <c r="H35" s="33">
        <v>105.8</v>
      </c>
      <c r="I35" s="33"/>
      <c r="J35" s="33"/>
      <c r="K35" s="33">
        <v>0</v>
      </c>
      <c r="L35" s="33">
        <v>0</v>
      </c>
      <c r="M35" s="33">
        <v>0</v>
      </c>
      <c r="N35" s="33">
        <v>0</v>
      </c>
    </row>
  </sheetData>
  <mergeCells count="6">
    <mergeCell ref="B1:H1"/>
    <mergeCell ref="I1:N1"/>
    <mergeCell ref="Q1:W1"/>
    <mergeCell ref="X1:AC1"/>
    <mergeCell ref="AD1:AI1"/>
    <mergeCell ref="AL1:AQ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56"/>
  <sheetViews>
    <sheetView topLeftCell="A25" workbookViewId="0">
      <selection activeCell="J42" sqref="J42"/>
    </sheetView>
  </sheetViews>
  <sheetFormatPr defaultColWidth="9" defaultRowHeight="12.5"/>
  <cols>
    <col min="2" max="2" width="32.9090909090909" customWidth="1"/>
    <col min="3" max="3" width="21.3636363636364" customWidth="1"/>
    <col min="4" max="4" width="14.8181818181818" customWidth="1"/>
    <col min="5" max="5" width="13.6363636363636" customWidth="1"/>
    <col min="6" max="6" width="15.9090909090909" customWidth="1"/>
    <col min="8" max="8" width="15.6363636363636" customWidth="1"/>
  </cols>
  <sheetData>
    <row r="2" ht="15" spans="2:2">
      <c r="B2" s="26" t="s">
        <v>317</v>
      </c>
    </row>
    <row r="3" ht="15" spans="2:2">
      <c r="B3" s="26" t="s">
        <v>318</v>
      </c>
    </row>
    <row r="4" ht="15" spans="2:2">
      <c r="B4" s="26" t="s">
        <v>319</v>
      </c>
    </row>
    <row r="5" ht="15" spans="2:2">
      <c r="B5" s="26" t="s">
        <v>320</v>
      </c>
    </row>
    <row r="29" spans="2:2">
      <c r="B29" s="27" t="s">
        <v>321</v>
      </c>
    </row>
    <row r="30" spans="2:2">
      <c r="B30" s="27" t="s">
        <v>322</v>
      </c>
    </row>
    <row r="31" spans="2:8">
      <c r="B31" s="27" t="s">
        <v>323</v>
      </c>
      <c r="C31" s="166" t="s">
        <v>324</v>
      </c>
      <c r="D31" s="27" t="s">
        <v>325</v>
      </c>
      <c r="E31" s="27" t="s">
        <v>326</v>
      </c>
      <c r="F31" s="27" t="s">
        <v>327</v>
      </c>
      <c r="G31" s="27" t="s">
        <v>326</v>
      </c>
      <c r="H31" s="28">
        <f>2600/8760</f>
        <v>0.296803652968037</v>
      </c>
    </row>
    <row r="38" spans="2:6">
      <c r="B38" t="s">
        <v>50</v>
      </c>
      <c r="C38" t="s">
        <v>328</v>
      </c>
      <c r="D38" t="s">
        <v>329</v>
      </c>
      <c r="E38" t="s">
        <v>330</v>
      </c>
      <c r="F38" t="s">
        <v>331</v>
      </c>
    </row>
    <row r="39" spans="2:6">
      <c r="B39" t="s">
        <v>332</v>
      </c>
      <c r="C39">
        <v>900</v>
      </c>
      <c r="E39">
        <v>2022</v>
      </c>
      <c r="F39" t="s">
        <v>333</v>
      </c>
    </row>
    <row r="40" spans="2:5">
      <c r="B40" t="s">
        <v>334</v>
      </c>
      <c r="C40">
        <v>500</v>
      </c>
      <c r="E40">
        <v>2022</v>
      </c>
    </row>
    <row r="41" spans="2:5">
      <c r="B41" t="s">
        <v>335</v>
      </c>
      <c r="C41">
        <v>400</v>
      </c>
      <c r="E41">
        <v>2018</v>
      </c>
    </row>
    <row r="42" spans="2:10">
      <c r="B42" t="s">
        <v>336</v>
      </c>
      <c r="C42" t="s">
        <v>337</v>
      </c>
      <c r="D42">
        <v>0.31</v>
      </c>
      <c r="H42" t="s">
        <v>329</v>
      </c>
      <c r="I42" t="s">
        <v>326</v>
      </c>
      <c r="J42">
        <f>AVERAGE(D42:D44)</f>
        <v>0.29</v>
      </c>
    </row>
    <row r="43" spans="2:5">
      <c r="B43" t="s">
        <v>338</v>
      </c>
      <c r="C43">
        <v>400</v>
      </c>
      <c r="D43">
        <v>0.25</v>
      </c>
      <c r="E43">
        <v>2021</v>
      </c>
    </row>
    <row r="44" spans="2:5">
      <c r="B44" t="s">
        <v>339</v>
      </c>
      <c r="C44">
        <v>400</v>
      </c>
      <c r="D44">
        <v>0.31</v>
      </c>
      <c r="E44">
        <v>2021</v>
      </c>
    </row>
    <row r="45" spans="2:5">
      <c r="B45" t="s">
        <v>340</v>
      </c>
      <c r="C45">
        <v>300</v>
      </c>
      <c r="E45">
        <v>2019</v>
      </c>
    </row>
    <row r="46" spans="2:6">
      <c r="B46" t="s">
        <v>341</v>
      </c>
      <c r="C46">
        <v>300</v>
      </c>
      <c r="E46">
        <v>2019</v>
      </c>
      <c r="F46" t="s">
        <v>342</v>
      </c>
    </row>
    <row r="47" spans="2:5">
      <c r="B47" t="s">
        <v>343</v>
      </c>
      <c r="C47">
        <v>300</v>
      </c>
      <c r="E47">
        <v>2022</v>
      </c>
    </row>
    <row r="48" spans="2:5">
      <c r="B48" t="s">
        <v>344</v>
      </c>
      <c r="C48">
        <v>202</v>
      </c>
      <c r="E48" t="s">
        <v>345</v>
      </c>
    </row>
    <row r="49" spans="2:5">
      <c r="B49" t="s">
        <v>346</v>
      </c>
      <c r="C49">
        <v>200</v>
      </c>
      <c r="E49" t="s">
        <v>345</v>
      </c>
    </row>
    <row r="50" spans="2:6">
      <c r="B50" t="s">
        <v>347</v>
      </c>
      <c r="C50">
        <v>200</v>
      </c>
      <c r="E50">
        <v>2021</v>
      </c>
      <c r="F50" t="s">
        <v>342</v>
      </c>
    </row>
    <row r="51" spans="2:5">
      <c r="B51" t="s">
        <v>348</v>
      </c>
      <c r="C51">
        <v>152</v>
      </c>
      <c r="E51" t="s">
        <v>345</v>
      </c>
    </row>
    <row r="52" spans="2:6">
      <c r="B52" t="s">
        <v>349</v>
      </c>
      <c r="C52">
        <v>131</v>
      </c>
      <c r="E52">
        <v>2012</v>
      </c>
      <c r="F52" t="s">
        <v>350</v>
      </c>
    </row>
    <row r="53" spans="2:6">
      <c r="B53" t="s">
        <v>351</v>
      </c>
      <c r="C53">
        <v>102</v>
      </c>
      <c r="E53">
        <v>2010</v>
      </c>
      <c r="F53" t="s">
        <v>352</v>
      </c>
    </row>
    <row r="54" spans="2:5">
      <c r="B54" t="s">
        <v>353</v>
      </c>
      <c r="C54">
        <v>198</v>
      </c>
      <c r="E54">
        <v>2018</v>
      </c>
    </row>
    <row r="55" spans="2:5">
      <c r="B55" t="s">
        <v>354</v>
      </c>
      <c r="C55">
        <v>101</v>
      </c>
      <c r="E55">
        <v>2016</v>
      </c>
    </row>
    <row r="56" spans="2:5">
      <c r="B56" t="s">
        <v>355</v>
      </c>
      <c r="C56">
        <v>100</v>
      </c>
      <c r="E56" t="s">
        <v>345</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3:E23"/>
  <sheetViews>
    <sheetView workbookViewId="0">
      <selection activeCell="E23" sqref="E23"/>
    </sheetView>
  </sheetViews>
  <sheetFormatPr defaultColWidth="8.72727272727273" defaultRowHeight="12.5" outlineLevelCol="4"/>
  <cols>
    <col min="4" max="4" width="10.7272727272727" customWidth="1"/>
  </cols>
  <sheetData>
    <row r="23" spans="3:5">
      <c r="C23" s="25" t="s">
        <v>356</v>
      </c>
      <c r="D23" s="25"/>
      <c r="E23">
        <v>0.337</v>
      </c>
    </row>
  </sheetData>
  <mergeCells count="1">
    <mergeCell ref="C23:D23"/>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zoomScale="62" zoomScaleNormal="62" workbookViewId="0">
      <pane ySplit="1" topLeftCell="A2" activePane="bottomLeft" state="frozen"/>
      <selection/>
      <selection pane="bottomLeft" activeCell="L2" sqref="L2"/>
    </sheetView>
  </sheetViews>
  <sheetFormatPr defaultColWidth="12.5545454545455" defaultRowHeight="15.5"/>
  <cols>
    <col min="1" max="1" width="25.3363636363636" style="12" customWidth="1"/>
    <col min="2" max="2" width="35" style="12" customWidth="1"/>
    <col min="3" max="3" width="17.1090909090909" style="12" customWidth="1"/>
    <col min="4" max="5" width="16.1090909090909" style="12" customWidth="1"/>
    <col min="6" max="6" width="67.3363636363636" style="12" customWidth="1"/>
    <col min="7" max="7" width="12.5545454545455" style="12"/>
    <col min="8" max="8" width="22.8909090909091" style="13" customWidth="1"/>
    <col min="9" max="10" width="12.5545454545455" style="12"/>
    <col min="11" max="11" width="18.5545454545455" style="12" customWidth="1"/>
    <col min="12" max="12" width="29.4454545454545" style="12" customWidth="1"/>
    <col min="13" max="13" width="15.8909090909091" style="12" customWidth="1"/>
    <col min="14" max="16384" width="12.5545454545455" style="12"/>
  </cols>
  <sheetData>
    <row r="1" spans="1:13">
      <c r="A1" s="14" t="s">
        <v>357</v>
      </c>
      <c r="B1" s="14"/>
      <c r="C1" s="12" t="s">
        <v>358</v>
      </c>
      <c r="D1" s="12" t="s">
        <v>359</v>
      </c>
      <c r="E1" s="12" t="s">
        <v>360</v>
      </c>
      <c r="F1" s="12" t="s">
        <v>361</v>
      </c>
      <c r="G1" s="12" t="s">
        <v>362</v>
      </c>
      <c r="H1" s="13" t="s">
        <v>363</v>
      </c>
      <c r="K1" s="12" t="s">
        <v>328</v>
      </c>
      <c r="L1" s="12" t="s">
        <v>364</v>
      </c>
      <c r="M1" s="12" t="s">
        <v>329</v>
      </c>
    </row>
    <row r="2" spans="1:13">
      <c r="A2" s="15" t="s">
        <v>365</v>
      </c>
      <c r="B2" s="15"/>
      <c r="C2" s="12">
        <v>50</v>
      </c>
      <c r="D2" s="12">
        <v>1.975</v>
      </c>
      <c r="E2" s="12" t="s">
        <v>366</v>
      </c>
      <c r="F2" s="12" t="s">
        <v>367</v>
      </c>
      <c r="G2" s="12" t="s">
        <v>368</v>
      </c>
      <c r="K2" s="12">
        <f>(SUM(C2:C14)+C19)</f>
        <v>949</v>
      </c>
      <c r="L2" s="12">
        <f>(SUM(D2:D14)+D19)*10^5</f>
        <v>4602700</v>
      </c>
      <c r="M2" s="24">
        <f>(L2/K2)/8760</f>
        <v>0.553658982538697</v>
      </c>
    </row>
    <row r="3" ht="50.1" customHeight="1" spans="1:7">
      <c r="A3" s="16" t="s">
        <v>369</v>
      </c>
      <c r="B3" s="16"/>
      <c r="C3" s="12">
        <v>100</v>
      </c>
      <c r="D3" s="12">
        <v>3.9</v>
      </c>
      <c r="E3" s="12" t="s">
        <v>370</v>
      </c>
      <c r="F3" s="12" t="s">
        <v>371</v>
      </c>
      <c r="G3" s="12" t="s">
        <v>368</v>
      </c>
    </row>
    <row r="4" ht="31" spans="1:7">
      <c r="A4" s="17" t="s">
        <v>372</v>
      </c>
      <c r="B4" s="17"/>
      <c r="C4" s="12">
        <v>50</v>
      </c>
      <c r="D4" s="12">
        <v>1.46</v>
      </c>
      <c r="E4" s="12" t="s">
        <v>370</v>
      </c>
      <c r="F4" s="18" t="s">
        <v>373</v>
      </c>
      <c r="G4" s="12" t="s">
        <v>368</v>
      </c>
    </row>
    <row r="5" ht="31" spans="1:7">
      <c r="A5" s="17" t="s">
        <v>374</v>
      </c>
      <c r="B5" s="17"/>
      <c r="C5" s="12">
        <v>50</v>
      </c>
      <c r="D5" s="12">
        <v>1.569</v>
      </c>
      <c r="E5" s="12" t="s">
        <v>370</v>
      </c>
      <c r="F5" s="18" t="s">
        <v>375</v>
      </c>
      <c r="G5" s="12" t="s">
        <v>368</v>
      </c>
    </row>
    <row r="6" ht="31" spans="1:8">
      <c r="A6" s="17" t="s">
        <v>376</v>
      </c>
      <c r="B6" s="17"/>
      <c r="C6" s="12">
        <v>50</v>
      </c>
      <c r="D6" s="12">
        <v>1.983</v>
      </c>
      <c r="E6" s="12" t="s">
        <v>370</v>
      </c>
      <c r="F6" s="18" t="s">
        <v>377</v>
      </c>
      <c r="G6" s="12" t="s">
        <v>368</v>
      </c>
      <c r="H6" s="13" t="s">
        <v>378</v>
      </c>
    </row>
    <row r="7" ht="31" spans="1:7">
      <c r="A7" s="17" t="s">
        <v>379</v>
      </c>
      <c r="B7" s="17"/>
      <c r="C7" s="12">
        <v>50</v>
      </c>
      <c r="D7" s="12">
        <v>2.14</v>
      </c>
      <c r="E7" s="18" t="s">
        <v>380</v>
      </c>
      <c r="F7" s="18" t="s">
        <v>381</v>
      </c>
      <c r="G7" s="12" t="s">
        <v>368</v>
      </c>
    </row>
    <row r="8" ht="46.5" spans="1:8">
      <c r="A8" s="17" t="s">
        <v>382</v>
      </c>
      <c r="B8" s="17"/>
      <c r="C8" s="12">
        <v>100</v>
      </c>
      <c r="D8" s="12">
        <v>3.92</v>
      </c>
      <c r="E8" s="12" t="s">
        <v>366</v>
      </c>
      <c r="F8" s="18" t="s">
        <v>383</v>
      </c>
      <c r="G8" s="12" t="s">
        <v>368</v>
      </c>
      <c r="H8" s="13" t="s">
        <v>384</v>
      </c>
    </row>
    <row r="9" ht="41.1" customHeight="1" spans="1:7">
      <c r="A9" s="17" t="s">
        <v>385</v>
      </c>
      <c r="B9" s="17"/>
      <c r="C9" s="12">
        <v>50</v>
      </c>
      <c r="D9" s="12">
        <v>1.6</v>
      </c>
      <c r="E9" s="12" t="s">
        <v>370</v>
      </c>
      <c r="F9" s="12" t="s">
        <v>386</v>
      </c>
      <c r="G9" s="12" t="s">
        <v>368</v>
      </c>
    </row>
    <row r="10" spans="1:8">
      <c r="A10" s="19" t="s">
        <v>387</v>
      </c>
      <c r="B10" s="19"/>
      <c r="C10" s="20">
        <v>50</v>
      </c>
      <c r="D10" s="12">
        <v>2.16</v>
      </c>
      <c r="E10" s="12" t="s">
        <v>370</v>
      </c>
      <c r="F10" s="21">
        <v>44560</v>
      </c>
      <c r="G10" s="12" t="s">
        <v>368</v>
      </c>
      <c r="H10" s="21" t="s">
        <v>388</v>
      </c>
    </row>
    <row r="11" spans="1:8">
      <c r="A11" s="19" t="s">
        <v>389</v>
      </c>
      <c r="B11" s="19"/>
      <c r="C11" s="20">
        <v>50</v>
      </c>
      <c r="D11" s="12">
        <v>2.56</v>
      </c>
      <c r="E11" s="12" t="s">
        <v>366</v>
      </c>
      <c r="G11" s="12" t="s">
        <v>390</v>
      </c>
      <c r="H11" s="21" t="s">
        <v>391</v>
      </c>
    </row>
    <row r="12" spans="1:8">
      <c r="A12" s="19" t="s">
        <v>392</v>
      </c>
      <c r="B12" s="19"/>
      <c r="C12" s="20">
        <v>135</v>
      </c>
      <c r="D12" s="12">
        <v>4.35</v>
      </c>
      <c r="E12" s="12" t="s">
        <v>370</v>
      </c>
      <c r="G12" s="12" t="s">
        <v>390</v>
      </c>
      <c r="H12" s="13" t="s">
        <v>393</v>
      </c>
    </row>
    <row r="13" spans="1:8">
      <c r="A13" s="19" t="s">
        <v>394</v>
      </c>
      <c r="B13" s="19"/>
      <c r="C13" s="20">
        <v>100</v>
      </c>
      <c r="D13" s="12">
        <v>13.7</v>
      </c>
      <c r="E13" s="12" t="s">
        <v>370</v>
      </c>
      <c r="F13" s="12" t="s">
        <v>395</v>
      </c>
      <c r="H13" s="21">
        <v>44645</v>
      </c>
    </row>
    <row r="14" ht="33.9" customHeight="1" spans="1:5">
      <c r="A14" s="19" t="s">
        <v>396</v>
      </c>
      <c r="B14" s="19"/>
      <c r="C14" s="20">
        <v>50</v>
      </c>
      <c r="D14" s="12">
        <v>1.21</v>
      </c>
      <c r="E14" s="12" t="s">
        <v>370</v>
      </c>
    </row>
    <row r="15" ht="51" customHeight="1" spans="1:7">
      <c r="A15" s="22" t="s">
        <v>397</v>
      </c>
      <c r="B15" s="22"/>
      <c r="C15" s="20">
        <v>100</v>
      </c>
      <c r="E15" s="12" t="s">
        <v>370</v>
      </c>
      <c r="G15" s="12" t="s">
        <v>398</v>
      </c>
    </row>
    <row r="16" ht="68.1" customHeight="1" spans="1:8">
      <c r="A16" s="22" t="s">
        <v>399</v>
      </c>
      <c r="B16" s="22"/>
      <c r="C16" s="20">
        <v>50</v>
      </c>
      <c r="E16" s="12" t="s">
        <v>366</v>
      </c>
      <c r="H16" s="13" t="s">
        <v>400</v>
      </c>
    </row>
    <row r="17" ht="68.1" customHeight="1" spans="1:8">
      <c r="A17" s="23" t="s">
        <v>401</v>
      </c>
      <c r="B17" s="20"/>
      <c r="C17" s="20">
        <v>50</v>
      </c>
      <c r="E17" s="12" t="s">
        <v>366</v>
      </c>
      <c r="H17" s="13" t="s">
        <v>402</v>
      </c>
    </row>
    <row r="18" ht="68.1" customHeight="1" spans="1:5">
      <c r="A18" s="22" t="s">
        <v>403</v>
      </c>
      <c r="B18" s="22"/>
      <c r="C18" s="20">
        <v>100</v>
      </c>
      <c r="E18" s="12" t="s">
        <v>366</v>
      </c>
    </row>
    <row r="19" ht="51" customHeight="1" spans="1:8">
      <c r="A19" s="22" t="s">
        <v>404</v>
      </c>
      <c r="B19" s="22"/>
      <c r="C19" s="20">
        <v>64</v>
      </c>
      <c r="D19" s="12">
        <v>3.5</v>
      </c>
      <c r="E19" s="12" t="s">
        <v>366</v>
      </c>
      <c r="H19" s="21" t="s">
        <v>405</v>
      </c>
    </row>
    <row r="20" ht="51" customHeight="1" spans="1:7">
      <c r="A20" s="22" t="s">
        <v>406</v>
      </c>
      <c r="B20" s="22"/>
      <c r="C20" s="20">
        <v>50</v>
      </c>
      <c r="E20" s="18" t="s">
        <v>380</v>
      </c>
      <c r="G20" s="12" t="s">
        <v>398</v>
      </c>
    </row>
    <row r="21" ht="51" customHeight="1" spans="1:7">
      <c r="A21" s="22" t="s">
        <v>407</v>
      </c>
      <c r="B21" s="22"/>
      <c r="C21" s="20">
        <v>50</v>
      </c>
      <c r="E21" s="18" t="s">
        <v>380</v>
      </c>
      <c r="G21" s="12" t="s">
        <v>398</v>
      </c>
    </row>
    <row r="22" ht="51" customHeight="1" spans="1:8">
      <c r="A22" s="22" t="s">
        <v>408</v>
      </c>
      <c r="B22" s="22"/>
      <c r="C22" s="20">
        <v>50</v>
      </c>
      <c r="E22" s="18" t="s">
        <v>380</v>
      </c>
      <c r="H22" s="21">
        <v>42842</v>
      </c>
    </row>
    <row r="23" ht="68.1" customHeight="1" spans="1:2">
      <c r="A23" s="14"/>
      <c r="B23" s="14"/>
    </row>
    <row r="24" ht="51" customHeight="1" spans="1:2">
      <c r="A24" s="14"/>
      <c r="B24" s="14"/>
    </row>
    <row r="25" spans="1:2">
      <c r="A25" s="14"/>
      <c r="B25" s="14"/>
    </row>
    <row r="26" spans="1:2">
      <c r="A26" s="14"/>
      <c r="B26" s="14"/>
    </row>
    <row r="27" spans="1:9">
      <c r="A27" s="14"/>
      <c r="B27" s="14"/>
      <c r="I27" s="14"/>
    </row>
    <row r="28" spans="1:9">
      <c r="A28" s="14"/>
      <c r="B28" s="14"/>
      <c r="I28" s="14"/>
    </row>
    <row r="29" spans="1:9">
      <c r="A29" s="14"/>
      <c r="B29" s="14"/>
      <c r="I29" s="14"/>
    </row>
    <row r="30" spans="1:9">
      <c r="A30" s="14"/>
      <c r="B30" s="14"/>
      <c r="I30" s="14"/>
    </row>
    <row r="31" spans="1:2">
      <c r="A31" s="14"/>
      <c r="B31" s="14"/>
    </row>
    <row r="32" spans="1:2">
      <c r="A32" s="14"/>
      <c r="B32" s="14"/>
    </row>
    <row r="33" spans="1:2">
      <c r="A33" s="14"/>
      <c r="B33" s="14"/>
    </row>
    <row r="34" spans="1:2">
      <c r="A34" s="14"/>
      <c r="B34" s="14"/>
    </row>
    <row r="35" spans="1:2">
      <c r="A35" s="14"/>
      <c r="B35" s="14"/>
    </row>
    <row r="36" spans="1:2">
      <c r="A36" s="14"/>
      <c r="B36" s="14"/>
    </row>
  </sheetData>
  <mergeCells count="36">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I27:I30"/>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499984740745262"/>
  </sheetPr>
  <dimension ref="A1:AT17"/>
  <sheetViews>
    <sheetView workbookViewId="0">
      <selection activeCell="J6" sqref="J6"/>
    </sheetView>
  </sheetViews>
  <sheetFormatPr defaultColWidth="9.10909090909091" defaultRowHeight="14"/>
  <cols>
    <col min="1" max="1" width="29.1090909090909" style="1" customWidth="1"/>
    <col min="2" max="3" width="9.10909090909091" style="1" customWidth="1"/>
    <col min="4" max="5" width="9.10909090909091" style="1"/>
    <col min="6" max="6" width="10" style="1" customWidth="1"/>
    <col min="7" max="16384" width="9.10909090909091" style="1"/>
  </cols>
  <sheetData>
    <row r="1" ht="28" spans="1:45">
      <c r="A1" s="2" t="s">
        <v>409</v>
      </c>
      <c r="B1" s="3">
        <v>2017</v>
      </c>
      <c r="C1" s="1">
        <v>2018</v>
      </c>
      <c r="D1" s="3">
        <v>2019</v>
      </c>
      <c r="E1" s="1">
        <v>2020</v>
      </c>
      <c r="F1" s="3">
        <v>2021</v>
      </c>
      <c r="G1" s="1">
        <v>2022</v>
      </c>
      <c r="H1" s="3">
        <v>2023</v>
      </c>
      <c r="I1" s="1">
        <v>2024</v>
      </c>
      <c r="J1" s="3">
        <v>2025</v>
      </c>
      <c r="K1" s="1">
        <v>2026</v>
      </c>
      <c r="L1" s="3">
        <v>2027</v>
      </c>
      <c r="M1" s="1">
        <v>2028</v>
      </c>
      <c r="N1" s="3">
        <v>2029</v>
      </c>
      <c r="O1" s="1">
        <v>2030</v>
      </c>
      <c r="P1" s="3">
        <v>2031</v>
      </c>
      <c r="Q1" s="1">
        <v>2032</v>
      </c>
      <c r="R1" s="3">
        <v>2033</v>
      </c>
      <c r="S1" s="1">
        <v>2034</v>
      </c>
      <c r="T1" s="3">
        <v>2035</v>
      </c>
      <c r="U1" s="1">
        <v>2036</v>
      </c>
      <c r="V1" s="3">
        <v>2037</v>
      </c>
      <c r="W1" s="1">
        <v>2038</v>
      </c>
      <c r="X1" s="3">
        <v>2039</v>
      </c>
      <c r="Y1" s="1">
        <v>2040</v>
      </c>
      <c r="Z1" s="3">
        <v>2041</v>
      </c>
      <c r="AA1" s="1">
        <v>2042</v>
      </c>
      <c r="AB1" s="3">
        <v>2043</v>
      </c>
      <c r="AC1" s="1">
        <v>2044</v>
      </c>
      <c r="AD1" s="3">
        <v>2045</v>
      </c>
      <c r="AE1" s="1">
        <v>2046</v>
      </c>
      <c r="AF1" s="3">
        <v>2047</v>
      </c>
      <c r="AG1" s="1">
        <v>2048</v>
      </c>
      <c r="AH1" s="3">
        <v>2049</v>
      </c>
      <c r="AI1" s="1">
        <v>2050</v>
      </c>
      <c r="AJ1" s="3">
        <v>2051</v>
      </c>
      <c r="AK1" s="1">
        <v>2052</v>
      </c>
      <c r="AL1" s="3">
        <v>2053</v>
      </c>
      <c r="AM1" s="1">
        <v>2054</v>
      </c>
      <c r="AN1" s="3">
        <v>2055</v>
      </c>
      <c r="AO1" s="1">
        <v>2056</v>
      </c>
      <c r="AP1" s="3">
        <v>2057</v>
      </c>
      <c r="AQ1" s="1">
        <v>2058</v>
      </c>
      <c r="AR1" s="3">
        <v>2059</v>
      </c>
      <c r="AS1" s="1">
        <v>2060</v>
      </c>
    </row>
    <row r="2" spans="1:45">
      <c r="A2" s="6" t="s">
        <v>410</v>
      </c>
      <c r="B2" s="7">
        <f>SUMIFS(Thermal!AA:AA,Thermal!$X:$X,VLOOKUP(About!$B$47,'Province Selector'!$B:$F,3,FALSE),Thermal!$Y:$Y,"燃煤")</f>
        <v>0.492237442922374</v>
      </c>
      <c r="C2" s="7">
        <f>SUMIFS(Thermal!AB:AB,Thermal!$X:$X,VLOOKUP(About!$B$47,'Province Selector'!$B:$F,3,FALSE),Thermal!$Y:$Y,"燃煤")</f>
        <v>0.513127853881279</v>
      </c>
      <c r="D2" s="7">
        <f>SUMIFS(Thermal!AC:AC,Thermal!$X:$X,VLOOKUP(About!$B$47,'Province Selector'!$B:$F,3,FALSE),Thermal!$Y:$Y,"燃煤")</f>
        <v>0.505593607305936</v>
      </c>
      <c r="E2" s="7">
        <f>SUMIFS(Thermal!AD:AD,Thermal!$X:$X,VLOOKUP(About!$B$47,'Province Selector'!$B:$F,3,FALSE),Thermal!$Y:$Y,"燃煤")</f>
        <v>0.493493150684931</v>
      </c>
      <c r="F2" s="7">
        <f>SUMIFS(Thermal!AE:AE,Thermal!$X:$X,VLOOKUP(About!$B$47,'Province Selector'!$B:$F,3,FALSE),Thermal!$Y:$Y,"燃煤")</f>
        <v>0.525228310502283</v>
      </c>
      <c r="G2" s="7">
        <f>SUMIFS(Thermal!AF:AF,Thermal!$X:$X,VLOOKUP(About!$B$47,'Province Selector'!$B:$F,3,FALSE),Thermal!$Y:$Y,"燃煤")</f>
        <v>0.524315068493151</v>
      </c>
      <c r="H2" s="7">
        <f t="shared" ref="H2:H10" si="0">$G2</f>
        <v>0.524315068493151</v>
      </c>
      <c r="I2" s="7">
        <f t="shared" ref="I2:AS9" si="1">$G2</f>
        <v>0.524315068493151</v>
      </c>
      <c r="J2" s="7">
        <f t="shared" si="1"/>
        <v>0.524315068493151</v>
      </c>
      <c r="K2" s="7">
        <f t="shared" si="1"/>
        <v>0.524315068493151</v>
      </c>
      <c r="L2" s="7">
        <f t="shared" si="1"/>
        <v>0.524315068493151</v>
      </c>
      <c r="M2" s="7">
        <f t="shared" si="1"/>
        <v>0.524315068493151</v>
      </c>
      <c r="N2" s="7">
        <f t="shared" si="1"/>
        <v>0.524315068493151</v>
      </c>
      <c r="O2" s="7">
        <f t="shared" si="1"/>
        <v>0.524315068493151</v>
      </c>
      <c r="P2" s="7">
        <f t="shared" si="1"/>
        <v>0.524315068493151</v>
      </c>
      <c r="Q2" s="7">
        <f t="shared" si="1"/>
        <v>0.524315068493151</v>
      </c>
      <c r="R2" s="7">
        <f t="shared" si="1"/>
        <v>0.524315068493151</v>
      </c>
      <c r="S2" s="7">
        <f t="shared" si="1"/>
        <v>0.524315068493151</v>
      </c>
      <c r="T2" s="7">
        <f t="shared" si="1"/>
        <v>0.524315068493151</v>
      </c>
      <c r="U2" s="7">
        <f t="shared" si="1"/>
        <v>0.524315068493151</v>
      </c>
      <c r="V2" s="7">
        <f t="shared" si="1"/>
        <v>0.524315068493151</v>
      </c>
      <c r="W2" s="7">
        <f t="shared" si="1"/>
        <v>0.524315068493151</v>
      </c>
      <c r="X2" s="7">
        <f t="shared" si="1"/>
        <v>0.524315068493151</v>
      </c>
      <c r="Y2" s="7">
        <f t="shared" si="1"/>
        <v>0.524315068493151</v>
      </c>
      <c r="Z2" s="7">
        <f t="shared" si="1"/>
        <v>0.524315068493151</v>
      </c>
      <c r="AA2" s="7">
        <f t="shared" si="1"/>
        <v>0.524315068493151</v>
      </c>
      <c r="AB2" s="7">
        <f t="shared" si="1"/>
        <v>0.524315068493151</v>
      </c>
      <c r="AC2" s="7">
        <f t="shared" si="1"/>
        <v>0.524315068493151</v>
      </c>
      <c r="AD2" s="7">
        <f t="shared" si="1"/>
        <v>0.524315068493151</v>
      </c>
      <c r="AE2" s="7">
        <f t="shared" si="1"/>
        <v>0.524315068493151</v>
      </c>
      <c r="AF2" s="7">
        <f t="shared" si="1"/>
        <v>0.524315068493151</v>
      </c>
      <c r="AG2" s="7">
        <f t="shared" si="1"/>
        <v>0.524315068493151</v>
      </c>
      <c r="AH2" s="7">
        <f t="shared" si="1"/>
        <v>0.524315068493151</v>
      </c>
      <c r="AI2" s="7">
        <f t="shared" si="1"/>
        <v>0.524315068493151</v>
      </c>
      <c r="AJ2" s="7">
        <f t="shared" si="1"/>
        <v>0.524315068493151</v>
      </c>
      <c r="AK2" s="7">
        <f t="shared" si="1"/>
        <v>0.524315068493151</v>
      </c>
      <c r="AL2" s="7">
        <f t="shared" si="1"/>
        <v>0.524315068493151</v>
      </c>
      <c r="AM2" s="7">
        <f t="shared" si="1"/>
        <v>0.524315068493151</v>
      </c>
      <c r="AN2" s="7">
        <f t="shared" si="1"/>
        <v>0.524315068493151</v>
      </c>
      <c r="AO2" s="7">
        <f t="shared" si="1"/>
        <v>0.524315068493151</v>
      </c>
      <c r="AP2" s="7">
        <f t="shared" si="1"/>
        <v>0.524315068493151</v>
      </c>
      <c r="AQ2" s="7">
        <f t="shared" si="1"/>
        <v>0.524315068493151</v>
      </c>
      <c r="AR2" s="7">
        <f t="shared" si="1"/>
        <v>0.524315068493151</v>
      </c>
      <c r="AS2" s="7">
        <f t="shared" si="1"/>
        <v>0.524315068493151</v>
      </c>
    </row>
    <row r="3" spans="1:45">
      <c r="A3" s="6" t="s">
        <v>411</v>
      </c>
      <c r="B3" s="7">
        <f>SUMIFS(Thermal!AA:AA,Thermal!$X:$X,VLOOKUP(About!$B$47,'Province Selector'!$B:$F,3,FALSE),Thermal!$Y:$Y,"燃气")</f>
        <v>0.315182648401826</v>
      </c>
      <c r="C3" s="7">
        <f>SUMIFS(Thermal!AB:AB,Thermal!$X:$X,VLOOKUP(About!$B$47,'Province Selector'!$B:$F,3,FALSE),Thermal!$Y:$Y,"燃气")</f>
        <v>0.315867579908676</v>
      </c>
      <c r="D3" s="7">
        <f>SUMIFS(Thermal!AC:AC,Thermal!$X:$X,VLOOKUP(About!$B$47,'Province Selector'!$B:$F,3,FALSE),Thermal!$Y:$Y,"燃气")</f>
        <v>0.302054794520548</v>
      </c>
      <c r="E3" s="7">
        <f>SUMIFS(Thermal!AD:AD,Thermal!$X:$X,VLOOKUP(About!$B$47,'Province Selector'!$B:$F,3,FALSE),Thermal!$Y:$Y,"燃气")</f>
        <v>0.297945205479452</v>
      </c>
      <c r="F3" s="7">
        <f>SUMIFS(Thermal!AE:AE,Thermal!$X:$X,VLOOKUP(About!$B$47,'Province Selector'!$B:$F,3,FALSE),Thermal!$Y:$Y,"燃气")</f>
        <v>0.306849315068493</v>
      </c>
      <c r="G3" s="7">
        <f>SUMIFS(Thermal!AF:AF,Thermal!$X:$X,VLOOKUP(About!$B$47,'Province Selector'!$B:$F,3,FALSE),Thermal!$Y:$Y,"燃气")</f>
        <v>0.276940639269406</v>
      </c>
      <c r="H3" s="7">
        <f t="shared" si="0"/>
        <v>0.276940639269406</v>
      </c>
      <c r="I3" s="7">
        <f t="shared" ref="I3:W3" si="2">$G3</f>
        <v>0.276940639269406</v>
      </c>
      <c r="J3" s="7">
        <f t="shared" si="2"/>
        <v>0.276940639269406</v>
      </c>
      <c r="K3" s="7">
        <f t="shared" si="2"/>
        <v>0.276940639269406</v>
      </c>
      <c r="L3" s="7">
        <f t="shared" si="2"/>
        <v>0.276940639269406</v>
      </c>
      <c r="M3" s="7">
        <f t="shared" si="2"/>
        <v>0.276940639269406</v>
      </c>
      <c r="N3" s="7">
        <f t="shared" si="2"/>
        <v>0.276940639269406</v>
      </c>
      <c r="O3" s="7">
        <f t="shared" si="2"/>
        <v>0.276940639269406</v>
      </c>
      <c r="P3" s="7">
        <f t="shared" si="2"/>
        <v>0.276940639269406</v>
      </c>
      <c r="Q3" s="7">
        <f t="shared" si="2"/>
        <v>0.276940639269406</v>
      </c>
      <c r="R3" s="7">
        <f t="shared" si="2"/>
        <v>0.276940639269406</v>
      </c>
      <c r="S3" s="7">
        <f t="shared" si="2"/>
        <v>0.276940639269406</v>
      </c>
      <c r="T3" s="7">
        <f t="shared" si="2"/>
        <v>0.276940639269406</v>
      </c>
      <c r="U3" s="7">
        <f t="shared" si="2"/>
        <v>0.276940639269406</v>
      </c>
      <c r="V3" s="7">
        <f t="shared" si="2"/>
        <v>0.276940639269406</v>
      </c>
      <c r="W3" s="7">
        <f t="shared" si="2"/>
        <v>0.276940639269406</v>
      </c>
      <c r="X3" s="7">
        <f t="shared" si="1"/>
        <v>0.276940639269406</v>
      </c>
      <c r="Y3" s="7">
        <f t="shared" si="1"/>
        <v>0.276940639269406</v>
      </c>
      <c r="Z3" s="7">
        <f t="shared" si="1"/>
        <v>0.276940639269406</v>
      </c>
      <c r="AA3" s="7">
        <f t="shared" si="1"/>
        <v>0.276940639269406</v>
      </c>
      <c r="AB3" s="7">
        <f t="shared" si="1"/>
        <v>0.276940639269406</v>
      </c>
      <c r="AC3" s="7">
        <f t="shared" si="1"/>
        <v>0.276940639269406</v>
      </c>
      <c r="AD3" s="7">
        <f t="shared" si="1"/>
        <v>0.276940639269406</v>
      </c>
      <c r="AE3" s="7">
        <f t="shared" si="1"/>
        <v>0.276940639269406</v>
      </c>
      <c r="AF3" s="7">
        <f t="shared" si="1"/>
        <v>0.276940639269406</v>
      </c>
      <c r="AG3" s="7">
        <f t="shared" si="1"/>
        <v>0.276940639269406</v>
      </c>
      <c r="AH3" s="7">
        <f t="shared" si="1"/>
        <v>0.276940639269406</v>
      </c>
      <c r="AI3" s="7">
        <f t="shared" si="1"/>
        <v>0.276940639269406</v>
      </c>
      <c r="AJ3" s="7">
        <f t="shared" si="1"/>
        <v>0.276940639269406</v>
      </c>
      <c r="AK3" s="7">
        <f t="shared" si="1"/>
        <v>0.276940639269406</v>
      </c>
      <c r="AL3" s="7">
        <f t="shared" si="1"/>
        <v>0.276940639269406</v>
      </c>
      <c r="AM3" s="7">
        <f t="shared" si="1"/>
        <v>0.276940639269406</v>
      </c>
      <c r="AN3" s="7">
        <f t="shared" si="1"/>
        <v>0.276940639269406</v>
      </c>
      <c r="AO3" s="7">
        <f t="shared" si="1"/>
        <v>0.276940639269406</v>
      </c>
      <c r="AP3" s="7">
        <f t="shared" si="1"/>
        <v>0.276940639269406</v>
      </c>
      <c r="AQ3" s="7">
        <f t="shared" si="1"/>
        <v>0.276940639269406</v>
      </c>
      <c r="AR3" s="7">
        <f t="shared" si="1"/>
        <v>0.276940639269406</v>
      </c>
      <c r="AS3" s="7">
        <f t="shared" si="1"/>
        <v>0.276940639269406</v>
      </c>
    </row>
    <row r="4" s="5" customFormat="1" spans="1:45">
      <c r="A4" s="6" t="s">
        <v>412</v>
      </c>
      <c r="B4" s="7">
        <f>Renewable!BA4</f>
        <v>0.815488563438502</v>
      </c>
      <c r="C4" s="7">
        <f>Renewable!BB4</f>
        <v>0.836873734760387</v>
      </c>
      <c r="D4" s="7">
        <f>Renewable!BC4</f>
        <v>0.852375504776432</v>
      </c>
      <c r="E4" s="7">
        <f>Renewable!BD4</f>
        <v>0.847686362527355</v>
      </c>
      <c r="F4" s="7">
        <f>Renewable!BE4</f>
        <v>0.901953753566314</v>
      </c>
      <c r="G4" s="7">
        <f>Renewable!BF4</f>
        <v>0.876487437782608</v>
      </c>
      <c r="H4" s="7">
        <f t="shared" si="0"/>
        <v>0.876487437782608</v>
      </c>
      <c r="I4" s="7">
        <f t="shared" si="1"/>
        <v>0.876487437782608</v>
      </c>
      <c r="J4" s="7">
        <f t="shared" si="1"/>
        <v>0.876487437782608</v>
      </c>
      <c r="K4" s="7">
        <f t="shared" si="1"/>
        <v>0.876487437782608</v>
      </c>
      <c r="L4" s="7">
        <f t="shared" si="1"/>
        <v>0.876487437782608</v>
      </c>
      <c r="M4" s="7">
        <f t="shared" si="1"/>
        <v>0.876487437782608</v>
      </c>
      <c r="N4" s="7">
        <f t="shared" si="1"/>
        <v>0.876487437782608</v>
      </c>
      <c r="O4" s="7">
        <f t="shared" si="1"/>
        <v>0.876487437782608</v>
      </c>
      <c r="P4" s="7">
        <f t="shared" si="1"/>
        <v>0.876487437782608</v>
      </c>
      <c r="Q4" s="7">
        <f t="shared" si="1"/>
        <v>0.876487437782608</v>
      </c>
      <c r="R4" s="7">
        <f t="shared" si="1"/>
        <v>0.876487437782608</v>
      </c>
      <c r="S4" s="7">
        <f t="shared" si="1"/>
        <v>0.876487437782608</v>
      </c>
      <c r="T4" s="7">
        <f t="shared" si="1"/>
        <v>0.876487437782608</v>
      </c>
      <c r="U4" s="7">
        <f t="shared" si="1"/>
        <v>0.876487437782608</v>
      </c>
      <c r="V4" s="7">
        <f t="shared" si="1"/>
        <v>0.876487437782608</v>
      </c>
      <c r="W4" s="7">
        <f t="shared" si="1"/>
        <v>0.876487437782608</v>
      </c>
      <c r="X4" s="7">
        <f t="shared" si="1"/>
        <v>0.876487437782608</v>
      </c>
      <c r="Y4" s="7">
        <f t="shared" si="1"/>
        <v>0.876487437782608</v>
      </c>
      <c r="Z4" s="7">
        <f t="shared" si="1"/>
        <v>0.876487437782608</v>
      </c>
      <c r="AA4" s="7">
        <f t="shared" si="1"/>
        <v>0.876487437782608</v>
      </c>
      <c r="AB4" s="7">
        <f t="shared" si="1"/>
        <v>0.876487437782608</v>
      </c>
      <c r="AC4" s="7">
        <f t="shared" si="1"/>
        <v>0.876487437782608</v>
      </c>
      <c r="AD4" s="7">
        <f t="shared" si="1"/>
        <v>0.876487437782608</v>
      </c>
      <c r="AE4" s="7">
        <f t="shared" si="1"/>
        <v>0.876487437782608</v>
      </c>
      <c r="AF4" s="7">
        <f t="shared" si="1"/>
        <v>0.876487437782608</v>
      </c>
      <c r="AG4" s="7">
        <f t="shared" si="1"/>
        <v>0.876487437782608</v>
      </c>
      <c r="AH4" s="7">
        <f t="shared" si="1"/>
        <v>0.876487437782608</v>
      </c>
      <c r="AI4" s="7">
        <f t="shared" si="1"/>
        <v>0.876487437782608</v>
      </c>
      <c r="AJ4" s="7">
        <f t="shared" si="1"/>
        <v>0.876487437782608</v>
      </c>
      <c r="AK4" s="7">
        <f t="shared" si="1"/>
        <v>0.876487437782608</v>
      </c>
      <c r="AL4" s="7">
        <f t="shared" si="1"/>
        <v>0.876487437782608</v>
      </c>
      <c r="AM4" s="7">
        <f t="shared" si="1"/>
        <v>0.876487437782608</v>
      </c>
      <c r="AN4" s="7">
        <f t="shared" si="1"/>
        <v>0.876487437782608</v>
      </c>
      <c r="AO4" s="7">
        <f t="shared" si="1"/>
        <v>0.876487437782608</v>
      </c>
      <c r="AP4" s="7">
        <f t="shared" si="1"/>
        <v>0.876487437782608</v>
      </c>
      <c r="AQ4" s="7">
        <f t="shared" si="1"/>
        <v>0.876487437782608</v>
      </c>
      <c r="AR4" s="7">
        <f t="shared" si="1"/>
        <v>0.876487437782608</v>
      </c>
      <c r="AS4" s="7">
        <f t="shared" si="1"/>
        <v>0.876487437782608</v>
      </c>
    </row>
    <row r="5" spans="1:45">
      <c r="A5" s="6" t="s">
        <v>413</v>
      </c>
      <c r="B5" s="7">
        <f>SUMIFS(Renewable!BM$4:BM$35,Renewable!$AZ$4:$AZ$35,VLOOKUP(About!$B$47,'Province Selector'!$B$2:$F$33,3,FALSE))</f>
        <v>0.403387496047836</v>
      </c>
      <c r="C5" s="7">
        <f>SUMIFS(Renewable!BN$4:BN$35,Renewable!$AZ$4:$AZ$35,VLOOKUP(About!$B$47,'Province Selector'!$B$2:$F$33,3,FALSE))</f>
        <v>0.403762551834382</v>
      </c>
      <c r="D5" s="7">
        <f>SUMIFS(Renewable!BO$4:BO$35,Renewable!$AZ$4:$AZ$35,VLOOKUP(About!$B$47,'Province Selector'!$B$2:$F$33,3,FALSE))</f>
        <v>0.418337397834078</v>
      </c>
      <c r="E5" s="7">
        <f>SUMIFS(Renewable!BP$4:BP$35,Renewable!$AZ$4:$AZ$35,VLOOKUP(About!$B$47,'Province Selector'!$B$2:$F$33,3,FALSE))</f>
        <v>0.424853393761385</v>
      </c>
      <c r="F5" s="7">
        <f>SUMIFS(Renewable!BQ$4:BQ$35,Renewable!$AZ$4:$AZ$35,VLOOKUP(About!$B$47,'Province Selector'!$B$2:$F$33,3,FALSE))</f>
        <v>0.401872312878186</v>
      </c>
      <c r="G5" s="7">
        <f>SUMIFS(Renewable!BR$4:BR$35,Renewable!$AZ$4:$AZ$35,VLOOKUP(About!$B$47,'Province Selector'!$B$2:$F$33,3,FALSE))</f>
        <v>0.383363112964066</v>
      </c>
      <c r="H5" s="7">
        <f t="shared" si="0"/>
        <v>0.383363112964066</v>
      </c>
      <c r="I5" s="7">
        <f t="shared" si="1"/>
        <v>0.383363112964066</v>
      </c>
      <c r="J5" s="7">
        <f t="shared" si="1"/>
        <v>0.383363112964066</v>
      </c>
      <c r="K5" s="7">
        <f t="shared" si="1"/>
        <v>0.383363112964066</v>
      </c>
      <c r="L5" s="7">
        <f t="shared" si="1"/>
        <v>0.383363112964066</v>
      </c>
      <c r="M5" s="7">
        <f t="shared" si="1"/>
        <v>0.383363112964066</v>
      </c>
      <c r="N5" s="7">
        <f t="shared" si="1"/>
        <v>0.383363112964066</v>
      </c>
      <c r="O5" s="7">
        <f t="shared" si="1"/>
        <v>0.383363112964066</v>
      </c>
      <c r="P5" s="7">
        <f t="shared" si="1"/>
        <v>0.383363112964066</v>
      </c>
      <c r="Q5" s="7">
        <f t="shared" si="1"/>
        <v>0.383363112964066</v>
      </c>
      <c r="R5" s="7">
        <f t="shared" si="1"/>
        <v>0.383363112964066</v>
      </c>
      <c r="S5" s="7">
        <f t="shared" si="1"/>
        <v>0.383363112964066</v>
      </c>
      <c r="T5" s="7">
        <f t="shared" si="1"/>
        <v>0.383363112964066</v>
      </c>
      <c r="U5" s="7">
        <f t="shared" si="1"/>
        <v>0.383363112964066</v>
      </c>
      <c r="V5" s="7">
        <f t="shared" si="1"/>
        <v>0.383363112964066</v>
      </c>
      <c r="W5" s="7">
        <f t="shared" si="1"/>
        <v>0.383363112964066</v>
      </c>
      <c r="X5" s="7">
        <f t="shared" si="1"/>
        <v>0.383363112964066</v>
      </c>
      <c r="Y5" s="7">
        <f t="shared" si="1"/>
        <v>0.383363112964066</v>
      </c>
      <c r="Z5" s="7">
        <f t="shared" si="1"/>
        <v>0.383363112964066</v>
      </c>
      <c r="AA5" s="7">
        <f t="shared" si="1"/>
        <v>0.383363112964066</v>
      </c>
      <c r="AB5" s="7">
        <f t="shared" si="1"/>
        <v>0.383363112964066</v>
      </c>
      <c r="AC5" s="7">
        <f t="shared" si="1"/>
        <v>0.383363112964066</v>
      </c>
      <c r="AD5" s="7">
        <f t="shared" si="1"/>
        <v>0.383363112964066</v>
      </c>
      <c r="AE5" s="7">
        <f t="shared" si="1"/>
        <v>0.383363112964066</v>
      </c>
      <c r="AF5" s="7">
        <f t="shared" si="1"/>
        <v>0.383363112964066</v>
      </c>
      <c r="AG5" s="7">
        <f t="shared" si="1"/>
        <v>0.383363112964066</v>
      </c>
      <c r="AH5" s="7">
        <f t="shared" si="1"/>
        <v>0.383363112964066</v>
      </c>
      <c r="AI5" s="7">
        <f t="shared" si="1"/>
        <v>0.383363112964066</v>
      </c>
      <c r="AJ5" s="7">
        <f t="shared" si="1"/>
        <v>0.383363112964066</v>
      </c>
      <c r="AK5" s="7">
        <f t="shared" si="1"/>
        <v>0.383363112964066</v>
      </c>
      <c r="AL5" s="7">
        <f t="shared" si="1"/>
        <v>0.383363112964066</v>
      </c>
      <c r="AM5" s="7">
        <f t="shared" si="1"/>
        <v>0.383363112964066</v>
      </c>
      <c r="AN5" s="7">
        <f t="shared" si="1"/>
        <v>0.383363112964066</v>
      </c>
      <c r="AO5" s="7">
        <f t="shared" si="1"/>
        <v>0.383363112964066</v>
      </c>
      <c r="AP5" s="7">
        <f t="shared" si="1"/>
        <v>0.383363112964066</v>
      </c>
      <c r="AQ5" s="7">
        <f t="shared" si="1"/>
        <v>0.383363112964066</v>
      </c>
      <c r="AR5" s="7">
        <f t="shared" si="1"/>
        <v>0.383363112964066</v>
      </c>
      <c r="AS5" s="7">
        <f t="shared" si="1"/>
        <v>0.383363112964066</v>
      </c>
    </row>
    <row r="6" spans="1:45">
      <c r="A6" s="6" t="s">
        <v>414</v>
      </c>
      <c r="B6" s="7">
        <f>SUMIFS(Renewable!BG$4:BG$35,Renewable!$AZ$4:$AZ$35,VLOOKUP(About!$B$47,'Province Selector'!$B$2:$F$33,3,FALSE))</f>
        <v>0.223274726283218</v>
      </c>
      <c r="C6" s="7">
        <f>SUMIFS(Renewable!BH$4:BH$35,Renewable!$AZ$4:$AZ$35,VLOOKUP(About!$B$47,'Province Selector'!$B$2:$F$33,3,FALSE))</f>
        <v>0.239802399675998</v>
      </c>
      <c r="D6" s="7">
        <f>SUMIFS(Renewable!BI$4:BI$35,Renewable!$AZ$4:$AZ$35,VLOOKUP(About!$B$47,'Province Selector'!$B$2:$F$33,3,FALSE))</f>
        <v>0.235204734317885</v>
      </c>
      <c r="E6" s="7">
        <f>SUMIFS(Renewable!BJ$4:BJ$35,Renewable!$AZ$4:$AZ$35,VLOOKUP(About!$B$47,'Province Selector'!$B$2:$F$33,3,FALSE))</f>
        <v>0.21700662044635</v>
      </c>
      <c r="F6" s="7">
        <f>SUMIFS(Renewable!BK$4:BK$35,Renewable!$AZ$4:$AZ$35,VLOOKUP(About!$B$47,'Province Selector'!$B$2:$F$33,3,FALSE))</f>
        <v>0.245307732153582</v>
      </c>
      <c r="G6" s="7">
        <f>SUMIFS(Renewable!BL$4:BL$35,Renewable!$AZ$4:$AZ$35,VLOOKUP(About!$B$47,'Province Selector'!$B$2:$F$33,3,FALSE))</f>
        <v>0.250686148110664</v>
      </c>
      <c r="H6" s="7">
        <f t="shared" si="0"/>
        <v>0.250686148110664</v>
      </c>
      <c r="I6" s="7">
        <f t="shared" si="1"/>
        <v>0.250686148110664</v>
      </c>
      <c r="J6" s="7">
        <f t="shared" si="1"/>
        <v>0.250686148110664</v>
      </c>
      <c r="K6" s="7">
        <f t="shared" si="1"/>
        <v>0.250686148110664</v>
      </c>
      <c r="L6" s="7">
        <f t="shared" si="1"/>
        <v>0.250686148110664</v>
      </c>
      <c r="M6" s="7">
        <f t="shared" si="1"/>
        <v>0.250686148110664</v>
      </c>
      <c r="N6" s="7">
        <f t="shared" si="1"/>
        <v>0.250686148110664</v>
      </c>
      <c r="O6" s="7">
        <f t="shared" si="1"/>
        <v>0.250686148110664</v>
      </c>
      <c r="P6" s="7">
        <f t="shared" si="1"/>
        <v>0.250686148110664</v>
      </c>
      <c r="Q6" s="7">
        <f t="shared" si="1"/>
        <v>0.250686148110664</v>
      </c>
      <c r="R6" s="7">
        <f t="shared" si="1"/>
        <v>0.250686148110664</v>
      </c>
      <c r="S6" s="7">
        <f t="shared" si="1"/>
        <v>0.250686148110664</v>
      </c>
      <c r="T6" s="7">
        <f t="shared" si="1"/>
        <v>0.250686148110664</v>
      </c>
      <c r="U6" s="7">
        <f t="shared" si="1"/>
        <v>0.250686148110664</v>
      </c>
      <c r="V6" s="7">
        <f t="shared" si="1"/>
        <v>0.250686148110664</v>
      </c>
      <c r="W6" s="7">
        <f t="shared" si="1"/>
        <v>0.250686148110664</v>
      </c>
      <c r="X6" s="7">
        <f t="shared" si="1"/>
        <v>0.250686148110664</v>
      </c>
      <c r="Y6" s="7">
        <f t="shared" si="1"/>
        <v>0.250686148110664</v>
      </c>
      <c r="Z6" s="7">
        <f t="shared" si="1"/>
        <v>0.250686148110664</v>
      </c>
      <c r="AA6" s="7">
        <f t="shared" si="1"/>
        <v>0.250686148110664</v>
      </c>
      <c r="AB6" s="7">
        <f t="shared" si="1"/>
        <v>0.250686148110664</v>
      </c>
      <c r="AC6" s="7">
        <f t="shared" si="1"/>
        <v>0.250686148110664</v>
      </c>
      <c r="AD6" s="7">
        <f t="shared" si="1"/>
        <v>0.250686148110664</v>
      </c>
      <c r="AE6" s="7">
        <f t="shared" si="1"/>
        <v>0.250686148110664</v>
      </c>
      <c r="AF6" s="7">
        <f t="shared" si="1"/>
        <v>0.250686148110664</v>
      </c>
      <c r="AG6" s="7">
        <f t="shared" si="1"/>
        <v>0.250686148110664</v>
      </c>
      <c r="AH6" s="7">
        <f t="shared" si="1"/>
        <v>0.250686148110664</v>
      </c>
      <c r="AI6" s="7">
        <f t="shared" si="1"/>
        <v>0.250686148110664</v>
      </c>
      <c r="AJ6" s="7">
        <f t="shared" si="1"/>
        <v>0.250686148110664</v>
      </c>
      <c r="AK6" s="7">
        <f t="shared" si="1"/>
        <v>0.250686148110664</v>
      </c>
      <c r="AL6" s="7">
        <f t="shared" si="1"/>
        <v>0.250686148110664</v>
      </c>
      <c r="AM6" s="7">
        <f t="shared" si="1"/>
        <v>0.250686148110664</v>
      </c>
      <c r="AN6" s="7">
        <f t="shared" si="1"/>
        <v>0.250686148110664</v>
      </c>
      <c r="AO6" s="7">
        <f t="shared" si="1"/>
        <v>0.250686148110664</v>
      </c>
      <c r="AP6" s="7">
        <f t="shared" si="1"/>
        <v>0.250686148110664</v>
      </c>
      <c r="AQ6" s="7">
        <f t="shared" si="1"/>
        <v>0.250686148110664</v>
      </c>
      <c r="AR6" s="7">
        <f t="shared" si="1"/>
        <v>0.250686148110664</v>
      </c>
      <c r="AS6" s="7">
        <f t="shared" si="1"/>
        <v>0.250686148110664</v>
      </c>
    </row>
    <row r="7" spans="1:45">
      <c r="A7" s="6" t="s">
        <v>415</v>
      </c>
      <c r="B7" s="8">
        <f>VLOOKUP(VLOOKUP(About!$B$47,'Province Selector'!$B$2:$F$33,3,FALSE),Solar!$AK$3:$AQ$34,B1-2015,FALSE)</f>
        <v>0.145265287894805</v>
      </c>
      <c r="C7" s="8">
        <f>VLOOKUP(VLOOKUP(About!$B$47,'Province Selector'!$B$2:$F$33,3,FALSE),Solar!$AK$3:$AQ$34,C1-2015,FALSE)</f>
        <v>0.144697936508934</v>
      </c>
      <c r="D7" s="8">
        <f>VLOOKUP(VLOOKUP(About!$B$47,'Province Selector'!$B$2:$F$33,3,FALSE),Solar!$AK$3:$AQ$34,D1-2015,FALSE)</f>
        <v>0.145975066187106</v>
      </c>
      <c r="E7" s="8">
        <f>VLOOKUP(VLOOKUP(About!$B$47,'Province Selector'!$B$2:$F$33,3,FALSE),Solar!$AK$3:$AQ$34,E1-2015,FALSE)</f>
        <v>0.140231350633768</v>
      </c>
      <c r="F7" s="8">
        <f>VLOOKUP(VLOOKUP(About!$B$47,'Province Selector'!$B$2:$F$33,3,FALSE),Solar!$AK$3:$AQ$34,F1-2015,FALSE)</f>
        <v>0.144170311043136</v>
      </c>
      <c r="G7" s="8">
        <f>VLOOKUP(VLOOKUP(About!$B$47,'Province Selector'!$B$2:$F$33,3,FALSE),Solar!$AK$3:$AQ$34,G1-2015,FALSE)</f>
        <v>0.149727055962539</v>
      </c>
      <c r="H7" s="7">
        <f t="shared" si="0"/>
        <v>0.149727055962539</v>
      </c>
      <c r="I7" s="7">
        <f t="shared" si="1"/>
        <v>0.149727055962539</v>
      </c>
      <c r="J7" s="7">
        <f t="shared" si="1"/>
        <v>0.149727055962539</v>
      </c>
      <c r="K7" s="7">
        <f t="shared" si="1"/>
        <v>0.149727055962539</v>
      </c>
      <c r="L7" s="7">
        <f t="shared" si="1"/>
        <v>0.149727055962539</v>
      </c>
      <c r="M7" s="7">
        <f t="shared" si="1"/>
        <v>0.149727055962539</v>
      </c>
      <c r="N7" s="7">
        <f t="shared" si="1"/>
        <v>0.149727055962539</v>
      </c>
      <c r="O7" s="7">
        <f t="shared" si="1"/>
        <v>0.149727055962539</v>
      </c>
      <c r="P7" s="7">
        <f t="shared" si="1"/>
        <v>0.149727055962539</v>
      </c>
      <c r="Q7" s="7">
        <f t="shared" si="1"/>
        <v>0.149727055962539</v>
      </c>
      <c r="R7" s="7">
        <f t="shared" si="1"/>
        <v>0.149727055962539</v>
      </c>
      <c r="S7" s="7">
        <f t="shared" si="1"/>
        <v>0.149727055962539</v>
      </c>
      <c r="T7" s="7">
        <f t="shared" si="1"/>
        <v>0.149727055962539</v>
      </c>
      <c r="U7" s="7">
        <f t="shared" si="1"/>
        <v>0.149727055962539</v>
      </c>
      <c r="V7" s="7">
        <f t="shared" si="1"/>
        <v>0.149727055962539</v>
      </c>
      <c r="W7" s="7">
        <f t="shared" si="1"/>
        <v>0.149727055962539</v>
      </c>
      <c r="X7" s="7">
        <f t="shared" si="1"/>
        <v>0.149727055962539</v>
      </c>
      <c r="Y7" s="7">
        <f t="shared" si="1"/>
        <v>0.149727055962539</v>
      </c>
      <c r="Z7" s="7">
        <f t="shared" si="1"/>
        <v>0.149727055962539</v>
      </c>
      <c r="AA7" s="7">
        <f t="shared" si="1"/>
        <v>0.149727055962539</v>
      </c>
      <c r="AB7" s="7">
        <f t="shared" si="1"/>
        <v>0.149727055962539</v>
      </c>
      <c r="AC7" s="7">
        <f t="shared" si="1"/>
        <v>0.149727055962539</v>
      </c>
      <c r="AD7" s="7">
        <f t="shared" si="1"/>
        <v>0.149727055962539</v>
      </c>
      <c r="AE7" s="7">
        <f t="shared" si="1"/>
        <v>0.149727055962539</v>
      </c>
      <c r="AF7" s="7">
        <f t="shared" si="1"/>
        <v>0.149727055962539</v>
      </c>
      <c r="AG7" s="7">
        <f t="shared" si="1"/>
        <v>0.149727055962539</v>
      </c>
      <c r="AH7" s="7">
        <f t="shared" si="1"/>
        <v>0.149727055962539</v>
      </c>
      <c r="AI7" s="7">
        <f t="shared" si="1"/>
        <v>0.149727055962539</v>
      </c>
      <c r="AJ7" s="7">
        <f t="shared" si="1"/>
        <v>0.149727055962539</v>
      </c>
      <c r="AK7" s="7">
        <f t="shared" si="1"/>
        <v>0.149727055962539</v>
      </c>
      <c r="AL7" s="7">
        <f t="shared" si="1"/>
        <v>0.149727055962539</v>
      </c>
      <c r="AM7" s="7">
        <f t="shared" si="1"/>
        <v>0.149727055962539</v>
      </c>
      <c r="AN7" s="7">
        <f t="shared" si="1"/>
        <v>0.149727055962539</v>
      </c>
      <c r="AO7" s="7">
        <f t="shared" si="1"/>
        <v>0.149727055962539</v>
      </c>
      <c r="AP7" s="7">
        <f t="shared" si="1"/>
        <v>0.149727055962539</v>
      </c>
      <c r="AQ7" s="7">
        <f t="shared" si="1"/>
        <v>0.149727055962539</v>
      </c>
      <c r="AR7" s="7">
        <f t="shared" si="1"/>
        <v>0.149727055962539</v>
      </c>
      <c r="AS7" s="7">
        <f t="shared" si="1"/>
        <v>0.149727055962539</v>
      </c>
    </row>
    <row r="8" s="5" customFormat="1" spans="1:45">
      <c r="A8" s="6" t="s">
        <v>416</v>
      </c>
      <c r="B8" s="7">
        <f>'Solar Thermal'!$M$2</f>
        <v>0.553658982538697</v>
      </c>
      <c r="C8" s="7">
        <f>'Solar Thermal'!$M$2</f>
        <v>0.553658982538697</v>
      </c>
      <c r="D8" s="7">
        <f>'Solar Thermal'!$M$2</f>
        <v>0.553658982538697</v>
      </c>
      <c r="E8" s="7">
        <f>'Solar Thermal'!$M$2</f>
        <v>0.553658982538697</v>
      </c>
      <c r="F8" s="7">
        <f>'Solar Thermal'!$M$2</f>
        <v>0.553658982538697</v>
      </c>
      <c r="G8" s="7">
        <f>'Solar Thermal'!$M$2</f>
        <v>0.553658982538697</v>
      </c>
      <c r="H8" s="7">
        <f t="shared" si="0"/>
        <v>0.553658982538697</v>
      </c>
      <c r="I8" s="7">
        <f t="shared" si="1"/>
        <v>0.553658982538697</v>
      </c>
      <c r="J8" s="7">
        <f t="shared" si="1"/>
        <v>0.553658982538697</v>
      </c>
      <c r="K8" s="7">
        <f t="shared" si="1"/>
        <v>0.553658982538697</v>
      </c>
      <c r="L8" s="7">
        <f t="shared" si="1"/>
        <v>0.553658982538697</v>
      </c>
      <c r="M8" s="7">
        <f t="shared" si="1"/>
        <v>0.553658982538697</v>
      </c>
      <c r="N8" s="7">
        <f t="shared" si="1"/>
        <v>0.553658982538697</v>
      </c>
      <c r="O8" s="7">
        <f t="shared" si="1"/>
        <v>0.553658982538697</v>
      </c>
      <c r="P8" s="7">
        <f t="shared" si="1"/>
        <v>0.553658982538697</v>
      </c>
      <c r="Q8" s="7">
        <f t="shared" si="1"/>
        <v>0.553658982538697</v>
      </c>
      <c r="R8" s="7">
        <f t="shared" si="1"/>
        <v>0.553658982538697</v>
      </c>
      <c r="S8" s="7">
        <f t="shared" si="1"/>
        <v>0.553658982538697</v>
      </c>
      <c r="T8" s="7">
        <f t="shared" si="1"/>
        <v>0.553658982538697</v>
      </c>
      <c r="U8" s="7">
        <f t="shared" si="1"/>
        <v>0.553658982538697</v>
      </c>
      <c r="V8" s="7">
        <f t="shared" si="1"/>
        <v>0.553658982538697</v>
      </c>
      <c r="W8" s="7">
        <f t="shared" si="1"/>
        <v>0.553658982538697</v>
      </c>
      <c r="X8" s="7">
        <f t="shared" si="1"/>
        <v>0.553658982538697</v>
      </c>
      <c r="Y8" s="7">
        <f t="shared" si="1"/>
        <v>0.553658982538697</v>
      </c>
      <c r="Z8" s="7">
        <f t="shared" si="1"/>
        <v>0.553658982538697</v>
      </c>
      <c r="AA8" s="7">
        <f t="shared" si="1"/>
        <v>0.553658982538697</v>
      </c>
      <c r="AB8" s="7">
        <f t="shared" si="1"/>
        <v>0.553658982538697</v>
      </c>
      <c r="AC8" s="7">
        <f t="shared" si="1"/>
        <v>0.553658982538697</v>
      </c>
      <c r="AD8" s="7">
        <f t="shared" si="1"/>
        <v>0.553658982538697</v>
      </c>
      <c r="AE8" s="7">
        <f t="shared" si="1"/>
        <v>0.553658982538697</v>
      </c>
      <c r="AF8" s="7">
        <f t="shared" si="1"/>
        <v>0.553658982538697</v>
      </c>
      <c r="AG8" s="7">
        <f t="shared" si="1"/>
        <v>0.553658982538697</v>
      </c>
      <c r="AH8" s="7">
        <f t="shared" si="1"/>
        <v>0.553658982538697</v>
      </c>
      <c r="AI8" s="7">
        <f t="shared" si="1"/>
        <v>0.553658982538697</v>
      </c>
      <c r="AJ8" s="7">
        <f t="shared" si="1"/>
        <v>0.553658982538697</v>
      </c>
      <c r="AK8" s="7">
        <f t="shared" si="1"/>
        <v>0.553658982538697</v>
      </c>
      <c r="AL8" s="7">
        <f t="shared" si="1"/>
        <v>0.553658982538697</v>
      </c>
      <c r="AM8" s="7">
        <f t="shared" si="1"/>
        <v>0.553658982538697</v>
      </c>
      <c r="AN8" s="7">
        <f t="shared" si="1"/>
        <v>0.553658982538697</v>
      </c>
      <c r="AO8" s="7">
        <f t="shared" si="1"/>
        <v>0.553658982538697</v>
      </c>
      <c r="AP8" s="7">
        <f t="shared" si="1"/>
        <v>0.553658982538697</v>
      </c>
      <c r="AQ8" s="7">
        <f t="shared" si="1"/>
        <v>0.553658982538697</v>
      </c>
      <c r="AR8" s="7">
        <f t="shared" si="1"/>
        <v>0.553658982538697</v>
      </c>
      <c r="AS8" s="7">
        <f t="shared" si="1"/>
        <v>0.553658982538697</v>
      </c>
    </row>
    <row r="9" spans="1:45">
      <c r="A9" s="6" t="s">
        <v>417</v>
      </c>
      <c r="B9" s="7">
        <f>SUMIFS(Biomass!X:X,Biomass!$U:$U,VLOOKUP(About!$B$47,'Province Selector'!$B:$F,3,FALSE),Biomass!$V:$V,"生物质")</f>
        <v>0.606735159817352</v>
      </c>
      <c r="C9" s="7">
        <f>SUMIFS(Biomass!Y:Y,Biomass!$U:$U,VLOOKUP(About!$B$47,'Province Selector'!$B:$F,3,FALSE),Biomass!$V:$V,"生物质")</f>
        <v>0.589611872146119</v>
      </c>
      <c r="D9" s="7">
        <f>SUMIFS(Biomass!Z:Z,Biomass!$U:$U,VLOOKUP(About!$B$47,'Province Selector'!$B:$F,3,FALSE),Biomass!$V:$V,"生物质")</f>
        <v>0.593721461187215</v>
      </c>
      <c r="E9" s="7">
        <f>SUMIFS(Biomass!AA:AA,Biomass!$U:$U,VLOOKUP(About!$B$47,'Province Selector'!$B:$F,3,FALSE),Biomass!$V:$V,"生物质")</f>
        <v>0.593150684931507</v>
      </c>
      <c r="F9" s="7">
        <f>SUMIFS(Biomass!AB:AB,Biomass!$U:$U,VLOOKUP(About!$B$47,'Province Selector'!$B:$F,3,FALSE),Biomass!$V:$V,"生物质")</f>
        <v>0.562214611872146</v>
      </c>
      <c r="G9" s="7">
        <f>SUMIFS(Biomass!AC:AC,Biomass!$U:$U,VLOOKUP(About!$B$47,'Province Selector'!$B:$F,3,FALSE),Biomass!$V:$V,"生物质")</f>
        <v>0.531278538812785</v>
      </c>
      <c r="H9" s="7">
        <f t="shared" si="0"/>
        <v>0.531278538812785</v>
      </c>
      <c r="I9" s="7">
        <f t="shared" si="1"/>
        <v>0.531278538812785</v>
      </c>
      <c r="J9" s="7">
        <f t="shared" si="1"/>
        <v>0.531278538812785</v>
      </c>
      <c r="K9" s="7">
        <f t="shared" si="1"/>
        <v>0.531278538812785</v>
      </c>
      <c r="L9" s="7">
        <f t="shared" si="1"/>
        <v>0.531278538812785</v>
      </c>
      <c r="M9" s="7">
        <f t="shared" si="1"/>
        <v>0.531278538812785</v>
      </c>
      <c r="N9" s="7">
        <f t="shared" si="1"/>
        <v>0.531278538812785</v>
      </c>
      <c r="O9" s="7">
        <f t="shared" si="1"/>
        <v>0.531278538812785</v>
      </c>
      <c r="P9" s="7">
        <f t="shared" si="1"/>
        <v>0.531278538812785</v>
      </c>
      <c r="Q9" s="7">
        <f t="shared" si="1"/>
        <v>0.531278538812785</v>
      </c>
      <c r="R9" s="7">
        <f t="shared" si="1"/>
        <v>0.531278538812785</v>
      </c>
      <c r="S9" s="7">
        <f t="shared" si="1"/>
        <v>0.531278538812785</v>
      </c>
      <c r="T9" s="7">
        <f t="shared" ref="T9:AS9" si="3">$G9</f>
        <v>0.531278538812785</v>
      </c>
      <c r="U9" s="7">
        <f t="shared" si="3"/>
        <v>0.531278538812785</v>
      </c>
      <c r="V9" s="7">
        <f t="shared" si="3"/>
        <v>0.531278538812785</v>
      </c>
      <c r="W9" s="7">
        <f t="shared" si="3"/>
        <v>0.531278538812785</v>
      </c>
      <c r="X9" s="7">
        <f t="shared" si="3"/>
        <v>0.531278538812785</v>
      </c>
      <c r="Y9" s="7">
        <f t="shared" si="3"/>
        <v>0.531278538812785</v>
      </c>
      <c r="Z9" s="7">
        <f t="shared" si="3"/>
        <v>0.531278538812785</v>
      </c>
      <c r="AA9" s="7">
        <f t="shared" si="3"/>
        <v>0.531278538812785</v>
      </c>
      <c r="AB9" s="7">
        <f t="shared" si="3"/>
        <v>0.531278538812785</v>
      </c>
      <c r="AC9" s="7">
        <f t="shared" si="3"/>
        <v>0.531278538812785</v>
      </c>
      <c r="AD9" s="7">
        <f t="shared" si="3"/>
        <v>0.531278538812785</v>
      </c>
      <c r="AE9" s="7">
        <f t="shared" si="3"/>
        <v>0.531278538812785</v>
      </c>
      <c r="AF9" s="7">
        <f t="shared" si="3"/>
        <v>0.531278538812785</v>
      </c>
      <c r="AG9" s="7">
        <f t="shared" si="3"/>
        <v>0.531278538812785</v>
      </c>
      <c r="AH9" s="7">
        <f t="shared" si="3"/>
        <v>0.531278538812785</v>
      </c>
      <c r="AI9" s="7">
        <f t="shared" si="3"/>
        <v>0.531278538812785</v>
      </c>
      <c r="AJ9" s="7">
        <f t="shared" si="3"/>
        <v>0.531278538812785</v>
      </c>
      <c r="AK9" s="7">
        <f t="shared" si="3"/>
        <v>0.531278538812785</v>
      </c>
      <c r="AL9" s="7">
        <f t="shared" si="3"/>
        <v>0.531278538812785</v>
      </c>
      <c r="AM9" s="7">
        <f t="shared" si="3"/>
        <v>0.531278538812785</v>
      </c>
      <c r="AN9" s="7">
        <f t="shared" si="3"/>
        <v>0.531278538812785</v>
      </c>
      <c r="AO9" s="7">
        <f t="shared" si="3"/>
        <v>0.531278538812785</v>
      </c>
      <c r="AP9" s="7">
        <f t="shared" si="3"/>
        <v>0.531278538812785</v>
      </c>
      <c r="AQ9" s="7">
        <f t="shared" si="3"/>
        <v>0.531278538812785</v>
      </c>
      <c r="AR9" s="7">
        <f t="shared" si="3"/>
        <v>0.531278538812785</v>
      </c>
      <c r="AS9" s="7">
        <f t="shared" si="3"/>
        <v>0.531278538812785</v>
      </c>
    </row>
    <row r="10" s="5" customFormat="1" spans="1:45">
      <c r="A10" s="6" t="s">
        <v>418</v>
      </c>
      <c r="B10" s="9">
        <f>$F$10</f>
        <v>0.337</v>
      </c>
      <c r="C10" s="9">
        <f>$F$10</f>
        <v>0.337</v>
      </c>
      <c r="D10" s="9">
        <f>$F$10</f>
        <v>0.337</v>
      </c>
      <c r="E10" s="9">
        <f>$F$10</f>
        <v>0.337</v>
      </c>
      <c r="F10" s="10">
        <f>Geothermal!E23</f>
        <v>0.337</v>
      </c>
      <c r="G10" s="10">
        <f>F10</f>
        <v>0.337</v>
      </c>
      <c r="H10" s="7">
        <f t="shared" si="0"/>
        <v>0.337</v>
      </c>
      <c r="I10" s="7">
        <f t="shared" ref="I10:AS10" si="4">$G10</f>
        <v>0.337</v>
      </c>
      <c r="J10" s="7">
        <f t="shared" si="4"/>
        <v>0.337</v>
      </c>
      <c r="K10" s="7">
        <f t="shared" si="4"/>
        <v>0.337</v>
      </c>
      <c r="L10" s="7">
        <f t="shared" si="4"/>
        <v>0.337</v>
      </c>
      <c r="M10" s="7">
        <f t="shared" si="4"/>
        <v>0.337</v>
      </c>
      <c r="N10" s="7">
        <f t="shared" si="4"/>
        <v>0.337</v>
      </c>
      <c r="O10" s="7">
        <f t="shared" si="4"/>
        <v>0.337</v>
      </c>
      <c r="P10" s="7">
        <f t="shared" si="4"/>
        <v>0.337</v>
      </c>
      <c r="Q10" s="7">
        <f t="shared" si="4"/>
        <v>0.337</v>
      </c>
      <c r="R10" s="7">
        <f t="shared" si="4"/>
        <v>0.337</v>
      </c>
      <c r="S10" s="7">
        <f t="shared" si="4"/>
        <v>0.337</v>
      </c>
      <c r="T10" s="7">
        <f t="shared" si="4"/>
        <v>0.337</v>
      </c>
      <c r="U10" s="7">
        <f t="shared" si="4"/>
        <v>0.337</v>
      </c>
      <c r="V10" s="7">
        <f t="shared" si="4"/>
        <v>0.337</v>
      </c>
      <c r="W10" s="7">
        <f t="shared" si="4"/>
        <v>0.337</v>
      </c>
      <c r="X10" s="7">
        <f t="shared" si="4"/>
        <v>0.337</v>
      </c>
      <c r="Y10" s="7">
        <f t="shared" si="4"/>
        <v>0.337</v>
      </c>
      <c r="Z10" s="7">
        <f t="shared" si="4"/>
        <v>0.337</v>
      </c>
      <c r="AA10" s="7">
        <f t="shared" si="4"/>
        <v>0.337</v>
      </c>
      <c r="AB10" s="7">
        <f t="shared" si="4"/>
        <v>0.337</v>
      </c>
      <c r="AC10" s="7">
        <f t="shared" si="4"/>
        <v>0.337</v>
      </c>
      <c r="AD10" s="7">
        <f t="shared" si="4"/>
        <v>0.337</v>
      </c>
      <c r="AE10" s="7">
        <f t="shared" si="4"/>
        <v>0.337</v>
      </c>
      <c r="AF10" s="7">
        <f t="shared" si="4"/>
        <v>0.337</v>
      </c>
      <c r="AG10" s="7">
        <f t="shared" si="4"/>
        <v>0.337</v>
      </c>
      <c r="AH10" s="7">
        <f t="shared" si="4"/>
        <v>0.337</v>
      </c>
      <c r="AI10" s="7">
        <f t="shared" si="4"/>
        <v>0.337</v>
      </c>
      <c r="AJ10" s="7">
        <f t="shared" si="4"/>
        <v>0.337</v>
      </c>
      <c r="AK10" s="7">
        <f t="shared" si="4"/>
        <v>0.337</v>
      </c>
      <c r="AL10" s="7">
        <f t="shared" si="4"/>
        <v>0.337</v>
      </c>
      <c r="AM10" s="7">
        <f t="shared" si="4"/>
        <v>0.337</v>
      </c>
      <c r="AN10" s="7">
        <f t="shared" si="4"/>
        <v>0.337</v>
      </c>
      <c r="AO10" s="7">
        <f t="shared" si="4"/>
        <v>0.337</v>
      </c>
      <c r="AP10" s="7">
        <f t="shared" si="4"/>
        <v>0.337</v>
      </c>
      <c r="AQ10" s="7">
        <f t="shared" si="4"/>
        <v>0.337</v>
      </c>
      <c r="AR10" s="7">
        <f t="shared" si="4"/>
        <v>0.337</v>
      </c>
      <c r="AS10" s="7">
        <f t="shared" si="4"/>
        <v>0.337</v>
      </c>
    </row>
    <row r="11" s="5" customFormat="1" spans="1:45">
      <c r="A11" s="6" t="s">
        <v>419</v>
      </c>
      <c r="B11" s="7">
        <f>SUMIFS(Thermal!AA:AA,Thermal!$X:$X,"全国",Thermal!$Y:$Y,"燃油")</f>
        <v>0.157420091324201</v>
      </c>
      <c r="C11" s="7">
        <f>SUMIFS(Thermal!AB:AB,Thermal!$X:$X,"全国",Thermal!$Y:$Y,"燃油")</f>
        <v>0.103082191780822</v>
      </c>
      <c r="D11" s="7">
        <f>SUMIFS(Thermal!AC:AC,Thermal!$X:$X,"全国",Thermal!$Y:$Y,"燃油")</f>
        <v>0.0867579908675799</v>
      </c>
      <c r="E11" s="7">
        <f>SUMIFS(Thermal!AD:AD,Thermal!$X:$X,"全国",Thermal!$Y:$Y,"燃油")</f>
        <v>0.0985159817351598</v>
      </c>
      <c r="F11" s="7">
        <f>SUMIFS(Thermal!AE:AE,Thermal!$X:$X,"全国",Thermal!$Y:$Y,"燃油")</f>
        <v>0.115639269406393</v>
      </c>
      <c r="G11" s="7">
        <f>SUMIFS(Thermal!AF:AF,Thermal!$X:$X,"全国",Thermal!$Y:$Y,"燃油")</f>
        <v>0.0691780821917808</v>
      </c>
      <c r="H11" s="7">
        <f>MEDIAN(B11:G11)</f>
        <v>0.100799086757991</v>
      </c>
      <c r="I11" s="7">
        <f t="shared" ref="I11:J11" si="5">MEDIAN(C11:H11)</f>
        <v>0.0996575342465753</v>
      </c>
      <c r="J11" s="7">
        <f t="shared" si="5"/>
        <v>0.0990867579908676</v>
      </c>
      <c r="K11" s="7">
        <f t="shared" ref="K11" si="6">MEDIAN(E11:J11)</f>
        <v>0.0993721461187215</v>
      </c>
      <c r="L11" s="7">
        <f t="shared" ref="L11" si="7">MEDIAN(F11:K11)</f>
        <v>0.0995148401826484</v>
      </c>
      <c r="M11" s="7">
        <f t="shared" ref="M11" si="8">MEDIAN(G11:L11)</f>
        <v>0.0994434931506849</v>
      </c>
      <c r="N11" s="7">
        <f t="shared" ref="N11" si="9">MEDIAN(H11:M11)</f>
        <v>0.0994791666666667</v>
      </c>
      <c r="O11" s="7">
        <f t="shared" ref="O11" si="10">MEDIAN(I11:N11)</f>
        <v>0.0994613299086758</v>
      </c>
      <c r="P11" s="7">
        <f t="shared" ref="P11" si="11">MEDIAN(J11:O11)</f>
        <v>0.0994524115296804</v>
      </c>
      <c r="Q11" s="7">
        <f t="shared" ref="Q11" si="12">MEDIAN(K11:P11)</f>
        <v>0.0994568707191781</v>
      </c>
      <c r="R11" s="7">
        <f t="shared" ref="R11" si="13">MEDIAN(L11:Q11)</f>
        <v>0.0994591003139269</v>
      </c>
      <c r="S11" s="7">
        <f t="shared" ref="S11" si="14">MEDIAN(M11:R11)</f>
        <v>0.0994579855165525</v>
      </c>
      <c r="T11" s="7">
        <f t="shared" ref="T11" si="15">MEDIAN(N11:S11)</f>
        <v>0.0994585429152397</v>
      </c>
      <c r="U11" s="7">
        <f t="shared" ref="U11" si="16">MEDIAN(O11:T11)</f>
        <v>0.0994582642158961</v>
      </c>
      <c r="V11" s="7">
        <f t="shared" ref="V11" si="17">MEDIAN(P11:U11)</f>
        <v>0.0994581248662243</v>
      </c>
      <c r="W11" s="7">
        <f t="shared" ref="W11" si="18">MEDIAN(Q11:V11)</f>
        <v>0.0994581945410602</v>
      </c>
      <c r="X11" s="7">
        <f t="shared" ref="X11" si="19">MEDIAN(R11:W11)</f>
        <v>0.0994582293784782</v>
      </c>
      <c r="Y11" s="7">
        <f t="shared" ref="Y11" si="20">MEDIAN(S11:X11)</f>
        <v>0.0994582119597692</v>
      </c>
      <c r="Z11" s="7">
        <f t="shared" ref="Z11" si="21">MEDIAN(T11:Y11)</f>
        <v>0.0994582206691237</v>
      </c>
      <c r="AA11" s="7">
        <f t="shared" ref="AA11" si="22">MEDIAN(U11:Z11)</f>
        <v>0.0994582163144464</v>
      </c>
      <c r="AB11" s="7">
        <f t="shared" ref="AB11" si="23">MEDIAN(V11:AA11)</f>
        <v>0.0994582141371078</v>
      </c>
      <c r="AC11" s="7">
        <f t="shared" ref="AC11" si="24">MEDIAN(W11:AB11)</f>
        <v>0.0994582152257771</v>
      </c>
      <c r="AD11" s="7">
        <f t="shared" ref="AD11" si="25">MEDIAN(X11:AC11)</f>
        <v>0.0994582157701118</v>
      </c>
      <c r="AE11" s="7">
        <f t="shared" ref="AE11" si="26">MEDIAN(Y11:AD11)</f>
        <v>0.0994582154979445</v>
      </c>
      <c r="AF11" s="7">
        <f t="shared" ref="AF11" si="27">MEDIAN(Z11:AE11)</f>
        <v>0.0994582156340281</v>
      </c>
      <c r="AG11" s="7">
        <f t="shared" ref="AG11" si="28">MEDIAN(AA11:AF11)</f>
        <v>0.0994582155659863</v>
      </c>
      <c r="AH11" s="7">
        <f t="shared" ref="AH11" si="29">MEDIAN(AB11:AG11)</f>
        <v>0.0994582155319654</v>
      </c>
      <c r="AI11" s="7">
        <f t="shared" ref="AI11" si="30">MEDIAN(AC11:AH11)</f>
        <v>0.0994582155489758</v>
      </c>
      <c r="AJ11" s="7">
        <f t="shared" ref="AJ11" si="31">MEDIAN(AD11:AI11)</f>
        <v>0.0994582155574811</v>
      </c>
      <c r="AK11" s="7">
        <f t="shared" ref="AK11" si="32">MEDIAN(AE11:AJ11)</f>
        <v>0.0994582155532285</v>
      </c>
      <c r="AL11" s="7">
        <f t="shared" ref="AL11" si="33">MEDIAN(AF11:AK11)</f>
        <v>0.0994582155553548</v>
      </c>
      <c r="AM11" s="7">
        <f t="shared" ref="AM11" si="34">MEDIAN(AG11:AL11)</f>
        <v>0.0994582155542916</v>
      </c>
      <c r="AN11" s="7">
        <f t="shared" ref="AN11" si="35">MEDIAN(AH11:AM11)</f>
        <v>0.09945821555376</v>
      </c>
      <c r="AO11" s="7">
        <f t="shared" ref="AO11" si="36">MEDIAN(AI11:AN11)</f>
        <v>0.0994582155540258</v>
      </c>
      <c r="AP11" s="7">
        <f t="shared" ref="AP11" si="37">MEDIAN(AJ11:AO11)</f>
        <v>0.0994582155541587</v>
      </c>
      <c r="AQ11" s="7">
        <f t="shared" ref="AQ11" si="38">MEDIAN(AK11:AP11)</f>
        <v>0.0994582155540923</v>
      </c>
      <c r="AR11" s="7">
        <f t="shared" ref="AR11" si="39">MEDIAN(AL11:AQ11)</f>
        <v>0.0994582155541255</v>
      </c>
      <c r="AS11" s="7">
        <f t="shared" ref="AS11" si="40">MEDIAN(AM11:AR11)</f>
        <v>0.0994582155541089</v>
      </c>
    </row>
    <row r="12" spans="1:45">
      <c r="A12" s="6" t="s">
        <v>420</v>
      </c>
      <c r="B12" s="7">
        <f>B3</f>
        <v>0.315182648401826</v>
      </c>
      <c r="C12" s="7">
        <f t="shared" ref="C12:AS12" si="41">C3</f>
        <v>0.315867579908676</v>
      </c>
      <c r="D12" s="7">
        <f t="shared" si="41"/>
        <v>0.302054794520548</v>
      </c>
      <c r="E12" s="7">
        <f t="shared" si="41"/>
        <v>0.297945205479452</v>
      </c>
      <c r="F12" s="7">
        <f t="shared" si="41"/>
        <v>0.306849315068493</v>
      </c>
      <c r="G12" s="7">
        <f t="shared" si="41"/>
        <v>0.276940639269406</v>
      </c>
      <c r="H12" s="7">
        <f t="shared" si="41"/>
        <v>0.276940639269406</v>
      </c>
      <c r="I12" s="7">
        <f t="shared" si="41"/>
        <v>0.276940639269406</v>
      </c>
      <c r="J12" s="7">
        <f t="shared" si="41"/>
        <v>0.276940639269406</v>
      </c>
      <c r="K12" s="7">
        <f t="shared" si="41"/>
        <v>0.276940639269406</v>
      </c>
      <c r="L12" s="7">
        <f t="shared" si="41"/>
        <v>0.276940639269406</v>
      </c>
      <c r="M12" s="7">
        <f t="shared" si="41"/>
        <v>0.276940639269406</v>
      </c>
      <c r="N12" s="7">
        <f t="shared" si="41"/>
        <v>0.276940639269406</v>
      </c>
      <c r="O12" s="7">
        <f t="shared" si="41"/>
        <v>0.276940639269406</v>
      </c>
      <c r="P12" s="7">
        <f t="shared" si="41"/>
        <v>0.276940639269406</v>
      </c>
      <c r="Q12" s="7">
        <f t="shared" si="41"/>
        <v>0.276940639269406</v>
      </c>
      <c r="R12" s="7">
        <f t="shared" si="41"/>
        <v>0.276940639269406</v>
      </c>
      <c r="S12" s="7">
        <f t="shared" si="41"/>
        <v>0.276940639269406</v>
      </c>
      <c r="T12" s="7">
        <f t="shared" si="41"/>
        <v>0.276940639269406</v>
      </c>
      <c r="U12" s="7">
        <f t="shared" si="41"/>
        <v>0.276940639269406</v>
      </c>
      <c r="V12" s="7">
        <f t="shared" si="41"/>
        <v>0.276940639269406</v>
      </c>
      <c r="W12" s="7">
        <f t="shared" si="41"/>
        <v>0.276940639269406</v>
      </c>
      <c r="X12" s="7">
        <f t="shared" si="41"/>
        <v>0.276940639269406</v>
      </c>
      <c r="Y12" s="7">
        <f t="shared" si="41"/>
        <v>0.276940639269406</v>
      </c>
      <c r="Z12" s="7">
        <f t="shared" si="41"/>
        <v>0.276940639269406</v>
      </c>
      <c r="AA12" s="7">
        <f t="shared" si="41"/>
        <v>0.276940639269406</v>
      </c>
      <c r="AB12" s="7">
        <f t="shared" si="41"/>
        <v>0.276940639269406</v>
      </c>
      <c r="AC12" s="7">
        <f t="shared" si="41"/>
        <v>0.276940639269406</v>
      </c>
      <c r="AD12" s="7">
        <f t="shared" si="41"/>
        <v>0.276940639269406</v>
      </c>
      <c r="AE12" s="7">
        <f t="shared" si="41"/>
        <v>0.276940639269406</v>
      </c>
      <c r="AF12" s="7">
        <f t="shared" si="41"/>
        <v>0.276940639269406</v>
      </c>
      <c r="AG12" s="7">
        <f t="shared" si="41"/>
        <v>0.276940639269406</v>
      </c>
      <c r="AH12" s="7">
        <f t="shared" si="41"/>
        <v>0.276940639269406</v>
      </c>
      <c r="AI12" s="7">
        <f t="shared" si="41"/>
        <v>0.276940639269406</v>
      </c>
      <c r="AJ12" s="7">
        <f t="shared" si="41"/>
        <v>0.276940639269406</v>
      </c>
      <c r="AK12" s="7">
        <f t="shared" si="41"/>
        <v>0.276940639269406</v>
      </c>
      <c r="AL12" s="7">
        <f t="shared" si="41"/>
        <v>0.276940639269406</v>
      </c>
      <c r="AM12" s="7">
        <f t="shared" si="41"/>
        <v>0.276940639269406</v>
      </c>
      <c r="AN12" s="7">
        <f t="shared" si="41"/>
        <v>0.276940639269406</v>
      </c>
      <c r="AO12" s="7">
        <f t="shared" si="41"/>
        <v>0.276940639269406</v>
      </c>
      <c r="AP12" s="7">
        <f t="shared" si="41"/>
        <v>0.276940639269406</v>
      </c>
      <c r="AQ12" s="7">
        <f t="shared" si="41"/>
        <v>0.276940639269406</v>
      </c>
      <c r="AR12" s="7">
        <f t="shared" si="41"/>
        <v>0.276940639269406</v>
      </c>
      <c r="AS12" s="7">
        <f t="shared" si="41"/>
        <v>0.276940639269406</v>
      </c>
    </row>
    <row r="13" spans="1:45">
      <c r="A13" s="6" t="s">
        <v>421</v>
      </c>
      <c r="B13" s="7">
        <f>B2</f>
        <v>0.492237442922374</v>
      </c>
      <c r="C13" s="7">
        <f t="shared" ref="B13:D13" si="42">C2</f>
        <v>0.513127853881279</v>
      </c>
      <c r="D13" s="7">
        <f t="shared" si="42"/>
        <v>0.505593607305936</v>
      </c>
      <c r="E13" s="7">
        <f t="shared" ref="E13:AS13" si="43">E2</f>
        <v>0.493493150684931</v>
      </c>
      <c r="F13" s="7">
        <f t="shared" si="43"/>
        <v>0.525228310502283</v>
      </c>
      <c r="G13" s="7">
        <f t="shared" si="43"/>
        <v>0.524315068493151</v>
      </c>
      <c r="H13" s="7">
        <f t="shared" si="43"/>
        <v>0.524315068493151</v>
      </c>
      <c r="I13" s="7">
        <f t="shared" si="43"/>
        <v>0.524315068493151</v>
      </c>
      <c r="J13" s="7">
        <f t="shared" si="43"/>
        <v>0.524315068493151</v>
      </c>
      <c r="K13" s="7">
        <f t="shared" si="43"/>
        <v>0.524315068493151</v>
      </c>
      <c r="L13" s="7">
        <f t="shared" si="43"/>
        <v>0.524315068493151</v>
      </c>
      <c r="M13" s="7">
        <f t="shared" si="43"/>
        <v>0.524315068493151</v>
      </c>
      <c r="N13" s="7">
        <f t="shared" si="43"/>
        <v>0.524315068493151</v>
      </c>
      <c r="O13" s="7">
        <f t="shared" si="43"/>
        <v>0.524315068493151</v>
      </c>
      <c r="P13" s="7">
        <f t="shared" si="43"/>
        <v>0.524315068493151</v>
      </c>
      <c r="Q13" s="7">
        <f t="shared" si="43"/>
        <v>0.524315068493151</v>
      </c>
      <c r="R13" s="7">
        <f t="shared" si="43"/>
        <v>0.524315068493151</v>
      </c>
      <c r="S13" s="7">
        <f t="shared" si="43"/>
        <v>0.524315068493151</v>
      </c>
      <c r="T13" s="7">
        <f t="shared" si="43"/>
        <v>0.524315068493151</v>
      </c>
      <c r="U13" s="7">
        <f t="shared" si="43"/>
        <v>0.524315068493151</v>
      </c>
      <c r="V13" s="7">
        <f t="shared" si="43"/>
        <v>0.524315068493151</v>
      </c>
      <c r="W13" s="7">
        <f t="shared" si="43"/>
        <v>0.524315068493151</v>
      </c>
      <c r="X13" s="7">
        <f t="shared" si="43"/>
        <v>0.524315068493151</v>
      </c>
      <c r="Y13" s="7">
        <f t="shared" si="43"/>
        <v>0.524315068493151</v>
      </c>
      <c r="Z13" s="7">
        <f t="shared" si="43"/>
        <v>0.524315068493151</v>
      </c>
      <c r="AA13" s="7">
        <f t="shared" si="43"/>
        <v>0.524315068493151</v>
      </c>
      <c r="AB13" s="7">
        <f t="shared" si="43"/>
        <v>0.524315068493151</v>
      </c>
      <c r="AC13" s="7">
        <f t="shared" si="43"/>
        <v>0.524315068493151</v>
      </c>
      <c r="AD13" s="7">
        <f t="shared" si="43"/>
        <v>0.524315068493151</v>
      </c>
      <c r="AE13" s="7">
        <f t="shared" si="43"/>
        <v>0.524315068493151</v>
      </c>
      <c r="AF13" s="7">
        <f t="shared" si="43"/>
        <v>0.524315068493151</v>
      </c>
      <c r="AG13" s="7">
        <f t="shared" si="43"/>
        <v>0.524315068493151</v>
      </c>
      <c r="AH13" s="7">
        <f t="shared" si="43"/>
        <v>0.524315068493151</v>
      </c>
      <c r="AI13" s="7">
        <f t="shared" si="43"/>
        <v>0.524315068493151</v>
      </c>
      <c r="AJ13" s="7">
        <f t="shared" si="43"/>
        <v>0.524315068493151</v>
      </c>
      <c r="AK13" s="7">
        <f t="shared" si="43"/>
        <v>0.524315068493151</v>
      </c>
      <c r="AL13" s="7">
        <f t="shared" si="43"/>
        <v>0.524315068493151</v>
      </c>
      <c r="AM13" s="7">
        <f t="shared" si="43"/>
        <v>0.524315068493151</v>
      </c>
      <c r="AN13" s="7">
        <f t="shared" si="43"/>
        <v>0.524315068493151</v>
      </c>
      <c r="AO13" s="7">
        <f t="shared" si="43"/>
        <v>0.524315068493151</v>
      </c>
      <c r="AP13" s="7">
        <f t="shared" si="43"/>
        <v>0.524315068493151</v>
      </c>
      <c r="AQ13" s="7">
        <f t="shared" si="43"/>
        <v>0.524315068493151</v>
      </c>
      <c r="AR13" s="7">
        <f t="shared" si="43"/>
        <v>0.524315068493151</v>
      </c>
      <c r="AS13" s="7">
        <f t="shared" si="43"/>
        <v>0.524315068493151</v>
      </c>
    </row>
    <row r="14" spans="1:46">
      <c r="A14" s="6" t="s">
        <v>422</v>
      </c>
      <c r="B14" s="10">
        <f>Offshore!J42</f>
        <v>0.29</v>
      </c>
      <c r="C14" s="10">
        <f t="shared" ref="C14:AT14" si="44">B14</f>
        <v>0.29</v>
      </c>
      <c r="D14" s="10">
        <f t="shared" si="44"/>
        <v>0.29</v>
      </c>
      <c r="E14" s="10">
        <f t="shared" si="44"/>
        <v>0.29</v>
      </c>
      <c r="F14" s="10">
        <f t="shared" si="44"/>
        <v>0.29</v>
      </c>
      <c r="G14" s="11">
        <f t="shared" si="44"/>
        <v>0.29</v>
      </c>
      <c r="H14" s="11">
        <f t="shared" si="44"/>
        <v>0.29</v>
      </c>
      <c r="I14" s="11">
        <f t="shared" si="44"/>
        <v>0.29</v>
      </c>
      <c r="J14" s="11">
        <f t="shared" si="44"/>
        <v>0.29</v>
      </c>
      <c r="K14" s="11">
        <f t="shared" si="44"/>
        <v>0.29</v>
      </c>
      <c r="L14" s="11">
        <f t="shared" si="44"/>
        <v>0.29</v>
      </c>
      <c r="M14" s="11">
        <f t="shared" si="44"/>
        <v>0.29</v>
      </c>
      <c r="N14" s="11">
        <f t="shared" si="44"/>
        <v>0.29</v>
      </c>
      <c r="O14" s="11">
        <f t="shared" si="44"/>
        <v>0.29</v>
      </c>
      <c r="P14" s="11">
        <f t="shared" si="44"/>
        <v>0.29</v>
      </c>
      <c r="Q14" s="11">
        <f t="shared" si="44"/>
        <v>0.29</v>
      </c>
      <c r="R14" s="11">
        <f t="shared" si="44"/>
        <v>0.29</v>
      </c>
      <c r="S14" s="11">
        <f t="shared" si="44"/>
        <v>0.29</v>
      </c>
      <c r="T14" s="11">
        <f t="shared" si="44"/>
        <v>0.29</v>
      </c>
      <c r="U14" s="11">
        <f t="shared" si="44"/>
        <v>0.29</v>
      </c>
      <c r="V14" s="11">
        <f t="shared" si="44"/>
        <v>0.29</v>
      </c>
      <c r="W14" s="11">
        <f t="shared" si="44"/>
        <v>0.29</v>
      </c>
      <c r="X14" s="11">
        <f t="shared" si="44"/>
        <v>0.29</v>
      </c>
      <c r="Y14" s="11">
        <f t="shared" si="44"/>
        <v>0.29</v>
      </c>
      <c r="Z14" s="11">
        <f t="shared" si="44"/>
        <v>0.29</v>
      </c>
      <c r="AA14" s="11">
        <f t="shared" si="44"/>
        <v>0.29</v>
      </c>
      <c r="AB14" s="11">
        <f t="shared" si="44"/>
        <v>0.29</v>
      </c>
      <c r="AC14" s="11">
        <f t="shared" si="44"/>
        <v>0.29</v>
      </c>
      <c r="AD14" s="11">
        <f t="shared" si="44"/>
        <v>0.29</v>
      </c>
      <c r="AE14" s="11">
        <f t="shared" si="44"/>
        <v>0.29</v>
      </c>
      <c r="AF14" s="11">
        <f t="shared" si="44"/>
        <v>0.29</v>
      </c>
      <c r="AG14" s="11">
        <f t="shared" si="44"/>
        <v>0.29</v>
      </c>
      <c r="AH14" s="11">
        <f t="shared" si="44"/>
        <v>0.29</v>
      </c>
      <c r="AI14" s="11">
        <f t="shared" si="44"/>
        <v>0.29</v>
      </c>
      <c r="AJ14" s="11">
        <f t="shared" si="44"/>
        <v>0.29</v>
      </c>
      <c r="AK14" s="11">
        <f t="shared" si="44"/>
        <v>0.29</v>
      </c>
      <c r="AL14" s="11">
        <f t="shared" si="44"/>
        <v>0.29</v>
      </c>
      <c r="AM14" s="11">
        <f t="shared" si="44"/>
        <v>0.29</v>
      </c>
      <c r="AN14" s="11">
        <f t="shared" si="44"/>
        <v>0.29</v>
      </c>
      <c r="AO14" s="11">
        <f t="shared" si="44"/>
        <v>0.29</v>
      </c>
      <c r="AP14" s="11">
        <f t="shared" si="44"/>
        <v>0.29</v>
      </c>
      <c r="AQ14" s="11">
        <f t="shared" si="44"/>
        <v>0.29</v>
      </c>
      <c r="AR14" s="11">
        <f t="shared" si="44"/>
        <v>0.29</v>
      </c>
      <c r="AS14" s="11">
        <f t="shared" si="44"/>
        <v>0.29</v>
      </c>
      <c r="AT14" s="11"/>
    </row>
    <row r="15" s="5" customFormat="1" spans="1:45">
      <c r="A15" s="6" t="s">
        <v>423</v>
      </c>
      <c r="B15" s="7">
        <f t="shared" ref="B15:AS15" si="45">B11</f>
        <v>0.157420091324201</v>
      </c>
      <c r="C15" s="7">
        <f t="shared" si="45"/>
        <v>0.103082191780822</v>
      </c>
      <c r="D15" s="7">
        <f t="shared" si="45"/>
        <v>0.0867579908675799</v>
      </c>
      <c r="E15" s="7">
        <f t="shared" si="45"/>
        <v>0.0985159817351598</v>
      </c>
      <c r="F15" s="7">
        <f t="shared" si="45"/>
        <v>0.115639269406393</v>
      </c>
      <c r="G15" s="7">
        <f t="shared" si="45"/>
        <v>0.0691780821917808</v>
      </c>
      <c r="H15" s="7">
        <f t="shared" si="45"/>
        <v>0.100799086757991</v>
      </c>
      <c r="I15" s="7">
        <f t="shared" si="45"/>
        <v>0.0996575342465753</v>
      </c>
      <c r="J15" s="7">
        <f t="shared" si="45"/>
        <v>0.0990867579908676</v>
      </c>
      <c r="K15" s="7">
        <f t="shared" si="45"/>
        <v>0.0993721461187215</v>
      </c>
      <c r="L15" s="7">
        <f t="shared" si="45"/>
        <v>0.0995148401826484</v>
      </c>
      <c r="M15" s="7">
        <f t="shared" si="45"/>
        <v>0.0994434931506849</v>
      </c>
      <c r="N15" s="7">
        <f t="shared" si="45"/>
        <v>0.0994791666666667</v>
      </c>
      <c r="O15" s="7">
        <f t="shared" si="45"/>
        <v>0.0994613299086758</v>
      </c>
      <c r="P15" s="7">
        <f t="shared" si="45"/>
        <v>0.0994524115296804</v>
      </c>
      <c r="Q15" s="7">
        <f t="shared" si="45"/>
        <v>0.0994568707191781</v>
      </c>
      <c r="R15" s="7">
        <f t="shared" si="45"/>
        <v>0.0994591003139269</v>
      </c>
      <c r="S15" s="7">
        <f t="shared" si="45"/>
        <v>0.0994579855165525</v>
      </c>
      <c r="T15" s="7">
        <f t="shared" si="45"/>
        <v>0.0994585429152397</v>
      </c>
      <c r="U15" s="7">
        <f t="shared" si="45"/>
        <v>0.0994582642158961</v>
      </c>
      <c r="V15" s="7">
        <f t="shared" si="45"/>
        <v>0.0994581248662243</v>
      </c>
      <c r="W15" s="7">
        <f t="shared" si="45"/>
        <v>0.0994581945410602</v>
      </c>
      <c r="X15" s="7">
        <f t="shared" si="45"/>
        <v>0.0994582293784782</v>
      </c>
      <c r="Y15" s="7">
        <f t="shared" si="45"/>
        <v>0.0994582119597692</v>
      </c>
      <c r="Z15" s="7">
        <f t="shared" si="45"/>
        <v>0.0994582206691237</v>
      </c>
      <c r="AA15" s="7">
        <f t="shared" si="45"/>
        <v>0.0994582163144464</v>
      </c>
      <c r="AB15" s="7">
        <f t="shared" si="45"/>
        <v>0.0994582141371078</v>
      </c>
      <c r="AC15" s="7">
        <f t="shared" si="45"/>
        <v>0.0994582152257771</v>
      </c>
      <c r="AD15" s="7">
        <f t="shared" si="45"/>
        <v>0.0994582157701118</v>
      </c>
      <c r="AE15" s="7">
        <f t="shared" si="45"/>
        <v>0.0994582154979445</v>
      </c>
      <c r="AF15" s="7">
        <f t="shared" si="45"/>
        <v>0.0994582156340281</v>
      </c>
      <c r="AG15" s="7">
        <f t="shared" si="45"/>
        <v>0.0994582155659863</v>
      </c>
      <c r="AH15" s="7">
        <f t="shared" si="45"/>
        <v>0.0994582155319654</v>
      </c>
      <c r="AI15" s="7">
        <f t="shared" si="45"/>
        <v>0.0994582155489758</v>
      </c>
      <c r="AJ15" s="7">
        <f t="shared" si="45"/>
        <v>0.0994582155574811</v>
      </c>
      <c r="AK15" s="7">
        <f t="shared" si="45"/>
        <v>0.0994582155532285</v>
      </c>
      <c r="AL15" s="7">
        <f t="shared" si="45"/>
        <v>0.0994582155553548</v>
      </c>
      <c r="AM15" s="7">
        <f t="shared" si="45"/>
        <v>0.0994582155542916</v>
      </c>
      <c r="AN15" s="7">
        <f t="shared" si="45"/>
        <v>0.09945821555376</v>
      </c>
      <c r="AO15" s="7">
        <f t="shared" si="45"/>
        <v>0.0994582155540258</v>
      </c>
      <c r="AP15" s="7">
        <f t="shared" si="45"/>
        <v>0.0994582155541587</v>
      </c>
      <c r="AQ15" s="7">
        <f t="shared" si="45"/>
        <v>0.0994582155540923</v>
      </c>
      <c r="AR15" s="7">
        <f t="shared" si="45"/>
        <v>0.0994582155541255</v>
      </c>
      <c r="AS15" s="7">
        <f t="shared" si="45"/>
        <v>0.0994582155541089</v>
      </c>
    </row>
    <row r="16" s="5" customFormat="1" spans="1:45">
      <c r="A16" s="6" t="s">
        <v>424</v>
      </c>
      <c r="B16" s="7">
        <f t="shared" ref="B16:AS16" si="46">B11</f>
        <v>0.157420091324201</v>
      </c>
      <c r="C16" s="7">
        <f t="shared" si="46"/>
        <v>0.103082191780822</v>
      </c>
      <c r="D16" s="7">
        <f t="shared" si="46"/>
        <v>0.0867579908675799</v>
      </c>
      <c r="E16" s="7">
        <f t="shared" si="46"/>
        <v>0.0985159817351598</v>
      </c>
      <c r="F16" s="7">
        <f t="shared" si="46"/>
        <v>0.115639269406393</v>
      </c>
      <c r="G16" s="7">
        <f t="shared" si="46"/>
        <v>0.0691780821917808</v>
      </c>
      <c r="H16" s="7">
        <f t="shared" si="46"/>
        <v>0.100799086757991</v>
      </c>
      <c r="I16" s="7">
        <f t="shared" si="46"/>
        <v>0.0996575342465753</v>
      </c>
      <c r="J16" s="7">
        <f t="shared" si="46"/>
        <v>0.0990867579908676</v>
      </c>
      <c r="K16" s="7">
        <f t="shared" si="46"/>
        <v>0.0993721461187215</v>
      </c>
      <c r="L16" s="7">
        <f t="shared" si="46"/>
        <v>0.0995148401826484</v>
      </c>
      <c r="M16" s="7">
        <f t="shared" si="46"/>
        <v>0.0994434931506849</v>
      </c>
      <c r="N16" s="7">
        <f t="shared" si="46"/>
        <v>0.0994791666666667</v>
      </c>
      <c r="O16" s="7">
        <f t="shared" si="46"/>
        <v>0.0994613299086758</v>
      </c>
      <c r="P16" s="7">
        <f t="shared" si="46"/>
        <v>0.0994524115296804</v>
      </c>
      <c r="Q16" s="7">
        <f t="shared" si="46"/>
        <v>0.0994568707191781</v>
      </c>
      <c r="R16" s="7">
        <f t="shared" si="46"/>
        <v>0.0994591003139269</v>
      </c>
      <c r="S16" s="7">
        <f t="shared" si="46"/>
        <v>0.0994579855165525</v>
      </c>
      <c r="T16" s="7">
        <f t="shared" si="46"/>
        <v>0.0994585429152397</v>
      </c>
      <c r="U16" s="7">
        <f t="shared" si="46"/>
        <v>0.0994582642158961</v>
      </c>
      <c r="V16" s="7">
        <f t="shared" si="46"/>
        <v>0.0994581248662243</v>
      </c>
      <c r="W16" s="7">
        <f t="shared" si="46"/>
        <v>0.0994581945410602</v>
      </c>
      <c r="X16" s="7">
        <f t="shared" si="46"/>
        <v>0.0994582293784782</v>
      </c>
      <c r="Y16" s="7">
        <f t="shared" si="46"/>
        <v>0.0994582119597692</v>
      </c>
      <c r="Z16" s="7">
        <f t="shared" si="46"/>
        <v>0.0994582206691237</v>
      </c>
      <c r="AA16" s="7">
        <f t="shared" si="46"/>
        <v>0.0994582163144464</v>
      </c>
      <c r="AB16" s="7">
        <f t="shared" si="46"/>
        <v>0.0994582141371078</v>
      </c>
      <c r="AC16" s="7">
        <f t="shared" si="46"/>
        <v>0.0994582152257771</v>
      </c>
      <c r="AD16" s="7">
        <f t="shared" si="46"/>
        <v>0.0994582157701118</v>
      </c>
      <c r="AE16" s="7">
        <f t="shared" si="46"/>
        <v>0.0994582154979445</v>
      </c>
      <c r="AF16" s="7">
        <f t="shared" si="46"/>
        <v>0.0994582156340281</v>
      </c>
      <c r="AG16" s="7">
        <f t="shared" si="46"/>
        <v>0.0994582155659863</v>
      </c>
      <c r="AH16" s="7">
        <f t="shared" si="46"/>
        <v>0.0994582155319654</v>
      </c>
      <c r="AI16" s="7">
        <f t="shared" si="46"/>
        <v>0.0994582155489758</v>
      </c>
      <c r="AJ16" s="7">
        <f t="shared" si="46"/>
        <v>0.0994582155574811</v>
      </c>
      <c r="AK16" s="7">
        <f t="shared" si="46"/>
        <v>0.0994582155532285</v>
      </c>
      <c r="AL16" s="7">
        <f t="shared" si="46"/>
        <v>0.0994582155553548</v>
      </c>
      <c r="AM16" s="7">
        <f t="shared" si="46"/>
        <v>0.0994582155542916</v>
      </c>
      <c r="AN16" s="7">
        <f t="shared" si="46"/>
        <v>0.09945821555376</v>
      </c>
      <c r="AO16" s="7">
        <f t="shared" si="46"/>
        <v>0.0994582155540258</v>
      </c>
      <c r="AP16" s="7">
        <f t="shared" si="46"/>
        <v>0.0994582155541587</v>
      </c>
      <c r="AQ16" s="7">
        <f t="shared" si="46"/>
        <v>0.0994582155540923</v>
      </c>
      <c r="AR16" s="7">
        <f t="shared" si="46"/>
        <v>0.0994582155541255</v>
      </c>
      <c r="AS16" s="7">
        <f t="shared" si="46"/>
        <v>0.0994582155541089</v>
      </c>
    </row>
    <row r="17" spans="1:45">
      <c r="A17" s="6" t="s">
        <v>425</v>
      </c>
      <c r="B17" s="7">
        <f>SUMIFS(Biomass!X:X,Biomass!$U:$U,VLOOKUP(About!$B$47,'Province Selector'!$B:$F,3,FALSE),Biomass!$V:$V,"垃圾焚烧")</f>
        <v>0.648401826484018</v>
      </c>
      <c r="C17" s="7">
        <f>SUMIFS(Biomass!Y:Y,Biomass!$U:$U,VLOOKUP(About!$B$47,'Province Selector'!$B:$F,3,FALSE),Biomass!$V:$V,"垃圾焚烧")</f>
        <v>0.670890410958904</v>
      </c>
      <c r="D17" s="7">
        <f>SUMIFS(Biomass!Z:Z,Biomass!$U:$U,VLOOKUP(About!$B$47,'Province Selector'!$B:$F,3,FALSE),Biomass!$V:$V,"垃圾焚烧")</f>
        <v>0.665639269406393</v>
      </c>
      <c r="E17" s="7">
        <f>SUMIFS(Biomass!AA:AA,Biomass!$U:$U,VLOOKUP(About!$B$47,'Province Selector'!$B:$F,3,FALSE),Biomass!$V:$V,"垃圾焚烧")</f>
        <v>0.673059360730594</v>
      </c>
      <c r="F17" s="7">
        <f>SUMIFS(Biomass!AB:AB,Biomass!$U:$U,VLOOKUP(About!$B$47,'Province Selector'!$B:$F,3,FALSE),Biomass!$V:$V,"垃圾焚烧")</f>
        <v>0.674315068493151</v>
      </c>
      <c r="G17" s="7">
        <f>SUMIFS(Biomass!AC:AC,Biomass!$U:$U,VLOOKUP(About!$B$47,'Province Selector'!$B:$F,3,FALSE),Biomass!$V:$V,"垃圾焚烧")</f>
        <v>0.634931506849315</v>
      </c>
      <c r="H17" s="7">
        <f>$G17</f>
        <v>0.634931506849315</v>
      </c>
      <c r="I17" s="7">
        <f t="shared" ref="I17:AS17" si="47">$G17</f>
        <v>0.634931506849315</v>
      </c>
      <c r="J17" s="7">
        <f t="shared" si="47"/>
        <v>0.634931506849315</v>
      </c>
      <c r="K17" s="7">
        <f t="shared" si="47"/>
        <v>0.634931506849315</v>
      </c>
      <c r="L17" s="7">
        <f t="shared" si="47"/>
        <v>0.634931506849315</v>
      </c>
      <c r="M17" s="7">
        <f t="shared" si="47"/>
        <v>0.634931506849315</v>
      </c>
      <c r="N17" s="7">
        <f t="shared" si="47"/>
        <v>0.634931506849315</v>
      </c>
      <c r="O17" s="7">
        <f t="shared" si="47"/>
        <v>0.634931506849315</v>
      </c>
      <c r="P17" s="7">
        <f t="shared" si="47"/>
        <v>0.634931506849315</v>
      </c>
      <c r="Q17" s="7">
        <f t="shared" si="47"/>
        <v>0.634931506849315</v>
      </c>
      <c r="R17" s="7">
        <f t="shared" si="47"/>
        <v>0.634931506849315</v>
      </c>
      <c r="S17" s="7">
        <f t="shared" si="47"/>
        <v>0.634931506849315</v>
      </c>
      <c r="T17" s="7">
        <f t="shared" si="47"/>
        <v>0.634931506849315</v>
      </c>
      <c r="U17" s="7">
        <f t="shared" si="47"/>
        <v>0.634931506849315</v>
      </c>
      <c r="V17" s="7">
        <f t="shared" si="47"/>
        <v>0.634931506849315</v>
      </c>
      <c r="W17" s="7">
        <f t="shared" si="47"/>
        <v>0.634931506849315</v>
      </c>
      <c r="X17" s="7">
        <f t="shared" si="47"/>
        <v>0.634931506849315</v>
      </c>
      <c r="Y17" s="7">
        <f t="shared" si="47"/>
        <v>0.634931506849315</v>
      </c>
      <c r="Z17" s="7">
        <f t="shared" si="47"/>
        <v>0.634931506849315</v>
      </c>
      <c r="AA17" s="7">
        <f t="shared" si="47"/>
        <v>0.634931506849315</v>
      </c>
      <c r="AB17" s="7">
        <f t="shared" si="47"/>
        <v>0.634931506849315</v>
      </c>
      <c r="AC17" s="7">
        <f t="shared" si="47"/>
        <v>0.634931506849315</v>
      </c>
      <c r="AD17" s="7">
        <f t="shared" si="47"/>
        <v>0.634931506849315</v>
      </c>
      <c r="AE17" s="7">
        <f t="shared" si="47"/>
        <v>0.634931506849315</v>
      </c>
      <c r="AF17" s="7">
        <f t="shared" si="47"/>
        <v>0.634931506849315</v>
      </c>
      <c r="AG17" s="7">
        <f t="shared" si="47"/>
        <v>0.634931506849315</v>
      </c>
      <c r="AH17" s="7">
        <f t="shared" si="47"/>
        <v>0.634931506849315</v>
      </c>
      <c r="AI17" s="7">
        <f t="shared" si="47"/>
        <v>0.634931506849315</v>
      </c>
      <c r="AJ17" s="7">
        <f t="shared" si="47"/>
        <v>0.634931506849315</v>
      </c>
      <c r="AK17" s="7">
        <f t="shared" si="47"/>
        <v>0.634931506849315</v>
      </c>
      <c r="AL17" s="7">
        <f t="shared" si="47"/>
        <v>0.634931506849315</v>
      </c>
      <c r="AM17" s="7">
        <f t="shared" si="47"/>
        <v>0.634931506849315</v>
      </c>
      <c r="AN17" s="7">
        <f t="shared" si="47"/>
        <v>0.634931506849315</v>
      </c>
      <c r="AO17" s="7">
        <f t="shared" si="47"/>
        <v>0.634931506849315</v>
      </c>
      <c r="AP17" s="7">
        <f t="shared" si="47"/>
        <v>0.634931506849315</v>
      </c>
      <c r="AQ17" s="7">
        <f t="shared" si="47"/>
        <v>0.634931506849315</v>
      </c>
      <c r="AR17" s="7">
        <f t="shared" si="47"/>
        <v>0.634931506849315</v>
      </c>
      <c r="AS17" s="7">
        <f t="shared" si="47"/>
        <v>0.634931506849315</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499984740745262"/>
  </sheetPr>
  <dimension ref="A1:AS17"/>
  <sheetViews>
    <sheetView topLeftCell="S1" workbookViewId="0">
      <selection activeCell="B2" sqref="B2:AS17"/>
    </sheetView>
  </sheetViews>
  <sheetFormatPr defaultColWidth="9.10909090909091" defaultRowHeight="14"/>
  <cols>
    <col min="1" max="1" width="28" style="1" customWidth="1"/>
    <col min="2" max="5" width="9.44545454545455" style="1" customWidth="1"/>
    <col min="6" max="16384" width="9.10909090909091" style="1"/>
  </cols>
  <sheetData>
    <row r="1" ht="28" spans="1:45">
      <c r="A1" s="2" t="s">
        <v>409</v>
      </c>
      <c r="B1" s="3">
        <v>2017</v>
      </c>
      <c r="C1" s="1">
        <v>2018</v>
      </c>
      <c r="D1" s="3">
        <v>2019</v>
      </c>
      <c r="E1" s="1">
        <v>2020</v>
      </c>
      <c r="F1" s="3">
        <v>2021</v>
      </c>
      <c r="G1" s="1">
        <v>2022</v>
      </c>
      <c r="H1" s="3">
        <v>2023</v>
      </c>
      <c r="I1" s="1">
        <v>2024</v>
      </c>
      <c r="J1" s="3">
        <v>2025</v>
      </c>
      <c r="K1" s="1">
        <v>2026</v>
      </c>
      <c r="L1" s="3">
        <v>2027</v>
      </c>
      <c r="M1" s="1">
        <v>2028</v>
      </c>
      <c r="N1" s="3">
        <v>2029</v>
      </c>
      <c r="O1" s="1">
        <v>2030</v>
      </c>
      <c r="P1" s="3">
        <v>2031</v>
      </c>
      <c r="Q1" s="1">
        <v>2032</v>
      </c>
      <c r="R1" s="3">
        <v>2033</v>
      </c>
      <c r="S1" s="1">
        <v>2034</v>
      </c>
      <c r="T1" s="3">
        <v>2035</v>
      </c>
      <c r="U1" s="1">
        <v>2036</v>
      </c>
      <c r="V1" s="3">
        <v>2037</v>
      </c>
      <c r="W1" s="1">
        <v>2038</v>
      </c>
      <c r="X1" s="3">
        <v>2039</v>
      </c>
      <c r="Y1" s="1">
        <v>2040</v>
      </c>
      <c r="Z1" s="3">
        <v>2041</v>
      </c>
      <c r="AA1" s="1">
        <v>2042</v>
      </c>
      <c r="AB1" s="3">
        <v>2043</v>
      </c>
      <c r="AC1" s="1">
        <v>2044</v>
      </c>
      <c r="AD1" s="3">
        <v>2045</v>
      </c>
      <c r="AE1" s="1">
        <v>2046</v>
      </c>
      <c r="AF1" s="3">
        <v>2047</v>
      </c>
      <c r="AG1" s="1">
        <v>2048</v>
      </c>
      <c r="AH1" s="3">
        <v>2049</v>
      </c>
      <c r="AI1" s="1">
        <v>2050</v>
      </c>
      <c r="AJ1" s="3">
        <v>2051</v>
      </c>
      <c r="AK1" s="1">
        <v>2052</v>
      </c>
      <c r="AL1" s="3">
        <v>2053</v>
      </c>
      <c r="AM1" s="1">
        <v>2054</v>
      </c>
      <c r="AN1" s="3">
        <v>2055</v>
      </c>
      <c r="AO1" s="1">
        <v>2056</v>
      </c>
      <c r="AP1" s="3">
        <v>2057</v>
      </c>
      <c r="AQ1" s="3">
        <v>2058</v>
      </c>
      <c r="AR1" s="1">
        <v>2059</v>
      </c>
      <c r="AS1" s="3">
        <v>2060</v>
      </c>
    </row>
    <row r="2" spans="1:45">
      <c r="A2" s="1" t="s">
        <v>410</v>
      </c>
      <c r="B2" s="4">
        <f>'BECF-pre-ret'!B2</f>
        <v>0.492237442922374</v>
      </c>
      <c r="C2" s="4">
        <f>'BECF-pre-ret'!C2</f>
        <v>0.513127853881279</v>
      </c>
      <c r="D2" s="4">
        <f>'BECF-pre-ret'!D2</f>
        <v>0.505593607305936</v>
      </c>
      <c r="E2" s="4">
        <f>'BECF-pre-ret'!E2</f>
        <v>0.493493150684931</v>
      </c>
      <c r="F2" s="4">
        <f>'BECF-pre-ret'!F2</f>
        <v>0.525228310502283</v>
      </c>
      <c r="G2" s="4">
        <f>'BECF-pre-ret'!G2</f>
        <v>0.524315068493151</v>
      </c>
      <c r="H2" s="4">
        <f>'BECF-pre-ret'!H2</f>
        <v>0.524315068493151</v>
      </c>
      <c r="I2" s="4">
        <f>'BECF-pre-ret'!I2</f>
        <v>0.524315068493151</v>
      </c>
      <c r="J2" s="4">
        <f>'BECF-pre-ret'!J2</f>
        <v>0.524315068493151</v>
      </c>
      <c r="K2" s="4">
        <f>'BECF-pre-ret'!K2</f>
        <v>0.524315068493151</v>
      </c>
      <c r="L2" s="4">
        <f>'BECF-pre-ret'!L2</f>
        <v>0.524315068493151</v>
      </c>
      <c r="M2" s="4">
        <f>'BECF-pre-ret'!M2</f>
        <v>0.524315068493151</v>
      </c>
      <c r="N2" s="4">
        <f>'BECF-pre-ret'!N2</f>
        <v>0.524315068493151</v>
      </c>
      <c r="O2" s="4">
        <f>'BECF-pre-ret'!O2</f>
        <v>0.524315068493151</v>
      </c>
      <c r="P2" s="4">
        <f>'BECF-pre-ret'!P2</f>
        <v>0.524315068493151</v>
      </c>
      <c r="Q2" s="4">
        <f>'BECF-pre-ret'!Q2</f>
        <v>0.524315068493151</v>
      </c>
      <c r="R2" s="4">
        <f>'BECF-pre-ret'!R2</f>
        <v>0.524315068493151</v>
      </c>
      <c r="S2" s="4">
        <f>'BECF-pre-ret'!S2</f>
        <v>0.524315068493151</v>
      </c>
      <c r="T2" s="4">
        <f>'BECF-pre-ret'!T2</f>
        <v>0.524315068493151</v>
      </c>
      <c r="U2" s="4">
        <f>'BECF-pre-ret'!U2</f>
        <v>0.524315068493151</v>
      </c>
      <c r="V2" s="4">
        <f>'BECF-pre-ret'!V2</f>
        <v>0.524315068493151</v>
      </c>
      <c r="W2" s="4">
        <f>'BECF-pre-ret'!W2</f>
        <v>0.524315068493151</v>
      </c>
      <c r="X2" s="4">
        <f>'BECF-pre-ret'!X2</f>
        <v>0.524315068493151</v>
      </c>
      <c r="Y2" s="4">
        <f>'BECF-pre-ret'!Y2</f>
        <v>0.524315068493151</v>
      </c>
      <c r="Z2" s="4">
        <f>'BECF-pre-ret'!Z2</f>
        <v>0.524315068493151</v>
      </c>
      <c r="AA2" s="4">
        <f>'BECF-pre-ret'!AA2</f>
        <v>0.524315068493151</v>
      </c>
      <c r="AB2" s="4">
        <f>'BECF-pre-ret'!AB2</f>
        <v>0.524315068493151</v>
      </c>
      <c r="AC2" s="4">
        <f>'BECF-pre-ret'!AC2</f>
        <v>0.524315068493151</v>
      </c>
      <c r="AD2" s="4">
        <f>'BECF-pre-ret'!AD2</f>
        <v>0.524315068493151</v>
      </c>
      <c r="AE2" s="4">
        <f>'BECF-pre-ret'!AE2</f>
        <v>0.524315068493151</v>
      </c>
      <c r="AF2" s="4">
        <f>'BECF-pre-ret'!AF2</f>
        <v>0.524315068493151</v>
      </c>
      <c r="AG2" s="4">
        <f>'BECF-pre-ret'!AG2</f>
        <v>0.524315068493151</v>
      </c>
      <c r="AH2" s="4">
        <f>'BECF-pre-ret'!AH2</f>
        <v>0.524315068493151</v>
      </c>
      <c r="AI2" s="4">
        <f>'BECF-pre-ret'!AI2</f>
        <v>0.524315068493151</v>
      </c>
      <c r="AJ2" s="4">
        <f>'BECF-pre-ret'!AJ2</f>
        <v>0.524315068493151</v>
      </c>
      <c r="AK2" s="4">
        <f>'BECF-pre-ret'!AK2</f>
        <v>0.524315068493151</v>
      </c>
      <c r="AL2" s="4">
        <f>'BECF-pre-ret'!AL2</f>
        <v>0.524315068493151</v>
      </c>
      <c r="AM2" s="4">
        <f>'BECF-pre-ret'!AM2</f>
        <v>0.524315068493151</v>
      </c>
      <c r="AN2" s="4">
        <f>'BECF-pre-ret'!AN2</f>
        <v>0.524315068493151</v>
      </c>
      <c r="AO2" s="4">
        <f>'BECF-pre-ret'!AO2</f>
        <v>0.524315068493151</v>
      </c>
      <c r="AP2" s="4">
        <f>'BECF-pre-ret'!AP2</f>
        <v>0.524315068493151</v>
      </c>
      <c r="AQ2" s="4">
        <f>'BECF-pre-ret'!AQ2</f>
        <v>0.524315068493151</v>
      </c>
      <c r="AR2" s="4">
        <f>'BECF-pre-ret'!AR2</f>
        <v>0.524315068493151</v>
      </c>
      <c r="AS2" s="4">
        <f>'BECF-pre-ret'!AS2</f>
        <v>0.524315068493151</v>
      </c>
    </row>
    <row r="3" spans="1:45">
      <c r="A3" s="1" t="s">
        <v>411</v>
      </c>
      <c r="B3" s="4">
        <f>'BECF-pre-ret'!B3</f>
        <v>0.315182648401826</v>
      </c>
      <c r="C3" s="4">
        <f>'BECF-pre-ret'!C3</f>
        <v>0.315867579908676</v>
      </c>
      <c r="D3" s="4">
        <f>'BECF-pre-ret'!D3</f>
        <v>0.302054794520548</v>
      </c>
      <c r="E3" s="4">
        <f>'BECF-pre-ret'!E3</f>
        <v>0.297945205479452</v>
      </c>
      <c r="F3" s="4">
        <f>'BECF-pre-ret'!F3</f>
        <v>0.306849315068493</v>
      </c>
      <c r="G3" s="4">
        <f>'BECF-pre-ret'!G3</f>
        <v>0.276940639269406</v>
      </c>
      <c r="H3" s="4">
        <f>'BECF-pre-ret'!H3</f>
        <v>0.276940639269406</v>
      </c>
      <c r="I3" s="4">
        <f>'BECF-pre-ret'!I3</f>
        <v>0.276940639269406</v>
      </c>
      <c r="J3" s="4">
        <f>'BECF-pre-ret'!J3</f>
        <v>0.276940639269406</v>
      </c>
      <c r="K3" s="4">
        <f>'BECF-pre-ret'!K3</f>
        <v>0.276940639269406</v>
      </c>
      <c r="L3" s="4">
        <f>'BECF-pre-ret'!L3</f>
        <v>0.276940639269406</v>
      </c>
      <c r="M3" s="4">
        <f>'BECF-pre-ret'!M3</f>
        <v>0.276940639269406</v>
      </c>
      <c r="N3" s="4">
        <f>'BECF-pre-ret'!N3</f>
        <v>0.276940639269406</v>
      </c>
      <c r="O3" s="4">
        <f>'BECF-pre-ret'!O3</f>
        <v>0.276940639269406</v>
      </c>
      <c r="P3" s="4">
        <f>'BECF-pre-ret'!P3</f>
        <v>0.276940639269406</v>
      </c>
      <c r="Q3" s="4">
        <f>'BECF-pre-ret'!Q3</f>
        <v>0.276940639269406</v>
      </c>
      <c r="R3" s="4">
        <f>'BECF-pre-ret'!R3</f>
        <v>0.276940639269406</v>
      </c>
      <c r="S3" s="4">
        <f>'BECF-pre-ret'!S3</f>
        <v>0.276940639269406</v>
      </c>
      <c r="T3" s="4">
        <f>'BECF-pre-ret'!T3</f>
        <v>0.276940639269406</v>
      </c>
      <c r="U3" s="4">
        <f>'BECF-pre-ret'!U3</f>
        <v>0.276940639269406</v>
      </c>
      <c r="V3" s="4">
        <f>'BECF-pre-ret'!V3</f>
        <v>0.276940639269406</v>
      </c>
      <c r="W3" s="4">
        <f>'BECF-pre-ret'!W3</f>
        <v>0.276940639269406</v>
      </c>
      <c r="X3" s="4">
        <f>'BECF-pre-ret'!X3</f>
        <v>0.276940639269406</v>
      </c>
      <c r="Y3" s="4">
        <f>'BECF-pre-ret'!Y3</f>
        <v>0.276940639269406</v>
      </c>
      <c r="Z3" s="4">
        <f>'BECF-pre-ret'!Z3</f>
        <v>0.276940639269406</v>
      </c>
      <c r="AA3" s="4">
        <f>'BECF-pre-ret'!AA3</f>
        <v>0.276940639269406</v>
      </c>
      <c r="AB3" s="4">
        <f>'BECF-pre-ret'!AB3</f>
        <v>0.276940639269406</v>
      </c>
      <c r="AC3" s="4">
        <f>'BECF-pre-ret'!AC3</f>
        <v>0.276940639269406</v>
      </c>
      <c r="AD3" s="4">
        <f>'BECF-pre-ret'!AD3</f>
        <v>0.276940639269406</v>
      </c>
      <c r="AE3" s="4">
        <f>'BECF-pre-ret'!AE3</f>
        <v>0.276940639269406</v>
      </c>
      <c r="AF3" s="4">
        <f>'BECF-pre-ret'!AF3</f>
        <v>0.276940639269406</v>
      </c>
      <c r="AG3" s="4">
        <f>'BECF-pre-ret'!AG3</f>
        <v>0.276940639269406</v>
      </c>
      <c r="AH3" s="4">
        <f>'BECF-pre-ret'!AH3</f>
        <v>0.276940639269406</v>
      </c>
      <c r="AI3" s="4">
        <f>'BECF-pre-ret'!AI3</f>
        <v>0.276940639269406</v>
      </c>
      <c r="AJ3" s="4">
        <f>'BECF-pre-ret'!AJ3</f>
        <v>0.276940639269406</v>
      </c>
      <c r="AK3" s="4">
        <f>'BECF-pre-ret'!AK3</f>
        <v>0.276940639269406</v>
      </c>
      <c r="AL3" s="4">
        <f>'BECF-pre-ret'!AL3</f>
        <v>0.276940639269406</v>
      </c>
      <c r="AM3" s="4">
        <f>'BECF-pre-ret'!AM3</f>
        <v>0.276940639269406</v>
      </c>
      <c r="AN3" s="4">
        <f>'BECF-pre-ret'!AN3</f>
        <v>0.276940639269406</v>
      </c>
      <c r="AO3" s="4">
        <f>'BECF-pre-ret'!AO3</f>
        <v>0.276940639269406</v>
      </c>
      <c r="AP3" s="4">
        <f>'BECF-pre-ret'!AP3</f>
        <v>0.276940639269406</v>
      </c>
      <c r="AQ3" s="4">
        <f>'BECF-pre-ret'!AQ3</f>
        <v>0.276940639269406</v>
      </c>
      <c r="AR3" s="4">
        <f>'BECF-pre-ret'!AR3</f>
        <v>0.276940639269406</v>
      </c>
      <c r="AS3" s="4">
        <f>'BECF-pre-ret'!AS3</f>
        <v>0.276940639269406</v>
      </c>
    </row>
    <row r="4" spans="1:45">
      <c r="A4" s="1" t="s">
        <v>412</v>
      </c>
      <c r="B4" s="4">
        <f>'BECF-pre-ret'!B4</f>
        <v>0.815488563438502</v>
      </c>
      <c r="C4" s="4">
        <f>'BECF-pre-ret'!C4</f>
        <v>0.836873734760387</v>
      </c>
      <c r="D4" s="4">
        <f>'BECF-pre-ret'!D4</f>
        <v>0.852375504776432</v>
      </c>
      <c r="E4" s="4">
        <f>'BECF-pre-ret'!E4</f>
        <v>0.847686362527355</v>
      </c>
      <c r="F4" s="4">
        <f>'BECF-pre-ret'!F4</f>
        <v>0.901953753566314</v>
      </c>
      <c r="G4" s="4">
        <f>'BECF-pre-ret'!G4</f>
        <v>0.876487437782608</v>
      </c>
      <c r="H4" s="4">
        <f>'BECF-pre-ret'!H4</f>
        <v>0.876487437782608</v>
      </c>
      <c r="I4" s="4">
        <f>'BECF-pre-ret'!I4</f>
        <v>0.876487437782608</v>
      </c>
      <c r="J4" s="4">
        <f>'BECF-pre-ret'!J4</f>
        <v>0.876487437782608</v>
      </c>
      <c r="K4" s="4">
        <f>'BECF-pre-ret'!K4</f>
        <v>0.876487437782608</v>
      </c>
      <c r="L4" s="4">
        <f>'BECF-pre-ret'!L4</f>
        <v>0.876487437782608</v>
      </c>
      <c r="M4" s="4">
        <f>'BECF-pre-ret'!M4</f>
        <v>0.876487437782608</v>
      </c>
      <c r="N4" s="4">
        <f>'BECF-pre-ret'!N4</f>
        <v>0.876487437782608</v>
      </c>
      <c r="O4" s="4">
        <f>'BECF-pre-ret'!O4</f>
        <v>0.876487437782608</v>
      </c>
      <c r="P4" s="4">
        <f>'BECF-pre-ret'!P4</f>
        <v>0.876487437782608</v>
      </c>
      <c r="Q4" s="4">
        <f>'BECF-pre-ret'!Q4</f>
        <v>0.876487437782608</v>
      </c>
      <c r="R4" s="4">
        <f>'BECF-pre-ret'!R4</f>
        <v>0.876487437782608</v>
      </c>
      <c r="S4" s="4">
        <f>'BECF-pre-ret'!S4</f>
        <v>0.876487437782608</v>
      </c>
      <c r="T4" s="4">
        <f>'BECF-pre-ret'!T4</f>
        <v>0.876487437782608</v>
      </c>
      <c r="U4" s="4">
        <f>'BECF-pre-ret'!U4</f>
        <v>0.876487437782608</v>
      </c>
      <c r="V4" s="4">
        <f>'BECF-pre-ret'!V4</f>
        <v>0.876487437782608</v>
      </c>
      <c r="W4" s="4">
        <f>'BECF-pre-ret'!W4</f>
        <v>0.876487437782608</v>
      </c>
      <c r="X4" s="4">
        <f>'BECF-pre-ret'!X4</f>
        <v>0.876487437782608</v>
      </c>
      <c r="Y4" s="4">
        <f>'BECF-pre-ret'!Y4</f>
        <v>0.876487437782608</v>
      </c>
      <c r="Z4" s="4">
        <f>'BECF-pre-ret'!Z4</f>
        <v>0.876487437782608</v>
      </c>
      <c r="AA4" s="4">
        <f>'BECF-pre-ret'!AA4</f>
        <v>0.876487437782608</v>
      </c>
      <c r="AB4" s="4">
        <f>'BECF-pre-ret'!AB4</f>
        <v>0.876487437782608</v>
      </c>
      <c r="AC4" s="4">
        <f>'BECF-pre-ret'!AC4</f>
        <v>0.876487437782608</v>
      </c>
      <c r="AD4" s="4">
        <f>'BECF-pre-ret'!AD4</f>
        <v>0.876487437782608</v>
      </c>
      <c r="AE4" s="4">
        <f>'BECF-pre-ret'!AE4</f>
        <v>0.876487437782608</v>
      </c>
      <c r="AF4" s="4">
        <f>'BECF-pre-ret'!AF4</f>
        <v>0.876487437782608</v>
      </c>
      <c r="AG4" s="4">
        <f>'BECF-pre-ret'!AG4</f>
        <v>0.876487437782608</v>
      </c>
      <c r="AH4" s="4">
        <f>'BECF-pre-ret'!AH4</f>
        <v>0.876487437782608</v>
      </c>
      <c r="AI4" s="4">
        <f>'BECF-pre-ret'!AI4</f>
        <v>0.876487437782608</v>
      </c>
      <c r="AJ4" s="4">
        <f>'BECF-pre-ret'!AJ4</f>
        <v>0.876487437782608</v>
      </c>
      <c r="AK4" s="4">
        <f>'BECF-pre-ret'!AK4</f>
        <v>0.876487437782608</v>
      </c>
      <c r="AL4" s="4">
        <f>'BECF-pre-ret'!AL4</f>
        <v>0.876487437782608</v>
      </c>
      <c r="AM4" s="4">
        <f>'BECF-pre-ret'!AM4</f>
        <v>0.876487437782608</v>
      </c>
      <c r="AN4" s="4">
        <f>'BECF-pre-ret'!AN4</f>
        <v>0.876487437782608</v>
      </c>
      <c r="AO4" s="4">
        <f>'BECF-pre-ret'!AO4</f>
        <v>0.876487437782608</v>
      </c>
      <c r="AP4" s="4">
        <f>'BECF-pre-ret'!AP4</f>
        <v>0.876487437782608</v>
      </c>
      <c r="AQ4" s="4">
        <f>'BECF-pre-ret'!AQ4</f>
        <v>0.876487437782608</v>
      </c>
      <c r="AR4" s="4">
        <f>'BECF-pre-ret'!AR4</f>
        <v>0.876487437782608</v>
      </c>
      <c r="AS4" s="4">
        <f>'BECF-pre-ret'!AS4</f>
        <v>0.876487437782608</v>
      </c>
    </row>
    <row r="5" spans="1:45">
      <c r="A5" s="1" t="s">
        <v>413</v>
      </c>
      <c r="B5" s="4">
        <f>'BECF-pre-ret'!B5</f>
        <v>0.403387496047836</v>
      </c>
      <c r="C5" s="4">
        <f>'BECF-pre-ret'!C5</f>
        <v>0.403762551834382</v>
      </c>
      <c r="D5" s="4">
        <f>'BECF-pre-ret'!D5</f>
        <v>0.418337397834078</v>
      </c>
      <c r="E5" s="4">
        <f>'BECF-pre-ret'!E5</f>
        <v>0.424853393761385</v>
      </c>
      <c r="F5" s="4">
        <f>'BECF-pre-ret'!F5</f>
        <v>0.401872312878186</v>
      </c>
      <c r="G5" s="4">
        <f>'BECF-pre-ret'!G5</f>
        <v>0.383363112964066</v>
      </c>
      <c r="H5" s="4">
        <f>'BECF-pre-ret'!H5</f>
        <v>0.383363112964066</v>
      </c>
      <c r="I5" s="4">
        <f>'BECF-pre-ret'!I5</f>
        <v>0.383363112964066</v>
      </c>
      <c r="J5" s="4">
        <f>'BECF-pre-ret'!J5</f>
        <v>0.383363112964066</v>
      </c>
      <c r="K5" s="4">
        <f>'BECF-pre-ret'!K5</f>
        <v>0.383363112964066</v>
      </c>
      <c r="L5" s="4">
        <f>'BECF-pre-ret'!L5</f>
        <v>0.383363112964066</v>
      </c>
      <c r="M5" s="4">
        <f>'BECF-pre-ret'!M5</f>
        <v>0.383363112964066</v>
      </c>
      <c r="N5" s="4">
        <f>'BECF-pre-ret'!N5</f>
        <v>0.383363112964066</v>
      </c>
      <c r="O5" s="4">
        <f>'BECF-pre-ret'!O5</f>
        <v>0.383363112964066</v>
      </c>
      <c r="P5" s="4">
        <f>'BECF-pre-ret'!P5</f>
        <v>0.383363112964066</v>
      </c>
      <c r="Q5" s="4">
        <f>'BECF-pre-ret'!Q5</f>
        <v>0.383363112964066</v>
      </c>
      <c r="R5" s="4">
        <f>'BECF-pre-ret'!R5</f>
        <v>0.383363112964066</v>
      </c>
      <c r="S5" s="4">
        <f>'BECF-pre-ret'!S5</f>
        <v>0.383363112964066</v>
      </c>
      <c r="T5" s="4">
        <f>'BECF-pre-ret'!T5</f>
        <v>0.383363112964066</v>
      </c>
      <c r="U5" s="4">
        <f>'BECF-pre-ret'!U5</f>
        <v>0.383363112964066</v>
      </c>
      <c r="V5" s="4">
        <f>'BECF-pre-ret'!V5</f>
        <v>0.383363112964066</v>
      </c>
      <c r="W5" s="4">
        <f>'BECF-pre-ret'!W5</f>
        <v>0.383363112964066</v>
      </c>
      <c r="X5" s="4">
        <f>'BECF-pre-ret'!X5</f>
        <v>0.383363112964066</v>
      </c>
      <c r="Y5" s="4">
        <f>'BECF-pre-ret'!Y5</f>
        <v>0.383363112964066</v>
      </c>
      <c r="Z5" s="4">
        <f>'BECF-pre-ret'!Z5</f>
        <v>0.383363112964066</v>
      </c>
      <c r="AA5" s="4">
        <f>'BECF-pre-ret'!AA5</f>
        <v>0.383363112964066</v>
      </c>
      <c r="AB5" s="4">
        <f>'BECF-pre-ret'!AB5</f>
        <v>0.383363112964066</v>
      </c>
      <c r="AC5" s="4">
        <f>'BECF-pre-ret'!AC5</f>
        <v>0.383363112964066</v>
      </c>
      <c r="AD5" s="4">
        <f>'BECF-pre-ret'!AD5</f>
        <v>0.383363112964066</v>
      </c>
      <c r="AE5" s="4">
        <f>'BECF-pre-ret'!AE5</f>
        <v>0.383363112964066</v>
      </c>
      <c r="AF5" s="4">
        <f>'BECF-pre-ret'!AF5</f>
        <v>0.383363112964066</v>
      </c>
      <c r="AG5" s="4">
        <f>'BECF-pre-ret'!AG5</f>
        <v>0.383363112964066</v>
      </c>
      <c r="AH5" s="4">
        <f>'BECF-pre-ret'!AH5</f>
        <v>0.383363112964066</v>
      </c>
      <c r="AI5" s="4">
        <f>'BECF-pre-ret'!AI5</f>
        <v>0.383363112964066</v>
      </c>
      <c r="AJ5" s="4">
        <f>'BECF-pre-ret'!AJ5</f>
        <v>0.383363112964066</v>
      </c>
      <c r="AK5" s="4">
        <f>'BECF-pre-ret'!AK5</f>
        <v>0.383363112964066</v>
      </c>
      <c r="AL5" s="4">
        <f>'BECF-pre-ret'!AL5</f>
        <v>0.383363112964066</v>
      </c>
      <c r="AM5" s="4">
        <f>'BECF-pre-ret'!AM5</f>
        <v>0.383363112964066</v>
      </c>
      <c r="AN5" s="4">
        <f>'BECF-pre-ret'!AN5</f>
        <v>0.383363112964066</v>
      </c>
      <c r="AO5" s="4">
        <f>'BECF-pre-ret'!AO5</f>
        <v>0.383363112964066</v>
      </c>
      <c r="AP5" s="4">
        <f>'BECF-pre-ret'!AP5</f>
        <v>0.383363112964066</v>
      </c>
      <c r="AQ5" s="4">
        <f>'BECF-pre-ret'!AQ5</f>
        <v>0.383363112964066</v>
      </c>
      <c r="AR5" s="4">
        <f>'BECF-pre-ret'!AR5</f>
        <v>0.383363112964066</v>
      </c>
      <c r="AS5" s="4">
        <f>'BECF-pre-ret'!AS5</f>
        <v>0.383363112964066</v>
      </c>
    </row>
    <row r="6" spans="1:45">
      <c r="A6" s="1" t="s">
        <v>414</v>
      </c>
      <c r="B6" s="4">
        <f>'BECF-pre-ret'!B6</f>
        <v>0.223274726283218</v>
      </c>
      <c r="C6" s="4">
        <f>'BECF-pre-ret'!C6</f>
        <v>0.239802399675998</v>
      </c>
      <c r="D6" s="4">
        <f>'BECF-pre-ret'!D6</f>
        <v>0.235204734317885</v>
      </c>
      <c r="E6" s="4">
        <f>'BECF-pre-ret'!E6</f>
        <v>0.21700662044635</v>
      </c>
      <c r="F6" s="4">
        <f>'BECF-pre-ret'!F6</f>
        <v>0.245307732153582</v>
      </c>
      <c r="G6" s="4">
        <f>'BECF-pre-ret'!G6</f>
        <v>0.250686148110664</v>
      </c>
      <c r="H6" s="4">
        <f>'BECF-pre-ret'!H6</f>
        <v>0.250686148110664</v>
      </c>
      <c r="I6" s="4">
        <f>'BECF-pre-ret'!I6</f>
        <v>0.250686148110664</v>
      </c>
      <c r="J6" s="4">
        <f>'BECF-pre-ret'!J6</f>
        <v>0.250686148110664</v>
      </c>
      <c r="K6" s="4">
        <f>'BECF-pre-ret'!K6</f>
        <v>0.250686148110664</v>
      </c>
      <c r="L6" s="4">
        <f>'BECF-pre-ret'!L6</f>
        <v>0.250686148110664</v>
      </c>
      <c r="M6" s="4">
        <f>'BECF-pre-ret'!M6</f>
        <v>0.250686148110664</v>
      </c>
      <c r="N6" s="4">
        <f>'BECF-pre-ret'!N6</f>
        <v>0.250686148110664</v>
      </c>
      <c r="O6" s="4">
        <f>'BECF-pre-ret'!O6</f>
        <v>0.250686148110664</v>
      </c>
      <c r="P6" s="4">
        <f>'BECF-pre-ret'!P6</f>
        <v>0.250686148110664</v>
      </c>
      <c r="Q6" s="4">
        <f>'BECF-pre-ret'!Q6</f>
        <v>0.250686148110664</v>
      </c>
      <c r="R6" s="4">
        <f>'BECF-pre-ret'!R6</f>
        <v>0.250686148110664</v>
      </c>
      <c r="S6" s="4">
        <f>'BECF-pre-ret'!S6</f>
        <v>0.250686148110664</v>
      </c>
      <c r="T6" s="4">
        <f>'BECF-pre-ret'!T6</f>
        <v>0.250686148110664</v>
      </c>
      <c r="U6" s="4">
        <f>'BECF-pre-ret'!U6</f>
        <v>0.250686148110664</v>
      </c>
      <c r="V6" s="4">
        <f>'BECF-pre-ret'!V6</f>
        <v>0.250686148110664</v>
      </c>
      <c r="W6" s="4">
        <f>'BECF-pre-ret'!W6</f>
        <v>0.250686148110664</v>
      </c>
      <c r="X6" s="4">
        <f>'BECF-pre-ret'!X6</f>
        <v>0.250686148110664</v>
      </c>
      <c r="Y6" s="4">
        <f>'BECF-pre-ret'!Y6</f>
        <v>0.250686148110664</v>
      </c>
      <c r="Z6" s="4">
        <f>'BECF-pre-ret'!Z6</f>
        <v>0.250686148110664</v>
      </c>
      <c r="AA6" s="4">
        <f>'BECF-pre-ret'!AA6</f>
        <v>0.250686148110664</v>
      </c>
      <c r="AB6" s="4">
        <f>'BECF-pre-ret'!AB6</f>
        <v>0.250686148110664</v>
      </c>
      <c r="AC6" s="4">
        <f>'BECF-pre-ret'!AC6</f>
        <v>0.250686148110664</v>
      </c>
      <c r="AD6" s="4">
        <f>'BECF-pre-ret'!AD6</f>
        <v>0.250686148110664</v>
      </c>
      <c r="AE6" s="4">
        <f>'BECF-pre-ret'!AE6</f>
        <v>0.250686148110664</v>
      </c>
      <c r="AF6" s="4">
        <f>'BECF-pre-ret'!AF6</f>
        <v>0.250686148110664</v>
      </c>
      <c r="AG6" s="4">
        <f>'BECF-pre-ret'!AG6</f>
        <v>0.250686148110664</v>
      </c>
      <c r="AH6" s="4">
        <f>'BECF-pre-ret'!AH6</f>
        <v>0.250686148110664</v>
      </c>
      <c r="AI6" s="4">
        <f>'BECF-pre-ret'!AI6</f>
        <v>0.250686148110664</v>
      </c>
      <c r="AJ6" s="4">
        <f>'BECF-pre-ret'!AJ6</f>
        <v>0.250686148110664</v>
      </c>
      <c r="AK6" s="4">
        <f>'BECF-pre-ret'!AK6</f>
        <v>0.250686148110664</v>
      </c>
      <c r="AL6" s="4">
        <f>'BECF-pre-ret'!AL6</f>
        <v>0.250686148110664</v>
      </c>
      <c r="AM6" s="4">
        <f>'BECF-pre-ret'!AM6</f>
        <v>0.250686148110664</v>
      </c>
      <c r="AN6" s="4">
        <f>'BECF-pre-ret'!AN6</f>
        <v>0.250686148110664</v>
      </c>
      <c r="AO6" s="4">
        <f>'BECF-pre-ret'!AO6</f>
        <v>0.250686148110664</v>
      </c>
      <c r="AP6" s="4">
        <f>'BECF-pre-ret'!AP6</f>
        <v>0.250686148110664</v>
      </c>
      <c r="AQ6" s="4">
        <f>'BECF-pre-ret'!AQ6</f>
        <v>0.250686148110664</v>
      </c>
      <c r="AR6" s="4">
        <f>'BECF-pre-ret'!AR6</f>
        <v>0.250686148110664</v>
      </c>
      <c r="AS6" s="4">
        <f>'BECF-pre-ret'!AS6</f>
        <v>0.250686148110664</v>
      </c>
    </row>
    <row r="7" spans="1:45">
      <c r="A7" s="1" t="s">
        <v>415</v>
      </c>
      <c r="B7" s="4">
        <f>'BECF-pre-ret'!B7</f>
        <v>0.145265287894805</v>
      </c>
      <c r="C7" s="4">
        <f>'BECF-pre-ret'!C7</f>
        <v>0.144697936508934</v>
      </c>
      <c r="D7" s="4">
        <f>'BECF-pre-ret'!D7</f>
        <v>0.145975066187106</v>
      </c>
      <c r="E7" s="4">
        <f>'BECF-pre-ret'!E7</f>
        <v>0.140231350633768</v>
      </c>
      <c r="F7" s="4">
        <f>'BECF-pre-ret'!F7</f>
        <v>0.144170311043136</v>
      </c>
      <c r="G7" s="4">
        <f>'BECF-pre-ret'!G7</f>
        <v>0.149727055962539</v>
      </c>
      <c r="H7" s="4">
        <f>'BECF-pre-ret'!H7</f>
        <v>0.149727055962539</v>
      </c>
      <c r="I7" s="4">
        <f>'BECF-pre-ret'!I7</f>
        <v>0.149727055962539</v>
      </c>
      <c r="J7" s="4">
        <f>'BECF-pre-ret'!J7</f>
        <v>0.149727055962539</v>
      </c>
      <c r="K7" s="4">
        <f>'BECF-pre-ret'!K7</f>
        <v>0.149727055962539</v>
      </c>
      <c r="L7" s="4">
        <f>'BECF-pre-ret'!L7</f>
        <v>0.149727055962539</v>
      </c>
      <c r="M7" s="4">
        <f>'BECF-pre-ret'!M7</f>
        <v>0.149727055962539</v>
      </c>
      <c r="N7" s="4">
        <f>'BECF-pre-ret'!N7</f>
        <v>0.149727055962539</v>
      </c>
      <c r="O7" s="4">
        <f>'BECF-pre-ret'!O7</f>
        <v>0.149727055962539</v>
      </c>
      <c r="P7" s="4">
        <f>'BECF-pre-ret'!P7</f>
        <v>0.149727055962539</v>
      </c>
      <c r="Q7" s="4">
        <f>'BECF-pre-ret'!Q7</f>
        <v>0.149727055962539</v>
      </c>
      <c r="R7" s="4">
        <f>'BECF-pre-ret'!R7</f>
        <v>0.149727055962539</v>
      </c>
      <c r="S7" s="4">
        <f>'BECF-pre-ret'!S7</f>
        <v>0.149727055962539</v>
      </c>
      <c r="T7" s="4">
        <f>'BECF-pre-ret'!T7</f>
        <v>0.149727055962539</v>
      </c>
      <c r="U7" s="4">
        <f>'BECF-pre-ret'!U7</f>
        <v>0.149727055962539</v>
      </c>
      <c r="V7" s="4">
        <f>'BECF-pre-ret'!V7</f>
        <v>0.149727055962539</v>
      </c>
      <c r="W7" s="4">
        <f>'BECF-pre-ret'!W7</f>
        <v>0.149727055962539</v>
      </c>
      <c r="X7" s="4">
        <f>'BECF-pre-ret'!X7</f>
        <v>0.149727055962539</v>
      </c>
      <c r="Y7" s="4">
        <f>'BECF-pre-ret'!Y7</f>
        <v>0.149727055962539</v>
      </c>
      <c r="Z7" s="4">
        <f>'BECF-pre-ret'!Z7</f>
        <v>0.149727055962539</v>
      </c>
      <c r="AA7" s="4">
        <f>'BECF-pre-ret'!AA7</f>
        <v>0.149727055962539</v>
      </c>
      <c r="AB7" s="4">
        <f>'BECF-pre-ret'!AB7</f>
        <v>0.149727055962539</v>
      </c>
      <c r="AC7" s="4">
        <f>'BECF-pre-ret'!AC7</f>
        <v>0.149727055962539</v>
      </c>
      <c r="AD7" s="4">
        <f>'BECF-pre-ret'!AD7</f>
        <v>0.149727055962539</v>
      </c>
      <c r="AE7" s="4">
        <f>'BECF-pre-ret'!AE7</f>
        <v>0.149727055962539</v>
      </c>
      <c r="AF7" s="4">
        <f>'BECF-pre-ret'!AF7</f>
        <v>0.149727055962539</v>
      </c>
      <c r="AG7" s="4">
        <f>'BECF-pre-ret'!AG7</f>
        <v>0.149727055962539</v>
      </c>
      <c r="AH7" s="4">
        <f>'BECF-pre-ret'!AH7</f>
        <v>0.149727055962539</v>
      </c>
      <c r="AI7" s="4">
        <f>'BECF-pre-ret'!AI7</f>
        <v>0.149727055962539</v>
      </c>
      <c r="AJ7" s="4">
        <f>'BECF-pre-ret'!AJ7</f>
        <v>0.149727055962539</v>
      </c>
      <c r="AK7" s="4">
        <f>'BECF-pre-ret'!AK7</f>
        <v>0.149727055962539</v>
      </c>
      <c r="AL7" s="4">
        <f>'BECF-pre-ret'!AL7</f>
        <v>0.149727055962539</v>
      </c>
      <c r="AM7" s="4">
        <f>'BECF-pre-ret'!AM7</f>
        <v>0.149727055962539</v>
      </c>
      <c r="AN7" s="4">
        <f>'BECF-pre-ret'!AN7</f>
        <v>0.149727055962539</v>
      </c>
      <c r="AO7" s="4">
        <f>'BECF-pre-ret'!AO7</f>
        <v>0.149727055962539</v>
      </c>
      <c r="AP7" s="4">
        <f>'BECF-pre-ret'!AP7</f>
        <v>0.149727055962539</v>
      </c>
      <c r="AQ7" s="4">
        <f>'BECF-pre-ret'!AQ7</f>
        <v>0.149727055962539</v>
      </c>
      <c r="AR7" s="4">
        <f>'BECF-pre-ret'!AR7</f>
        <v>0.149727055962539</v>
      </c>
      <c r="AS7" s="4">
        <f>'BECF-pre-ret'!AS7</f>
        <v>0.149727055962539</v>
      </c>
    </row>
    <row r="8" spans="1:45">
      <c r="A8" s="1" t="s">
        <v>416</v>
      </c>
      <c r="B8" s="4">
        <f>'BECF-pre-ret'!B8</f>
        <v>0.553658982538697</v>
      </c>
      <c r="C8" s="4">
        <f>'BECF-pre-ret'!C8</f>
        <v>0.553658982538697</v>
      </c>
      <c r="D8" s="4">
        <f>'BECF-pre-ret'!D8</f>
        <v>0.553658982538697</v>
      </c>
      <c r="E8" s="4">
        <f>'BECF-pre-ret'!E8</f>
        <v>0.553658982538697</v>
      </c>
      <c r="F8" s="4">
        <f>'BECF-pre-ret'!F8</f>
        <v>0.553658982538697</v>
      </c>
      <c r="G8" s="4">
        <f>'BECF-pre-ret'!G8</f>
        <v>0.553658982538697</v>
      </c>
      <c r="H8" s="4">
        <f>'BECF-pre-ret'!H8</f>
        <v>0.553658982538697</v>
      </c>
      <c r="I8" s="4">
        <f>'BECF-pre-ret'!I8</f>
        <v>0.553658982538697</v>
      </c>
      <c r="J8" s="4">
        <f>'BECF-pre-ret'!J8</f>
        <v>0.553658982538697</v>
      </c>
      <c r="K8" s="4">
        <f>'BECF-pre-ret'!K8</f>
        <v>0.553658982538697</v>
      </c>
      <c r="L8" s="4">
        <f>'BECF-pre-ret'!L8</f>
        <v>0.553658982538697</v>
      </c>
      <c r="M8" s="4">
        <f>'BECF-pre-ret'!M8</f>
        <v>0.553658982538697</v>
      </c>
      <c r="N8" s="4">
        <f>'BECF-pre-ret'!N8</f>
        <v>0.553658982538697</v>
      </c>
      <c r="O8" s="4">
        <f>'BECF-pre-ret'!O8</f>
        <v>0.553658982538697</v>
      </c>
      <c r="P8" s="4">
        <f>'BECF-pre-ret'!P8</f>
        <v>0.553658982538697</v>
      </c>
      <c r="Q8" s="4">
        <f>'BECF-pre-ret'!Q8</f>
        <v>0.553658982538697</v>
      </c>
      <c r="R8" s="4">
        <f>'BECF-pre-ret'!R8</f>
        <v>0.553658982538697</v>
      </c>
      <c r="S8" s="4">
        <f>'BECF-pre-ret'!S8</f>
        <v>0.553658982538697</v>
      </c>
      <c r="T8" s="4">
        <f>'BECF-pre-ret'!T8</f>
        <v>0.553658982538697</v>
      </c>
      <c r="U8" s="4">
        <f>'BECF-pre-ret'!U8</f>
        <v>0.553658982538697</v>
      </c>
      <c r="V8" s="4">
        <f>'BECF-pre-ret'!V8</f>
        <v>0.553658982538697</v>
      </c>
      <c r="W8" s="4">
        <f>'BECF-pre-ret'!W8</f>
        <v>0.553658982538697</v>
      </c>
      <c r="X8" s="4">
        <f>'BECF-pre-ret'!X8</f>
        <v>0.553658982538697</v>
      </c>
      <c r="Y8" s="4">
        <f>'BECF-pre-ret'!Y8</f>
        <v>0.553658982538697</v>
      </c>
      <c r="Z8" s="4">
        <f>'BECF-pre-ret'!Z8</f>
        <v>0.553658982538697</v>
      </c>
      <c r="AA8" s="4">
        <f>'BECF-pre-ret'!AA8</f>
        <v>0.553658982538697</v>
      </c>
      <c r="AB8" s="4">
        <f>'BECF-pre-ret'!AB8</f>
        <v>0.553658982538697</v>
      </c>
      <c r="AC8" s="4">
        <f>'BECF-pre-ret'!AC8</f>
        <v>0.553658982538697</v>
      </c>
      <c r="AD8" s="4">
        <f>'BECF-pre-ret'!AD8</f>
        <v>0.553658982538697</v>
      </c>
      <c r="AE8" s="4">
        <f>'BECF-pre-ret'!AE8</f>
        <v>0.553658982538697</v>
      </c>
      <c r="AF8" s="4">
        <f>'BECF-pre-ret'!AF8</f>
        <v>0.553658982538697</v>
      </c>
      <c r="AG8" s="4">
        <f>'BECF-pre-ret'!AG8</f>
        <v>0.553658982538697</v>
      </c>
      <c r="AH8" s="4">
        <f>'BECF-pre-ret'!AH8</f>
        <v>0.553658982538697</v>
      </c>
      <c r="AI8" s="4">
        <f>'BECF-pre-ret'!AI8</f>
        <v>0.553658982538697</v>
      </c>
      <c r="AJ8" s="4">
        <f>'BECF-pre-ret'!AJ8</f>
        <v>0.553658982538697</v>
      </c>
      <c r="AK8" s="4">
        <f>'BECF-pre-ret'!AK8</f>
        <v>0.553658982538697</v>
      </c>
      <c r="AL8" s="4">
        <f>'BECF-pre-ret'!AL8</f>
        <v>0.553658982538697</v>
      </c>
      <c r="AM8" s="4">
        <f>'BECF-pre-ret'!AM8</f>
        <v>0.553658982538697</v>
      </c>
      <c r="AN8" s="4">
        <f>'BECF-pre-ret'!AN8</f>
        <v>0.553658982538697</v>
      </c>
      <c r="AO8" s="4">
        <f>'BECF-pre-ret'!AO8</f>
        <v>0.553658982538697</v>
      </c>
      <c r="AP8" s="4">
        <f>'BECF-pre-ret'!AP8</f>
        <v>0.553658982538697</v>
      </c>
      <c r="AQ8" s="4">
        <f>'BECF-pre-ret'!AQ8</f>
        <v>0.553658982538697</v>
      </c>
      <c r="AR8" s="4">
        <f>'BECF-pre-ret'!AR8</f>
        <v>0.553658982538697</v>
      </c>
      <c r="AS8" s="4">
        <f>'BECF-pre-ret'!AS8</f>
        <v>0.553658982538697</v>
      </c>
    </row>
    <row r="9" spans="1:45">
      <c r="A9" s="1" t="s">
        <v>417</v>
      </c>
      <c r="B9" s="4">
        <f>'BECF-pre-ret'!B9</f>
        <v>0.606735159817352</v>
      </c>
      <c r="C9" s="4">
        <f>'BECF-pre-ret'!C9</f>
        <v>0.589611872146119</v>
      </c>
      <c r="D9" s="4">
        <f>'BECF-pre-ret'!D9</f>
        <v>0.593721461187215</v>
      </c>
      <c r="E9" s="4">
        <f>'BECF-pre-ret'!E9</f>
        <v>0.593150684931507</v>
      </c>
      <c r="F9" s="4">
        <f>'BECF-pre-ret'!F9</f>
        <v>0.562214611872146</v>
      </c>
      <c r="G9" s="4">
        <f>'BECF-pre-ret'!G9</f>
        <v>0.531278538812785</v>
      </c>
      <c r="H9" s="4">
        <f>'BECF-pre-ret'!H9</f>
        <v>0.531278538812785</v>
      </c>
      <c r="I9" s="4">
        <f>'BECF-pre-ret'!I9</f>
        <v>0.531278538812785</v>
      </c>
      <c r="J9" s="4">
        <f>'BECF-pre-ret'!J9</f>
        <v>0.531278538812785</v>
      </c>
      <c r="K9" s="4">
        <f>'BECF-pre-ret'!K9</f>
        <v>0.531278538812785</v>
      </c>
      <c r="L9" s="4">
        <f>'BECF-pre-ret'!L9</f>
        <v>0.531278538812785</v>
      </c>
      <c r="M9" s="4">
        <f>'BECF-pre-ret'!M9</f>
        <v>0.531278538812785</v>
      </c>
      <c r="N9" s="4">
        <f>'BECF-pre-ret'!N9</f>
        <v>0.531278538812785</v>
      </c>
      <c r="O9" s="4">
        <f>'BECF-pre-ret'!O9</f>
        <v>0.531278538812785</v>
      </c>
      <c r="P9" s="4">
        <f>'BECF-pre-ret'!P9</f>
        <v>0.531278538812785</v>
      </c>
      <c r="Q9" s="4">
        <f>'BECF-pre-ret'!Q9</f>
        <v>0.531278538812785</v>
      </c>
      <c r="R9" s="4">
        <f>'BECF-pre-ret'!R9</f>
        <v>0.531278538812785</v>
      </c>
      <c r="S9" s="4">
        <f>'BECF-pre-ret'!S9</f>
        <v>0.531278538812785</v>
      </c>
      <c r="T9" s="4">
        <f>'BECF-pre-ret'!T9</f>
        <v>0.531278538812785</v>
      </c>
      <c r="U9" s="4">
        <f>'BECF-pre-ret'!U9</f>
        <v>0.531278538812785</v>
      </c>
      <c r="V9" s="4">
        <f>'BECF-pre-ret'!V9</f>
        <v>0.531278538812785</v>
      </c>
      <c r="W9" s="4">
        <f>'BECF-pre-ret'!W9</f>
        <v>0.531278538812785</v>
      </c>
      <c r="X9" s="4">
        <f>'BECF-pre-ret'!X9</f>
        <v>0.531278538812785</v>
      </c>
      <c r="Y9" s="4">
        <f>'BECF-pre-ret'!Y9</f>
        <v>0.531278538812785</v>
      </c>
      <c r="Z9" s="4">
        <f>'BECF-pre-ret'!Z9</f>
        <v>0.531278538812785</v>
      </c>
      <c r="AA9" s="4">
        <f>'BECF-pre-ret'!AA9</f>
        <v>0.531278538812785</v>
      </c>
      <c r="AB9" s="4">
        <f>'BECF-pre-ret'!AB9</f>
        <v>0.531278538812785</v>
      </c>
      <c r="AC9" s="4">
        <f>'BECF-pre-ret'!AC9</f>
        <v>0.531278538812785</v>
      </c>
      <c r="AD9" s="4">
        <f>'BECF-pre-ret'!AD9</f>
        <v>0.531278538812785</v>
      </c>
      <c r="AE9" s="4">
        <f>'BECF-pre-ret'!AE9</f>
        <v>0.531278538812785</v>
      </c>
      <c r="AF9" s="4">
        <f>'BECF-pre-ret'!AF9</f>
        <v>0.531278538812785</v>
      </c>
      <c r="AG9" s="4">
        <f>'BECF-pre-ret'!AG9</f>
        <v>0.531278538812785</v>
      </c>
      <c r="AH9" s="4">
        <f>'BECF-pre-ret'!AH9</f>
        <v>0.531278538812785</v>
      </c>
      <c r="AI9" s="4">
        <f>'BECF-pre-ret'!AI9</f>
        <v>0.531278538812785</v>
      </c>
      <c r="AJ9" s="4">
        <f>'BECF-pre-ret'!AJ9</f>
        <v>0.531278538812785</v>
      </c>
      <c r="AK9" s="4">
        <f>'BECF-pre-ret'!AK9</f>
        <v>0.531278538812785</v>
      </c>
      <c r="AL9" s="4">
        <f>'BECF-pre-ret'!AL9</f>
        <v>0.531278538812785</v>
      </c>
      <c r="AM9" s="4">
        <f>'BECF-pre-ret'!AM9</f>
        <v>0.531278538812785</v>
      </c>
      <c r="AN9" s="4">
        <f>'BECF-pre-ret'!AN9</f>
        <v>0.531278538812785</v>
      </c>
      <c r="AO9" s="4">
        <f>'BECF-pre-ret'!AO9</f>
        <v>0.531278538812785</v>
      </c>
      <c r="AP9" s="4">
        <f>'BECF-pre-ret'!AP9</f>
        <v>0.531278538812785</v>
      </c>
      <c r="AQ9" s="4">
        <f>'BECF-pre-ret'!AQ9</f>
        <v>0.531278538812785</v>
      </c>
      <c r="AR9" s="4">
        <f>'BECF-pre-ret'!AR9</f>
        <v>0.531278538812785</v>
      </c>
      <c r="AS9" s="4">
        <f>'BECF-pre-ret'!AS9</f>
        <v>0.531278538812785</v>
      </c>
    </row>
    <row r="10" spans="1:45">
      <c r="A10" s="1" t="s">
        <v>418</v>
      </c>
      <c r="B10" s="4">
        <f>'BECF-pre-ret'!B10</f>
        <v>0.337</v>
      </c>
      <c r="C10" s="4">
        <f>'BECF-pre-ret'!C10</f>
        <v>0.337</v>
      </c>
      <c r="D10" s="4">
        <f>'BECF-pre-ret'!D10</f>
        <v>0.337</v>
      </c>
      <c r="E10" s="4">
        <f>'BECF-pre-ret'!E10</f>
        <v>0.337</v>
      </c>
      <c r="F10" s="4">
        <f>'BECF-pre-ret'!F10</f>
        <v>0.337</v>
      </c>
      <c r="G10" s="4">
        <f>'BECF-pre-ret'!G10</f>
        <v>0.337</v>
      </c>
      <c r="H10" s="4">
        <f>'BECF-pre-ret'!H10</f>
        <v>0.337</v>
      </c>
      <c r="I10" s="4">
        <f>'BECF-pre-ret'!I10</f>
        <v>0.337</v>
      </c>
      <c r="J10" s="4">
        <f>'BECF-pre-ret'!J10</f>
        <v>0.337</v>
      </c>
      <c r="K10" s="4">
        <f>'BECF-pre-ret'!K10</f>
        <v>0.337</v>
      </c>
      <c r="L10" s="4">
        <f>'BECF-pre-ret'!L10</f>
        <v>0.337</v>
      </c>
      <c r="M10" s="4">
        <f>'BECF-pre-ret'!M10</f>
        <v>0.337</v>
      </c>
      <c r="N10" s="4">
        <f>'BECF-pre-ret'!N10</f>
        <v>0.337</v>
      </c>
      <c r="O10" s="4">
        <f>'BECF-pre-ret'!O10</f>
        <v>0.337</v>
      </c>
      <c r="P10" s="4">
        <f>'BECF-pre-ret'!P10</f>
        <v>0.337</v>
      </c>
      <c r="Q10" s="4">
        <f>'BECF-pre-ret'!Q10</f>
        <v>0.337</v>
      </c>
      <c r="R10" s="4">
        <f>'BECF-pre-ret'!R10</f>
        <v>0.337</v>
      </c>
      <c r="S10" s="4">
        <f>'BECF-pre-ret'!S10</f>
        <v>0.337</v>
      </c>
      <c r="T10" s="4">
        <f>'BECF-pre-ret'!T10</f>
        <v>0.337</v>
      </c>
      <c r="U10" s="4">
        <f>'BECF-pre-ret'!U10</f>
        <v>0.337</v>
      </c>
      <c r="V10" s="4">
        <f>'BECF-pre-ret'!V10</f>
        <v>0.337</v>
      </c>
      <c r="W10" s="4">
        <f>'BECF-pre-ret'!W10</f>
        <v>0.337</v>
      </c>
      <c r="X10" s="4">
        <f>'BECF-pre-ret'!X10</f>
        <v>0.337</v>
      </c>
      <c r="Y10" s="4">
        <f>'BECF-pre-ret'!Y10</f>
        <v>0.337</v>
      </c>
      <c r="Z10" s="4">
        <f>'BECF-pre-ret'!Z10</f>
        <v>0.337</v>
      </c>
      <c r="AA10" s="4">
        <f>'BECF-pre-ret'!AA10</f>
        <v>0.337</v>
      </c>
      <c r="AB10" s="4">
        <f>'BECF-pre-ret'!AB10</f>
        <v>0.337</v>
      </c>
      <c r="AC10" s="4">
        <f>'BECF-pre-ret'!AC10</f>
        <v>0.337</v>
      </c>
      <c r="AD10" s="4">
        <f>'BECF-pre-ret'!AD10</f>
        <v>0.337</v>
      </c>
      <c r="AE10" s="4">
        <f>'BECF-pre-ret'!AE10</f>
        <v>0.337</v>
      </c>
      <c r="AF10" s="4">
        <f>'BECF-pre-ret'!AF10</f>
        <v>0.337</v>
      </c>
      <c r="AG10" s="4">
        <f>'BECF-pre-ret'!AG10</f>
        <v>0.337</v>
      </c>
      <c r="AH10" s="4">
        <f>'BECF-pre-ret'!AH10</f>
        <v>0.337</v>
      </c>
      <c r="AI10" s="4">
        <f>'BECF-pre-ret'!AI10</f>
        <v>0.337</v>
      </c>
      <c r="AJ10" s="4">
        <f>'BECF-pre-ret'!AJ10</f>
        <v>0.337</v>
      </c>
      <c r="AK10" s="4">
        <f>'BECF-pre-ret'!AK10</f>
        <v>0.337</v>
      </c>
      <c r="AL10" s="4">
        <f>'BECF-pre-ret'!AL10</f>
        <v>0.337</v>
      </c>
      <c r="AM10" s="4">
        <f>'BECF-pre-ret'!AM10</f>
        <v>0.337</v>
      </c>
      <c r="AN10" s="4">
        <f>'BECF-pre-ret'!AN10</f>
        <v>0.337</v>
      </c>
      <c r="AO10" s="4">
        <f>'BECF-pre-ret'!AO10</f>
        <v>0.337</v>
      </c>
      <c r="AP10" s="4">
        <f>'BECF-pre-ret'!AP10</f>
        <v>0.337</v>
      </c>
      <c r="AQ10" s="4">
        <f>'BECF-pre-ret'!AQ10</f>
        <v>0.337</v>
      </c>
      <c r="AR10" s="4">
        <f>'BECF-pre-ret'!AR10</f>
        <v>0.337</v>
      </c>
      <c r="AS10" s="4">
        <f>'BECF-pre-ret'!AS10</f>
        <v>0.337</v>
      </c>
    </row>
    <row r="11" spans="1:45">
      <c r="A11" s="1" t="s">
        <v>419</v>
      </c>
      <c r="B11" s="4">
        <f>'BECF-pre-ret'!B11</f>
        <v>0.157420091324201</v>
      </c>
      <c r="C11" s="4">
        <f>'BECF-pre-ret'!C11</f>
        <v>0.103082191780822</v>
      </c>
      <c r="D11" s="4">
        <f>'BECF-pre-ret'!D11</f>
        <v>0.0867579908675799</v>
      </c>
      <c r="E11" s="4">
        <f>'BECF-pre-ret'!E11</f>
        <v>0.0985159817351598</v>
      </c>
      <c r="F11" s="4">
        <f>'BECF-pre-ret'!F11</f>
        <v>0.115639269406393</v>
      </c>
      <c r="G11" s="4">
        <f>'BECF-pre-ret'!G11</f>
        <v>0.0691780821917808</v>
      </c>
      <c r="H11" s="4">
        <f>'BECF-pre-ret'!H11</f>
        <v>0.100799086757991</v>
      </c>
      <c r="I11" s="4">
        <f>'BECF-pre-ret'!I11</f>
        <v>0.0996575342465753</v>
      </c>
      <c r="J11" s="4">
        <f>'BECF-pre-ret'!J11</f>
        <v>0.0990867579908676</v>
      </c>
      <c r="K11" s="4">
        <f>'BECF-pre-ret'!K11</f>
        <v>0.0993721461187215</v>
      </c>
      <c r="L11" s="4">
        <f>'BECF-pre-ret'!L11</f>
        <v>0.0995148401826484</v>
      </c>
      <c r="M11" s="4">
        <f>'BECF-pre-ret'!M11</f>
        <v>0.0994434931506849</v>
      </c>
      <c r="N11" s="4">
        <f>'BECF-pre-ret'!N11</f>
        <v>0.0994791666666667</v>
      </c>
      <c r="O11" s="4">
        <f>'BECF-pre-ret'!O11</f>
        <v>0.0994613299086758</v>
      </c>
      <c r="P11" s="4">
        <f>'BECF-pre-ret'!P11</f>
        <v>0.0994524115296804</v>
      </c>
      <c r="Q11" s="4">
        <f>'BECF-pre-ret'!Q11</f>
        <v>0.0994568707191781</v>
      </c>
      <c r="R11" s="4">
        <f>'BECF-pre-ret'!R11</f>
        <v>0.0994591003139269</v>
      </c>
      <c r="S11" s="4">
        <f>'BECF-pre-ret'!S11</f>
        <v>0.0994579855165525</v>
      </c>
      <c r="T11" s="4">
        <f>'BECF-pre-ret'!T11</f>
        <v>0.0994585429152397</v>
      </c>
      <c r="U11" s="4">
        <f>'BECF-pre-ret'!U11</f>
        <v>0.0994582642158961</v>
      </c>
      <c r="V11" s="4">
        <f>'BECF-pre-ret'!V11</f>
        <v>0.0994581248662243</v>
      </c>
      <c r="W11" s="4">
        <f>'BECF-pre-ret'!W11</f>
        <v>0.0994581945410602</v>
      </c>
      <c r="X11" s="4">
        <f>'BECF-pre-ret'!X11</f>
        <v>0.0994582293784782</v>
      </c>
      <c r="Y11" s="4">
        <f>'BECF-pre-ret'!Y11</f>
        <v>0.0994582119597692</v>
      </c>
      <c r="Z11" s="4">
        <f>'BECF-pre-ret'!Z11</f>
        <v>0.0994582206691237</v>
      </c>
      <c r="AA11" s="4">
        <f>'BECF-pre-ret'!AA11</f>
        <v>0.0994582163144464</v>
      </c>
      <c r="AB11" s="4">
        <f>'BECF-pre-ret'!AB11</f>
        <v>0.0994582141371078</v>
      </c>
      <c r="AC11" s="4">
        <f>'BECF-pre-ret'!AC11</f>
        <v>0.0994582152257771</v>
      </c>
      <c r="AD11" s="4">
        <f>'BECF-pre-ret'!AD11</f>
        <v>0.0994582157701118</v>
      </c>
      <c r="AE11" s="4">
        <f>'BECF-pre-ret'!AE11</f>
        <v>0.0994582154979445</v>
      </c>
      <c r="AF11" s="4">
        <f>'BECF-pre-ret'!AF11</f>
        <v>0.0994582156340281</v>
      </c>
      <c r="AG11" s="4">
        <f>'BECF-pre-ret'!AG11</f>
        <v>0.0994582155659863</v>
      </c>
      <c r="AH11" s="4">
        <f>'BECF-pre-ret'!AH11</f>
        <v>0.0994582155319654</v>
      </c>
      <c r="AI11" s="4">
        <f>'BECF-pre-ret'!AI11</f>
        <v>0.0994582155489758</v>
      </c>
      <c r="AJ11" s="4">
        <f>'BECF-pre-ret'!AJ11</f>
        <v>0.0994582155574811</v>
      </c>
      <c r="AK11" s="4">
        <f>'BECF-pre-ret'!AK11</f>
        <v>0.0994582155532285</v>
      </c>
      <c r="AL11" s="4">
        <f>'BECF-pre-ret'!AL11</f>
        <v>0.0994582155553548</v>
      </c>
      <c r="AM11" s="4">
        <f>'BECF-pre-ret'!AM11</f>
        <v>0.0994582155542916</v>
      </c>
      <c r="AN11" s="4">
        <f>'BECF-pre-ret'!AN11</f>
        <v>0.09945821555376</v>
      </c>
      <c r="AO11" s="4">
        <f>'BECF-pre-ret'!AO11</f>
        <v>0.0994582155540258</v>
      </c>
      <c r="AP11" s="4">
        <f>'BECF-pre-ret'!AP11</f>
        <v>0.0994582155541587</v>
      </c>
      <c r="AQ11" s="4">
        <f>'BECF-pre-ret'!AQ11</f>
        <v>0.0994582155540923</v>
      </c>
      <c r="AR11" s="4">
        <f>'BECF-pre-ret'!AR11</f>
        <v>0.0994582155541255</v>
      </c>
      <c r="AS11" s="4">
        <f>'BECF-pre-ret'!AS11</f>
        <v>0.0994582155541089</v>
      </c>
    </row>
    <row r="12" spans="1:45">
      <c r="A12" s="1" t="s">
        <v>420</v>
      </c>
      <c r="B12" s="4">
        <f>'BECF-pre-ret'!B12</f>
        <v>0.315182648401826</v>
      </c>
      <c r="C12" s="4">
        <f>'BECF-pre-ret'!C12</f>
        <v>0.315867579908676</v>
      </c>
      <c r="D12" s="4">
        <f>'BECF-pre-ret'!D12</f>
        <v>0.302054794520548</v>
      </c>
      <c r="E12" s="4">
        <f>'BECF-pre-ret'!E12</f>
        <v>0.297945205479452</v>
      </c>
      <c r="F12" s="4">
        <f>'BECF-pre-ret'!F12</f>
        <v>0.306849315068493</v>
      </c>
      <c r="G12" s="4">
        <f>'BECF-pre-ret'!G12</f>
        <v>0.276940639269406</v>
      </c>
      <c r="H12" s="4">
        <f>'BECF-pre-ret'!H12</f>
        <v>0.276940639269406</v>
      </c>
      <c r="I12" s="4">
        <f>'BECF-pre-ret'!I12</f>
        <v>0.276940639269406</v>
      </c>
      <c r="J12" s="4">
        <f>'BECF-pre-ret'!J12</f>
        <v>0.276940639269406</v>
      </c>
      <c r="K12" s="4">
        <f>'BECF-pre-ret'!K12</f>
        <v>0.276940639269406</v>
      </c>
      <c r="L12" s="4">
        <f>'BECF-pre-ret'!L12</f>
        <v>0.276940639269406</v>
      </c>
      <c r="M12" s="4">
        <f>'BECF-pre-ret'!M12</f>
        <v>0.276940639269406</v>
      </c>
      <c r="N12" s="4">
        <f>'BECF-pre-ret'!N12</f>
        <v>0.276940639269406</v>
      </c>
      <c r="O12" s="4">
        <f>'BECF-pre-ret'!O12</f>
        <v>0.276940639269406</v>
      </c>
      <c r="P12" s="4">
        <f>'BECF-pre-ret'!P12</f>
        <v>0.276940639269406</v>
      </c>
      <c r="Q12" s="4">
        <f>'BECF-pre-ret'!Q12</f>
        <v>0.276940639269406</v>
      </c>
      <c r="R12" s="4">
        <f>'BECF-pre-ret'!R12</f>
        <v>0.276940639269406</v>
      </c>
      <c r="S12" s="4">
        <f>'BECF-pre-ret'!S12</f>
        <v>0.276940639269406</v>
      </c>
      <c r="T12" s="4">
        <f>'BECF-pre-ret'!T12</f>
        <v>0.276940639269406</v>
      </c>
      <c r="U12" s="4">
        <f>'BECF-pre-ret'!U12</f>
        <v>0.276940639269406</v>
      </c>
      <c r="V12" s="4">
        <f>'BECF-pre-ret'!V12</f>
        <v>0.276940639269406</v>
      </c>
      <c r="W12" s="4">
        <f>'BECF-pre-ret'!W12</f>
        <v>0.276940639269406</v>
      </c>
      <c r="X12" s="4">
        <f>'BECF-pre-ret'!X12</f>
        <v>0.276940639269406</v>
      </c>
      <c r="Y12" s="4">
        <f>'BECF-pre-ret'!Y12</f>
        <v>0.276940639269406</v>
      </c>
      <c r="Z12" s="4">
        <f>'BECF-pre-ret'!Z12</f>
        <v>0.276940639269406</v>
      </c>
      <c r="AA12" s="4">
        <f>'BECF-pre-ret'!AA12</f>
        <v>0.276940639269406</v>
      </c>
      <c r="AB12" s="4">
        <f>'BECF-pre-ret'!AB12</f>
        <v>0.276940639269406</v>
      </c>
      <c r="AC12" s="4">
        <f>'BECF-pre-ret'!AC12</f>
        <v>0.276940639269406</v>
      </c>
      <c r="AD12" s="4">
        <f>'BECF-pre-ret'!AD12</f>
        <v>0.276940639269406</v>
      </c>
      <c r="AE12" s="4">
        <f>'BECF-pre-ret'!AE12</f>
        <v>0.276940639269406</v>
      </c>
      <c r="AF12" s="4">
        <f>'BECF-pre-ret'!AF12</f>
        <v>0.276940639269406</v>
      </c>
      <c r="AG12" s="4">
        <f>'BECF-pre-ret'!AG12</f>
        <v>0.276940639269406</v>
      </c>
      <c r="AH12" s="4">
        <f>'BECF-pre-ret'!AH12</f>
        <v>0.276940639269406</v>
      </c>
      <c r="AI12" s="4">
        <f>'BECF-pre-ret'!AI12</f>
        <v>0.276940639269406</v>
      </c>
      <c r="AJ12" s="4">
        <f>'BECF-pre-ret'!AJ12</f>
        <v>0.276940639269406</v>
      </c>
      <c r="AK12" s="4">
        <f>'BECF-pre-ret'!AK12</f>
        <v>0.276940639269406</v>
      </c>
      <c r="AL12" s="4">
        <f>'BECF-pre-ret'!AL12</f>
        <v>0.276940639269406</v>
      </c>
      <c r="AM12" s="4">
        <f>'BECF-pre-ret'!AM12</f>
        <v>0.276940639269406</v>
      </c>
      <c r="AN12" s="4">
        <f>'BECF-pre-ret'!AN12</f>
        <v>0.276940639269406</v>
      </c>
      <c r="AO12" s="4">
        <f>'BECF-pre-ret'!AO12</f>
        <v>0.276940639269406</v>
      </c>
      <c r="AP12" s="4">
        <f>'BECF-pre-ret'!AP12</f>
        <v>0.276940639269406</v>
      </c>
      <c r="AQ12" s="4">
        <f>'BECF-pre-ret'!AQ12</f>
        <v>0.276940639269406</v>
      </c>
      <c r="AR12" s="4">
        <f>'BECF-pre-ret'!AR12</f>
        <v>0.276940639269406</v>
      </c>
      <c r="AS12" s="4">
        <f>'BECF-pre-ret'!AS12</f>
        <v>0.276940639269406</v>
      </c>
    </row>
    <row r="13" spans="1:45">
      <c r="A13" s="1" t="s">
        <v>421</v>
      </c>
      <c r="B13" s="4">
        <f>'BECF-pre-ret'!B13</f>
        <v>0.492237442922374</v>
      </c>
      <c r="C13" s="4">
        <f>'BECF-pre-ret'!C13</f>
        <v>0.513127853881279</v>
      </c>
      <c r="D13" s="4">
        <f>'BECF-pre-ret'!D13</f>
        <v>0.505593607305936</v>
      </c>
      <c r="E13" s="4">
        <f>'BECF-pre-ret'!E13</f>
        <v>0.493493150684931</v>
      </c>
      <c r="F13" s="4">
        <f>'BECF-pre-ret'!F13</f>
        <v>0.525228310502283</v>
      </c>
      <c r="G13" s="4">
        <f>'BECF-pre-ret'!G13</f>
        <v>0.524315068493151</v>
      </c>
      <c r="H13" s="4">
        <f>'BECF-pre-ret'!H13</f>
        <v>0.524315068493151</v>
      </c>
      <c r="I13" s="4">
        <f>'BECF-pre-ret'!I13</f>
        <v>0.524315068493151</v>
      </c>
      <c r="J13" s="4">
        <f>'BECF-pre-ret'!J13</f>
        <v>0.524315068493151</v>
      </c>
      <c r="K13" s="4">
        <f>'BECF-pre-ret'!K13</f>
        <v>0.524315068493151</v>
      </c>
      <c r="L13" s="4">
        <f>'BECF-pre-ret'!L13</f>
        <v>0.524315068493151</v>
      </c>
      <c r="M13" s="4">
        <f>'BECF-pre-ret'!M13</f>
        <v>0.524315068493151</v>
      </c>
      <c r="N13" s="4">
        <f>'BECF-pre-ret'!N13</f>
        <v>0.524315068493151</v>
      </c>
      <c r="O13" s="4">
        <f>'BECF-pre-ret'!O13</f>
        <v>0.524315068493151</v>
      </c>
      <c r="P13" s="4">
        <f>'BECF-pre-ret'!P13</f>
        <v>0.524315068493151</v>
      </c>
      <c r="Q13" s="4">
        <f>'BECF-pre-ret'!Q13</f>
        <v>0.524315068493151</v>
      </c>
      <c r="R13" s="4">
        <f>'BECF-pre-ret'!R13</f>
        <v>0.524315068493151</v>
      </c>
      <c r="S13" s="4">
        <f>'BECF-pre-ret'!S13</f>
        <v>0.524315068493151</v>
      </c>
      <c r="T13" s="4">
        <f>'BECF-pre-ret'!T13</f>
        <v>0.524315068493151</v>
      </c>
      <c r="U13" s="4">
        <f>'BECF-pre-ret'!U13</f>
        <v>0.524315068493151</v>
      </c>
      <c r="V13" s="4">
        <f>'BECF-pre-ret'!V13</f>
        <v>0.524315068493151</v>
      </c>
      <c r="W13" s="4">
        <f>'BECF-pre-ret'!W13</f>
        <v>0.524315068493151</v>
      </c>
      <c r="X13" s="4">
        <f>'BECF-pre-ret'!X13</f>
        <v>0.524315068493151</v>
      </c>
      <c r="Y13" s="4">
        <f>'BECF-pre-ret'!Y13</f>
        <v>0.524315068493151</v>
      </c>
      <c r="Z13" s="4">
        <f>'BECF-pre-ret'!Z13</f>
        <v>0.524315068493151</v>
      </c>
      <c r="AA13" s="4">
        <f>'BECF-pre-ret'!AA13</f>
        <v>0.524315068493151</v>
      </c>
      <c r="AB13" s="4">
        <f>'BECF-pre-ret'!AB13</f>
        <v>0.524315068493151</v>
      </c>
      <c r="AC13" s="4">
        <f>'BECF-pre-ret'!AC13</f>
        <v>0.524315068493151</v>
      </c>
      <c r="AD13" s="4">
        <f>'BECF-pre-ret'!AD13</f>
        <v>0.524315068493151</v>
      </c>
      <c r="AE13" s="4">
        <f>'BECF-pre-ret'!AE13</f>
        <v>0.524315068493151</v>
      </c>
      <c r="AF13" s="4">
        <f>'BECF-pre-ret'!AF13</f>
        <v>0.524315068493151</v>
      </c>
      <c r="AG13" s="4">
        <f>'BECF-pre-ret'!AG13</f>
        <v>0.524315068493151</v>
      </c>
      <c r="AH13" s="4">
        <f>'BECF-pre-ret'!AH13</f>
        <v>0.524315068493151</v>
      </c>
      <c r="AI13" s="4">
        <f>'BECF-pre-ret'!AI13</f>
        <v>0.524315068493151</v>
      </c>
      <c r="AJ13" s="4">
        <f>'BECF-pre-ret'!AJ13</f>
        <v>0.524315068493151</v>
      </c>
      <c r="AK13" s="4">
        <f>'BECF-pre-ret'!AK13</f>
        <v>0.524315068493151</v>
      </c>
      <c r="AL13" s="4">
        <f>'BECF-pre-ret'!AL13</f>
        <v>0.524315068493151</v>
      </c>
      <c r="AM13" s="4">
        <f>'BECF-pre-ret'!AM13</f>
        <v>0.524315068493151</v>
      </c>
      <c r="AN13" s="4">
        <f>'BECF-pre-ret'!AN13</f>
        <v>0.524315068493151</v>
      </c>
      <c r="AO13" s="4">
        <f>'BECF-pre-ret'!AO13</f>
        <v>0.524315068493151</v>
      </c>
      <c r="AP13" s="4">
        <f>'BECF-pre-ret'!AP13</f>
        <v>0.524315068493151</v>
      </c>
      <c r="AQ13" s="4">
        <f>'BECF-pre-ret'!AQ13</f>
        <v>0.524315068493151</v>
      </c>
      <c r="AR13" s="4">
        <f>'BECF-pre-ret'!AR13</f>
        <v>0.524315068493151</v>
      </c>
      <c r="AS13" s="4">
        <f>'BECF-pre-ret'!AS13</f>
        <v>0.524315068493151</v>
      </c>
    </row>
    <row r="14" spans="1:45">
      <c r="A14" s="1" t="s">
        <v>422</v>
      </c>
      <c r="B14" s="4">
        <f>'BECF-pre-ret'!B14</f>
        <v>0.29</v>
      </c>
      <c r="C14" s="4">
        <f>'BECF-pre-ret'!C14</f>
        <v>0.29</v>
      </c>
      <c r="D14" s="4">
        <f>'BECF-pre-ret'!D14</f>
        <v>0.29</v>
      </c>
      <c r="E14" s="4">
        <f>'BECF-pre-ret'!E14</f>
        <v>0.29</v>
      </c>
      <c r="F14" s="4">
        <f>'BECF-pre-ret'!F14</f>
        <v>0.29</v>
      </c>
      <c r="G14" s="4">
        <f>'BECF-pre-ret'!G14</f>
        <v>0.29</v>
      </c>
      <c r="H14" s="4">
        <f>'BECF-pre-ret'!H14</f>
        <v>0.29</v>
      </c>
      <c r="I14" s="4">
        <f>'BECF-pre-ret'!I14</f>
        <v>0.29</v>
      </c>
      <c r="J14" s="4">
        <f>'BECF-pre-ret'!J14</f>
        <v>0.29</v>
      </c>
      <c r="K14" s="4">
        <f>'BECF-pre-ret'!K14</f>
        <v>0.29</v>
      </c>
      <c r="L14" s="4">
        <f>'BECF-pre-ret'!L14</f>
        <v>0.29</v>
      </c>
      <c r="M14" s="4">
        <f>'BECF-pre-ret'!M14</f>
        <v>0.29</v>
      </c>
      <c r="N14" s="4">
        <f>'BECF-pre-ret'!N14</f>
        <v>0.29</v>
      </c>
      <c r="O14" s="4">
        <f>'BECF-pre-ret'!O14</f>
        <v>0.29</v>
      </c>
      <c r="P14" s="4">
        <f>'BECF-pre-ret'!P14</f>
        <v>0.29</v>
      </c>
      <c r="Q14" s="4">
        <f>'BECF-pre-ret'!Q14</f>
        <v>0.29</v>
      </c>
      <c r="R14" s="4">
        <f>'BECF-pre-ret'!R14</f>
        <v>0.29</v>
      </c>
      <c r="S14" s="4">
        <f>'BECF-pre-ret'!S14</f>
        <v>0.29</v>
      </c>
      <c r="T14" s="4">
        <f>'BECF-pre-ret'!T14</f>
        <v>0.29</v>
      </c>
      <c r="U14" s="4">
        <f>'BECF-pre-ret'!U14</f>
        <v>0.29</v>
      </c>
      <c r="V14" s="4">
        <f>'BECF-pre-ret'!V14</f>
        <v>0.29</v>
      </c>
      <c r="W14" s="4">
        <f>'BECF-pre-ret'!W14</f>
        <v>0.29</v>
      </c>
      <c r="X14" s="4">
        <f>'BECF-pre-ret'!X14</f>
        <v>0.29</v>
      </c>
      <c r="Y14" s="4">
        <f>'BECF-pre-ret'!Y14</f>
        <v>0.29</v>
      </c>
      <c r="Z14" s="4">
        <f>'BECF-pre-ret'!Z14</f>
        <v>0.29</v>
      </c>
      <c r="AA14" s="4">
        <f>'BECF-pre-ret'!AA14</f>
        <v>0.29</v>
      </c>
      <c r="AB14" s="4">
        <f>'BECF-pre-ret'!AB14</f>
        <v>0.29</v>
      </c>
      <c r="AC14" s="4">
        <f>'BECF-pre-ret'!AC14</f>
        <v>0.29</v>
      </c>
      <c r="AD14" s="4">
        <f>'BECF-pre-ret'!AD14</f>
        <v>0.29</v>
      </c>
      <c r="AE14" s="4">
        <f>'BECF-pre-ret'!AE14</f>
        <v>0.29</v>
      </c>
      <c r="AF14" s="4">
        <f>'BECF-pre-ret'!AF14</f>
        <v>0.29</v>
      </c>
      <c r="AG14" s="4">
        <f>'BECF-pre-ret'!AG14</f>
        <v>0.29</v>
      </c>
      <c r="AH14" s="4">
        <f>'BECF-pre-ret'!AH14</f>
        <v>0.29</v>
      </c>
      <c r="AI14" s="4">
        <f>'BECF-pre-ret'!AI14</f>
        <v>0.29</v>
      </c>
      <c r="AJ14" s="4">
        <f>'BECF-pre-ret'!AJ14</f>
        <v>0.29</v>
      </c>
      <c r="AK14" s="4">
        <f>'BECF-pre-ret'!AK14</f>
        <v>0.29</v>
      </c>
      <c r="AL14" s="4">
        <f>'BECF-pre-ret'!AL14</f>
        <v>0.29</v>
      </c>
      <c r="AM14" s="4">
        <f>'BECF-pre-ret'!AM14</f>
        <v>0.29</v>
      </c>
      <c r="AN14" s="4">
        <f>'BECF-pre-ret'!AN14</f>
        <v>0.29</v>
      </c>
      <c r="AO14" s="4">
        <f>'BECF-pre-ret'!AO14</f>
        <v>0.29</v>
      </c>
      <c r="AP14" s="4">
        <f>'BECF-pre-ret'!AP14</f>
        <v>0.29</v>
      </c>
      <c r="AQ14" s="4">
        <f>'BECF-pre-ret'!AQ14</f>
        <v>0.29</v>
      </c>
      <c r="AR14" s="4">
        <f>'BECF-pre-ret'!AR14</f>
        <v>0.29</v>
      </c>
      <c r="AS14" s="4">
        <f>'BECF-pre-ret'!AS14</f>
        <v>0.29</v>
      </c>
    </row>
    <row r="15" spans="1:45">
      <c r="A15" s="1" t="s">
        <v>423</v>
      </c>
      <c r="B15" s="4">
        <f>'BECF-pre-ret'!B15</f>
        <v>0.157420091324201</v>
      </c>
      <c r="C15" s="4">
        <f>'BECF-pre-ret'!C15</f>
        <v>0.103082191780822</v>
      </c>
      <c r="D15" s="4">
        <f>'BECF-pre-ret'!D15</f>
        <v>0.0867579908675799</v>
      </c>
      <c r="E15" s="4">
        <f>'BECF-pre-ret'!E15</f>
        <v>0.0985159817351598</v>
      </c>
      <c r="F15" s="4">
        <f>'BECF-pre-ret'!F15</f>
        <v>0.115639269406393</v>
      </c>
      <c r="G15" s="4">
        <f>'BECF-pre-ret'!G15</f>
        <v>0.0691780821917808</v>
      </c>
      <c r="H15" s="4">
        <f>'BECF-pre-ret'!H15</f>
        <v>0.100799086757991</v>
      </c>
      <c r="I15" s="4">
        <f>'BECF-pre-ret'!I15</f>
        <v>0.0996575342465753</v>
      </c>
      <c r="J15" s="4">
        <f>'BECF-pre-ret'!J15</f>
        <v>0.0990867579908676</v>
      </c>
      <c r="K15" s="4">
        <f>'BECF-pre-ret'!K15</f>
        <v>0.0993721461187215</v>
      </c>
      <c r="L15" s="4">
        <f>'BECF-pre-ret'!L15</f>
        <v>0.0995148401826484</v>
      </c>
      <c r="M15" s="4">
        <f>'BECF-pre-ret'!M15</f>
        <v>0.0994434931506849</v>
      </c>
      <c r="N15" s="4">
        <f>'BECF-pre-ret'!N15</f>
        <v>0.0994791666666667</v>
      </c>
      <c r="O15" s="4">
        <f>'BECF-pre-ret'!O15</f>
        <v>0.0994613299086758</v>
      </c>
      <c r="P15" s="4">
        <f>'BECF-pre-ret'!P15</f>
        <v>0.0994524115296804</v>
      </c>
      <c r="Q15" s="4">
        <f>'BECF-pre-ret'!Q15</f>
        <v>0.0994568707191781</v>
      </c>
      <c r="R15" s="4">
        <f>'BECF-pre-ret'!R15</f>
        <v>0.0994591003139269</v>
      </c>
      <c r="S15" s="4">
        <f>'BECF-pre-ret'!S15</f>
        <v>0.0994579855165525</v>
      </c>
      <c r="T15" s="4">
        <f>'BECF-pre-ret'!T15</f>
        <v>0.0994585429152397</v>
      </c>
      <c r="U15" s="4">
        <f>'BECF-pre-ret'!U15</f>
        <v>0.0994582642158961</v>
      </c>
      <c r="V15" s="4">
        <f>'BECF-pre-ret'!V15</f>
        <v>0.0994581248662243</v>
      </c>
      <c r="W15" s="4">
        <f>'BECF-pre-ret'!W15</f>
        <v>0.0994581945410602</v>
      </c>
      <c r="X15" s="4">
        <f>'BECF-pre-ret'!X15</f>
        <v>0.0994582293784782</v>
      </c>
      <c r="Y15" s="4">
        <f>'BECF-pre-ret'!Y15</f>
        <v>0.0994582119597692</v>
      </c>
      <c r="Z15" s="4">
        <f>'BECF-pre-ret'!Z15</f>
        <v>0.0994582206691237</v>
      </c>
      <c r="AA15" s="4">
        <f>'BECF-pre-ret'!AA15</f>
        <v>0.0994582163144464</v>
      </c>
      <c r="AB15" s="4">
        <f>'BECF-pre-ret'!AB15</f>
        <v>0.0994582141371078</v>
      </c>
      <c r="AC15" s="4">
        <f>'BECF-pre-ret'!AC15</f>
        <v>0.0994582152257771</v>
      </c>
      <c r="AD15" s="4">
        <f>'BECF-pre-ret'!AD15</f>
        <v>0.0994582157701118</v>
      </c>
      <c r="AE15" s="4">
        <f>'BECF-pre-ret'!AE15</f>
        <v>0.0994582154979445</v>
      </c>
      <c r="AF15" s="4">
        <f>'BECF-pre-ret'!AF15</f>
        <v>0.0994582156340281</v>
      </c>
      <c r="AG15" s="4">
        <f>'BECF-pre-ret'!AG15</f>
        <v>0.0994582155659863</v>
      </c>
      <c r="AH15" s="4">
        <f>'BECF-pre-ret'!AH15</f>
        <v>0.0994582155319654</v>
      </c>
      <c r="AI15" s="4">
        <f>'BECF-pre-ret'!AI15</f>
        <v>0.0994582155489758</v>
      </c>
      <c r="AJ15" s="4">
        <f>'BECF-pre-ret'!AJ15</f>
        <v>0.0994582155574811</v>
      </c>
      <c r="AK15" s="4">
        <f>'BECF-pre-ret'!AK15</f>
        <v>0.0994582155532285</v>
      </c>
      <c r="AL15" s="4">
        <f>'BECF-pre-ret'!AL15</f>
        <v>0.0994582155553548</v>
      </c>
      <c r="AM15" s="4">
        <f>'BECF-pre-ret'!AM15</f>
        <v>0.0994582155542916</v>
      </c>
      <c r="AN15" s="4">
        <f>'BECF-pre-ret'!AN15</f>
        <v>0.09945821555376</v>
      </c>
      <c r="AO15" s="4">
        <f>'BECF-pre-ret'!AO15</f>
        <v>0.0994582155540258</v>
      </c>
      <c r="AP15" s="4">
        <f>'BECF-pre-ret'!AP15</f>
        <v>0.0994582155541587</v>
      </c>
      <c r="AQ15" s="4">
        <f>'BECF-pre-ret'!AQ15</f>
        <v>0.0994582155540923</v>
      </c>
      <c r="AR15" s="4">
        <f>'BECF-pre-ret'!AR15</f>
        <v>0.0994582155541255</v>
      </c>
      <c r="AS15" s="4">
        <f>'BECF-pre-ret'!AS15</f>
        <v>0.0994582155541089</v>
      </c>
    </row>
    <row r="16" spans="1:45">
      <c r="A16" s="1" t="s">
        <v>424</v>
      </c>
      <c r="B16" s="4">
        <f>'BECF-pre-ret'!B16</f>
        <v>0.157420091324201</v>
      </c>
      <c r="C16" s="4">
        <f>'BECF-pre-ret'!C16</f>
        <v>0.103082191780822</v>
      </c>
      <c r="D16" s="4">
        <f>'BECF-pre-ret'!D16</f>
        <v>0.0867579908675799</v>
      </c>
      <c r="E16" s="4">
        <f>'BECF-pre-ret'!E16</f>
        <v>0.0985159817351598</v>
      </c>
      <c r="F16" s="4">
        <f>'BECF-pre-ret'!F16</f>
        <v>0.115639269406393</v>
      </c>
      <c r="G16" s="4">
        <f>'BECF-pre-ret'!G16</f>
        <v>0.0691780821917808</v>
      </c>
      <c r="H16" s="4">
        <f>'BECF-pre-ret'!H16</f>
        <v>0.100799086757991</v>
      </c>
      <c r="I16" s="4">
        <f>'BECF-pre-ret'!I16</f>
        <v>0.0996575342465753</v>
      </c>
      <c r="J16" s="4">
        <f>'BECF-pre-ret'!J16</f>
        <v>0.0990867579908676</v>
      </c>
      <c r="K16" s="4">
        <f>'BECF-pre-ret'!K16</f>
        <v>0.0993721461187215</v>
      </c>
      <c r="L16" s="4">
        <f>'BECF-pre-ret'!L16</f>
        <v>0.0995148401826484</v>
      </c>
      <c r="M16" s="4">
        <f>'BECF-pre-ret'!M16</f>
        <v>0.0994434931506849</v>
      </c>
      <c r="N16" s="4">
        <f>'BECF-pre-ret'!N16</f>
        <v>0.0994791666666667</v>
      </c>
      <c r="O16" s="4">
        <f>'BECF-pre-ret'!O16</f>
        <v>0.0994613299086758</v>
      </c>
      <c r="P16" s="4">
        <f>'BECF-pre-ret'!P16</f>
        <v>0.0994524115296804</v>
      </c>
      <c r="Q16" s="4">
        <f>'BECF-pre-ret'!Q16</f>
        <v>0.0994568707191781</v>
      </c>
      <c r="R16" s="4">
        <f>'BECF-pre-ret'!R16</f>
        <v>0.0994591003139269</v>
      </c>
      <c r="S16" s="4">
        <f>'BECF-pre-ret'!S16</f>
        <v>0.0994579855165525</v>
      </c>
      <c r="T16" s="4">
        <f>'BECF-pre-ret'!T16</f>
        <v>0.0994585429152397</v>
      </c>
      <c r="U16" s="4">
        <f>'BECF-pre-ret'!U16</f>
        <v>0.0994582642158961</v>
      </c>
      <c r="V16" s="4">
        <f>'BECF-pre-ret'!V16</f>
        <v>0.0994581248662243</v>
      </c>
      <c r="W16" s="4">
        <f>'BECF-pre-ret'!W16</f>
        <v>0.0994581945410602</v>
      </c>
      <c r="X16" s="4">
        <f>'BECF-pre-ret'!X16</f>
        <v>0.0994582293784782</v>
      </c>
      <c r="Y16" s="4">
        <f>'BECF-pre-ret'!Y16</f>
        <v>0.0994582119597692</v>
      </c>
      <c r="Z16" s="4">
        <f>'BECF-pre-ret'!Z16</f>
        <v>0.0994582206691237</v>
      </c>
      <c r="AA16" s="4">
        <f>'BECF-pre-ret'!AA16</f>
        <v>0.0994582163144464</v>
      </c>
      <c r="AB16" s="4">
        <f>'BECF-pre-ret'!AB16</f>
        <v>0.0994582141371078</v>
      </c>
      <c r="AC16" s="4">
        <f>'BECF-pre-ret'!AC16</f>
        <v>0.0994582152257771</v>
      </c>
      <c r="AD16" s="4">
        <f>'BECF-pre-ret'!AD16</f>
        <v>0.0994582157701118</v>
      </c>
      <c r="AE16" s="4">
        <f>'BECF-pre-ret'!AE16</f>
        <v>0.0994582154979445</v>
      </c>
      <c r="AF16" s="4">
        <f>'BECF-pre-ret'!AF16</f>
        <v>0.0994582156340281</v>
      </c>
      <c r="AG16" s="4">
        <f>'BECF-pre-ret'!AG16</f>
        <v>0.0994582155659863</v>
      </c>
      <c r="AH16" s="4">
        <f>'BECF-pre-ret'!AH16</f>
        <v>0.0994582155319654</v>
      </c>
      <c r="AI16" s="4">
        <f>'BECF-pre-ret'!AI16</f>
        <v>0.0994582155489758</v>
      </c>
      <c r="AJ16" s="4">
        <f>'BECF-pre-ret'!AJ16</f>
        <v>0.0994582155574811</v>
      </c>
      <c r="AK16" s="4">
        <f>'BECF-pre-ret'!AK16</f>
        <v>0.0994582155532285</v>
      </c>
      <c r="AL16" s="4">
        <f>'BECF-pre-ret'!AL16</f>
        <v>0.0994582155553548</v>
      </c>
      <c r="AM16" s="4">
        <f>'BECF-pre-ret'!AM16</f>
        <v>0.0994582155542916</v>
      </c>
      <c r="AN16" s="4">
        <f>'BECF-pre-ret'!AN16</f>
        <v>0.09945821555376</v>
      </c>
      <c r="AO16" s="4">
        <f>'BECF-pre-ret'!AO16</f>
        <v>0.0994582155540258</v>
      </c>
      <c r="AP16" s="4">
        <f>'BECF-pre-ret'!AP16</f>
        <v>0.0994582155541587</v>
      </c>
      <c r="AQ16" s="4">
        <f>'BECF-pre-ret'!AQ16</f>
        <v>0.0994582155540923</v>
      </c>
      <c r="AR16" s="4">
        <f>'BECF-pre-ret'!AR16</f>
        <v>0.0994582155541255</v>
      </c>
      <c r="AS16" s="4">
        <f>'BECF-pre-ret'!AS16</f>
        <v>0.0994582155541089</v>
      </c>
    </row>
    <row r="17" spans="1:45">
      <c r="A17" s="1" t="s">
        <v>425</v>
      </c>
      <c r="B17" s="4">
        <f>'BECF-pre-ret'!B17</f>
        <v>0.648401826484018</v>
      </c>
      <c r="C17" s="4">
        <f>'BECF-pre-ret'!C17</f>
        <v>0.670890410958904</v>
      </c>
      <c r="D17" s="4">
        <f>'BECF-pre-ret'!D17</f>
        <v>0.665639269406393</v>
      </c>
      <c r="E17" s="4">
        <f>'BECF-pre-ret'!E17</f>
        <v>0.673059360730594</v>
      </c>
      <c r="F17" s="4">
        <f>'BECF-pre-ret'!F17</f>
        <v>0.674315068493151</v>
      </c>
      <c r="G17" s="4">
        <f>'BECF-pre-ret'!G17</f>
        <v>0.634931506849315</v>
      </c>
      <c r="H17" s="4">
        <f>'BECF-pre-ret'!H17</f>
        <v>0.634931506849315</v>
      </c>
      <c r="I17" s="4">
        <f>'BECF-pre-ret'!I17</f>
        <v>0.634931506849315</v>
      </c>
      <c r="J17" s="4">
        <f>'BECF-pre-ret'!J17</f>
        <v>0.634931506849315</v>
      </c>
      <c r="K17" s="4">
        <f>'BECF-pre-ret'!K17</f>
        <v>0.634931506849315</v>
      </c>
      <c r="L17" s="4">
        <f>'BECF-pre-ret'!L17</f>
        <v>0.634931506849315</v>
      </c>
      <c r="M17" s="4">
        <f>'BECF-pre-ret'!M17</f>
        <v>0.634931506849315</v>
      </c>
      <c r="N17" s="4">
        <f>'BECF-pre-ret'!N17</f>
        <v>0.634931506849315</v>
      </c>
      <c r="O17" s="4">
        <f>'BECF-pre-ret'!O17</f>
        <v>0.634931506849315</v>
      </c>
      <c r="P17" s="4">
        <f>'BECF-pre-ret'!P17</f>
        <v>0.634931506849315</v>
      </c>
      <c r="Q17" s="4">
        <f>'BECF-pre-ret'!Q17</f>
        <v>0.634931506849315</v>
      </c>
      <c r="R17" s="4">
        <f>'BECF-pre-ret'!R17</f>
        <v>0.634931506849315</v>
      </c>
      <c r="S17" s="4">
        <f>'BECF-pre-ret'!S17</f>
        <v>0.634931506849315</v>
      </c>
      <c r="T17" s="4">
        <f>'BECF-pre-ret'!T17</f>
        <v>0.634931506849315</v>
      </c>
      <c r="U17" s="4">
        <f>'BECF-pre-ret'!U17</f>
        <v>0.634931506849315</v>
      </c>
      <c r="V17" s="4">
        <f>'BECF-pre-ret'!V17</f>
        <v>0.634931506849315</v>
      </c>
      <c r="W17" s="4">
        <f>'BECF-pre-ret'!W17</f>
        <v>0.634931506849315</v>
      </c>
      <c r="X17" s="4">
        <f>'BECF-pre-ret'!X17</f>
        <v>0.634931506849315</v>
      </c>
      <c r="Y17" s="4">
        <f>'BECF-pre-ret'!Y17</f>
        <v>0.634931506849315</v>
      </c>
      <c r="Z17" s="4">
        <f>'BECF-pre-ret'!Z17</f>
        <v>0.634931506849315</v>
      </c>
      <c r="AA17" s="4">
        <f>'BECF-pre-ret'!AA17</f>
        <v>0.634931506849315</v>
      </c>
      <c r="AB17" s="4">
        <f>'BECF-pre-ret'!AB17</f>
        <v>0.634931506849315</v>
      </c>
      <c r="AC17" s="4">
        <f>'BECF-pre-ret'!AC17</f>
        <v>0.634931506849315</v>
      </c>
      <c r="AD17" s="4">
        <f>'BECF-pre-ret'!AD17</f>
        <v>0.634931506849315</v>
      </c>
      <c r="AE17" s="4">
        <f>'BECF-pre-ret'!AE17</f>
        <v>0.634931506849315</v>
      </c>
      <c r="AF17" s="4">
        <f>'BECF-pre-ret'!AF17</f>
        <v>0.634931506849315</v>
      </c>
      <c r="AG17" s="4">
        <f>'BECF-pre-ret'!AG17</f>
        <v>0.634931506849315</v>
      </c>
      <c r="AH17" s="4">
        <f>'BECF-pre-ret'!AH17</f>
        <v>0.634931506849315</v>
      </c>
      <c r="AI17" s="4">
        <f>'BECF-pre-ret'!AI17</f>
        <v>0.634931506849315</v>
      </c>
      <c r="AJ17" s="4">
        <f>'BECF-pre-ret'!AJ17</f>
        <v>0.634931506849315</v>
      </c>
      <c r="AK17" s="4">
        <f>'BECF-pre-ret'!AK17</f>
        <v>0.634931506849315</v>
      </c>
      <c r="AL17" s="4">
        <f>'BECF-pre-ret'!AL17</f>
        <v>0.634931506849315</v>
      </c>
      <c r="AM17" s="4">
        <f>'BECF-pre-ret'!AM17</f>
        <v>0.634931506849315</v>
      </c>
      <c r="AN17" s="4">
        <f>'BECF-pre-ret'!AN17</f>
        <v>0.634931506849315</v>
      </c>
      <c r="AO17" s="4">
        <f>'BECF-pre-ret'!AO17</f>
        <v>0.634931506849315</v>
      </c>
      <c r="AP17" s="4">
        <f>'BECF-pre-ret'!AP17</f>
        <v>0.634931506849315</v>
      </c>
      <c r="AQ17" s="4">
        <f>'BECF-pre-ret'!AQ17</f>
        <v>0.634931506849315</v>
      </c>
      <c r="AR17" s="4">
        <f>'BECF-pre-ret'!AR17</f>
        <v>0.634931506849315</v>
      </c>
      <c r="AS17" s="4">
        <f>'BECF-pre-ret'!AS17</f>
        <v>0.634931506849315</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499984740745262"/>
  </sheetPr>
  <dimension ref="A1:AS17"/>
  <sheetViews>
    <sheetView tabSelected="1" topLeftCell="S1" workbookViewId="0">
      <selection activeCell="AD20" sqref="AD20"/>
    </sheetView>
  </sheetViews>
  <sheetFormatPr defaultColWidth="9.10909090909091" defaultRowHeight="14"/>
  <cols>
    <col min="1" max="1" width="28" style="1" customWidth="1"/>
    <col min="2" max="5" width="9.44545454545455" style="1" customWidth="1"/>
    <col min="6" max="16384" width="9.10909090909091" style="1"/>
  </cols>
  <sheetData>
    <row r="1" ht="28" spans="1:45">
      <c r="A1" s="2" t="s">
        <v>409</v>
      </c>
      <c r="B1" s="3">
        <v>2017</v>
      </c>
      <c r="C1" s="1">
        <v>2018</v>
      </c>
      <c r="D1" s="3">
        <v>2019</v>
      </c>
      <c r="E1" s="1">
        <v>2020</v>
      </c>
      <c r="F1" s="3">
        <v>2021</v>
      </c>
      <c r="G1" s="1">
        <v>2022</v>
      </c>
      <c r="H1" s="3">
        <v>2023</v>
      </c>
      <c r="I1" s="1">
        <v>2024</v>
      </c>
      <c r="J1" s="3">
        <v>2025</v>
      </c>
      <c r="K1" s="1">
        <v>2026</v>
      </c>
      <c r="L1" s="3">
        <v>2027</v>
      </c>
      <c r="M1" s="1">
        <v>2028</v>
      </c>
      <c r="N1" s="3">
        <v>2029</v>
      </c>
      <c r="O1" s="1">
        <v>2030</v>
      </c>
      <c r="P1" s="3">
        <v>2031</v>
      </c>
      <c r="Q1" s="1">
        <v>2032</v>
      </c>
      <c r="R1" s="3">
        <v>2033</v>
      </c>
      <c r="S1" s="1">
        <v>2034</v>
      </c>
      <c r="T1" s="3">
        <v>2035</v>
      </c>
      <c r="U1" s="1">
        <v>2036</v>
      </c>
      <c r="V1" s="3">
        <v>2037</v>
      </c>
      <c r="W1" s="1">
        <v>2038</v>
      </c>
      <c r="X1" s="3">
        <v>2039</v>
      </c>
      <c r="Y1" s="1">
        <v>2040</v>
      </c>
      <c r="Z1" s="3">
        <v>2041</v>
      </c>
      <c r="AA1" s="1">
        <v>2042</v>
      </c>
      <c r="AB1" s="3">
        <v>2043</v>
      </c>
      <c r="AC1" s="1">
        <v>2044</v>
      </c>
      <c r="AD1" s="3">
        <v>2045</v>
      </c>
      <c r="AE1" s="1">
        <v>2046</v>
      </c>
      <c r="AF1" s="3">
        <v>2047</v>
      </c>
      <c r="AG1" s="1">
        <v>2048</v>
      </c>
      <c r="AH1" s="3">
        <v>2049</v>
      </c>
      <c r="AI1" s="1">
        <v>2050</v>
      </c>
      <c r="AJ1" s="3">
        <v>2051</v>
      </c>
      <c r="AK1" s="1">
        <v>2052</v>
      </c>
      <c r="AL1" s="3">
        <v>2053</v>
      </c>
      <c r="AM1" s="1">
        <v>2054</v>
      </c>
      <c r="AN1" s="3">
        <v>2055</v>
      </c>
      <c r="AO1" s="1">
        <v>2056</v>
      </c>
      <c r="AP1" s="3">
        <v>2057</v>
      </c>
      <c r="AQ1" s="3">
        <v>2058</v>
      </c>
      <c r="AR1" s="1">
        <v>2059</v>
      </c>
      <c r="AS1" s="3">
        <v>2060</v>
      </c>
    </row>
    <row r="2" spans="1:45">
      <c r="A2" s="1" t="s">
        <v>410</v>
      </c>
      <c r="B2" s="4">
        <f>'BECF-pre-ret'!B2</f>
        <v>0.492237442922374</v>
      </c>
      <c r="C2" s="4">
        <f>'BECF-pre-ret'!C2</f>
        <v>0.513127853881279</v>
      </c>
      <c r="D2" s="4">
        <f>'BECF-pre-ret'!D2</f>
        <v>0.505593607305936</v>
      </c>
      <c r="E2" s="4">
        <f>'BECF-pre-ret'!E2</f>
        <v>0.493493150684931</v>
      </c>
      <c r="F2" s="4">
        <f>'BECF-pre-ret'!F2</f>
        <v>0.525228310502283</v>
      </c>
      <c r="G2" s="4">
        <f>'BECF-pre-ret'!G2</f>
        <v>0.524315068493151</v>
      </c>
      <c r="H2" s="4">
        <f>'BECF-pre-ret'!H2</f>
        <v>0.524315068493151</v>
      </c>
      <c r="I2" s="4">
        <f>'BECF-pre-ret'!I2</f>
        <v>0.524315068493151</v>
      </c>
      <c r="J2" s="4">
        <f>'BECF-pre-ret'!J2</f>
        <v>0.524315068493151</v>
      </c>
      <c r="K2" s="4">
        <f>'BECF-pre-ret'!K2</f>
        <v>0.524315068493151</v>
      </c>
      <c r="L2" s="4">
        <f>'BECF-pre-ret'!L2</f>
        <v>0.524315068493151</v>
      </c>
      <c r="M2" s="4">
        <f>'BECF-pre-ret'!M2</f>
        <v>0.524315068493151</v>
      </c>
      <c r="N2" s="4">
        <f>'BECF-pre-ret'!N2</f>
        <v>0.524315068493151</v>
      </c>
      <c r="O2" s="4">
        <f>'BECF-pre-ret'!O2</f>
        <v>0.524315068493151</v>
      </c>
      <c r="P2" s="4">
        <f>'BECF-pre-ret'!P2</f>
        <v>0.524315068493151</v>
      </c>
      <c r="Q2" s="4">
        <f>'BECF-pre-ret'!Q2</f>
        <v>0.524315068493151</v>
      </c>
      <c r="R2" s="4">
        <f>'BECF-pre-ret'!R2</f>
        <v>0.524315068493151</v>
      </c>
      <c r="S2" s="4">
        <f>'BECF-pre-ret'!S2</f>
        <v>0.524315068493151</v>
      </c>
      <c r="T2" s="4">
        <f>'BECF-pre-ret'!T2</f>
        <v>0.524315068493151</v>
      </c>
      <c r="U2" s="4">
        <f>'BECF-pre-ret'!U2</f>
        <v>0.524315068493151</v>
      </c>
      <c r="V2" s="4">
        <f>'BECF-pre-ret'!V2</f>
        <v>0.524315068493151</v>
      </c>
      <c r="W2" s="4">
        <f>'BECF-pre-ret'!W2</f>
        <v>0.524315068493151</v>
      </c>
      <c r="X2" s="4">
        <f>'BECF-pre-ret'!X2</f>
        <v>0.524315068493151</v>
      </c>
      <c r="Y2" s="4">
        <f>'BECF-pre-ret'!Y2</f>
        <v>0.524315068493151</v>
      </c>
      <c r="Z2" s="4">
        <f>'BECF-pre-ret'!Z2</f>
        <v>0.524315068493151</v>
      </c>
      <c r="AA2" s="4">
        <f>'BECF-pre-ret'!AA2</f>
        <v>0.524315068493151</v>
      </c>
      <c r="AB2" s="4">
        <f>'BECF-pre-ret'!AB2</f>
        <v>0.524315068493151</v>
      </c>
      <c r="AC2" s="4">
        <f>'BECF-pre-ret'!AC2</f>
        <v>0.524315068493151</v>
      </c>
      <c r="AD2" s="4">
        <f>'BECF-pre-ret'!AD2</f>
        <v>0.524315068493151</v>
      </c>
      <c r="AE2" s="4">
        <f>'BECF-pre-ret'!AE2</f>
        <v>0.524315068493151</v>
      </c>
      <c r="AF2" s="4">
        <f>'BECF-pre-ret'!AF2</f>
        <v>0.524315068493151</v>
      </c>
      <c r="AG2" s="4">
        <f>'BECF-pre-ret'!AG2</f>
        <v>0.524315068493151</v>
      </c>
      <c r="AH2" s="4">
        <f>'BECF-pre-ret'!AH2</f>
        <v>0.524315068493151</v>
      </c>
      <c r="AI2" s="4">
        <f>'BECF-pre-ret'!AI2</f>
        <v>0.524315068493151</v>
      </c>
      <c r="AJ2" s="4">
        <f>'BECF-pre-ret'!AJ2</f>
        <v>0.524315068493151</v>
      </c>
      <c r="AK2" s="4">
        <f>'BECF-pre-ret'!AK2</f>
        <v>0.524315068493151</v>
      </c>
      <c r="AL2" s="4">
        <f>'BECF-pre-ret'!AL2</f>
        <v>0.524315068493151</v>
      </c>
      <c r="AM2" s="4">
        <f>'BECF-pre-ret'!AM2</f>
        <v>0.524315068493151</v>
      </c>
      <c r="AN2" s="4">
        <f>'BECF-pre-ret'!AN2</f>
        <v>0.524315068493151</v>
      </c>
      <c r="AO2" s="4">
        <f>'BECF-pre-ret'!AO2</f>
        <v>0.524315068493151</v>
      </c>
      <c r="AP2" s="4">
        <f>'BECF-pre-ret'!AP2</f>
        <v>0.524315068493151</v>
      </c>
      <c r="AQ2" s="4">
        <f>'BECF-pre-ret'!AQ2</f>
        <v>0.524315068493151</v>
      </c>
      <c r="AR2" s="4">
        <f>'BECF-pre-ret'!AR2</f>
        <v>0.524315068493151</v>
      </c>
      <c r="AS2" s="4">
        <f>'BECF-pre-ret'!AS2</f>
        <v>0.524315068493151</v>
      </c>
    </row>
    <row r="3" spans="1:45">
      <c r="A3" s="1" t="s">
        <v>411</v>
      </c>
      <c r="B3" s="4">
        <f>'BECF-pre-ret'!B3</f>
        <v>0.315182648401826</v>
      </c>
      <c r="C3" s="4">
        <f>'BECF-pre-ret'!C3</f>
        <v>0.315867579908676</v>
      </c>
      <c r="D3" s="4">
        <f>'BECF-pre-ret'!D3</f>
        <v>0.302054794520548</v>
      </c>
      <c r="E3" s="4">
        <f>'BECF-pre-ret'!E3</f>
        <v>0.297945205479452</v>
      </c>
      <c r="F3" s="4">
        <f>'BECF-pre-ret'!F3</f>
        <v>0.306849315068493</v>
      </c>
      <c r="G3" s="4">
        <f>'BECF-pre-ret'!G3</f>
        <v>0.276940639269406</v>
      </c>
      <c r="H3" s="4">
        <f>'BECF-pre-ret'!H3</f>
        <v>0.276940639269406</v>
      </c>
      <c r="I3" s="4">
        <f>'BECF-pre-ret'!I3</f>
        <v>0.276940639269406</v>
      </c>
      <c r="J3" s="4">
        <f>'BECF-pre-ret'!J3</f>
        <v>0.276940639269406</v>
      </c>
      <c r="K3" s="4">
        <f>'BECF-pre-ret'!K3</f>
        <v>0.276940639269406</v>
      </c>
      <c r="L3" s="4">
        <f>'BECF-pre-ret'!L3</f>
        <v>0.276940639269406</v>
      </c>
      <c r="M3" s="4">
        <f>'BECF-pre-ret'!M3</f>
        <v>0.276940639269406</v>
      </c>
      <c r="N3" s="4">
        <f>'BECF-pre-ret'!N3</f>
        <v>0.276940639269406</v>
      </c>
      <c r="O3" s="4">
        <f>'BECF-pre-ret'!O3</f>
        <v>0.276940639269406</v>
      </c>
      <c r="P3" s="4">
        <f>'BECF-pre-ret'!P3</f>
        <v>0.276940639269406</v>
      </c>
      <c r="Q3" s="4">
        <f>'BECF-pre-ret'!Q3</f>
        <v>0.276940639269406</v>
      </c>
      <c r="R3" s="4">
        <f>'BECF-pre-ret'!R3</f>
        <v>0.276940639269406</v>
      </c>
      <c r="S3" s="4">
        <f>'BECF-pre-ret'!S3</f>
        <v>0.276940639269406</v>
      </c>
      <c r="T3" s="4">
        <f>'BECF-pre-ret'!T3</f>
        <v>0.276940639269406</v>
      </c>
      <c r="U3" s="4">
        <f>'BECF-pre-ret'!U3</f>
        <v>0.276940639269406</v>
      </c>
      <c r="V3" s="4">
        <f>'BECF-pre-ret'!V3</f>
        <v>0.276940639269406</v>
      </c>
      <c r="W3" s="4">
        <f>'BECF-pre-ret'!W3</f>
        <v>0.276940639269406</v>
      </c>
      <c r="X3" s="4">
        <f>'BECF-pre-ret'!X3</f>
        <v>0.276940639269406</v>
      </c>
      <c r="Y3" s="4">
        <f>'BECF-pre-ret'!Y3</f>
        <v>0.276940639269406</v>
      </c>
      <c r="Z3" s="4">
        <f>'BECF-pre-ret'!Z3</f>
        <v>0.276940639269406</v>
      </c>
      <c r="AA3" s="4">
        <f>'BECF-pre-ret'!AA3</f>
        <v>0.276940639269406</v>
      </c>
      <c r="AB3" s="4">
        <f>'BECF-pre-ret'!AB3</f>
        <v>0.276940639269406</v>
      </c>
      <c r="AC3" s="4">
        <f>'BECF-pre-ret'!AC3</f>
        <v>0.276940639269406</v>
      </c>
      <c r="AD3" s="4">
        <f>'BECF-pre-ret'!AD3</f>
        <v>0.276940639269406</v>
      </c>
      <c r="AE3" s="4">
        <f>'BECF-pre-ret'!AE3</f>
        <v>0.276940639269406</v>
      </c>
      <c r="AF3" s="4">
        <f>'BECF-pre-ret'!AF3</f>
        <v>0.276940639269406</v>
      </c>
      <c r="AG3" s="4">
        <f>'BECF-pre-ret'!AG3</f>
        <v>0.276940639269406</v>
      </c>
      <c r="AH3" s="4">
        <f>'BECF-pre-ret'!AH3</f>
        <v>0.276940639269406</v>
      </c>
      <c r="AI3" s="4">
        <f>'BECF-pre-ret'!AI3</f>
        <v>0.276940639269406</v>
      </c>
      <c r="AJ3" s="4">
        <f>'BECF-pre-ret'!AJ3</f>
        <v>0.276940639269406</v>
      </c>
      <c r="AK3" s="4">
        <f>'BECF-pre-ret'!AK3</f>
        <v>0.276940639269406</v>
      </c>
      <c r="AL3" s="4">
        <f>'BECF-pre-ret'!AL3</f>
        <v>0.276940639269406</v>
      </c>
      <c r="AM3" s="4">
        <f>'BECF-pre-ret'!AM3</f>
        <v>0.276940639269406</v>
      </c>
      <c r="AN3" s="4">
        <f>'BECF-pre-ret'!AN3</f>
        <v>0.276940639269406</v>
      </c>
      <c r="AO3" s="4">
        <f>'BECF-pre-ret'!AO3</f>
        <v>0.276940639269406</v>
      </c>
      <c r="AP3" s="4">
        <f>'BECF-pre-ret'!AP3</f>
        <v>0.276940639269406</v>
      </c>
      <c r="AQ3" s="4">
        <f>'BECF-pre-ret'!AQ3</f>
        <v>0.276940639269406</v>
      </c>
      <c r="AR3" s="4">
        <f>'BECF-pre-ret'!AR3</f>
        <v>0.276940639269406</v>
      </c>
      <c r="AS3" s="4">
        <f>'BECF-pre-ret'!AS3</f>
        <v>0.276940639269406</v>
      </c>
    </row>
    <row r="4" spans="1:45">
      <c r="A4" s="1" t="s">
        <v>412</v>
      </c>
      <c r="B4" s="4">
        <f>'BECF-pre-ret'!B4</f>
        <v>0.815488563438502</v>
      </c>
      <c r="C4" s="4">
        <f>'BECF-pre-ret'!C4</f>
        <v>0.836873734760387</v>
      </c>
      <c r="D4" s="4">
        <f>'BECF-pre-ret'!D4</f>
        <v>0.852375504776432</v>
      </c>
      <c r="E4" s="4">
        <f>'BECF-pre-ret'!E4</f>
        <v>0.847686362527355</v>
      </c>
      <c r="F4" s="4">
        <f>'BECF-pre-ret'!F4</f>
        <v>0.901953753566314</v>
      </c>
      <c r="G4" s="4">
        <f>'BECF-pre-ret'!G4</f>
        <v>0.876487437782608</v>
      </c>
      <c r="H4" s="4">
        <f>'BECF-pre-ret'!H4</f>
        <v>0.876487437782608</v>
      </c>
      <c r="I4" s="4">
        <f>'BECF-pre-ret'!I4</f>
        <v>0.876487437782608</v>
      </c>
      <c r="J4" s="4">
        <f>'BECF-pre-ret'!J4</f>
        <v>0.876487437782608</v>
      </c>
      <c r="K4" s="4">
        <f>'BECF-pre-ret'!K4</f>
        <v>0.876487437782608</v>
      </c>
      <c r="L4" s="4">
        <f>'BECF-pre-ret'!L4</f>
        <v>0.876487437782608</v>
      </c>
      <c r="M4" s="4">
        <f>'BECF-pre-ret'!M4</f>
        <v>0.876487437782608</v>
      </c>
      <c r="N4" s="4">
        <f>'BECF-pre-ret'!N4</f>
        <v>0.876487437782608</v>
      </c>
      <c r="O4" s="4">
        <f>'BECF-pre-ret'!O4</f>
        <v>0.876487437782608</v>
      </c>
      <c r="P4" s="4">
        <f>'BECF-pre-ret'!P4</f>
        <v>0.876487437782608</v>
      </c>
      <c r="Q4" s="4">
        <f>'BECF-pre-ret'!Q4</f>
        <v>0.876487437782608</v>
      </c>
      <c r="R4" s="4">
        <f>'BECF-pre-ret'!R4</f>
        <v>0.876487437782608</v>
      </c>
      <c r="S4" s="4">
        <f>'BECF-pre-ret'!S4</f>
        <v>0.876487437782608</v>
      </c>
      <c r="T4" s="4">
        <f>'BECF-pre-ret'!T4</f>
        <v>0.876487437782608</v>
      </c>
      <c r="U4" s="4">
        <f>'BECF-pre-ret'!U4</f>
        <v>0.876487437782608</v>
      </c>
      <c r="V4" s="4">
        <f>'BECF-pre-ret'!V4</f>
        <v>0.876487437782608</v>
      </c>
      <c r="W4" s="4">
        <f>'BECF-pre-ret'!W4</f>
        <v>0.876487437782608</v>
      </c>
      <c r="X4" s="4">
        <f>'BECF-pre-ret'!X4</f>
        <v>0.876487437782608</v>
      </c>
      <c r="Y4" s="4">
        <f>'BECF-pre-ret'!Y4</f>
        <v>0.876487437782608</v>
      </c>
      <c r="Z4" s="4">
        <f>'BECF-pre-ret'!Z4</f>
        <v>0.876487437782608</v>
      </c>
      <c r="AA4" s="4">
        <f>'BECF-pre-ret'!AA4</f>
        <v>0.876487437782608</v>
      </c>
      <c r="AB4" s="4">
        <f>'BECF-pre-ret'!AB4</f>
        <v>0.876487437782608</v>
      </c>
      <c r="AC4" s="4">
        <f>'BECF-pre-ret'!AC4</f>
        <v>0.876487437782608</v>
      </c>
      <c r="AD4" s="4">
        <f>'BECF-pre-ret'!AD4</f>
        <v>0.876487437782608</v>
      </c>
      <c r="AE4" s="4">
        <f>'BECF-pre-ret'!AE4</f>
        <v>0.876487437782608</v>
      </c>
      <c r="AF4" s="4">
        <f>'BECF-pre-ret'!AF4</f>
        <v>0.876487437782608</v>
      </c>
      <c r="AG4" s="4">
        <f>'BECF-pre-ret'!AG4</f>
        <v>0.876487437782608</v>
      </c>
      <c r="AH4" s="4">
        <f>'BECF-pre-ret'!AH4</f>
        <v>0.876487437782608</v>
      </c>
      <c r="AI4" s="4">
        <f>'BECF-pre-ret'!AI4</f>
        <v>0.876487437782608</v>
      </c>
      <c r="AJ4" s="4">
        <f>'BECF-pre-ret'!AJ4</f>
        <v>0.876487437782608</v>
      </c>
      <c r="AK4" s="4">
        <f>'BECF-pre-ret'!AK4</f>
        <v>0.876487437782608</v>
      </c>
      <c r="AL4" s="4">
        <f>'BECF-pre-ret'!AL4</f>
        <v>0.876487437782608</v>
      </c>
      <c r="AM4" s="4">
        <f>'BECF-pre-ret'!AM4</f>
        <v>0.876487437782608</v>
      </c>
      <c r="AN4" s="4">
        <f>'BECF-pre-ret'!AN4</f>
        <v>0.876487437782608</v>
      </c>
      <c r="AO4" s="4">
        <f>'BECF-pre-ret'!AO4</f>
        <v>0.876487437782608</v>
      </c>
      <c r="AP4" s="4">
        <f>'BECF-pre-ret'!AP4</f>
        <v>0.876487437782608</v>
      </c>
      <c r="AQ4" s="4">
        <f>'BECF-pre-ret'!AQ4</f>
        <v>0.876487437782608</v>
      </c>
      <c r="AR4" s="4">
        <f>'BECF-pre-ret'!AR4</f>
        <v>0.876487437782608</v>
      </c>
      <c r="AS4" s="4">
        <f>'BECF-pre-ret'!AS4</f>
        <v>0.876487437782608</v>
      </c>
    </row>
    <row r="5" spans="1:45">
      <c r="A5" s="1" t="s">
        <v>413</v>
      </c>
      <c r="B5" s="4">
        <f>'BECF-pre-ret'!B5</f>
        <v>0.403387496047836</v>
      </c>
      <c r="C5" s="4">
        <f>'BECF-pre-ret'!C5</f>
        <v>0.403762551834382</v>
      </c>
      <c r="D5" s="4">
        <f>'BECF-pre-ret'!D5</f>
        <v>0.418337397834078</v>
      </c>
      <c r="E5" s="4">
        <f>'BECF-pre-ret'!E5</f>
        <v>0.424853393761385</v>
      </c>
      <c r="F5" s="4">
        <f>'BECF-pre-ret'!F5</f>
        <v>0.401872312878186</v>
      </c>
      <c r="G5" s="4">
        <f>'BECF-pre-ret'!G5</f>
        <v>0.383363112964066</v>
      </c>
      <c r="H5" s="4">
        <f>'BECF-pre-ret'!H5</f>
        <v>0.383363112964066</v>
      </c>
      <c r="I5" s="4">
        <f>'BECF-pre-ret'!I5</f>
        <v>0.383363112964066</v>
      </c>
      <c r="J5" s="4">
        <f>'BECF-pre-ret'!J5</f>
        <v>0.383363112964066</v>
      </c>
      <c r="K5" s="4">
        <f>'BECF-pre-ret'!K5</f>
        <v>0.383363112964066</v>
      </c>
      <c r="L5" s="4">
        <f>'BECF-pre-ret'!L5</f>
        <v>0.383363112964066</v>
      </c>
      <c r="M5" s="4">
        <f>'BECF-pre-ret'!M5</f>
        <v>0.383363112964066</v>
      </c>
      <c r="N5" s="4">
        <f>'BECF-pre-ret'!N5</f>
        <v>0.383363112964066</v>
      </c>
      <c r="O5" s="4">
        <f>'BECF-pre-ret'!O5</f>
        <v>0.383363112964066</v>
      </c>
      <c r="P5" s="4">
        <f>'BECF-pre-ret'!P5</f>
        <v>0.383363112964066</v>
      </c>
      <c r="Q5" s="4">
        <f>'BECF-pre-ret'!Q5</f>
        <v>0.383363112964066</v>
      </c>
      <c r="R5" s="4">
        <f>'BECF-pre-ret'!R5</f>
        <v>0.383363112964066</v>
      </c>
      <c r="S5" s="4">
        <f>'BECF-pre-ret'!S5</f>
        <v>0.383363112964066</v>
      </c>
      <c r="T5" s="4">
        <f>'BECF-pre-ret'!T5</f>
        <v>0.383363112964066</v>
      </c>
      <c r="U5" s="4">
        <f>'BECF-pre-ret'!U5</f>
        <v>0.383363112964066</v>
      </c>
      <c r="V5" s="4">
        <f>'BECF-pre-ret'!V5</f>
        <v>0.383363112964066</v>
      </c>
      <c r="W5" s="4">
        <f>'BECF-pre-ret'!W5</f>
        <v>0.383363112964066</v>
      </c>
      <c r="X5" s="4">
        <f>'BECF-pre-ret'!X5</f>
        <v>0.383363112964066</v>
      </c>
      <c r="Y5" s="4">
        <f>'BECF-pre-ret'!Y5</f>
        <v>0.383363112964066</v>
      </c>
      <c r="Z5" s="4">
        <f>'BECF-pre-ret'!Z5</f>
        <v>0.383363112964066</v>
      </c>
      <c r="AA5" s="4">
        <f>'BECF-pre-ret'!AA5</f>
        <v>0.383363112964066</v>
      </c>
      <c r="AB5" s="4">
        <f>'BECF-pre-ret'!AB5</f>
        <v>0.383363112964066</v>
      </c>
      <c r="AC5" s="4">
        <f>'BECF-pre-ret'!AC5</f>
        <v>0.383363112964066</v>
      </c>
      <c r="AD5" s="4">
        <f>'BECF-pre-ret'!AD5</f>
        <v>0.383363112964066</v>
      </c>
      <c r="AE5" s="4">
        <f>'BECF-pre-ret'!AE5</f>
        <v>0.383363112964066</v>
      </c>
      <c r="AF5" s="4">
        <f>'BECF-pre-ret'!AF5</f>
        <v>0.383363112964066</v>
      </c>
      <c r="AG5" s="4">
        <f>'BECF-pre-ret'!AG5</f>
        <v>0.383363112964066</v>
      </c>
      <c r="AH5" s="4">
        <f>'BECF-pre-ret'!AH5</f>
        <v>0.383363112964066</v>
      </c>
      <c r="AI5" s="4">
        <f>'BECF-pre-ret'!AI5</f>
        <v>0.383363112964066</v>
      </c>
      <c r="AJ5" s="4">
        <f>'BECF-pre-ret'!AJ5</f>
        <v>0.383363112964066</v>
      </c>
      <c r="AK5" s="4">
        <f>'BECF-pre-ret'!AK5</f>
        <v>0.383363112964066</v>
      </c>
      <c r="AL5" s="4">
        <f>'BECF-pre-ret'!AL5</f>
        <v>0.383363112964066</v>
      </c>
      <c r="AM5" s="4">
        <f>'BECF-pre-ret'!AM5</f>
        <v>0.383363112964066</v>
      </c>
      <c r="AN5" s="4">
        <f>'BECF-pre-ret'!AN5</f>
        <v>0.383363112964066</v>
      </c>
      <c r="AO5" s="4">
        <f>'BECF-pre-ret'!AO5</f>
        <v>0.383363112964066</v>
      </c>
      <c r="AP5" s="4">
        <f>'BECF-pre-ret'!AP5</f>
        <v>0.383363112964066</v>
      </c>
      <c r="AQ5" s="4">
        <f>'BECF-pre-ret'!AQ5</f>
        <v>0.383363112964066</v>
      </c>
      <c r="AR5" s="4">
        <f>'BECF-pre-ret'!AR5</f>
        <v>0.383363112964066</v>
      </c>
      <c r="AS5" s="4">
        <f>'BECF-pre-ret'!AS5</f>
        <v>0.383363112964066</v>
      </c>
    </row>
    <row r="6" spans="1:45">
      <c r="A6" s="1" t="s">
        <v>414</v>
      </c>
      <c r="B6" s="4">
        <f>'BECF-pre-ret'!B6</f>
        <v>0.223274726283218</v>
      </c>
      <c r="C6" s="4">
        <f>'BECF-pre-ret'!C6</f>
        <v>0.239802399675998</v>
      </c>
      <c r="D6" s="4">
        <f>'BECF-pre-ret'!D6</f>
        <v>0.235204734317885</v>
      </c>
      <c r="E6" s="4">
        <f>'BECF-pre-ret'!E6</f>
        <v>0.21700662044635</v>
      </c>
      <c r="F6" s="4">
        <f>'BECF-pre-ret'!F6</f>
        <v>0.245307732153582</v>
      </c>
      <c r="G6" s="4">
        <f>'BECF-pre-ret'!G6</f>
        <v>0.250686148110664</v>
      </c>
      <c r="H6" s="4">
        <f>'BECF-pre-ret'!H6</f>
        <v>0.250686148110664</v>
      </c>
      <c r="I6" s="4">
        <f>'BECF-pre-ret'!I6</f>
        <v>0.250686148110664</v>
      </c>
      <c r="J6" s="4">
        <f>'BECF-pre-ret'!J6</f>
        <v>0.250686148110664</v>
      </c>
      <c r="K6" s="4">
        <f>'BECF-pre-ret'!K6</f>
        <v>0.250686148110664</v>
      </c>
      <c r="L6" s="4">
        <f>'BECF-pre-ret'!L6</f>
        <v>0.250686148110664</v>
      </c>
      <c r="M6" s="4">
        <f>'BECF-pre-ret'!M6</f>
        <v>0.250686148110664</v>
      </c>
      <c r="N6" s="4">
        <f>'BECF-pre-ret'!N6</f>
        <v>0.250686148110664</v>
      </c>
      <c r="O6" s="4">
        <f>'BECF-pre-ret'!O6</f>
        <v>0.250686148110664</v>
      </c>
      <c r="P6" s="4">
        <f>'BECF-pre-ret'!P6</f>
        <v>0.250686148110664</v>
      </c>
      <c r="Q6" s="4">
        <f>'BECF-pre-ret'!Q6</f>
        <v>0.250686148110664</v>
      </c>
      <c r="R6" s="4">
        <f>'BECF-pre-ret'!R6</f>
        <v>0.250686148110664</v>
      </c>
      <c r="S6" s="4">
        <f>'BECF-pre-ret'!S6</f>
        <v>0.250686148110664</v>
      </c>
      <c r="T6" s="4">
        <f>'BECF-pre-ret'!T6</f>
        <v>0.250686148110664</v>
      </c>
      <c r="U6" s="4">
        <f>'BECF-pre-ret'!U6</f>
        <v>0.250686148110664</v>
      </c>
      <c r="V6" s="4">
        <f>'BECF-pre-ret'!V6</f>
        <v>0.250686148110664</v>
      </c>
      <c r="W6" s="4">
        <f>'BECF-pre-ret'!W6</f>
        <v>0.250686148110664</v>
      </c>
      <c r="X6" s="4">
        <f>'BECF-pre-ret'!X6</f>
        <v>0.250686148110664</v>
      </c>
      <c r="Y6" s="4">
        <f>'BECF-pre-ret'!Y6</f>
        <v>0.250686148110664</v>
      </c>
      <c r="Z6" s="4">
        <f>'BECF-pre-ret'!Z6</f>
        <v>0.250686148110664</v>
      </c>
      <c r="AA6" s="4">
        <f>'BECF-pre-ret'!AA6</f>
        <v>0.250686148110664</v>
      </c>
      <c r="AB6" s="4">
        <f>'BECF-pre-ret'!AB6</f>
        <v>0.250686148110664</v>
      </c>
      <c r="AC6" s="4">
        <f>'BECF-pre-ret'!AC6</f>
        <v>0.250686148110664</v>
      </c>
      <c r="AD6" s="4">
        <f>'BECF-pre-ret'!AD6</f>
        <v>0.250686148110664</v>
      </c>
      <c r="AE6" s="4">
        <f>'BECF-pre-ret'!AE6</f>
        <v>0.250686148110664</v>
      </c>
      <c r="AF6" s="4">
        <f>'BECF-pre-ret'!AF6</f>
        <v>0.250686148110664</v>
      </c>
      <c r="AG6" s="4">
        <f>'BECF-pre-ret'!AG6</f>
        <v>0.250686148110664</v>
      </c>
      <c r="AH6" s="4">
        <f>'BECF-pre-ret'!AH6</f>
        <v>0.250686148110664</v>
      </c>
      <c r="AI6" s="4">
        <f>'BECF-pre-ret'!AI6</f>
        <v>0.250686148110664</v>
      </c>
      <c r="AJ6" s="4">
        <f>'BECF-pre-ret'!AJ6</f>
        <v>0.250686148110664</v>
      </c>
      <c r="AK6" s="4">
        <f>'BECF-pre-ret'!AK6</f>
        <v>0.250686148110664</v>
      </c>
      <c r="AL6" s="4">
        <f>'BECF-pre-ret'!AL6</f>
        <v>0.250686148110664</v>
      </c>
      <c r="AM6" s="4">
        <f>'BECF-pre-ret'!AM6</f>
        <v>0.250686148110664</v>
      </c>
      <c r="AN6" s="4">
        <f>'BECF-pre-ret'!AN6</f>
        <v>0.250686148110664</v>
      </c>
      <c r="AO6" s="4">
        <f>'BECF-pre-ret'!AO6</f>
        <v>0.250686148110664</v>
      </c>
      <c r="AP6" s="4">
        <f>'BECF-pre-ret'!AP6</f>
        <v>0.250686148110664</v>
      </c>
      <c r="AQ6" s="4">
        <f>'BECF-pre-ret'!AQ6</f>
        <v>0.250686148110664</v>
      </c>
      <c r="AR6" s="4">
        <f>'BECF-pre-ret'!AR6</f>
        <v>0.250686148110664</v>
      </c>
      <c r="AS6" s="4">
        <f>'BECF-pre-ret'!AS6</f>
        <v>0.250686148110664</v>
      </c>
    </row>
    <row r="7" spans="1:45">
      <c r="A7" s="1" t="s">
        <v>415</v>
      </c>
      <c r="B7" s="4">
        <f>'BECF-pre-ret'!B7</f>
        <v>0.145265287894805</v>
      </c>
      <c r="C7" s="4">
        <f>'BECF-pre-ret'!C7</f>
        <v>0.144697936508934</v>
      </c>
      <c r="D7" s="4">
        <f>'BECF-pre-ret'!D7</f>
        <v>0.145975066187106</v>
      </c>
      <c r="E7" s="4">
        <f>'BECF-pre-ret'!E7</f>
        <v>0.140231350633768</v>
      </c>
      <c r="F7" s="4">
        <f>'BECF-pre-ret'!F7</f>
        <v>0.144170311043136</v>
      </c>
      <c r="G7" s="4">
        <f>'BECF-pre-ret'!G7</f>
        <v>0.149727055962539</v>
      </c>
      <c r="H7" s="4">
        <f>'BECF-pre-ret'!H7</f>
        <v>0.149727055962539</v>
      </c>
      <c r="I7" s="4">
        <f>'BECF-pre-ret'!I7</f>
        <v>0.149727055962539</v>
      </c>
      <c r="J7" s="4">
        <f>'BECF-pre-ret'!J7</f>
        <v>0.149727055962539</v>
      </c>
      <c r="K7" s="4">
        <f>'BECF-pre-ret'!K7</f>
        <v>0.149727055962539</v>
      </c>
      <c r="L7" s="4">
        <f>'BECF-pre-ret'!L7</f>
        <v>0.149727055962539</v>
      </c>
      <c r="M7" s="4">
        <f>'BECF-pre-ret'!M7</f>
        <v>0.149727055962539</v>
      </c>
      <c r="N7" s="4">
        <f>'BECF-pre-ret'!N7</f>
        <v>0.149727055962539</v>
      </c>
      <c r="O7" s="4">
        <f>'BECF-pre-ret'!O7</f>
        <v>0.149727055962539</v>
      </c>
      <c r="P7" s="4">
        <f>'BECF-pre-ret'!P7</f>
        <v>0.149727055962539</v>
      </c>
      <c r="Q7" s="4">
        <f>'BECF-pre-ret'!Q7</f>
        <v>0.149727055962539</v>
      </c>
      <c r="R7" s="4">
        <f>'BECF-pre-ret'!R7</f>
        <v>0.149727055962539</v>
      </c>
      <c r="S7" s="4">
        <f>'BECF-pre-ret'!S7</f>
        <v>0.149727055962539</v>
      </c>
      <c r="T7" s="4">
        <f>'BECF-pre-ret'!T7</f>
        <v>0.149727055962539</v>
      </c>
      <c r="U7" s="4">
        <f>'BECF-pre-ret'!U7</f>
        <v>0.149727055962539</v>
      </c>
      <c r="V7" s="4">
        <f>'BECF-pre-ret'!V7</f>
        <v>0.149727055962539</v>
      </c>
      <c r="W7" s="4">
        <f>'BECF-pre-ret'!W7</f>
        <v>0.149727055962539</v>
      </c>
      <c r="X7" s="4">
        <f>'BECF-pre-ret'!X7</f>
        <v>0.149727055962539</v>
      </c>
      <c r="Y7" s="4">
        <f>'BECF-pre-ret'!Y7</f>
        <v>0.149727055962539</v>
      </c>
      <c r="Z7" s="4">
        <f>'BECF-pre-ret'!Z7</f>
        <v>0.149727055962539</v>
      </c>
      <c r="AA7" s="4">
        <f>'BECF-pre-ret'!AA7</f>
        <v>0.149727055962539</v>
      </c>
      <c r="AB7" s="4">
        <f>'BECF-pre-ret'!AB7</f>
        <v>0.149727055962539</v>
      </c>
      <c r="AC7" s="4">
        <f>'BECF-pre-ret'!AC7</f>
        <v>0.149727055962539</v>
      </c>
      <c r="AD7" s="4">
        <f>'BECF-pre-ret'!AD7</f>
        <v>0.149727055962539</v>
      </c>
      <c r="AE7" s="4">
        <f>'BECF-pre-ret'!AE7</f>
        <v>0.149727055962539</v>
      </c>
      <c r="AF7" s="4">
        <f>'BECF-pre-ret'!AF7</f>
        <v>0.149727055962539</v>
      </c>
      <c r="AG7" s="4">
        <f>'BECF-pre-ret'!AG7</f>
        <v>0.149727055962539</v>
      </c>
      <c r="AH7" s="4">
        <f>'BECF-pre-ret'!AH7</f>
        <v>0.149727055962539</v>
      </c>
      <c r="AI7" s="4">
        <f>'BECF-pre-ret'!AI7</f>
        <v>0.149727055962539</v>
      </c>
      <c r="AJ7" s="4">
        <f>'BECF-pre-ret'!AJ7</f>
        <v>0.149727055962539</v>
      </c>
      <c r="AK7" s="4">
        <f>'BECF-pre-ret'!AK7</f>
        <v>0.149727055962539</v>
      </c>
      <c r="AL7" s="4">
        <f>'BECF-pre-ret'!AL7</f>
        <v>0.149727055962539</v>
      </c>
      <c r="AM7" s="4">
        <f>'BECF-pre-ret'!AM7</f>
        <v>0.149727055962539</v>
      </c>
      <c r="AN7" s="4">
        <f>'BECF-pre-ret'!AN7</f>
        <v>0.149727055962539</v>
      </c>
      <c r="AO7" s="4">
        <f>'BECF-pre-ret'!AO7</f>
        <v>0.149727055962539</v>
      </c>
      <c r="AP7" s="4">
        <f>'BECF-pre-ret'!AP7</f>
        <v>0.149727055962539</v>
      </c>
      <c r="AQ7" s="4">
        <f>'BECF-pre-ret'!AQ7</f>
        <v>0.149727055962539</v>
      </c>
      <c r="AR7" s="4">
        <f>'BECF-pre-ret'!AR7</f>
        <v>0.149727055962539</v>
      </c>
      <c r="AS7" s="4">
        <f>'BECF-pre-ret'!AS7</f>
        <v>0.149727055962539</v>
      </c>
    </row>
    <row r="8" spans="1:45">
      <c r="A8" s="1" t="s">
        <v>416</v>
      </c>
      <c r="B8" s="4">
        <f>'BECF-pre-ret'!B8</f>
        <v>0.553658982538697</v>
      </c>
      <c r="C8" s="4">
        <f>'BECF-pre-ret'!C8</f>
        <v>0.553658982538697</v>
      </c>
      <c r="D8" s="4">
        <f>'BECF-pre-ret'!D8</f>
        <v>0.553658982538697</v>
      </c>
      <c r="E8" s="4">
        <f>'BECF-pre-ret'!E8</f>
        <v>0.553658982538697</v>
      </c>
      <c r="F8" s="4">
        <f>'BECF-pre-ret'!F8</f>
        <v>0.553658982538697</v>
      </c>
      <c r="G8" s="4">
        <f>'BECF-pre-ret'!G8</f>
        <v>0.553658982538697</v>
      </c>
      <c r="H8" s="4">
        <f>'BECF-pre-ret'!H8</f>
        <v>0.553658982538697</v>
      </c>
      <c r="I8" s="4">
        <f>'BECF-pre-ret'!I8</f>
        <v>0.553658982538697</v>
      </c>
      <c r="J8" s="4">
        <f>'BECF-pre-ret'!J8</f>
        <v>0.553658982538697</v>
      </c>
      <c r="K8" s="4">
        <f>'BECF-pre-ret'!K8</f>
        <v>0.553658982538697</v>
      </c>
      <c r="L8" s="4">
        <f>'BECF-pre-ret'!L8</f>
        <v>0.553658982538697</v>
      </c>
      <c r="M8" s="4">
        <f>'BECF-pre-ret'!M8</f>
        <v>0.553658982538697</v>
      </c>
      <c r="N8" s="4">
        <f>'BECF-pre-ret'!N8</f>
        <v>0.553658982538697</v>
      </c>
      <c r="O8" s="4">
        <f>'BECF-pre-ret'!O8</f>
        <v>0.553658982538697</v>
      </c>
      <c r="P8" s="4">
        <f>'BECF-pre-ret'!P8</f>
        <v>0.553658982538697</v>
      </c>
      <c r="Q8" s="4">
        <f>'BECF-pre-ret'!Q8</f>
        <v>0.553658982538697</v>
      </c>
      <c r="R8" s="4">
        <f>'BECF-pre-ret'!R8</f>
        <v>0.553658982538697</v>
      </c>
      <c r="S8" s="4">
        <f>'BECF-pre-ret'!S8</f>
        <v>0.553658982538697</v>
      </c>
      <c r="T8" s="4">
        <f>'BECF-pre-ret'!T8</f>
        <v>0.553658982538697</v>
      </c>
      <c r="U8" s="4">
        <f>'BECF-pre-ret'!U8</f>
        <v>0.553658982538697</v>
      </c>
      <c r="V8" s="4">
        <f>'BECF-pre-ret'!V8</f>
        <v>0.553658982538697</v>
      </c>
      <c r="W8" s="4">
        <f>'BECF-pre-ret'!W8</f>
        <v>0.553658982538697</v>
      </c>
      <c r="X8" s="4">
        <f>'BECF-pre-ret'!X8</f>
        <v>0.553658982538697</v>
      </c>
      <c r="Y8" s="4">
        <f>'BECF-pre-ret'!Y8</f>
        <v>0.553658982538697</v>
      </c>
      <c r="Z8" s="4">
        <f>'BECF-pre-ret'!Z8</f>
        <v>0.553658982538697</v>
      </c>
      <c r="AA8" s="4">
        <f>'BECF-pre-ret'!AA8</f>
        <v>0.553658982538697</v>
      </c>
      <c r="AB8" s="4">
        <f>'BECF-pre-ret'!AB8</f>
        <v>0.553658982538697</v>
      </c>
      <c r="AC8" s="4">
        <f>'BECF-pre-ret'!AC8</f>
        <v>0.553658982538697</v>
      </c>
      <c r="AD8" s="4">
        <f>'BECF-pre-ret'!AD8</f>
        <v>0.553658982538697</v>
      </c>
      <c r="AE8" s="4">
        <f>'BECF-pre-ret'!AE8</f>
        <v>0.553658982538697</v>
      </c>
      <c r="AF8" s="4">
        <f>'BECF-pre-ret'!AF8</f>
        <v>0.553658982538697</v>
      </c>
      <c r="AG8" s="4">
        <f>'BECF-pre-ret'!AG8</f>
        <v>0.553658982538697</v>
      </c>
      <c r="AH8" s="4">
        <f>'BECF-pre-ret'!AH8</f>
        <v>0.553658982538697</v>
      </c>
      <c r="AI8" s="4">
        <f>'BECF-pre-ret'!AI8</f>
        <v>0.553658982538697</v>
      </c>
      <c r="AJ8" s="4">
        <f>'BECF-pre-ret'!AJ8</f>
        <v>0.553658982538697</v>
      </c>
      <c r="AK8" s="4">
        <f>'BECF-pre-ret'!AK8</f>
        <v>0.553658982538697</v>
      </c>
      <c r="AL8" s="4">
        <f>'BECF-pre-ret'!AL8</f>
        <v>0.553658982538697</v>
      </c>
      <c r="AM8" s="4">
        <f>'BECF-pre-ret'!AM8</f>
        <v>0.553658982538697</v>
      </c>
      <c r="AN8" s="4">
        <f>'BECF-pre-ret'!AN8</f>
        <v>0.553658982538697</v>
      </c>
      <c r="AO8" s="4">
        <f>'BECF-pre-ret'!AO8</f>
        <v>0.553658982538697</v>
      </c>
      <c r="AP8" s="4">
        <f>'BECF-pre-ret'!AP8</f>
        <v>0.553658982538697</v>
      </c>
      <c r="AQ8" s="4">
        <f>'BECF-pre-ret'!AQ8</f>
        <v>0.553658982538697</v>
      </c>
      <c r="AR8" s="4">
        <f>'BECF-pre-ret'!AR8</f>
        <v>0.553658982538697</v>
      </c>
      <c r="AS8" s="4">
        <f>'BECF-pre-ret'!AS8</f>
        <v>0.553658982538697</v>
      </c>
    </row>
    <row r="9" spans="1:45">
      <c r="A9" s="1" t="s">
        <v>417</v>
      </c>
      <c r="B9" s="4">
        <f>'BECF-pre-ret'!B9</f>
        <v>0.606735159817352</v>
      </c>
      <c r="C9" s="4">
        <f>'BECF-pre-ret'!C9</f>
        <v>0.589611872146119</v>
      </c>
      <c r="D9" s="4">
        <f>'BECF-pre-ret'!D9</f>
        <v>0.593721461187215</v>
      </c>
      <c r="E9" s="4">
        <f>'BECF-pre-ret'!E9</f>
        <v>0.593150684931507</v>
      </c>
      <c r="F9" s="4">
        <f>'BECF-pre-ret'!F9</f>
        <v>0.562214611872146</v>
      </c>
      <c r="G9" s="4">
        <f>'BECF-pre-ret'!G9</f>
        <v>0.531278538812785</v>
      </c>
      <c r="H9" s="4">
        <f>'BECF-pre-ret'!H9</f>
        <v>0.531278538812785</v>
      </c>
      <c r="I9" s="4">
        <f>'BECF-pre-ret'!I9</f>
        <v>0.531278538812785</v>
      </c>
      <c r="J9" s="4">
        <f>'BECF-pre-ret'!J9</f>
        <v>0.531278538812785</v>
      </c>
      <c r="K9" s="4">
        <f>'BECF-pre-ret'!K9</f>
        <v>0.531278538812785</v>
      </c>
      <c r="L9" s="4">
        <f>'BECF-pre-ret'!L9</f>
        <v>0.531278538812785</v>
      </c>
      <c r="M9" s="4">
        <f>'BECF-pre-ret'!M9</f>
        <v>0.531278538812785</v>
      </c>
      <c r="N9" s="4">
        <f>'BECF-pre-ret'!N9</f>
        <v>0.531278538812785</v>
      </c>
      <c r="O9" s="4">
        <f>'BECF-pre-ret'!O9</f>
        <v>0.531278538812785</v>
      </c>
      <c r="P9" s="4">
        <f>'BECF-pre-ret'!P9</f>
        <v>0.531278538812785</v>
      </c>
      <c r="Q9" s="4">
        <f>'BECF-pre-ret'!Q9</f>
        <v>0.531278538812785</v>
      </c>
      <c r="R9" s="4">
        <f>'BECF-pre-ret'!R9</f>
        <v>0.531278538812785</v>
      </c>
      <c r="S9" s="4">
        <f>'BECF-pre-ret'!S9</f>
        <v>0.531278538812785</v>
      </c>
      <c r="T9" s="4">
        <f>'BECF-pre-ret'!T9</f>
        <v>0.531278538812785</v>
      </c>
      <c r="U9" s="4">
        <f>'BECF-pre-ret'!U9</f>
        <v>0.531278538812785</v>
      </c>
      <c r="V9" s="4">
        <f>'BECF-pre-ret'!V9</f>
        <v>0.531278538812785</v>
      </c>
      <c r="W9" s="4">
        <f>'BECF-pre-ret'!W9</f>
        <v>0.531278538812785</v>
      </c>
      <c r="X9" s="4">
        <f>'BECF-pre-ret'!X9</f>
        <v>0.531278538812785</v>
      </c>
      <c r="Y9" s="4">
        <f>'BECF-pre-ret'!Y9</f>
        <v>0.531278538812785</v>
      </c>
      <c r="Z9" s="4">
        <f>'BECF-pre-ret'!Z9</f>
        <v>0.531278538812785</v>
      </c>
      <c r="AA9" s="4">
        <f>'BECF-pre-ret'!AA9</f>
        <v>0.531278538812785</v>
      </c>
      <c r="AB9" s="4">
        <f>'BECF-pre-ret'!AB9</f>
        <v>0.531278538812785</v>
      </c>
      <c r="AC9" s="4">
        <f>'BECF-pre-ret'!AC9</f>
        <v>0.531278538812785</v>
      </c>
      <c r="AD9" s="4">
        <f>'BECF-pre-ret'!AD9</f>
        <v>0.531278538812785</v>
      </c>
      <c r="AE9" s="4">
        <f>'BECF-pre-ret'!AE9</f>
        <v>0.531278538812785</v>
      </c>
      <c r="AF9" s="4">
        <f>'BECF-pre-ret'!AF9</f>
        <v>0.531278538812785</v>
      </c>
      <c r="AG9" s="4">
        <f>'BECF-pre-ret'!AG9</f>
        <v>0.531278538812785</v>
      </c>
      <c r="AH9" s="4">
        <f>'BECF-pre-ret'!AH9</f>
        <v>0.531278538812785</v>
      </c>
      <c r="AI9" s="4">
        <f>'BECF-pre-ret'!AI9</f>
        <v>0.531278538812785</v>
      </c>
      <c r="AJ9" s="4">
        <f>'BECF-pre-ret'!AJ9</f>
        <v>0.531278538812785</v>
      </c>
      <c r="AK9" s="4">
        <f>'BECF-pre-ret'!AK9</f>
        <v>0.531278538812785</v>
      </c>
      <c r="AL9" s="4">
        <f>'BECF-pre-ret'!AL9</f>
        <v>0.531278538812785</v>
      </c>
      <c r="AM9" s="4">
        <f>'BECF-pre-ret'!AM9</f>
        <v>0.531278538812785</v>
      </c>
      <c r="AN9" s="4">
        <f>'BECF-pre-ret'!AN9</f>
        <v>0.531278538812785</v>
      </c>
      <c r="AO9" s="4">
        <f>'BECF-pre-ret'!AO9</f>
        <v>0.531278538812785</v>
      </c>
      <c r="AP9" s="4">
        <f>'BECF-pre-ret'!AP9</f>
        <v>0.531278538812785</v>
      </c>
      <c r="AQ9" s="4">
        <f>'BECF-pre-ret'!AQ9</f>
        <v>0.531278538812785</v>
      </c>
      <c r="AR9" s="4">
        <f>'BECF-pre-ret'!AR9</f>
        <v>0.531278538812785</v>
      </c>
      <c r="AS9" s="4">
        <f>'BECF-pre-ret'!AS9</f>
        <v>0.531278538812785</v>
      </c>
    </row>
    <row r="10" spans="1:45">
      <c r="A10" s="1" t="s">
        <v>418</v>
      </c>
      <c r="B10" s="4">
        <f>'BECF-pre-ret'!B10</f>
        <v>0.337</v>
      </c>
      <c r="C10" s="4">
        <f>'BECF-pre-ret'!C10</f>
        <v>0.337</v>
      </c>
      <c r="D10" s="4">
        <f>'BECF-pre-ret'!D10</f>
        <v>0.337</v>
      </c>
      <c r="E10" s="4">
        <f>'BECF-pre-ret'!E10</f>
        <v>0.337</v>
      </c>
      <c r="F10" s="4">
        <f>'BECF-pre-ret'!F10</f>
        <v>0.337</v>
      </c>
      <c r="G10" s="4">
        <f>'BECF-pre-ret'!G10</f>
        <v>0.337</v>
      </c>
      <c r="H10" s="4">
        <f>'BECF-pre-ret'!H10</f>
        <v>0.337</v>
      </c>
      <c r="I10" s="4">
        <f>'BECF-pre-ret'!I10</f>
        <v>0.337</v>
      </c>
      <c r="J10" s="4">
        <f>'BECF-pre-ret'!J10</f>
        <v>0.337</v>
      </c>
      <c r="K10" s="4">
        <f>'BECF-pre-ret'!K10</f>
        <v>0.337</v>
      </c>
      <c r="L10" s="4">
        <f>'BECF-pre-ret'!L10</f>
        <v>0.337</v>
      </c>
      <c r="M10" s="4">
        <f>'BECF-pre-ret'!M10</f>
        <v>0.337</v>
      </c>
      <c r="N10" s="4">
        <f>'BECF-pre-ret'!N10</f>
        <v>0.337</v>
      </c>
      <c r="O10" s="4">
        <f>'BECF-pre-ret'!O10</f>
        <v>0.337</v>
      </c>
      <c r="P10" s="4">
        <f>'BECF-pre-ret'!P10</f>
        <v>0.337</v>
      </c>
      <c r="Q10" s="4">
        <f>'BECF-pre-ret'!Q10</f>
        <v>0.337</v>
      </c>
      <c r="R10" s="4">
        <f>'BECF-pre-ret'!R10</f>
        <v>0.337</v>
      </c>
      <c r="S10" s="4">
        <f>'BECF-pre-ret'!S10</f>
        <v>0.337</v>
      </c>
      <c r="T10" s="4">
        <f>'BECF-pre-ret'!T10</f>
        <v>0.337</v>
      </c>
      <c r="U10" s="4">
        <f>'BECF-pre-ret'!U10</f>
        <v>0.337</v>
      </c>
      <c r="V10" s="4">
        <f>'BECF-pre-ret'!V10</f>
        <v>0.337</v>
      </c>
      <c r="W10" s="4">
        <f>'BECF-pre-ret'!W10</f>
        <v>0.337</v>
      </c>
      <c r="X10" s="4">
        <f>'BECF-pre-ret'!X10</f>
        <v>0.337</v>
      </c>
      <c r="Y10" s="4">
        <f>'BECF-pre-ret'!Y10</f>
        <v>0.337</v>
      </c>
      <c r="Z10" s="4">
        <f>'BECF-pre-ret'!Z10</f>
        <v>0.337</v>
      </c>
      <c r="AA10" s="4">
        <f>'BECF-pre-ret'!AA10</f>
        <v>0.337</v>
      </c>
      <c r="AB10" s="4">
        <f>'BECF-pre-ret'!AB10</f>
        <v>0.337</v>
      </c>
      <c r="AC10" s="4">
        <f>'BECF-pre-ret'!AC10</f>
        <v>0.337</v>
      </c>
      <c r="AD10" s="4">
        <f>'BECF-pre-ret'!AD10</f>
        <v>0.337</v>
      </c>
      <c r="AE10" s="4">
        <f>'BECF-pre-ret'!AE10</f>
        <v>0.337</v>
      </c>
      <c r="AF10" s="4">
        <f>'BECF-pre-ret'!AF10</f>
        <v>0.337</v>
      </c>
      <c r="AG10" s="4">
        <f>'BECF-pre-ret'!AG10</f>
        <v>0.337</v>
      </c>
      <c r="AH10" s="4">
        <f>'BECF-pre-ret'!AH10</f>
        <v>0.337</v>
      </c>
      <c r="AI10" s="4">
        <f>'BECF-pre-ret'!AI10</f>
        <v>0.337</v>
      </c>
      <c r="AJ10" s="4">
        <f>'BECF-pre-ret'!AJ10</f>
        <v>0.337</v>
      </c>
      <c r="AK10" s="4">
        <f>'BECF-pre-ret'!AK10</f>
        <v>0.337</v>
      </c>
      <c r="AL10" s="4">
        <f>'BECF-pre-ret'!AL10</f>
        <v>0.337</v>
      </c>
      <c r="AM10" s="4">
        <f>'BECF-pre-ret'!AM10</f>
        <v>0.337</v>
      </c>
      <c r="AN10" s="4">
        <f>'BECF-pre-ret'!AN10</f>
        <v>0.337</v>
      </c>
      <c r="AO10" s="4">
        <f>'BECF-pre-ret'!AO10</f>
        <v>0.337</v>
      </c>
      <c r="AP10" s="4">
        <f>'BECF-pre-ret'!AP10</f>
        <v>0.337</v>
      </c>
      <c r="AQ10" s="4">
        <f>'BECF-pre-ret'!AQ10</f>
        <v>0.337</v>
      </c>
      <c r="AR10" s="4">
        <f>'BECF-pre-ret'!AR10</f>
        <v>0.337</v>
      </c>
      <c r="AS10" s="4">
        <f>'BECF-pre-ret'!AS10</f>
        <v>0.337</v>
      </c>
    </row>
    <row r="11" spans="1:45">
      <c r="A11" s="1" t="s">
        <v>419</v>
      </c>
      <c r="B11" s="4">
        <f>'BECF-pre-ret'!B11</f>
        <v>0.157420091324201</v>
      </c>
      <c r="C11" s="4">
        <f>'BECF-pre-ret'!C11</f>
        <v>0.103082191780822</v>
      </c>
      <c r="D11" s="4">
        <f>'BECF-pre-ret'!D11</f>
        <v>0.0867579908675799</v>
      </c>
      <c r="E11" s="4">
        <f>'BECF-pre-ret'!E11</f>
        <v>0.0985159817351598</v>
      </c>
      <c r="F11" s="4">
        <f>'BECF-pre-ret'!F11</f>
        <v>0.115639269406393</v>
      </c>
      <c r="G11" s="4">
        <f>'BECF-pre-ret'!G11</f>
        <v>0.0691780821917808</v>
      </c>
      <c r="H11" s="4">
        <f>'BECF-pre-ret'!H11</f>
        <v>0.100799086757991</v>
      </c>
      <c r="I11" s="4">
        <f>'BECF-pre-ret'!I11</f>
        <v>0.0996575342465753</v>
      </c>
      <c r="J11" s="4">
        <f>'BECF-pre-ret'!J11</f>
        <v>0.0990867579908676</v>
      </c>
      <c r="K11" s="4">
        <f>'BECF-pre-ret'!K11</f>
        <v>0.0993721461187215</v>
      </c>
      <c r="L11" s="4">
        <f>'BECF-pre-ret'!L11</f>
        <v>0.0995148401826484</v>
      </c>
      <c r="M11" s="4">
        <f>'BECF-pre-ret'!M11</f>
        <v>0.0994434931506849</v>
      </c>
      <c r="N11" s="4">
        <f>'BECF-pre-ret'!N11</f>
        <v>0.0994791666666667</v>
      </c>
      <c r="O11" s="4">
        <f>'BECF-pre-ret'!O11</f>
        <v>0.0994613299086758</v>
      </c>
      <c r="P11" s="4">
        <f>'BECF-pre-ret'!P11</f>
        <v>0.0994524115296804</v>
      </c>
      <c r="Q11" s="4">
        <f>'BECF-pre-ret'!Q11</f>
        <v>0.0994568707191781</v>
      </c>
      <c r="R11" s="4">
        <f>'BECF-pre-ret'!R11</f>
        <v>0.0994591003139269</v>
      </c>
      <c r="S11" s="4">
        <f>'BECF-pre-ret'!S11</f>
        <v>0.0994579855165525</v>
      </c>
      <c r="T11" s="4">
        <f>'BECF-pre-ret'!T11</f>
        <v>0.0994585429152397</v>
      </c>
      <c r="U11" s="4">
        <f>'BECF-pre-ret'!U11</f>
        <v>0.0994582642158961</v>
      </c>
      <c r="V11" s="4">
        <f>'BECF-pre-ret'!V11</f>
        <v>0.0994581248662243</v>
      </c>
      <c r="W11" s="4">
        <f>'BECF-pre-ret'!W11</f>
        <v>0.0994581945410602</v>
      </c>
      <c r="X11" s="4">
        <f>'BECF-pre-ret'!X11</f>
        <v>0.0994582293784782</v>
      </c>
      <c r="Y11" s="4">
        <f>'BECF-pre-ret'!Y11</f>
        <v>0.0994582119597692</v>
      </c>
      <c r="Z11" s="4">
        <f>'BECF-pre-ret'!Z11</f>
        <v>0.0994582206691237</v>
      </c>
      <c r="AA11" s="4">
        <f>'BECF-pre-ret'!AA11</f>
        <v>0.0994582163144464</v>
      </c>
      <c r="AB11" s="4">
        <f>'BECF-pre-ret'!AB11</f>
        <v>0.0994582141371078</v>
      </c>
      <c r="AC11" s="4">
        <f>'BECF-pre-ret'!AC11</f>
        <v>0.0994582152257771</v>
      </c>
      <c r="AD11" s="4">
        <f>'BECF-pre-ret'!AD11</f>
        <v>0.0994582157701118</v>
      </c>
      <c r="AE11" s="4">
        <f>'BECF-pre-ret'!AE11</f>
        <v>0.0994582154979445</v>
      </c>
      <c r="AF11" s="4">
        <f>'BECF-pre-ret'!AF11</f>
        <v>0.0994582156340281</v>
      </c>
      <c r="AG11" s="4">
        <f>'BECF-pre-ret'!AG11</f>
        <v>0.0994582155659863</v>
      </c>
      <c r="AH11" s="4">
        <f>'BECF-pre-ret'!AH11</f>
        <v>0.0994582155319654</v>
      </c>
      <c r="AI11" s="4">
        <f>'BECF-pre-ret'!AI11</f>
        <v>0.0994582155489758</v>
      </c>
      <c r="AJ11" s="4">
        <f>'BECF-pre-ret'!AJ11</f>
        <v>0.0994582155574811</v>
      </c>
      <c r="AK11" s="4">
        <f>'BECF-pre-ret'!AK11</f>
        <v>0.0994582155532285</v>
      </c>
      <c r="AL11" s="4">
        <f>'BECF-pre-ret'!AL11</f>
        <v>0.0994582155553548</v>
      </c>
      <c r="AM11" s="4">
        <f>'BECF-pre-ret'!AM11</f>
        <v>0.0994582155542916</v>
      </c>
      <c r="AN11" s="4">
        <f>'BECF-pre-ret'!AN11</f>
        <v>0.09945821555376</v>
      </c>
      <c r="AO11" s="4">
        <f>'BECF-pre-ret'!AO11</f>
        <v>0.0994582155540258</v>
      </c>
      <c r="AP11" s="4">
        <f>'BECF-pre-ret'!AP11</f>
        <v>0.0994582155541587</v>
      </c>
      <c r="AQ11" s="4">
        <f>'BECF-pre-ret'!AQ11</f>
        <v>0.0994582155540923</v>
      </c>
      <c r="AR11" s="4">
        <f>'BECF-pre-ret'!AR11</f>
        <v>0.0994582155541255</v>
      </c>
      <c r="AS11" s="4">
        <f>'BECF-pre-ret'!AS11</f>
        <v>0.0994582155541089</v>
      </c>
    </row>
    <row r="12" spans="1:45">
      <c r="A12" s="1" t="s">
        <v>420</v>
      </c>
      <c r="B12" s="4">
        <f>'BECF-pre-ret'!B12</f>
        <v>0.315182648401826</v>
      </c>
      <c r="C12" s="4">
        <f>'BECF-pre-ret'!C12</f>
        <v>0.315867579908676</v>
      </c>
      <c r="D12" s="4">
        <f>'BECF-pre-ret'!D12</f>
        <v>0.302054794520548</v>
      </c>
      <c r="E12" s="4">
        <f>'BECF-pre-ret'!E12</f>
        <v>0.297945205479452</v>
      </c>
      <c r="F12" s="4">
        <f>'BECF-pre-ret'!F12</f>
        <v>0.306849315068493</v>
      </c>
      <c r="G12" s="4">
        <f>'BECF-pre-ret'!G12</f>
        <v>0.276940639269406</v>
      </c>
      <c r="H12" s="4">
        <f>'BECF-pre-ret'!H12</f>
        <v>0.276940639269406</v>
      </c>
      <c r="I12" s="4">
        <f>'BECF-pre-ret'!I12</f>
        <v>0.276940639269406</v>
      </c>
      <c r="J12" s="4">
        <f>'BECF-pre-ret'!J12</f>
        <v>0.276940639269406</v>
      </c>
      <c r="K12" s="4">
        <f>'BECF-pre-ret'!K12</f>
        <v>0.276940639269406</v>
      </c>
      <c r="L12" s="4">
        <f>'BECF-pre-ret'!L12</f>
        <v>0.276940639269406</v>
      </c>
      <c r="M12" s="4">
        <f>'BECF-pre-ret'!M12</f>
        <v>0.276940639269406</v>
      </c>
      <c r="N12" s="4">
        <f>'BECF-pre-ret'!N12</f>
        <v>0.276940639269406</v>
      </c>
      <c r="O12" s="4">
        <f>'BECF-pre-ret'!O12</f>
        <v>0.276940639269406</v>
      </c>
      <c r="P12" s="4">
        <f>'BECF-pre-ret'!P12</f>
        <v>0.276940639269406</v>
      </c>
      <c r="Q12" s="4">
        <f>'BECF-pre-ret'!Q12</f>
        <v>0.276940639269406</v>
      </c>
      <c r="R12" s="4">
        <f>'BECF-pre-ret'!R12</f>
        <v>0.276940639269406</v>
      </c>
      <c r="S12" s="4">
        <f>'BECF-pre-ret'!S12</f>
        <v>0.276940639269406</v>
      </c>
      <c r="T12" s="4">
        <f>'BECF-pre-ret'!T12</f>
        <v>0.276940639269406</v>
      </c>
      <c r="U12" s="4">
        <f>'BECF-pre-ret'!U12</f>
        <v>0.276940639269406</v>
      </c>
      <c r="V12" s="4">
        <f>'BECF-pre-ret'!V12</f>
        <v>0.276940639269406</v>
      </c>
      <c r="W12" s="4">
        <f>'BECF-pre-ret'!W12</f>
        <v>0.276940639269406</v>
      </c>
      <c r="X12" s="4">
        <f>'BECF-pre-ret'!X12</f>
        <v>0.276940639269406</v>
      </c>
      <c r="Y12" s="4">
        <f>'BECF-pre-ret'!Y12</f>
        <v>0.276940639269406</v>
      </c>
      <c r="Z12" s="4">
        <f>'BECF-pre-ret'!Z12</f>
        <v>0.276940639269406</v>
      </c>
      <c r="AA12" s="4">
        <f>'BECF-pre-ret'!AA12</f>
        <v>0.276940639269406</v>
      </c>
      <c r="AB12" s="4">
        <f>'BECF-pre-ret'!AB12</f>
        <v>0.276940639269406</v>
      </c>
      <c r="AC12" s="4">
        <f>'BECF-pre-ret'!AC12</f>
        <v>0.276940639269406</v>
      </c>
      <c r="AD12" s="4">
        <f>'BECF-pre-ret'!AD12</f>
        <v>0.276940639269406</v>
      </c>
      <c r="AE12" s="4">
        <f>'BECF-pre-ret'!AE12</f>
        <v>0.276940639269406</v>
      </c>
      <c r="AF12" s="4">
        <f>'BECF-pre-ret'!AF12</f>
        <v>0.276940639269406</v>
      </c>
      <c r="AG12" s="4">
        <f>'BECF-pre-ret'!AG12</f>
        <v>0.276940639269406</v>
      </c>
      <c r="AH12" s="4">
        <f>'BECF-pre-ret'!AH12</f>
        <v>0.276940639269406</v>
      </c>
      <c r="AI12" s="4">
        <f>'BECF-pre-ret'!AI12</f>
        <v>0.276940639269406</v>
      </c>
      <c r="AJ12" s="4">
        <f>'BECF-pre-ret'!AJ12</f>
        <v>0.276940639269406</v>
      </c>
      <c r="AK12" s="4">
        <f>'BECF-pre-ret'!AK12</f>
        <v>0.276940639269406</v>
      </c>
      <c r="AL12" s="4">
        <f>'BECF-pre-ret'!AL12</f>
        <v>0.276940639269406</v>
      </c>
      <c r="AM12" s="4">
        <f>'BECF-pre-ret'!AM12</f>
        <v>0.276940639269406</v>
      </c>
      <c r="AN12" s="4">
        <f>'BECF-pre-ret'!AN12</f>
        <v>0.276940639269406</v>
      </c>
      <c r="AO12" s="4">
        <f>'BECF-pre-ret'!AO12</f>
        <v>0.276940639269406</v>
      </c>
      <c r="AP12" s="4">
        <f>'BECF-pre-ret'!AP12</f>
        <v>0.276940639269406</v>
      </c>
      <c r="AQ12" s="4">
        <f>'BECF-pre-ret'!AQ12</f>
        <v>0.276940639269406</v>
      </c>
      <c r="AR12" s="4">
        <f>'BECF-pre-ret'!AR12</f>
        <v>0.276940639269406</v>
      </c>
      <c r="AS12" s="4">
        <f>'BECF-pre-ret'!AS12</f>
        <v>0.276940639269406</v>
      </c>
    </row>
    <row r="13" spans="1:45">
      <c r="A13" s="1" t="s">
        <v>421</v>
      </c>
      <c r="B13" s="4">
        <f>'BECF-pre-ret'!B13</f>
        <v>0.492237442922374</v>
      </c>
      <c r="C13" s="4">
        <f>'BECF-pre-ret'!C13</f>
        <v>0.513127853881279</v>
      </c>
      <c r="D13" s="4">
        <f>'BECF-pre-ret'!D13</f>
        <v>0.505593607305936</v>
      </c>
      <c r="E13" s="4">
        <f>'BECF-pre-ret'!E13</f>
        <v>0.493493150684931</v>
      </c>
      <c r="F13" s="4">
        <f>'BECF-pre-ret'!F13</f>
        <v>0.525228310502283</v>
      </c>
      <c r="G13" s="4">
        <f>'BECF-pre-ret'!G13</f>
        <v>0.524315068493151</v>
      </c>
      <c r="H13" s="4">
        <f>'BECF-pre-ret'!H13</f>
        <v>0.524315068493151</v>
      </c>
      <c r="I13" s="4">
        <f>'BECF-pre-ret'!I13</f>
        <v>0.524315068493151</v>
      </c>
      <c r="J13" s="4">
        <f>'BECF-pre-ret'!J13</f>
        <v>0.524315068493151</v>
      </c>
      <c r="K13" s="4">
        <f>'BECF-pre-ret'!K13</f>
        <v>0.524315068493151</v>
      </c>
      <c r="L13" s="4">
        <f>'BECF-pre-ret'!L13</f>
        <v>0.524315068493151</v>
      </c>
      <c r="M13" s="4">
        <f>'BECF-pre-ret'!M13</f>
        <v>0.524315068493151</v>
      </c>
      <c r="N13" s="4">
        <f>'BECF-pre-ret'!N13</f>
        <v>0.524315068493151</v>
      </c>
      <c r="O13" s="4">
        <f>'BECF-pre-ret'!O13</f>
        <v>0.524315068493151</v>
      </c>
      <c r="P13" s="4">
        <f>'BECF-pre-ret'!P13</f>
        <v>0.524315068493151</v>
      </c>
      <c r="Q13" s="4">
        <f>'BECF-pre-ret'!Q13</f>
        <v>0.524315068493151</v>
      </c>
      <c r="R13" s="4">
        <f>'BECF-pre-ret'!R13</f>
        <v>0.524315068493151</v>
      </c>
      <c r="S13" s="4">
        <f>'BECF-pre-ret'!S13</f>
        <v>0.524315068493151</v>
      </c>
      <c r="T13" s="4">
        <f>'BECF-pre-ret'!T13</f>
        <v>0.524315068493151</v>
      </c>
      <c r="U13" s="4">
        <f>'BECF-pre-ret'!U13</f>
        <v>0.524315068493151</v>
      </c>
      <c r="V13" s="4">
        <f>'BECF-pre-ret'!V13</f>
        <v>0.524315068493151</v>
      </c>
      <c r="W13" s="4">
        <f>'BECF-pre-ret'!W13</f>
        <v>0.524315068493151</v>
      </c>
      <c r="X13" s="4">
        <f>'BECF-pre-ret'!X13</f>
        <v>0.524315068493151</v>
      </c>
      <c r="Y13" s="4">
        <f>'BECF-pre-ret'!Y13</f>
        <v>0.524315068493151</v>
      </c>
      <c r="Z13" s="4">
        <f>'BECF-pre-ret'!Z13</f>
        <v>0.524315068493151</v>
      </c>
      <c r="AA13" s="4">
        <f>'BECF-pre-ret'!AA13</f>
        <v>0.524315068493151</v>
      </c>
      <c r="AB13" s="4">
        <f>'BECF-pre-ret'!AB13</f>
        <v>0.524315068493151</v>
      </c>
      <c r="AC13" s="4">
        <f>'BECF-pre-ret'!AC13</f>
        <v>0.524315068493151</v>
      </c>
      <c r="AD13" s="4">
        <f>'BECF-pre-ret'!AD13</f>
        <v>0.524315068493151</v>
      </c>
      <c r="AE13" s="4">
        <f>'BECF-pre-ret'!AE13</f>
        <v>0.524315068493151</v>
      </c>
      <c r="AF13" s="4">
        <f>'BECF-pre-ret'!AF13</f>
        <v>0.524315068493151</v>
      </c>
      <c r="AG13" s="4">
        <f>'BECF-pre-ret'!AG13</f>
        <v>0.524315068493151</v>
      </c>
      <c r="AH13" s="4">
        <f>'BECF-pre-ret'!AH13</f>
        <v>0.524315068493151</v>
      </c>
      <c r="AI13" s="4">
        <f>'BECF-pre-ret'!AI13</f>
        <v>0.524315068493151</v>
      </c>
      <c r="AJ13" s="4">
        <f>'BECF-pre-ret'!AJ13</f>
        <v>0.524315068493151</v>
      </c>
      <c r="AK13" s="4">
        <f>'BECF-pre-ret'!AK13</f>
        <v>0.524315068493151</v>
      </c>
      <c r="AL13" s="4">
        <f>'BECF-pre-ret'!AL13</f>
        <v>0.524315068493151</v>
      </c>
      <c r="AM13" s="4">
        <f>'BECF-pre-ret'!AM13</f>
        <v>0.524315068493151</v>
      </c>
      <c r="AN13" s="4">
        <f>'BECF-pre-ret'!AN13</f>
        <v>0.524315068493151</v>
      </c>
      <c r="AO13" s="4">
        <f>'BECF-pre-ret'!AO13</f>
        <v>0.524315068493151</v>
      </c>
      <c r="AP13" s="4">
        <f>'BECF-pre-ret'!AP13</f>
        <v>0.524315068493151</v>
      </c>
      <c r="AQ13" s="4">
        <f>'BECF-pre-ret'!AQ13</f>
        <v>0.524315068493151</v>
      </c>
      <c r="AR13" s="4">
        <f>'BECF-pre-ret'!AR13</f>
        <v>0.524315068493151</v>
      </c>
      <c r="AS13" s="4">
        <f>'BECF-pre-ret'!AS13</f>
        <v>0.524315068493151</v>
      </c>
    </row>
    <row r="14" spans="1:45">
      <c r="A14" s="1" t="s">
        <v>422</v>
      </c>
      <c r="B14" s="4">
        <f>'BECF-pre-ret'!B14</f>
        <v>0.29</v>
      </c>
      <c r="C14" s="4">
        <f>'BECF-pre-ret'!C14</f>
        <v>0.29</v>
      </c>
      <c r="D14" s="4">
        <f>'BECF-pre-ret'!D14</f>
        <v>0.29</v>
      </c>
      <c r="E14" s="4">
        <f>'BECF-pre-ret'!E14</f>
        <v>0.29</v>
      </c>
      <c r="F14" s="4">
        <f>'BECF-pre-ret'!F14</f>
        <v>0.29</v>
      </c>
      <c r="G14" s="4">
        <f>'BECF-pre-ret'!G14</f>
        <v>0.29</v>
      </c>
      <c r="H14" s="4">
        <f>'BECF-pre-ret'!H14</f>
        <v>0.29</v>
      </c>
      <c r="I14" s="4">
        <f>'BECF-pre-ret'!I14</f>
        <v>0.29</v>
      </c>
      <c r="J14" s="4">
        <f>'BECF-pre-ret'!J14</f>
        <v>0.29</v>
      </c>
      <c r="K14" s="4">
        <f>'BECF-pre-ret'!K14</f>
        <v>0.29</v>
      </c>
      <c r="L14" s="4">
        <f>'BECF-pre-ret'!L14</f>
        <v>0.29</v>
      </c>
      <c r="M14" s="4">
        <f>'BECF-pre-ret'!M14</f>
        <v>0.29</v>
      </c>
      <c r="N14" s="4">
        <f>'BECF-pre-ret'!N14</f>
        <v>0.29</v>
      </c>
      <c r="O14" s="4">
        <f>'BECF-pre-ret'!O14</f>
        <v>0.29</v>
      </c>
      <c r="P14" s="4">
        <f>'BECF-pre-ret'!P14</f>
        <v>0.29</v>
      </c>
      <c r="Q14" s="4">
        <f>'BECF-pre-ret'!Q14</f>
        <v>0.29</v>
      </c>
      <c r="R14" s="4">
        <f>'BECF-pre-ret'!R14</f>
        <v>0.29</v>
      </c>
      <c r="S14" s="4">
        <f>'BECF-pre-ret'!S14</f>
        <v>0.29</v>
      </c>
      <c r="T14" s="4">
        <f>'BECF-pre-ret'!T14</f>
        <v>0.29</v>
      </c>
      <c r="U14" s="4">
        <f>'BECF-pre-ret'!U14</f>
        <v>0.29</v>
      </c>
      <c r="V14" s="4">
        <f>'BECF-pre-ret'!V14</f>
        <v>0.29</v>
      </c>
      <c r="W14" s="4">
        <f>'BECF-pre-ret'!W14</f>
        <v>0.29</v>
      </c>
      <c r="X14" s="4">
        <f>'BECF-pre-ret'!X14</f>
        <v>0.29</v>
      </c>
      <c r="Y14" s="4">
        <f>'BECF-pre-ret'!Y14</f>
        <v>0.29</v>
      </c>
      <c r="Z14" s="4">
        <f>'BECF-pre-ret'!Z14</f>
        <v>0.29</v>
      </c>
      <c r="AA14" s="4">
        <f>'BECF-pre-ret'!AA14</f>
        <v>0.29</v>
      </c>
      <c r="AB14" s="4">
        <f>'BECF-pre-ret'!AB14</f>
        <v>0.29</v>
      </c>
      <c r="AC14" s="4">
        <f>'BECF-pre-ret'!AC14</f>
        <v>0.29</v>
      </c>
      <c r="AD14" s="4">
        <f>'BECF-pre-ret'!AD14</f>
        <v>0.29</v>
      </c>
      <c r="AE14" s="4">
        <f>'BECF-pre-ret'!AE14</f>
        <v>0.29</v>
      </c>
      <c r="AF14" s="4">
        <f>'BECF-pre-ret'!AF14</f>
        <v>0.29</v>
      </c>
      <c r="AG14" s="4">
        <f>'BECF-pre-ret'!AG14</f>
        <v>0.29</v>
      </c>
      <c r="AH14" s="4">
        <f>'BECF-pre-ret'!AH14</f>
        <v>0.29</v>
      </c>
      <c r="AI14" s="4">
        <f>'BECF-pre-ret'!AI14</f>
        <v>0.29</v>
      </c>
      <c r="AJ14" s="4">
        <f>'BECF-pre-ret'!AJ14</f>
        <v>0.29</v>
      </c>
      <c r="AK14" s="4">
        <f>'BECF-pre-ret'!AK14</f>
        <v>0.29</v>
      </c>
      <c r="AL14" s="4">
        <f>'BECF-pre-ret'!AL14</f>
        <v>0.29</v>
      </c>
      <c r="AM14" s="4">
        <f>'BECF-pre-ret'!AM14</f>
        <v>0.29</v>
      </c>
      <c r="AN14" s="4">
        <f>'BECF-pre-ret'!AN14</f>
        <v>0.29</v>
      </c>
      <c r="AO14" s="4">
        <f>'BECF-pre-ret'!AO14</f>
        <v>0.29</v>
      </c>
      <c r="AP14" s="4">
        <f>'BECF-pre-ret'!AP14</f>
        <v>0.29</v>
      </c>
      <c r="AQ14" s="4">
        <f>'BECF-pre-ret'!AQ14</f>
        <v>0.29</v>
      </c>
      <c r="AR14" s="4">
        <f>'BECF-pre-ret'!AR14</f>
        <v>0.29</v>
      </c>
      <c r="AS14" s="4">
        <f>'BECF-pre-ret'!AS14</f>
        <v>0.29</v>
      </c>
    </row>
    <row r="15" spans="1:45">
      <c r="A15" s="1" t="s">
        <v>423</v>
      </c>
      <c r="B15" s="4">
        <f>'BECF-pre-ret'!B15</f>
        <v>0.157420091324201</v>
      </c>
      <c r="C15" s="4">
        <f>'BECF-pre-ret'!C15</f>
        <v>0.103082191780822</v>
      </c>
      <c r="D15" s="4">
        <f>'BECF-pre-ret'!D15</f>
        <v>0.0867579908675799</v>
      </c>
      <c r="E15" s="4">
        <f>'BECF-pre-ret'!E15</f>
        <v>0.0985159817351598</v>
      </c>
      <c r="F15" s="4">
        <f>'BECF-pre-ret'!F15</f>
        <v>0.115639269406393</v>
      </c>
      <c r="G15" s="4">
        <f>'BECF-pre-ret'!G15</f>
        <v>0.0691780821917808</v>
      </c>
      <c r="H15" s="4">
        <f>'BECF-pre-ret'!H15</f>
        <v>0.100799086757991</v>
      </c>
      <c r="I15" s="4">
        <f>'BECF-pre-ret'!I15</f>
        <v>0.0996575342465753</v>
      </c>
      <c r="J15" s="4">
        <f>'BECF-pre-ret'!J15</f>
        <v>0.0990867579908676</v>
      </c>
      <c r="K15" s="4">
        <f>'BECF-pre-ret'!K15</f>
        <v>0.0993721461187215</v>
      </c>
      <c r="L15" s="4">
        <f>'BECF-pre-ret'!L15</f>
        <v>0.0995148401826484</v>
      </c>
      <c r="M15" s="4">
        <f>'BECF-pre-ret'!M15</f>
        <v>0.0994434931506849</v>
      </c>
      <c r="N15" s="4">
        <f>'BECF-pre-ret'!N15</f>
        <v>0.0994791666666667</v>
      </c>
      <c r="O15" s="4">
        <f>'BECF-pre-ret'!O15</f>
        <v>0.0994613299086758</v>
      </c>
      <c r="P15" s="4">
        <f>'BECF-pre-ret'!P15</f>
        <v>0.0994524115296804</v>
      </c>
      <c r="Q15" s="4">
        <f>'BECF-pre-ret'!Q15</f>
        <v>0.0994568707191781</v>
      </c>
      <c r="R15" s="4">
        <f>'BECF-pre-ret'!R15</f>
        <v>0.0994591003139269</v>
      </c>
      <c r="S15" s="4">
        <f>'BECF-pre-ret'!S15</f>
        <v>0.0994579855165525</v>
      </c>
      <c r="T15" s="4">
        <f>'BECF-pre-ret'!T15</f>
        <v>0.0994585429152397</v>
      </c>
      <c r="U15" s="4">
        <f>'BECF-pre-ret'!U15</f>
        <v>0.0994582642158961</v>
      </c>
      <c r="V15" s="4">
        <f>'BECF-pre-ret'!V15</f>
        <v>0.0994581248662243</v>
      </c>
      <c r="W15" s="4">
        <f>'BECF-pre-ret'!W15</f>
        <v>0.0994581945410602</v>
      </c>
      <c r="X15" s="4">
        <f>'BECF-pre-ret'!X15</f>
        <v>0.0994582293784782</v>
      </c>
      <c r="Y15" s="4">
        <f>'BECF-pre-ret'!Y15</f>
        <v>0.0994582119597692</v>
      </c>
      <c r="Z15" s="4">
        <f>'BECF-pre-ret'!Z15</f>
        <v>0.0994582206691237</v>
      </c>
      <c r="AA15" s="4">
        <f>'BECF-pre-ret'!AA15</f>
        <v>0.0994582163144464</v>
      </c>
      <c r="AB15" s="4">
        <f>'BECF-pre-ret'!AB15</f>
        <v>0.0994582141371078</v>
      </c>
      <c r="AC15" s="4">
        <f>'BECF-pre-ret'!AC15</f>
        <v>0.0994582152257771</v>
      </c>
      <c r="AD15" s="4">
        <f>'BECF-pre-ret'!AD15</f>
        <v>0.0994582157701118</v>
      </c>
      <c r="AE15" s="4">
        <f>'BECF-pre-ret'!AE15</f>
        <v>0.0994582154979445</v>
      </c>
      <c r="AF15" s="4">
        <f>'BECF-pre-ret'!AF15</f>
        <v>0.0994582156340281</v>
      </c>
      <c r="AG15" s="4">
        <f>'BECF-pre-ret'!AG15</f>
        <v>0.0994582155659863</v>
      </c>
      <c r="AH15" s="4">
        <f>'BECF-pre-ret'!AH15</f>
        <v>0.0994582155319654</v>
      </c>
      <c r="AI15" s="4">
        <f>'BECF-pre-ret'!AI15</f>
        <v>0.0994582155489758</v>
      </c>
      <c r="AJ15" s="4">
        <f>'BECF-pre-ret'!AJ15</f>
        <v>0.0994582155574811</v>
      </c>
      <c r="AK15" s="4">
        <f>'BECF-pre-ret'!AK15</f>
        <v>0.0994582155532285</v>
      </c>
      <c r="AL15" s="4">
        <f>'BECF-pre-ret'!AL15</f>
        <v>0.0994582155553548</v>
      </c>
      <c r="AM15" s="4">
        <f>'BECF-pre-ret'!AM15</f>
        <v>0.0994582155542916</v>
      </c>
      <c r="AN15" s="4">
        <f>'BECF-pre-ret'!AN15</f>
        <v>0.09945821555376</v>
      </c>
      <c r="AO15" s="4">
        <f>'BECF-pre-ret'!AO15</f>
        <v>0.0994582155540258</v>
      </c>
      <c r="AP15" s="4">
        <f>'BECF-pre-ret'!AP15</f>
        <v>0.0994582155541587</v>
      </c>
      <c r="AQ15" s="4">
        <f>'BECF-pre-ret'!AQ15</f>
        <v>0.0994582155540923</v>
      </c>
      <c r="AR15" s="4">
        <f>'BECF-pre-ret'!AR15</f>
        <v>0.0994582155541255</v>
      </c>
      <c r="AS15" s="4">
        <f>'BECF-pre-ret'!AS15</f>
        <v>0.0994582155541089</v>
      </c>
    </row>
    <row r="16" spans="1:45">
      <c r="A16" s="1" t="s">
        <v>424</v>
      </c>
      <c r="B16" s="4">
        <f>'BECF-pre-ret'!B16</f>
        <v>0.157420091324201</v>
      </c>
      <c r="C16" s="4">
        <f>'BECF-pre-ret'!C16</f>
        <v>0.103082191780822</v>
      </c>
      <c r="D16" s="4">
        <f>'BECF-pre-ret'!D16</f>
        <v>0.0867579908675799</v>
      </c>
      <c r="E16" s="4">
        <f>'BECF-pre-ret'!E16</f>
        <v>0.0985159817351598</v>
      </c>
      <c r="F16" s="4">
        <f>'BECF-pre-ret'!F16</f>
        <v>0.115639269406393</v>
      </c>
      <c r="G16" s="4">
        <f>'BECF-pre-ret'!G16</f>
        <v>0.0691780821917808</v>
      </c>
      <c r="H16" s="4">
        <f>'BECF-pre-ret'!H16</f>
        <v>0.100799086757991</v>
      </c>
      <c r="I16" s="4">
        <f>'BECF-pre-ret'!I16</f>
        <v>0.0996575342465753</v>
      </c>
      <c r="J16" s="4">
        <f>'BECF-pre-ret'!J16</f>
        <v>0.0990867579908676</v>
      </c>
      <c r="K16" s="4">
        <f>'BECF-pre-ret'!K16</f>
        <v>0.0993721461187215</v>
      </c>
      <c r="L16" s="4">
        <f>'BECF-pre-ret'!L16</f>
        <v>0.0995148401826484</v>
      </c>
      <c r="M16" s="4">
        <f>'BECF-pre-ret'!M16</f>
        <v>0.0994434931506849</v>
      </c>
      <c r="N16" s="4">
        <f>'BECF-pre-ret'!N16</f>
        <v>0.0994791666666667</v>
      </c>
      <c r="O16" s="4">
        <f>'BECF-pre-ret'!O16</f>
        <v>0.0994613299086758</v>
      </c>
      <c r="P16" s="4">
        <f>'BECF-pre-ret'!P16</f>
        <v>0.0994524115296804</v>
      </c>
      <c r="Q16" s="4">
        <f>'BECF-pre-ret'!Q16</f>
        <v>0.0994568707191781</v>
      </c>
      <c r="R16" s="4">
        <f>'BECF-pre-ret'!R16</f>
        <v>0.0994591003139269</v>
      </c>
      <c r="S16" s="4">
        <f>'BECF-pre-ret'!S16</f>
        <v>0.0994579855165525</v>
      </c>
      <c r="T16" s="4">
        <f>'BECF-pre-ret'!T16</f>
        <v>0.0994585429152397</v>
      </c>
      <c r="U16" s="4">
        <f>'BECF-pre-ret'!U16</f>
        <v>0.0994582642158961</v>
      </c>
      <c r="V16" s="4">
        <f>'BECF-pre-ret'!V16</f>
        <v>0.0994581248662243</v>
      </c>
      <c r="W16" s="4">
        <f>'BECF-pre-ret'!W16</f>
        <v>0.0994581945410602</v>
      </c>
      <c r="X16" s="4">
        <f>'BECF-pre-ret'!X16</f>
        <v>0.0994582293784782</v>
      </c>
      <c r="Y16" s="4">
        <f>'BECF-pre-ret'!Y16</f>
        <v>0.0994582119597692</v>
      </c>
      <c r="Z16" s="4">
        <f>'BECF-pre-ret'!Z16</f>
        <v>0.0994582206691237</v>
      </c>
      <c r="AA16" s="4">
        <f>'BECF-pre-ret'!AA16</f>
        <v>0.0994582163144464</v>
      </c>
      <c r="AB16" s="4">
        <f>'BECF-pre-ret'!AB16</f>
        <v>0.0994582141371078</v>
      </c>
      <c r="AC16" s="4">
        <f>'BECF-pre-ret'!AC16</f>
        <v>0.0994582152257771</v>
      </c>
      <c r="AD16" s="4">
        <f>'BECF-pre-ret'!AD16</f>
        <v>0.0994582157701118</v>
      </c>
      <c r="AE16" s="4">
        <f>'BECF-pre-ret'!AE16</f>
        <v>0.0994582154979445</v>
      </c>
      <c r="AF16" s="4">
        <f>'BECF-pre-ret'!AF16</f>
        <v>0.0994582156340281</v>
      </c>
      <c r="AG16" s="4">
        <f>'BECF-pre-ret'!AG16</f>
        <v>0.0994582155659863</v>
      </c>
      <c r="AH16" s="4">
        <f>'BECF-pre-ret'!AH16</f>
        <v>0.0994582155319654</v>
      </c>
      <c r="AI16" s="4">
        <f>'BECF-pre-ret'!AI16</f>
        <v>0.0994582155489758</v>
      </c>
      <c r="AJ16" s="4">
        <f>'BECF-pre-ret'!AJ16</f>
        <v>0.0994582155574811</v>
      </c>
      <c r="AK16" s="4">
        <f>'BECF-pre-ret'!AK16</f>
        <v>0.0994582155532285</v>
      </c>
      <c r="AL16" s="4">
        <f>'BECF-pre-ret'!AL16</f>
        <v>0.0994582155553548</v>
      </c>
      <c r="AM16" s="4">
        <f>'BECF-pre-ret'!AM16</f>
        <v>0.0994582155542916</v>
      </c>
      <c r="AN16" s="4">
        <f>'BECF-pre-ret'!AN16</f>
        <v>0.09945821555376</v>
      </c>
      <c r="AO16" s="4">
        <f>'BECF-pre-ret'!AO16</f>
        <v>0.0994582155540258</v>
      </c>
      <c r="AP16" s="4">
        <f>'BECF-pre-ret'!AP16</f>
        <v>0.0994582155541587</v>
      </c>
      <c r="AQ16" s="4">
        <f>'BECF-pre-ret'!AQ16</f>
        <v>0.0994582155540923</v>
      </c>
      <c r="AR16" s="4">
        <f>'BECF-pre-ret'!AR16</f>
        <v>0.0994582155541255</v>
      </c>
      <c r="AS16" s="4">
        <f>'BECF-pre-ret'!AS16</f>
        <v>0.0994582155541089</v>
      </c>
    </row>
    <row r="17" spans="1:45">
      <c r="A17" s="1" t="s">
        <v>425</v>
      </c>
      <c r="B17" s="4">
        <f>'BECF-pre-ret'!B17</f>
        <v>0.648401826484018</v>
      </c>
      <c r="C17" s="4">
        <f>'BECF-pre-ret'!C17</f>
        <v>0.670890410958904</v>
      </c>
      <c r="D17" s="4">
        <f>'BECF-pre-ret'!D17</f>
        <v>0.665639269406393</v>
      </c>
      <c r="E17" s="4">
        <f>'BECF-pre-ret'!E17</f>
        <v>0.673059360730594</v>
      </c>
      <c r="F17" s="4">
        <f>'BECF-pre-ret'!F17</f>
        <v>0.674315068493151</v>
      </c>
      <c r="G17" s="4">
        <f>'BECF-pre-ret'!G17</f>
        <v>0.634931506849315</v>
      </c>
      <c r="H17" s="4">
        <f>'BECF-pre-ret'!H17</f>
        <v>0.634931506849315</v>
      </c>
      <c r="I17" s="4">
        <f>'BECF-pre-ret'!I17</f>
        <v>0.634931506849315</v>
      </c>
      <c r="J17" s="4">
        <f>'BECF-pre-ret'!J17</f>
        <v>0.634931506849315</v>
      </c>
      <c r="K17" s="4">
        <f>'BECF-pre-ret'!K17</f>
        <v>0.634931506849315</v>
      </c>
      <c r="L17" s="4">
        <f>'BECF-pre-ret'!L17</f>
        <v>0.634931506849315</v>
      </c>
      <c r="M17" s="4">
        <f>'BECF-pre-ret'!M17</f>
        <v>0.634931506849315</v>
      </c>
      <c r="N17" s="4">
        <f>'BECF-pre-ret'!N17</f>
        <v>0.634931506849315</v>
      </c>
      <c r="O17" s="4">
        <f>'BECF-pre-ret'!O17</f>
        <v>0.634931506849315</v>
      </c>
      <c r="P17" s="4">
        <f>'BECF-pre-ret'!P17</f>
        <v>0.634931506849315</v>
      </c>
      <c r="Q17" s="4">
        <f>'BECF-pre-ret'!Q17</f>
        <v>0.634931506849315</v>
      </c>
      <c r="R17" s="4">
        <f>'BECF-pre-ret'!R17</f>
        <v>0.634931506849315</v>
      </c>
      <c r="S17" s="4">
        <f>'BECF-pre-ret'!S17</f>
        <v>0.634931506849315</v>
      </c>
      <c r="T17" s="4">
        <f>'BECF-pre-ret'!T17</f>
        <v>0.634931506849315</v>
      </c>
      <c r="U17" s="4">
        <f>'BECF-pre-ret'!U17</f>
        <v>0.634931506849315</v>
      </c>
      <c r="V17" s="4">
        <f>'BECF-pre-ret'!V17</f>
        <v>0.634931506849315</v>
      </c>
      <c r="W17" s="4">
        <f>'BECF-pre-ret'!W17</f>
        <v>0.634931506849315</v>
      </c>
      <c r="X17" s="4">
        <f>'BECF-pre-ret'!X17</f>
        <v>0.634931506849315</v>
      </c>
      <c r="Y17" s="4">
        <f>'BECF-pre-ret'!Y17</f>
        <v>0.634931506849315</v>
      </c>
      <c r="Z17" s="4">
        <f>'BECF-pre-ret'!Z17</f>
        <v>0.634931506849315</v>
      </c>
      <c r="AA17" s="4">
        <f>'BECF-pre-ret'!AA17</f>
        <v>0.634931506849315</v>
      </c>
      <c r="AB17" s="4">
        <f>'BECF-pre-ret'!AB17</f>
        <v>0.634931506849315</v>
      </c>
      <c r="AC17" s="4">
        <f>'BECF-pre-ret'!AC17</f>
        <v>0.634931506849315</v>
      </c>
      <c r="AD17" s="4">
        <f>'BECF-pre-ret'!AD17</f>
        <v>0.634931506849315</v>
      </c>
      <c r="AE17" s="4">
        <f>'BECF-pre-ret'!AE17</f>
        <v>0.634931506849315</v>
      </c>
      <c r="AF17" s="4">
        <f>'BECF-pre-ret'!AF17</f>
        <v>0.634931506849315</v>
      </c>
      <c r="AG17" s="4">
        <f>'BECF-pre-ret'!AG17</f>
        <v>0.634931506849315</v>
      </c>
      <c r="AH17" s="4">
        <f>'BECF-pre-ret'!AH17</f>
        <v>0.634931506849315</v>
      </c>
      <c r="AI17" s="4">
        <f>'BECF-pre-ret'!AI17</f>
        <v>0.634931506849315</v>
      </c>
      <c r="AJ17" s="4">
        <f>'BECF-pre-ret'!AJ17</f>
        <v>0.634931506849315</v>
      </c>
      <c r="AK17" s="4">
        <f>'BECF-pre-ret'!AK17</f>
        <v>0.634931506849315</v>
      </c>
      <c r="AL17" s="4">
        <f>'BECF-pre-ret'!AL17</f>
        <v>0.634931506849315</v>
      </c>
      <c r="AM17" s="4">
        <f>'BECF-pre-ret'!AM17</f>
        <v>0.634931506849315</v>
      </c>
      <c r="AN17" s="4">
        <f>'BECF-pre-ret'!AN17</f>
        <v>0.634931506849315</v>
      </c>
      <c r="AO17" s="4">
        <f>'BECF-pre-ret'!AO17</f>
        <v>0.634931506849315</v>
      </c>
      <c r="AP17" s="4">
        <f>'BECF-pre-ret'!AP17</f>
        <v>0.634931506849315</v>
      </c>
      <c r="AQ17" s="4">
        <f>'BECF-pre-ret'!AQ17</f>
        <v>0.634931506849315</v>
      </c>
      <c r="AR17" s="4">
        <f>'BECF-pre-ret'!AR17</f>
        <v>0.634931506849315</v>
      </c>
      <c r="AS17" s="4">
        <f>'BECF-pre-ret'!AS17</f>
        <v>0.634931506849315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About</vt:lpstr>
      <vt:lpstr>Province Selector</vt:lpstr>
      <vt:lpstr>Renewable</vt:lpstr>
      <vt:lpstr>Biomass</vt:lpstr>
      <vt:lpstr>Thermal</vt:lpstr>
      <vt:lpstr>Solar</vt:lpstr>
      <vt:lpstr>Offshore</vt:lpstr>
      <vt:lpstr>Geothermal</vt:lpstr>
      <vt:lpstr>Solar Thermal</vt:lpstr>
      <vt:lpstr>BECF-pre-ret</vt:lpstr>
      <vt:lpstr>BECF-pre-nonret</vt:lpstr>
      <vt:lpstr>BECF-new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Wang</dc:creator>
  <cp:lastModifiedBy>仰望星空✨✨</cp:lastModifiedBy>
  <dcterms:created xsi:type="dcterms:W3CDTF">2023-03-10T07:29:00Z</dcterms:created>
  <cp:lastPrinted>2022-03-04T04:53:00Z</cp:lastPrinted>
  <dcterms:modified xsi:type="dcterms:W3CDTF">2024-11-12T03:39:39Z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D70889BFBB1145A69F52F743FDF6EB83_13</vt:lpwstr>
  </property>
</Properties>
</file>