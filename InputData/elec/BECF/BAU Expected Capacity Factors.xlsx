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EPS Models\EPS China 3.3.1\InputData\elec\BECF\"/>
    </mc:Choice>
  </mc:AlternateContent>
  <xr:revisionPtr revIDLastSave="0" documentId="13_ncr:1_{BA787758-AECD-4F56-B4A1-206ED99568DA}" xr6:coauthVersionLast="47" xr6:coauthVersionMax="47" xr10:uidLastSave="{00000000-0000-0000-0000-000000000000}"/>
  <bookViews>
    <workbookView xWindow="-120" yWindow="-120" windowWidth="29040" windowHeight="15840" tabRatio="816" activeTab="13" xr2:uid="{00000000-000D-0000-FFFF-FFFF00000000}"/>
  </bookViews>
  <sheets>
    <sheet name="Sheet8" sheetId="33" r:id="rId1"/>
    <sheet name="2016" sheetId="1" r:id="rId2"/>
    <sheet name="2017" sheetId="25" r:id="rId3"/>
    <sheet name="2018" sheetId="17" r:id="rId4"/>
    <sheet name="2019" sheetId="16" r:id="rId5"/>
    <sheet name="2020" sheetId="10" r:id="rId6"/>
    <sheet name="Biomass" sheetId="26" r:id="rId7"/>
    <sheet name="Thermal" sheetId="27" r:id="rId8"/>
    <sheet name="Solar" sheetId="32" r:id="rId9"/>
    <sheet name="Offshore" sheetId="34" r:id="rId10"/>
    <sheet name="Solar Thermal" sheetId="36" r:id="rId11"/>
    <sheet name="BECF-pre-ret" sheetId="28" r:id="rId12"/>
    <sheet name="BECF-pre-nonret" sheetId="29" r:id="rId13"/>
    <sheet name="BECF-new" sheetId="30" r:id="rId14"/>
  </sheets>
  <externalReferences>
    <externalReference r:id="rId15"/>
  </externalReferences>
  <definedNames>
    <definedName name="cpi_2019_to_2012">[1]About!$A$97</definedName>
    <definedName name="cpi_2020_to_2012">[1]About!$A$99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28" l="1"/>
  <c r="E8" i="28" s="1"/>
  <c r="C8" i="28"/>
  <c r="B8" i="28"/>
  <c r="L2" i="36"/>
  <c r="M2" i="36" s="1"/>
  <c r="K2" i="36"/>
  <c r="C14" i="28"/>
  <c r="D14" i="28"/>
  <c r="E14" i="28"/>
  <c r="F14" i="28"/>
  <c r="G14" i="28"/>
  <c r="H14" i="28"/>
  <c r="I14" i="28"/>
  <c r="J14" i="28"/>
  <c r="K14" i="28"/>
  <c r="L14" i="28"/>
  <c r="M14" i="28"/>
  <c r="N14" i="28"/>
  <c r="O14" i="28"/>
  <c r="P14" i="28"/>
  <c r="Q14" i="28"/>
  <c r="R14" i="28"/>
  <c r="S14" i="28"/>
  <c r="T14" i="28"/>
  <c r="U14" i="28"/>
  <c r="V14" i="28"/>
  <c r="W14" i="28"/>
  <c r="X14" i="28"/>
  <c r="Y14" i="28"/>
  <c r="Z14" i="28"/>
  <c r="AA14" i="28"/>
  <c r="AB14" i="28"/>
  <c r="AC14" i="28"/>
  <c r="AD14" i="28"/>
  <c r="AE14" i="28"/>
  <c r="AF14" i="28"/>
  <c r="AG14" i="28"/>
  <c r="AH14" i="28"/>
  <c r="AI14" i="28"/>
  <c r="AJ14" i="28"/>
  <c r="AK14" i="28"/>
  <c r="AL14" i="28"/>
  <c r="AM14" i="28"/>
  <c r="AN14" i="28"/>
  <c r="AO14" i="28"/>
  <c r="AP14" i="28"/>
  <c r="AQ14" i="28"/>
  <c r="B14" i="28"/>
  <c r="B14" i="30"/>
  <c r="AL2" i="29"/>
  <c r="AM2" i="29"/>
  <c r="AN2" i="29"/>
  <c r="AO2" i="29"/>
  <c r="AP2" i="29"/>
  <c r="AQ2" i="29"/>
  <c r="AL3" i="29"/>
  <c r="AM3" i="29"/>
  <c r="AN3" i="29"/>
  <c r="AO3" i="29"/>
  <c r="AP3" i="29"/>
  <c r="AQ3" i="29"/>
  <c r="AL7" i="29"/>
  <c r="AM7" i="29"/>
  <c r="AN7" i="29"/>
  <c r="AO7" i="29"/>
  <c r="AP7" i="29"/>
  <c r="AQ7" i="29"/>
  <c r="AL9" i="29"/>
  <c r="AM9" i="29"/>
  <c r="AN9" i="29"/>
  <c r="AO9" i="29"/>
  <c r="AP9" i="29"/>
  <c r="AQ9" i="29"/>
  <c r="AL10" i="29"/>
  <c r="AM10" i="29"/>
  <c r="AN10" i="29"/>
  <c r="AO10" i="29"/>
  <c r="AP10" i="29"/>
  <c r="AQ10" i="29"/>
  <c r="AL11" i="29"/>
  <c r="AM11" i="29"/>
  <c r="AN11" i="29"/>
  <c r="AO11" i="29"/>
  <c r="AP11" i="29"/>
  <c r="AQ11" i="29"/>
  <c r="AL12" i="29"/>
  <c r="AM12" i="29"/>
  <c r="AN12" i="29"/>
  <c r="AO12" i="29"/>
  <c r="AP12" i="29"/>
  <c r="AQ12" i="29"/>
  <c r="AL13" i="29"/>
  <c r="AM13" i="29"/>
  <c r="AN13" i="29"/>
  <c r="AO13" i="29"/>
  <c r="AP13" i="29"/>
  <c r="AQ13" i="29"/>
  <c r="AL15" i="29"/>
  <c r="AM15" i="29"/>
  <c r="AN15" i="29"/>
  <c r="AO15" i="29"/>
  <c r="AP15" i="29"/>
  <c r="AQ15" i="29"/>
  <c r="AL16" i="29"/>
  <c r="AM16" i="29"/>
  <c r="AN16" i="29"/>
  <c r="AO16" i="29"/>
  <c r="AP16" i="29"/>
  <c r="AQ16" i="29"/>
  <c r="AL17" i="29"/>
  <c r="AM17" i="29"/>
  <c r="AN17" i="29"/>
  <c r="AO17" i="29"/>
  <c r="AP17" i="29"/>
  <c r="AQ17" i="29"/>
  <c r="C2" i="29"/>
  <c r="D2" i="29"/>
  <c r="E2" i="29"/>
  <c r="F2" i="29"/>
  <c r="G2" i="29"/>
  <c r="H2" i="29"/>
  <c r="I2" i="29"/>
  <c r="J2" i="29"/>
  <c r="K2" i="29"/>
  <c r="L2" i="29"/>
  <c r="M2" i="29"/>
  <c r="N2" i="29"/>
  <c r="O2" i="29"/>
  <c r="P2" i="29"/>
  <c r="Q2" i="29"/>
  <c r="R2" i="29"/>
  <c r="S2" i="29"/>
  <c r="T2" i="29"/>
  <c r="U2" i="29"/>
  <c r="V2" i="29"/>
  <c r="W2" i="29"/>
  <c r="X2" i="29"/>
  <c r="Y2" i="29"/>
  <c r="Z2" i="29"/>
  <c r="AA2" i="29"/>
  <c r="AB2" i="29"/>
  <c r="AC2" i="29"/>
  <c r="AD2" i="29"/>
  <c r="AE2" i="29"/>
  <c r="AF2" i="29"/>
  <c r="AG2" i="29"/>
  <c r="AH2" i="29"/>
  <c r="AI2" i="29"/>
  <c r="AJ2" i="29"/>
  <c r="AK2" i="29"/>
  <c r="C3" i="29"/>
  <c r="D3" i="29"/>
  <c r="E3" i="29"/>
  <c r="F3" i="29"/>
  <c r="G3" i="29"/>
  <c r="H3" i="29"/>
  <c r="I3" i="29"/>
  <c r="J3" i="29"/>
  <c r="K3" i="29"/>
  <c r="L3" i="29"/>
  <c r="M3" i="29"/>
  <c r="N3" i="29"/>
  <c r="O3" i="29"/>
  <c r="P3" i="29"/>
  <c r="Q3" i="29"/>
  <c r="R3" i="29"/>
  <c r="S3" i="29"/>
  <c r="T3" i="29"/>
  <c r="U3" i="29"/>
  <c r="V3" i="29"/>
  <c r="W3" i="29"/>
  <c r="X3" i="29"/>
  <c r="Y3" i="29"/>
  <c r="Z3" i="29"/>
  <c r="AA3" i="29"/>
  <c r="AB3" i="29"/>
  <c r="AC3" i="29"/>
  <c r="AD3" i="29"/>
  <c r="AE3" i="29"/>
  <c r="AF3" i="29"/>
  <c r="AG3" i="29"/>
  <c r="AH3" i="29"/>
  <c r="AI3" i="29"/>
  <c r="AJ3" i="29"/>
  <c r="AK3" i="29"/>
  <c r="C7" i="29"/>
  <c r="D7" i="29"/>
  <c r="E7" i="29"/>
  <c r="F7" i="29"/>
  <c r="G7" i="29"/>
  <c r="H7" i="29"/>
  <c r="I7" i="29"/>
  <c r="J7" i="29"/>
  <c r="K7" i="29"/>
  <c r="L7" i="29"/>
  <c r="M7" i="29"/>
  <c r="N7" i="29"/>
  <c r="O7" i="29"/>
  <c r="P7" i="29"/>
  <c r="Q7" i="29"/>
  <c r="R7" i="29"/>
  <c r="S7" i="29"/>
  <c r="T7" i="29"/>
  <c r="U7" i="29"/>
  <c r="V7" i="29"/>
  <c r="W7" i="29"/>
  <c r="X7" i="29"/>
  <c r="Y7" i="29"/>
  <c r="Z7" i="29"/>
  <c r="AA7" i="29"/>
  <c r="AB7" i="29"/>
  <c r="AC7" i="29"/>
  <c r="AD7" i="29"/>
  <c r="AE7" i="29"/>
  <c r="AF7" i="29"/>
  <c r="AG7" i="29"/>
  <c r="AH7" i="29"/>
  <c r="AI7" i="29"/>
  <c r="AJ7" i="29"/>
  <c r="AK7" i="29"/>
  <c r="C8" i="29"/>
  <c r="D8" i="29"/>
  <c r="C9" i="29"/>
  <c r="D9" i="29"/>
  <c r="E9" i="29"/>
  <c r="F9" i="29"/>
  <c r="G9" i="29"/>
  <c r="H9" i="29"/>
  <c r="I9" i="29"/>
  <c r="J9" i="29"/>
  <c r="K9" i="29"/>
  <c r="L9" i="29"/>
  <c r="M9" i="29"/>
  <c r="N9" i="29"/>
  <c r="O9" i="29"/>
  <c r="P9" i="29"/>
  <c r="Q9" i="29"/>
  <c r="R9" i="29"/>
  <c r="S9" i="29"/>
  <c r="T9" i="29"/>
  <c r="U9" i="29"/>
  <c r="V9" i="29"/>
  <c r="W9" i="29"/>
  <c r="X9" i="29"/>
  <c r="Y9" i="29"/>
  <c r="Z9" i="29"/>
  <c r="AA9" i="29"/>
  <c r="AB9" i="29"/>
  <c r="AC9" i="29"/>
  <c r="AD9" i="29"/>
  <c r="AE9" i="29"/>
  <c r="AF9" i="29"/>
  <c r="AG9" i="29"/>
  <c r="AH9" i="29"/>
  <c r="AI9" i="29"/>
  <c r="AJ9" i="29"/>
  <c r="AK9" i="29"/>
  <c r="C10" i="29"/>
  <c r="D10" i="29"/>
  <c r="E10" i="29"/>
  <c r="F10" i="29"/>
  <c r="G10" i="29"/>
  <c r="H10" i="29"/>
  <c r="I10" i="29"/>
  <c r="J10" i="29"/>
  <c r="K10" i="29"/>
  <c r="L10" i="29"/>
  <c r="M10" i="29"/>
  <c r="N10" i="29"/>
  <c r="O10" i="29"/>
  <c r="P10" i="29"/>
  <c r="Q10" i="29"/>
  <c r="R10" i="29"/>
  <c r="S10" i="29"/>
  <c r="T10" i="29"/>
  <c r="U10" i="29"/>
  <c r="V10" i="29"/>
  <c r="W10" i="29"/>
  <c r="X10" i="29"/>
  <c r="Y10" i="29"/>
  <c r="Z10" i="29"/>
  <c r="AA10" i="29"/>
  <c r="AB10" i="29"/>
  <c r="AC10" i="29"/>
  <c r="AD10" i="29"/>
  <c r="AE10" i="29"/>
  <c r="AF10" i="29"/>
  <c r="AG10" i="29"/>
  <c r="AH10" i="29"/>
  <c r="AI10" i="29"/>
  <c r="AJ10" i="29"/>
  <c r="AK10" i="29"/>
  <c r="C11" i="29"/>
  <c r="D11" i="29"/>
  <c r="E11" i="29"/>
  <c r="F11" i="29"/>
  <c r="G11" i="29"/>
  <c r="H11" i="29"/>
  <c r="I11" i="29"/>
  <c r="J11" i="29"/>
  <c r="K11" i="29"/>
  <c r="L11" i="29"/>
  <c r="M11" i="29"/>
  <c r="N11" i="29"/>
  <c r="O11" i="29"/>
  <c r="P11" i="29"/>
  <c r="Q11" i="29"/>
  <c r="R11" i="29"/>
  <c r="S11" i="29"/>
  <c r="T11" i="29"/>
  <c r="U11" i="29"/>
  <c r="V11" i="29"/>
  <c r="W11" i="29"/>
  <c r="X11" i="29"/>
  <c r="Y11" i="29"/>
  <c r="Z11" i="29"/>
  <c r="AA11" i="29"/>
  <c r="AB11" i="29"/>
  <c r="AC11" i="29"/>
  <c r="AD11" i="29"/>
  <c r="AE11" i="29"/>
  <c r="AF11" i="29"/>
  <c r="AG11" i="29"/>
  <c r="AH11" i="29"/>
  <c r="AI11" i="29"/>
  <c r="AJ11" i="29"/>
  <c r="AK11" i="29"/>
  <c r="C12" i="29"/>
  <c r="D12" i="29"/>
  <c r="E12" i="29"/>
  <c r="F12" i="29"/>
  <c r="G12" i="29"/>
  <c r="H12" i="29"/>
  <c r="I12" i="29"/>
  <c r="J12" i="29"/>
  <c r="K12" i="29"/>
  <c r="L12" i="29"/>
  <c r="M12" i="29"/>
  <c r="N12" i="29"/>
  <c r="O12" i="29"/>
  <c r="P12" i="29"/>
  <c r="Q12" i="29"/>
  <c r="R12" i="29"/>
  <c r="S12" i="29"/>
  <c r="T12" i="29"/>
  <c r="U12" i="29"/>
  <c r="V12" i="29"/>
  <c r="W12" i="29"/>
  <c r="X12" i="29"/>
  <c r="Y12" i="29"/>
  <c r="Z12" i="29"/>
  <c r="AA12" i="29"/>
  <c r="AB12" i="29"/>
  <c r="AC12" i="29"/>
  <c r="AD12" i="29"/>
  <c r="AE12" i="29"/>
  <c r="AF12" i="29"/>
  <c r="AG12" i="29"/>
  <c r="AH12" i="29"/>
  <c r="AI12" i="29"/>
  <c r="AJ12" i="29"/>
  <c r="AK12" i="29"/>
  <c r="C13" i="29"/>
  <c r="D13" i="29"/>
  <c r="E13" i="29"/>
  <c r="F13" i="29"/>
  <c r="G13" i="29"/>
  <c r="H13" i="29"/>
  <c r="I13" i="29"/>
  <c r="J13" i="29"/>
  <c r="K13" i="29"/>
  <c r="L13" i="29"/>
  <c r="M13" i="29"/>
  <c r="N13" i="29"/>
  <c r="O13" i="29"/>
  <c r="P13" i="29"/>
  <c r="Q13" i="29"/>
  <c r="R13" i="29"/>
  <c r="S13" i="29"/>
  <c r="T13" i="29"/>
  <c r="U13" i="29"/>
  <c r="V13" i="29"/>
  <c r="W13" i="29"/>
  <c r="X13" i="29"/>
  <c r="Y13" i="29"/>
  <c r="Z13" i="29"/>
  <c r="AA13" i="29"/>
  <c r="AB13" i="29"/>
  <c r="AC13" i="29"/>
  <c r="AD13" i="29"/>
  <c r="AE13" i="29"/>
  <c r="AF13" i="29"/>
  <c r="AG13" i="29"/>
  <c r="AH13" i="29"/>
  <c r="AI13" i="29"/>
  <c r="AJ13" i="29"/>
  <c r="AK13" i="29"/>
  <c r="C15" i="29"/>
  <c r="D15" i="29"/>
  <c r="E15" i="29"/>
  <c r="F15" i="29"/>
  <c r="G15" i="29"/>
  <c r="H15" i="29"/>
  <c r="I15" i="29"/>
  <c r="J15" i="29"/>
  <c r="K15" i="29"/>
  <c r="L15" i="29"/>
  <c r="M15" i="29"/>
  <c r="N15" i="29"/>
  <c r="O15" i="29"/>
  <c r="P15" i="29"/>
  <c r="Q15" i="29"/>
  <c r="R15" i="29"/>
  <c r="S15" i="29"/>
  <c r="T15" i="29"/>
  <c r="U15" i="29"/>
  <c r="V15" i="29"/>
  <c r="W15" i="29"/>
  <c r="X15" i="29"/>
  <c r="Y15" i="29"/>
  <c r="Z15" i="29"/>
  <c r="AA15" i="29"/>
  <c r="AB15" i="29"/>
  <c r="AC15" i="29"/>
  <c r="AD15" i="29"/>
  <c r="AE15" i="29"/>
  <c r="AF15" i="29"/>
  <c r="AG15" i="29"/>
  <c r="AH15" i="29"/>
  <c r="AI15" i="29"/>
  <c r="AJ15" i="29"/>
  <c r="AK15" i="29"/>
  <c r="C16" i="29"/>
  <c r="D16" i="29"/>
  <c r="E16" i="29"/>
  <c r="F16" i="29"/>
  <c r="G16" i="29"/>
  <c r="H16" i="29"/>
  <c r="I16" i="29"/>
  <c r="J16" i="29"/>
  <c r="K16" i="29"/>
  <c r="L16" i="29"/>
  <c r="M16" i="29"/>
  <c r="N16" i="29"/>
  <c r="O16" i="29"/>
  <c r="P16" i="29"/>
  <c r="Q16" i="29"/>
  <c r="R16" i="29"/>
  <c r="S16" i="29"/>
  <c r="T16" i="29"/>
  <c r="U16" i="29"/>
  <c r="V16" i="29"/>
  <c r="W16" i="29"/>
  <c r="X16" i="29"/>
  <c r="Y16" i="29"/>
  <c r="Z16" i="29"/>
  <c r="AA16" i="29"/>
  <c r="AB16" i="29"/>
  <c r="AC16" i="29"/>
  <c r="AD16" i="29"/>
  <c r="AE16" i="29"/>
  <c r="AF16" i="29"/>
  <c r="AG16" i="29"/>
  <c r="AH16" i="29"/>
  <c r="AI16" i="29"/>
  <c r="AJ16" i="29"/>
  <c r="AK16" i="29"/>
  <c r="C17" i="29"/>
  <c r="D17" i="29"/>
  <c r="E17" i="29"/>
  <c r="F17" i="29"/>
  <c r="G17" i="29"/>
  <c r="H17" i="29"/>
  <c r="I17" i="29"/>
  <c r="J17" i="29"/>
  <c r="K17" i="29"/>
  <c r="L17" i="29"/>
  <c r="M17" i="29"/>
  <c r="N17" i="29"/>
  <c r="O17" i="29"/>
  <c r="P17" i="29"/>
  <c r="Q17" i="29"/>
  <c r="R17" i="29"/>
  <c r="S17" i="29"/>
  <c r="T17" i="29"/>
  <c r="U17" i="29"/>
  <c r="V17" i="29"/>
  <c r="W17" i="29"/>
  <c r="X17" i="29"/>
  <c r="Y17" i="29"/>
  <c r="Z17" i="29"/>
  <c r="AA17" i="29"/>
  <c r="AB17" i="29"/>
  <c r="AC17" i="29"/>
  <c r="AD17" i="29"/>
  <c r="AE17" i="29"/>
  <c r="AF17" i="29"/>
  <c r="AG17" i="29"/>
  <c r="AH17" i="29"/>
  <c r="AI17" i="29"/>
  <c r="AJ17" i="29"/>
  <c r="AK17" i="29"/>
  <c r="B17" i="29"/>
  <c r="B7" i="29"/>
  <c r="B8" i="29"/>
  <c r="B9" i="29"/>
  <c r="B10" i="29"/>
  <c r="B11" i="29"/>
  <c r="B12" i="29"/>
  <c r="B13" i="29"/>
  <c r="B15" i="29"/>
  <c r="B16" i="29"/>
  <c r="B3" i="29"/>
  <c r="AJ25" i="32"/>
  <c r="AK25" i="32"/>
  <c r="AL25" i="32"/>
  <c r="AH26" i="32"/>
  <c r="AI26" i="32"/>
  <c r="AJ26" i="32"/>
  <c r="AK26" i="32"/>
  <c r="AL26" i="32"/>
  <c r="AH27" i="32"/>
  <c r="AI27" i="32"/>
  <c r="AJ27" i="32"/>
  <c r="AK27" i="32"/>
  <c r="AL27" i="32"/>
  <c r="AH28" i="32"/>
  <c r="AI28" i="32"/>
  <c r="AJ28" i="32"/>
  <c r="AK28" i="32"/>
  <c r="AL28" i="32"/>
  <c r="AH29" i="32"/>
  <c r="AI29" i="32"/>
  <c r="AJ29" i="32"/>
  <c r="AK29" i="32"/>
  <c r="AL29" i="32"/>
  <c r="AH30" i="32"/>
  <c r="AI30" i="32"/>
  <c r="AJ30" i="32"/>
  <c r="AK30" i="32"/>
  <c r="AL30" i="32"/>
  <c r="AH31" i="32"/>
  <c r="AI31" i="32"/>
  <c r="AJ31" i="32"/>
  <c r="AK31" i="32"/>
  <c r="AL31" i="32"/>
  <c r="AH32" i="32"/>
  <c r="AI32" i="32"/>
  <c r="AJ32" i="32"/>
  <c r="AK32" i="32"/>
  <c r="AL32" i="32"/>
  <c r="AH33" i="32"/>
  <c r="AI33" i="32"/>
  <c r="AJ33" i="32"/>
  <c r="AK33" i="32"/>
  <c r="AL33" i="32"/>
  <c r="AH34" i="32"/>
  <c r="AI34" i="32"/>
  <c r="AJ34" i="32"/>
  <c r="AK34" i="32"/>
  <c r="AL34" i="32"/>
  <c r="AH4" i="32"/>
  <c r="AI4" i="32"/>
  <c r="AJ4" i="32"/>
  <c r="AK4" i="32"/>
  <c r="AL4" i="32"/>
  <c r="AH5" i="32"/>
  <c r="AI5" i="32"/>
  <c r="AJ5" i="32"/>
  <c r="AK5" i="32"/>
  <c r="AL5" i="32"/>
  <c r="AH6" i="32"/>
  <c r="AI6" i="32"/>
  <c r="AJ6" i="32"/>
  <c r="AK6" i="32"/>
  <c r="AL6" i="32"/>
  <c r="AH7" i="32"/>
  <c r="AI7" i="32"/>
  <c r="AJ7" i="32"/>
  <c r="AK7" i="32"/>
  <c r="AL7" i="32"/>
  <c r="AH8" i="32"/>
  <c r="AI8" i="32"/>
  <c r="AJ8" i="32"/>
  <c r="AK8" i="32"/>
  <c r="AL8" i="32"/>
  <c r="AH9" i="32"/>
  <c r="AI9" i="32"/>
  <c r="AJ9" i="32"/>
  <c r="AK9" i="32"/>
  <c r="AL9" i="32"/>
  <c r="AH10" i="32"/>
  <c r="AI10" i="32"/>
  <c r="AJ10" i="32"/>
  <c r="AK10" i="32"/>
  <c r="AL10" i="32"/>
  <c r="AH11" i="32"/>
  <c r="AI11" i="32"/>
  <c r="AJ11" i="32"/>
  <c r="AK11" i="32"/>
  <c r="AL11" i="32"/>
  <c r="AH12" i="32"/>
  <c r="AI12" i="32"/>
  <c r="AJ12" i="32"/>
  <c r="AK12" i="32"/>
  <c r="AL12" i="32"/>
  <c r="AH13" i="32"/>
  <c r="AI13" i="32"/>
  <c r="AJ13" i="32"/>
  <c r="AK13" i="32"/>
  <c r="AL13" i="32"/>
  <c r="AH14" i="32"/>
  <c r="AI14" i="32"/>
  <c r="AJ14" i="32"/>
  <c r="AK14" i="32"/>
  <c r="AL14" i="32"/>
  <c r="AH15" i="32"/>
  <c r="AI15" i="32"/>
  <c r="AJ15" i="32"/>
  <c r="AK15" i="32"/>
  <c r="AL15" i="32"/>
  <c r="AH16" i="32"/>
  <c r="AI16" i="32"/>
  <c r="AJ16" i="32"/>
  <c r="AK16" i="32"/>
  <c r="AL16" i="32"/>
  <c r="AH17" i="32"/>
  <c r="AI17" i="32"/>
  <c r="AJ17" i="32"/>
  <c r="AK17" i="32"/>
  <c r="AL17" i="32"/>
  <c r="AH18" i="32"/>
  <c r="AI18" i="32"/>
  <c r="AJ18" i="32"/>
  <c r="AK18" i="32"/>
  <c r="AL18" i="32"/>
  <c r="AH19" i="32"/>
  <c r="AI19" i="32"/>
  <c r="AJ19" i="32"/>
  <c r="AK19" i="32"/>
  <c r="AL19" i="32"/>
  <c r="AH20" i="32"/>
  <c r="AI20" i="32"/>
  <c r="AJ20" i="32"/>
  <c r="AK20" i="32"/>
  <c r="AL20" i="32"/>
  <c r="AH21" i="32"/>
  <c r="AI21" i="32"/>
  <c r="AJ21" i="32"/>
  <c r="AK21" i="32"/>
  <c r="AL21" i="32"/>
  <c r="AH22" i="32"/>
  <c r="AI22" i="32"/>
  <c r="AJ22" i="32"/>
  <c r="AK22" i="32"/>
  <c r="AL22" i="32"/>
  <c r="AH23" i="32"/>
  <c r="AI23" i="32"/>
  <c r="AJ23" i="32"/>
  <c r="AK23" i="32"/>
  <c r="AL23" i="32"/>
  <c r="AH24" i="32"/>
  <c r="AI24" i="32"/>
  <c r="AJ24" i="32"/>
  <c r="AK24" i="32"/>
  <c r="AL24" i="32"/>
  <c r="AI3" i="32"/>
  <c r="AJ3" i="32"/>
  <c r="AK3" i="32"/>
  <c r="AL3" i="32"/>
  <c r="AH3" i="32"/>
  <c r="F8" i="28" l="1"/>
  <c r="E8" i="29"/>
  <c r="C7" i="28"/>
  <c r="D7" i="28"/>
  <c r="B7" i="28"/>
  <c r="AB4" i="32"/>
  <c r="AC4" i="32"/>
  <c r="AD4" i="32"/>
  <c r="AE4" i="32"/>
  <c r="AF4" i="32"/>
  <c r="AB5" i="32"/>
  <c r="AC5" i="32"/>
  <c r="AD5" i="32"/>
  <c r="AE5" i="32"/>
  <c r="AF5" i="32"/>
  <c r="AB6" i="32"/>
  <c r="AC6" i="32"/>
  <c r="AD6" i="32"/>
  <c r="AE6" i="32"/>
  <c r="AF6" i="32"/>
  <c r="AB7" i="32"/>
  <c r="AC7" i="32"/>
  <c r="AD7" i="32"/>
  <c r="AE7" i="32"/>
  <c r="AF7" i="32"/>
  <c r="AB8" i="32"/>
  <c r="AC8" i="32"/>
  <c r="AD8" i="32"/>
  <c r="AE8" i="32"/>
  <c r="AF8" i="32"/>
  <c r="AB9" i="32"/>
  <c r="AC9" i="32"/>
  <c r="AD9" i="32"/>
  <c r="AE9" i="32"/>
  <c r="AF9" i="32"/>
  <c r="AB10" i="32"/>
  <c r="AC10" i="32"/>
  <c r="AD10" i="32"/>
  <c r="AE10" i="32"/>
  <c r="AF10" i="32"/>
  <c r="AB11" i="32"/>
  <c r="AC11" i="32"/>
  <c r="AD11" i="32"/>
  <c r="AE11" i="32"/>
  <c r="AF11" i="32"/>
  <c r="AB12" i="32"/>
  <c r="AC12" i="32"/>
  <c r="AD12" i="32"/>
  <c r="AE12" i="32"/>
  <c r="AF12" i="32"/>
  <c r="AB13" i="32"/>
  <c r="AC13" i="32"/>
  <c r="AD13" i="32"/>
  <c r="AE13" i="32"/>
  <c r="AF13" i="32"/>
  <c r="AB14" i="32"/>
  <c r="AC14" i="32"/>
  <c r="AD14" i="32"/>
  <c r="AE14" i="32"/>
  <c r="AF14" i="32"/>
  <c r="AB15" i="32"/>
  <c r="AC15" i="32"/>
  <c r="AD15" i="32"/>
  <c r="AE15" i="32"/>
  <c r="AF15" i="32"/>
  <c r="AB16" i="32"/>
  <c r="AC16" i="32"/>
  <c r="AD16" i="32"/>
  <c r="AE16" i="32"/>
  <c r="AF16" i="32"/>
  <c r="AB17" i="32"/>
  <c r="AC17" i="32"/>
  <c r="AD17" i="32"/>
  <c r="AE17" i="32"/>
  <c r="AF17" i="32"/>
  <c r="AB18" i="32"/>
  <c r="AC18" i="32"/>
  <c r="AD18" i="32"/>
  <c r="AE18" i="32"/>
  <c r="AF18" i="32"/>
  <c r="AB19" i="32"/>
  <c r="AC19" i="32"/>
  <c r="AD19" i="32"/>
  <c r="AE19" i="32"/>
  <c r="AF19" i="32"/>
  <c r="AB20" i="32"/>
  <c r="AC20" i="32"/>
  <c r="AD20" i="32"/>
  <c r="AE20" i="32"/>
  <c r="AF20" i="32"/>
  <c r="AB21" i="32"/>
  <c r="AC21" i="32"/>
  <c r="AD21" i="32"/>
  <c r="AE21" i="32"/>
  <c r="AF21" i="32"/>
  <c r="AB22" i="32"/>
  <c r="AC22" i="32"/>
  <c r="AD22" i="32"/>
  <c r="AE22" i="32"/>
  <c r="AF22" i="32"/>
  <c r="AB23" i="32"/>
  <c r="AC23" i="32"/>
  <c r="AD23" i="32"/>
  <c r="AE23" i="32"/>
  <c r="AF23" i="32"/>
  <c r="AB24" i="32"/>
  <c r="AC24" i="32"/>
  <c r="AD24" i="32"/>
  <c r="AE24" i="32"/>
  <c r="AF24" i="32"/>
  <c r="AB25" i="32"/>
  <c r="AC25" i="32"/>
  <c r="AD25" i="32"/>
  <c r="AE25" i="32"/>
  <c r="AF25" i="32"/>
  <c r="AB26" i="32"/>
  <c r="AC26" i="32"/>
  <c r="AD26" i="32"/>
  <c r="AE26" i="32"/>
  <c r="AF26" i="32"/>
  <c r="AB27" i="32"/>
  <c r="AC27" i="32"/>
  <c r="AD27" i="32"/>
  <c r="AE27" i="32"/>
  <c r="AF27" i="32"/>
  <c r="AB28" i="32"/>
  <c r="AC28" i="32"/>
  <c r="AD28" i="32"/>
  <c r="AE28" i="32"/>
  <c r="AF28" i="32"/>
  <c r="AB29" i="32"/>
  <c r="AC29" i="32"/>
  <c r="AD29" i="32"/>
  <c r="AE29" i="32"/>
  <c r="AF29" i="32"/>
  <c r="AB30" i="32"/>
  <c r="AC30" i="32"/>
  <c r="AD30" i="32"/>
  <c r="AE30" i="32"/>
  <c r="AF30" i="32"/>
  <c r="AB31" i="32"/>
  <c r="AC31" i="32"/>
  <c r="AD31" i="32"/>
  <c r="AE31" i="32"/>
  <c r="AF31" i="32"/>
  <c r="AB32" i="32"/>
  <c r="AC32" i="32"/>
  <c r="AD32" i="32"/>
  <c r="AE32" i="32"/>
  <c r="AF32" i="32"/>
  <c r="AB33" i="32"/>
  <c r="AC33" i="32"/>
  <c r="AD33" i="32"/>
  <c r="AE33" i="32"/>
  <c r="AF33" i="32"/>
  <c r="AB34" i="32"/>
  <c r="AC34" i="32"/>
  <c r="AD34" i="32"/>
  <c r="AE34" i="32"/>
  <c r="AF34" i="32"/>
  <c r="AC3" i="32"/>
  <c r="AD3" i="32"/>
  <c r="AE3" i="32"/>
  <c r="AF3" i="32"/>
  <c r="AB3" i="32"/>
  <c r="AX46" i="33"/>
  <c r="D5" i="28" s="1"/>
  <c r="D5" i="29" s="1"/>
  <c r="AY44" i="33"/>
  <c r="AY46" i="33" s="1"/>
  <c r="C5" i="28" s="1"/>
  <c r="C5" i="29" s="1"/>
  <c r="AZ44" i="33"/>
  <c r="BA44" i="33"/>
  <c r="BA46" i="33" s="1"/>
  <c r="BB44" i="33"/>
  <c r="BB46" i="33" s="1"/>
  <c r="BC44" i="33"/>
  <c r="AY45" i="33"/>
  <c r="AZ45" i="33"/>
  <c r="AZ46" i="33" s="1"/>
  <c r="B5" i="28" s="1"/>
  <c r="B5" i="29" s="1"/>
  <c r="BA45" i="33"/>
  <c r="BB45" i="33"/>
  <c r="BC45" i="33"/>
  <c r="AX45" i="33"/>
  <c r="AX44" i="33"/>
  <c r="AX4" i="33"/>
  <c r="AX5" i="33"/>
  <c r="AX6" i="33"/>
  <c r="AX7" i="33"/>
  <c r="AX8" i="33"/>
  <c r="AX9" i="33"/>
  <c r="AX10" i="33"/>
  <c r="AX11" i="33"/>
  <c r="AX12" i="33"/>
  <c r="AX13" i="33"/>
  <c r="AX14" i="33"/>
  <c r="AX15" i="33"/>
  <c r="AX16" i="33"/>
  <c r="AX17" i="33"/>
  <c r="AX18" i="33"/>
  <c r="AX19" i="33"/>
  <c r="AX20" i="33"/>
  <c r="AX21" i="33"/>
  <c r="AX22" i="33"/>
  <c r="AX23" i="33"/>
  <c r="AX24" i="33"/>
  <c r="AX25" i="33"/>
  <c r="AX26" i="33"/>
  <c r="AX27" i="33"/>
  <c r="AX28" i="33"/>
  <c r="AX29" i="33"/>
  <c r="AX30" i="33"/>
  <c r="AX31" i="33"/>
  <c r="AX32" i="33"/>
  <c r="AX33" i="33"/>
  <c r="AX34" i="33"/>
  <c r="AX35" i="33"/>
  <c r="AR4" i="33"/>
  <c r="AR5" i="33"/>
  <c r="AR6" i="33"/>
  <c r="AR7" i="33"/>
  <c r="AR8" i="33"/>
  <c r="AR9" i="33"/>
  <c r="AR10" i="33"/>
  <c r="AR11" i="33"/>
  <c r="AR12" i="33"/>
  <c r="AR13" i="33"/>
  <c r="AR14" i="33"/>
  <c r="AR15" i="33"/>
  <c r="AR16" i="33"/>
  <c r="AR17" i="33"/>
  <c r="AR18" i="33"/>
  <c r="AR19" i="33"/>
  <c r="AR20" i="33"/>
  <c r="AR21" i="33"/>
  <c r="AR22" i="33"/>
  <c r="AR23" i="33"/>
  <c r="AR24" i="33"/>
  <c r="AR25" i="33"/>
  <c r="AR26" i="33"/>
  <c r="AR27" i="33"/>
  <c r="AR28" i="33"/>
  <c r="AR29" i="33"/>
  <c r="AR30" i="33"/>
  <c r="AR31" i="33"/>
  <c r="AR32" i="33"/>
  <c r="AR33" i="33"/>
  <c r="AR34" i="33"/>
  <c r="AR35" i="33"/>
  <c r="G8" i="28" l="1"/>
  <c r="F8" i="29"/>
  <c r="C5" i="30"/>
  <c r="C7" i="30"/>
  <c r="C8" i="30"/>
  <c r="C10" i="30"/>
  <c r="B5" i="30"/>
  <c r="B7" i="30"/>
  <c r="B8" i="30"/>
  <c r="B10" i="30"/>
  <c r="D9" i="28"/>
  <c r="AH9" i="28" s="1"/>
  <c r="AH9" i="30" s="1"/>
  <c r="C9" i="28"/>
  <c r="C9" i="30" s="1"/>
  <c r="B9" i="28"/>
  <c r="B9" i="30" s="1"/>
  <c r="AY4" i="33"/>
  <c r="C6" i="28" s="1"/>
  <c r="BB35" i="33"/>
  <c r="BA35" i="33"/>
  <c r="AZ35" i="33"/>
  <c r="AY35" i="33"/>
  <c r="BB34" i="33"/>
  <c r="BA34" i="33"/>
  <c r="AZ34" i="33"/>
  <c r="AY34" i="33"/>
  <c r="BB33" i="33"/>
  <c r="BA33" i="33"/>
  <c r="AZ33" i="33"/>
  <c r="AY33" i="33"/>
  <c r="BB32" i="33"/>
  <c r="BA32" i="33"/>
  <c r="AZ32" i="33"/>
  <c r="AY32" i="33"/>
  <c r="BB31" i="33"/>
  <c r="BA31" i="33"/>
  <c r="AZ31" i="33"/>
  <c r="AY31" i="33"/>
  <c r="BB30" i="33"/>
  <c r="BA30" i="33"/>
  <c r="AZ30" i="33"/>
  <c r="AY30" i="33"/>
  <c r="BB29" i="33"/>
  <c r="BA29" i="33"/>
  <c r="AZ29" i="33"/>
  <c r="AY29" i="33"/>
  <c r="BB28" i="33"/>
  <c r="BA28" i="33"/>
  <c r="AZ28" i="33"/>
  <c r="AY28" i="33"/>
  <c r="BB27" i="33"/>
  <c r="BA27" i="33"/>
  <c r="AZ27" i="33"/>
  <c r="AY27" i="33"/>
  <c r="BB26" i="33"/>
  <c r="BA26" i="33"/>
  <c r="AZ26" i="33"/>
  <c r="AY26" i="33"/>
  <c r="BB25" i="33"/>
  <c r="BA25" i="33"/>
  <c r="AZ25" i="33"/>
  <c r="AY25" i="33"/>
  <c r="BB24" i="33"/>
  <c r="BA24" i="33"/>
  <c r="AZ24" i="33"/>
  <c r="AY24" i="33"/>
  <c r="BB23" i="33"/>
  <c r="BA23" i="33"/>
  <c r="AZ23" i="33"/>
  <c r="AY23" i="33"/>
  <c r="BB22" i="33"/>
  <c r="BA22" i="33"/>
  <c r="AZ22" i="33"/>
  <c r="AY22" i="33"/>
  <c r="BB21" i="33"/>
  <c r="BA21" i="33"/>
  <c r="AZ21" i="33"/>
  <c r="AY21" i="33"/>
  <c r="BB20" i="33"/>
  <c r="BA20" i="33"/>
  <c r="AZ20" i="33"/>
  <c r="AY20" i="33"/>
  <c r="BB19" i="33"/>
  <c r="BA19" i="33"/>
  <c r="AZ19" i="33"/>
  <c r="AY19" i="33"/>
  <c r="BB18" i="33"/>
  <c r="BA18" i="33"/>
  <c r="AZ18" i="33"/>
  <c r="AY18" i="33"/>
  <c r="BB17" i="33"/>
  <c r="BA17" i="33"/>
  <c r="AZ17" i="33"/>
  <c r="AY17" i="33"/>
  <c r="BB16" i="33"/>
  <c r="BA16" i="33"/>
  <c r="AZ16" i="33"/>
  <c r="AY16" i="33"/>
  <c r="BB15" i="33"/>
  <c r="BA15" i="33"/>
  <c r="AZ15" i="33"/>
  <c r="AY15" i="33"/>
  <c r="BB14" i="33"/>
  <c r="BA14" i="33"/>
  <c r="AZ14" i="33"/>
  <c r="AY14" i="33"/>
  <c r="BB13" i="33"/>
  <c r="BA13" i="33"/>
  <c r="AZ13" i="33"/>
  <c r="AY13" i="33"/>
  <c r="BB12" i="33"/>
  <c r="BA12" i="33"/>
  <c r="AZ12" i="33"/>
  <c r="AY12" i="33"/>
  <c r="BB11" i="33"/>
  <c r="BA11" i="33"/>
  <c r="AZ11" i="33"/>
  <c r="AY11" i="33"/>
  <c r="BB10" i="33"/>
  <c r="BA10" i="33"/>
  <c r="AZ10" i="33"/>
  <c r="AY10" i="33"/>
  <c r="BB9" i="33"/>
  <c r="BA9" i="33"/>
  <c r="AZ9" i="33"/>
  <c r="AY9" i="33"/>
  <c r="BB8" i="33"/>
  <c r="BA8" i="33"/>
  <c r="AZ8" i="33"/>
  <c r="AY8" i="33"/>
  <c r="BB7" i="33"/>
  <c r="BA7" i="33"/>
  <c r="AZ7" i="33"/>
  <c r="AY7" i="33"/>
  <c r="BB6" i="33"/>
  <c r="BA6" i="33"/>
  <c r="AZ6" i="33"/>
  <c r="AY6" i="33"/>
  <c r="BB5" i="33"/>
  <c r="BA5" i="33"/>
  <c r="AZ5" i="33"/>
  <c r="AY5" i="33"/>
  <c r="BB4" i="33"/>
  <c r="BA4" i="33"/>
  <c r="AZ4" i="33"/>
  <c r="B6" i="28" s="1"/>
  <c r="B6" i="29" s="1"/>
  <c r="AS5" i="33"/>
  <c r="AT5" i="33"/>
  <c r="AU5" i="33"/>
  <c r="AV5" i="33"/>
  <c r="AS6" i="33"/>
  <c r="AT6" i="33"/>
  <c r="AU6" i="33"/>
  <c r="AV6" i="33"/>
  <c r="AS7" i="33"/>
  <c r="AT7" i="33"/>
  <c r="AU7" i="33"/>
  <c r="AV7" i="33"/>
  <c r="AS8" i="33"/>
  <c r="AT8" i="33"/>
  <c r="AU8" i="33"/>
  <c r="AV8" i="33"/>
  <c r="AS9" i="33"/>
  <c r="AT9" i="33"/>
  <c r="AU9" i="33"/>
  <c r="AV9" i="33"/>
  <c r="AS10" i="33"/>
  <c r="AT10" i="33"/>
  <c r="AU10" i="33"/>
  <c r="AV10" i="33"/>
  <c r="AS11" i="33"/>
  <c r="AT11" i="33"/>
  <c r="AU11" i="33"/>
  <c r="AV11" i="33"/>
  <c r="AS12" i="33"/>
  <c r="AT12" i="33"/>
  <c r="AU12" i="33"/>
  <c r="AV12" i="33"/>
  <c r="AS13" i="33"/>
  <c r="AT13" i="33"/>
  <c r="AU13" i="33"/>
  <c r="AV13" i="33"/>
  <c r="AS14" i="33"/>
  <c r="AT14" i="33"/>
  <c r="AU14" i="33"/>
  <c r="AV14" i="33"/>
  <c r="AS15" i="33"/>
  <c r="AT15" i="33"/>
  <c r="AU15" i="33"/>
  <c r="AV15" i="33"/>
  <c r="AS16" i="33"/>
  <c r="AT16" i="33"/>
  <c r="AU16" i="33"/>
  <c r="AV16" i="33"/>
  <c r="AS17" i="33"/>
  <c r="AT17" i="33"/>
  <c r="AU17" i="33"/>
  <c r="AV17" i="33"/>
  <c r="AS18" i="33"/>
  <c r="AT18" i="33"/>
  <c r="AU18" i="33"/>
  <c r="AV18" i="33"/>
  <c r="AS19" i="33"/>
  <c r="AT19" i="33"/>
  <c r="AU19" i="33"/>
  <c r="AV19" i="33"/>
  <c r="AS20" i="33"/>
  <c r="AT20" i="33"/>
  <c r="AU20" i="33"/>
  <c r="AV20" i="33"/>
  <c r="AS21" i="33"/>
  <c r="AT21" i="33"/>
  <c r="AU21" i="33"/>
  <c r="AV21" i="33"/>
  <c r="AS22" i="33"/>
  <c r="AT22" i="33"/>
  <c r="AU22" i="33"/>
  <c r="AV22" i="33"/>
  <c r="AS23" i="33"/>
  <c r="AT23" i="33"/>
  <c r="AU23" i="33"/>
  <c r="AV23" i="33"/>
  <c r="AS24" i="33"/>
  <c r="AT24" i="33"/>
  <c r="AU24" i="33"/>
  <c r="AV24" i="33"/>
  <c r="AS25" i="33"/>
  <c r="AT25" i="33"/>
  <c r="AU25" i="33"/>
  <c r="AV25" i="33"/>
  <c r="AS26" i="33"/>
  <c r="AT26" i="33"/>
  <c r="AU26" i="33"/>
  <c r="AV26" i="33"/>
  <c r="AS27" i="33"/>
  <c r="AT27" i="33"/>
  <c r="AU27" i="33"/>
  <c r="AV27" i="33"/>
  <c r="AS28" i="33"/>
  <c r="AT28" i="33"/>
  <c r="AU28" i="33"/>
  <c r="AV28" i="33"/>
  <c r="AS29" i="33"/>
  <c r="AT29" i="33"/>
  <c r="AU29" i="33"/>
  <c r="AV29" i="33"/>
  <c r="AS30" i="33"/>
  <c r="AT30" i="33"/>
  <c r="AU30" i="33"/>
  <c r="AV30" i="33"/>
  <c r="AS31" i="33"/>
  <c r="AT31" i="33"/>
  <c r="AU31" i="33"/>
  <c r="AV31" i="33"/>
  <c r="AS32" i="33"/>
  <c r="AT32" i="33"/>
  <c r="AU32" i="33"/>
  <c r="AV32" i="33"/>
  <c r="AS33" i="33"/>
  <c r="AT33" i="33"/>
  <c r="AU33" i="33"/>
  <c r="AV33" i="33"/>
  <c r="AS34" i="33"/>
  <c r="AT34" i="33"/>
  <c r="AU34" i="33"/>
  <c r="AV34" i="33"/>
  <c r="AS35" i="33"/>
  <c r="AT35" i="33"/>
  <c r="AU35" i="33"/>
  <c r="AV35" i="33"/>
  <c r="AT4" i="33"/>
  <c r="B4" i="28" s="1"/>
  <c r="AU4" i="33"/>
  <c r="AV4" i="33"/>
  <c r="AS4" i="33"/>
  <c r="G8" i="29" l="1"/>
  <c r="H8" i="28"/>
  <c r="C6" i="29"/>
  <c r="B4" i="30"/>
  <c r="B4" i="29"/>
  <c r="D9" i="30"/>
  <c r="AQ9" i="28"/>
  <c r="AQ9" i="30" s="1"/>
  <c r="D4" i="28"/>
  <c r="D6" i="28"/>
  <c r="B6" i="30"/>
  <c r="C4" i="28"/>
  <c r="AP9" i="28"/>
  <c r="AP9" i="30" s="1"/>
  <c r="AO9" i="28"/>
  <c r="AO9" i="30" s="1"/>
  <c r="AN9" i="28"/>
  <c r="AN9" i="30" s="1"/>
  <c r="C6" i="30"/>
  <c r="AM9" i="28"/>
  <c r="AM9" i="30" s="1"/>
  <c r="AL9" i="28"/>
  <c r="AL9" i="30" s="1"/>
  <c r="AK9" i="28"/>
  <c r="AK9" i="30" s="1"/>
  <c r="AJ9" i="28"/>
  <c r="AJ9" i="30" s="1"/>
  <c r="AI9" i="28"/>
  <c r="AI9" i="30" s="1"/>
  <c r="I8" i="28" l="1"/>
  <c r="H8" i="29"/>
  <c r="C4" i="30"/>
  <c r="C4" i="29"/>
  <c r="B14" i="29"/>
  <c r="AH4" i="28"/>
  <c r="D4" i="29"/>
  <c r="AP6" i="28"/>
  <c r="D6" i="29"/>
  <c r="C14" i="30"/>
  <c r="C14" i="29"/>
  <c r="AQ6" i="28"/>
  <c r="AJ6" i="28"/>
  <c r="AO4" i="28"/>
  <c r="AK6" i="28"/>
  <c r="AM6" i="28"/>
  <c r="AO6" i="28"/>
  <c r="AI4" i="28"/>
  <c r="AP4" i="28"/>
  <c r="AJ4" i="28"/>
  <c r="AQ4" i="28"/>
  <c r="AK4" i="28"/>
  <c r="AL4" i="28"/>
  <c r="D4" i="30"/>
  <c r="AM4" i="28"/>
  <c r="AN4" i="28"/>
  <c r="AL6" i="28"/>
  <c r="D6" i="30"/>
  <c r="AH6" i="28"/>
  <c r="AI6" i="28"/>
  <c r="AN6" i="28"/>
  <c r="I8" i="29" l="1"/>
  <c r="J8" i="28"/>
  <c r="AI6" i="30"/>
  <c r="AI6" i="29"/>
  <c r="AH6" i="30"/>
  <c r="AH6" i="29"/>
  <c r="AN4" i="30"/>
  <c r="AN4" i="29"/>
  <c r="AM6" i="30"/>
  <c r="AM6" i="29"/>
  <c r="AO4" i="30"/>
  <c r="AO4" i="29"/>
  <c r="AL4" i="30"/>
  <c r="AL4" i="29"/>
  <c r="AK4" i="30"/>
  <c r="AK4" i="29"/>
  <c r="AQ4" i="30"/>
  <c r="AQ4" i="29"/>
  <c r="AH4" i="30"/>
  <c r="AH4" i="29"/>
  <c r="AN6" i="30"/>
  <c r="AN6" i="29"/>
  <c r="AK6" i="30"/>
  <c r="AK6" i="29"/>
  <c r="AL6" i="30"/>
  <c r="AL6" i="29"/>
  <c r="AQ6" i="30"/>
  <c r="AQ6" i="29"/>
  <c r="AM4" i="30"/>
  <c r="AM4" i="29"/>
  <c r="AI4" i="30"/>
  <c r="AI4" i="29"/>
  <c r="AO6" i="30"/>
  <c r="AO6" i="29"/>
  <c r="AJ6" i="30"/>
  <c r="AJ6" i="29"/>
  <c r="AP6" i="30"/>
  <c r="AP6" i="29"/>
  <c r="AJ4" i="30"/>
  <c r="AJ4" i="29"/>
  <c r="AP4" i="30"/>
  <c r="AP4" i="29"/>
  <c r="D14" i="29"/>
  <c r="D14" i="30"/>
  <c r="J8" i="29" l="1"/>
  <c r="K8" i="28"/>
  <c r="AJ14" i="30"/>
  <c r="AJ14" i="29"/>
  <c r="AK14" i="30"/>
  <c r="AK14" i="29"/>
  <c r="AN14" i="30"/>
  <c r="AN14" i="29"/>
  <c r="AQ14" i="30"/>
  <c r="AQ14" i="29"/>
  <c r="AL14" i="30"/>
  <c r="AL14" i="29"/>
  <c r="AM14" i="30"/>
  <c r="AM14" i="29"/>
  <c r="AP14" i="30"/>
  <c r="AP14" i="29"/>
  <c r="AO14" i="30"/>
  <c r="AO14" i="29"/>
  <c r="AH14" i="30"/>
  <c r="AH14" i="29"/>
  <c r="AI14" i="30"/>
  <c r="AI14" i="29"/>
  <c r="B38" i="25"/>
  <c r="C38" i="25"/>
  <c r="D38" i="25"/>
  <c r="E38" i="25"/>
  <c r="F38" i="25"/>
  <c r="H38" i="25"/>
  <c r="I38" i="25"/>
  <c r="J38" i="25"/>
  <c r="L38" i="25"/>
  <c r="M38" i="25"/>
  <c r="N38" i="25"/>
  <c r="O38" i="25"/>
  <c r="P38" i="25"/>
  <c r="S38" i="25"/>
  <c r="T38" i="25"/>
  <c r="B38" i="17"/>
  <c r="C38" i="17"/>
  <c r="D38" i="17"/>
  <c r="E38" i="17"/>
  <c r="F38" i="17"/>
  <c r="H38" i="17"/>
  <c r="I38" i="17"/>
  <c r="J38" i="17"/>
  <c r="L38" i="17"/>
  <c r="M38" i="17"/>
  <c r="N38" i="17"/>
  <c r="O38" i="17"/>
  <c r="P38" i="17"/>
  <c r="S38" i="17"/>
  <c r="T38" i="17"/>
  <c r="K8" i="29" l="1"/>
  <c r="L8" i="28"/>
  <c r="D12" i="28"/>
  <c r="D3" i="28" s="1"/>
  <c r="C12" i="28"/>
  <c r="B12" i="28"/>
  <c r="C11" i="28"/>
  <c r="B11" i="28"/>
  <c r="B11" i="30" s="1"/>
  <c r="D17" i="28"/>
  <c r="C17" i="28"/>
  <c r="C17" i="30" s="1"/>
  <c r="B17" i="28"/>
  <c r="B17" i="30" s="1"/>
  <c r="AD2" i="28"/>
  <c r="AD2" i="30" s="1"/>
  <c r="AE2" i="28"/>
  <c r="AE2" i="30" s="1"/>
  <c r="D2" i="28"/>
  <c r="D13" i="28" s="1"/>
  <c r="C2" i="28"/>
  <c r="B2" i="28"/>
  <c r="B2" i="30" s="1"/>
  <c r="L8" i="29" l="1"/>
  <c r="M8" i="28"/>
  <c r="AB2" i="28"/>
  <c r="AB2" i="30" s="1"/>
  <c r="N2" i="28"/>
  <c r="N2" i="30" s="1"/>
  <c r="O2" i="28"/>
  <c r="O2" i="30" s="1"/>
  <c r="M2" i="28"/>
  <c r="M2" i="30" s="1"/>
  <c r="B12" i="30"/>
  <c r="B3" i="28"/>
  <c r="AC2" i="28"/>
  <c r="AC2" i="30" s="1"/>
  <c r="C12" i="30"/>
  <c r="C3" i="28"/>
  <c r="C3" i="30" s="1"/>
  <c r="E2" i="28"/>
  <c r="E2" i="30" s="1"/>
  <c r="AJ13" i="28"/>
  <c r="AJ13" i="30" s="1"/>
  <c r="AK13" i="28"/>
  <c r="AK13" i="30" s="1"/>
  <c r="AL13" i="28"/>
  <c r="AL13" i="30" s="1"/>
  <c r="AM13" i="28"/>
  <c r="AM13" i="30" s="1"/>
  <c r="AN13" i="28"/>
  <c r="AN13" i="30" s="1"/>
  <c r="AO13" i="28"/>
  <c r="AO13" i="30" s="1"/>
  <c r="AP13" i="28"/>
  <c r="AP13" i="30" s="1"/>
  <c r="AQ13" i="28"/>
  <c r="AQ13" i="30" s="1"/>
  <c r="AI13" i="28"/>
  <c r="AI13" i="30" s="1"/>
  <c r="D13" i="30"/>
  <c r="AH13" i="28"/>
  <c r="AH13" i="30" s="1"/>
  <c r="C11" i="30"/>
  <c r="D11" i="28"/>
  <c r="B16" i="28"/>
  <c r="B16" i="30" s="1"/>
  <c r="C16" i="28"/>
  <c r="C16" i="30" s="1"/>
  <c r="L2" i="28"/>
  <c r="L2" i="30" s="1"/>
  <c r="J2" i="28"/>
  <c r="J2" i="30" s="1"/>
  <c r="Y2" i="28"/>
  <c r="Y2" i="30" s="1"/>
  <c r="I2" i="28"/>
  <c r="I2" i="30" s="1"/>
  <c r="B15" i="28"/>
  <c r="B15" i="30" s="1"/>
  <c r="Z2" i="28"/>
  <c r="Z2" i="30" s="1"/>
  <c r="X2" i="28"/>
  <c r="X2" i="30" s="1"/>
  <c r="H2" i="28"/>
  <c r="H2" i="30" s="1"/>
  <c r="K2" i="28"/>
  <c r="K2" i="30" s="1"/>
  <c r="W2" i="28"/>
  <c r="W2" i="30" s="1"/>
  <c r="G2" i="28"/>
  <c r="G2" i="30" s="1"/>
  <c r="C15" i="28"/>
  <c r="C15" i="30" s="1"/>
  <c r="AQ17" i="28"/>
  <c r="AQ17" i="30" s="1"/>
  <c r="AH17" i="28"/>
  <c r="AH17" i="30" s="1"/>
  <c r="AI17" i="28"/>
  <c r="AI17" i="30" s="1"/>
  <c r="AJ17" i="28"/>
  <c r="AJ17" i="30" s="1"/>
  <c r="AK17" i="28"/>
  <c r="AK17" i="30" s="1"/>
  <c r="AL17" i="28"/>
  <c r="AL17" i="30" s="1"/>
  <c r="D17" i="30"/>
  <c r="AM17" i="28"/>
  <c r="AM17" i="30" s="1"/>
  <c r="AN17" i="28"/>
  <c r="AN17" i="30" s="1"/>
  <c r="AO17" i="28"/>
  <c r="AO17" i="30" s="1"/>
  <c r="AP17" i="28"/>
  <c r="AP17" i="30" s="1"/>
  <c r="AA2" i="28"/>
  <c r="AA2" i="30" s="1"/>
  <c r="V2" i="28"/>
  <c r="V2" i="30" s="1"/>
  <c r="F2" i="28"/>
  <c r="F2" i="30" s="1"/>
  <c r="U2" i="28"/>
  <c r="U2" i="30" s="1"/>
  <c r="T2" i="28"/>
  <c r="T2" i="30" s="1"/>
  <c r="D12" i="30"/>
  <c r="AH12" i="28"/>
  <c r="AH12" i="30" s="1"/>
  <c r="AI12" i="28"/>
  <c r="AI12" i="30" s="1"/>
  <c r="AJ12" i="28"/>
  <c r="AJ12" i="30" s="1"/>
  <c r="AK12" i="28"/>
  <c r="AK12" i="30" s="1"/>
  <c r="AL12" i="28"/>
  <c r="AL12" i="30" s="1"/>
  <c r="AM12" i="28"/>
  <c r="AM12" i="30" s="1"/>
  <c r="AN12" i="28"/>
  <c r="AN12" i="30" s="1"/>
  <c r="AO12" i="28"/>
  <c r="AO12" i="30" s="1"/>
  <c r="AP12" i="28"/>
  <c r="AP12" i="30" s="1"/>
  <c r="AQ12" i="28"/>
  <c r="AQ12" i="30" s="1"/>
  <c r="S2" i="28"/>
  <c r="S2" i="30" s="1"/>
  <c r="B13" i="28"/>
  <c r="B13" i="30" s="1"/>
  <c r="C2" i="30"/>
  <c r="R2" i="28"/>
  <c r="R2" i="30" s="1"/>
  <c r="AH2" i="28"/>
  <c r="AH2" i="30" s="1"/>
  <c r="AI2" i="28"/>
  <c r="AI2" i="30" s="1"/>
  <c r="D2" i="30"/>
  <c r="AJ2" i="28"/>
  <c r="AJ2" i="30" s="1"/>
  <c r="AK2" i="28"/>
  <c r="AK2" i="30" s="1"/>
  <c r="AL2" i="28"/>
  <c r="AL2" i="30" s="1"/>
  <c r="AM2" i="28"/>
  <c r="AM2" i="30" s="1"/>
  <c r="AN2" i="28"/>
  <c r="AN2" i="30" s="1"/>
  <c r="AO2" i="28"/>
  <c r="AO2" i="30" s="1"/>
  <c r="AP2" i="28"/>
  <c r="AP2" i="30" s="1"/>
  <c r="AQ2" i="28"/>
  <c r="AQ2" i="30" s="1"/>
  <c r="AG2" i="28"/>
  <c r="AG2" i="30" s="1"/>
  <c r="Q2" i="28"/>
  <c r="Q2" i="30" s="1"/>
  <c r="C13" i="28"/>
  <c r="C13" i="30" s="1"/>
  <c r="AF2" i="28"/>
  <c r="AF2" i="30" s="1"/>
  <c r="P2" i="28"/>
  <c r="P2" i="30" s="1"/>
  <c r="B3" i="30"/>
  <c r="B2" i="29"/>
  <c r="M8" i="29" l="1"/>
  <c r="N8" i="28"/>
  <c r="AH10" i="28"/>
  <c r="AH10" i="30" s="1"/>
  <c r="AI10" i="28"/>
  <c r="AI10" i="30" s="1"/>
  <c r="AJ10" i="28"/>
  <c r="AJ10" i="30" s="1"/>
  <c r="AK10" i="28"/>
  <c r="AK10" i="30" s="1"/>
  <c r="AL10" i="28"/>
  <c r="AL10" i="30" s="1"/>
  <c r="AM10" i="28"/>
  <c r="AM10" i="30" s="1"/>
  <c r="AN10" i="28"/>
  <c r="AN10" i="30" s="1"/>
  <c r="D10" i="30"/>
  <c r="AO10" i="28"/>
  <c r="AO10" i="30" s="1"/>
  <c r="AP10" i="28"/>
  <c r="AP10" i="30" s="1"/>
  <c r="AQ10" i="28"/>
  <c r="AQ10" i="30" s="1"/>
  <c r="P10" i="28"/>
  <c r="P10" i="30" s="1"/>
  <c r="AF10" i="28"/>
  <c r="AF10" i="30" s="1"/>
  <c r="T10" i="28"/>
  <c r="T10" i="30" s="1"/>
  <c r="K10" i="28"/>
  <c r="K10" i="30" s="1"/>
  <c r="AE10" i="28"/>
  <c r="AE10" i="30" s="1"/>
  <c r="Q10" i="28"/>
  <c r="Q10" i="30" s="1"/>
  <c r="AG10" i="28"/>
  <c r="AG10" i="30" s="1"/>
  <c r="R10" i="28"/>
  <c r="R10" i="30" s="1"/>
  <c r="S10" i="28"/>
  <c r="S10" i="30" s="1"/>
  <c r="O10" i="28"/>
  <c r="O10" i="30" s="1"/>
  <c r="AC10" i="28"/>
  <c r="AC10" i="30" s="1"/>
  <c r="N10" i="28"/>
  <c r="N10" i="30" s="1"/>
  <c r="U10" i="28"/>
  <c r="U10" i="30" s="1"/>
  <c r="E10" i="28"/>
  <c r="E10" i="30" s="1"/>
  <c r="AA10" i="28"/>
  <c r="AA10" i="30" s="1"/>
  <c r="F10" i="28"/>
  <c r="F10" i="30" s="1"/>
  <c r="V10" i="28"/>
  <c r="V10" i="30" s="1"/>
  <c r="G10" i="28"/>
  <c r="G10" i="30" s="1"/>
  <c r="W10" i="28"/>
  <c r="W10" i="30" s="1"/>
  <c r="Z10" i="28"/>
  <c r="Z10" i="30" s="1"/>
  <c r="H10" i="28"/>
  <c r="H10" i="30" s="1"/>
  <c r="X10" i="28"/>
  <c r="X10" i="30" s="1"/>
  <c r="I10" i="28"/>
  <c r="I10" i="30" s="1"/>
  <c r="Y10" i="28"/>
  <c r="Y10" i="30" s="1"/>
  <c r="M10" i="28"/>
  <c r="M10" i="30" s="1"/>
  <c r="J10" i="28"/>
  <c r="J10" i="30" s="1"/>
  <c r="AD10" i="28"/>
  <c r="AD10" i="30" s="1"/>
  <c r="L10" i="28"/>
  <c r="L10" i="30" s="1"/>
  <c r="AB10" i="28"/>
  <c r="AB10" i="30" s="1"/>
  <c r="AN3" i="28"/>
  <c r="AN3" i="30" s="1"/>
  <c r="AO3" i="28"/>
  <c r="AO3" i="30" s="1"/>
  <c r="AP3" i="28"/>
  <c r="AP3" i="30" s="1"/>
  <c r="AQ3" i="28"/>
  <c r="AQ3" i="30" s="1"/>
  <c r="D3" i="30"/>
  <c r="AH3" i="28"/>
  <c r="AH3" i="30" s="1"/>
  <c r="AI3" i="28"/>
  <c r="AI3" i="30" s="1"/>
  <c r="AJ3" i="28"/>
  <c r="AJ3" i="30" s="1"/>
  <c r="AK3" i="28"/>
  <c r="AK3" i="30" s="1"/>
  <c r="AL3" i="28"/>
  <c r="AL3" i="30" s="1"/>
  <c r="AM3" i="28"/>
  <c r="AM3" i="30" s="1"/>
  <c r="T3" i="28"/>
  <c r="T3" i="30" s="1"/>
  <c r="H3" i="28"/>
  <c r="H3" i="30" s="1"/>
  <c r="U3" i="28"/>
  <c r="U3" i="30" s="1"/>
  <c r="AG3" i="28"/>
  <c r="AG3" i="30" s="1"/>
  <c r="S3" i="28"/>
  <c r="S3" i="30" s="1"/>
  <c r="F3" i="28"/>
  <c r="F3" i="30" s="1"/>
  <c r="V3" i="28"/>
  <c r="V3" i="30" s="1"/>
  <c r="X3" i="28"/>
  <c r="X3" i="30" s="1"/>
  <c r="Z3" i="28"/>
  <c r="Z3" i="30" s="1"/>
  <c r="AE3" i="28"/>
  <c r="AE3" i="30" s="1"/>
  <c r="R3" i="28"/>
  <c r="R3" i="30" s="1"/>
  <c r="G3" i="28"/>
  <c r="G3" i="30" s="1"/>
  <c r="W3" i="28"/>
  <c r="W3" i="30" s="1"/>
  <c r="E3" i="28"/>
  <c r="E3" i="30" s="1"/>
  <c r="I3" i="28"/>
  <c r="I3" i="30" s="1"/>
  <c r="Y3" i="28"/>
  <c r="Y3" i="30" s="1"/>
  <c r="J3" i="28"/>
  <c r="J3" i="30" s="1"/>
  <c r="K3" i="28"/>
  <c r="K3" i="30" s="1"/>
  <c r="AA3" i="28"/>
  <c r="AA3" i="30" s="1"/>
  <c r="AB3" i="28"/>
  <c r="AB3" i="30" s="1"/>
  <c r="AC3" i="28"/>
  <c r="AC3" i="30" s="1"/>
  <c r="L3" i="28"/>
  <c r="L3" i="30" s="1"/>
  <c r="M3" i="28"/>
  <c r="M3" i="30" s="1"/>
  <c r="AD3" i="28"/>
  <c r="AD3" i="30" s="1"/>
  <c r="O3" i="28"/>
  <c r="O3" i="30" s="1"/>
  <c r="N3" i="28"/>
  <c r="N3" i="30" s="1"/>
  <c r="P3" i="28"/>
  <c r="P3" i="30" s="1"/>
  <c r="AF3" i="28"/>
  <c r="AF3" i="30" s="1"/>
  <c r="Q3" i="28"/>
  <c r="Q3" i="30" s="1"/>
  <c r="AN11" i="28"/>
  <c r="AN11" i="30" s="1"/>
  <c r="AO11" i="28"/>
  <c r="AO11" i="30" s="1"/>
  <c r="AP11" i="28"/>
  <c r="AP11" i="30" s="1"/>
  <c r="AQ11" i="28"/>
  <c r="AQ11" i="30" s="1"/>
  <c r="AH11" i="28"/>
  <c r="AH11" i="30" s="1"/>
  <c r="AI11" i="28"/>
  <c r="AI11" i="30" s="1"/>
  <c r="AJ11" i="28"/>
  <c r="AJ11" i="30" s="1"/>
  <c r="AK11" i="28"/>
  <c r="AK11" i="30" s="1"/>
  <c r="D11" i="30"/>
  <c r="AM11" i="28"/>
  <c r="AM11" i="30" s="1"/>
  <c r="AL11" i="28"/>
  <c r="AL11" i="30" s="1"/>
  <c r="D15" i="28"/>
  <c r="D16" i="28"/>
  <c r="AJ5" i="28"/>
  <c r="AK5" i="28"/>
  <c r="AL5" i="28"/>
  <c r="AM5" i="28"/>
  <c r="AN5" i="28"/>
  <c r="AO5" i="28"/>
  <c r="AP5" i="28"/>
  <c r="D5" i="30"/>
  <c r="AQ5" i="28"/>
  <c r="AI5" i="28"/>
  <c r="AH5" i="28"/>
  <c r="T5" i="28"/>
  <c r="U5" i="28"/>
  <c r="F5" i="28"/>
  <c r="V5" i="28"/>
  <c r="E5" i="28"/>
  <c r="AG5" i="28"/>
  <c r="G5" i="28"/>
  <c r="W5" i="28"/>
  <c r="H5" i="28"/>
  <c r="X5" i="28"/>
  <c r="I5" i="28"/>
  <c r="Y5" i="28"/>
  <c r="J5" i="28"/>
  <c r="Z5" i="28"/>
  <c r="K5" i="28"/>
  <c r="AA5" i="28"/>
  <c r="Q5" i="28"/>
  <c r="L5" i="28"/>
  <c r="AB5" i="28"/>
  <c r="M5" i="28"/>
  <c r="AC5" i="28"/>
  <c r="S5" i="28"/>
  <c r="N5" i="28"/>
  <c r="AD5" i="28"/>
  <c r="O5" i="28"/>
  <c r="AE5" i="28"/>
  <c r="P5" i="28"/>
  <c r="AF5" i="28"/>
  <c r="R5" i="28"/>
  <c r="AH7" i="28"/>
  <c r="AH7" i="30" s="1"/>
  <c r="D7" i="30"/>
  <c r="AI7" i="28"/>
  <c r="AI7" i="30" s="1"/>
  <c r="AJ7" i="28"/>
  <c r="AJ7" i="30" s="1"/>
  <c r="AK7" i="28"/>
  <c r="AK7" i="30" s="1"/>
  <c r="AL7" i="28"/>
  <c r="AL7" i="30" s="1"/>
  <c r="AM7" i="28"/>
  <c r="AM7" i="30" s="1"/>
  <c r="AN7" i="28"/>
  <c r="AN7" i="30" s="1"/>
  <c r="AO7" i="28"/>
  <c r="AO7" i="30" s="1"/>
  <c r="AP7" i="28"/>
  <c r="AP7" i="30" s="1"/>
  <c r="AQ7" i="28"/>
  <c r="AQ7" i="30" s="1"/>
  <c r="H7" i="28"/>
  <c r="H7" i="30" s="1"/>
  <c r="X7" i="28"/>
  <c r="X7" i="30" s="1"/>
  <c r="I7" i="28"/>
  <c r="I7" i="30" s="1"/>
  <c r="Y7" i="28"/>
  <c r="Y7" i="30" s="1"/>
  <c r="V7" i="28"/>
  <c r="V7" i="30" s="1"/>
  <c r="J7" i="28"/>
  <c r="J7" i="30" s="1"/>
  <c r="Z7" i="28"/>
  <c r="Z7" i="30" s="1"/>
  <c r="W7" i="28"/>
  <c r="W7" i="30" s="1"/>
  <c r="K7" i="28"/>
  <c r="K7" i="30" s="1"/>
  <c r="AA7" i="28"/>
  <c r="AA7" i="30" s="1"/>
  <c r="E7" i="28"/>
  <c r="E7" i="30" s="1"/>
  <c r="L7" i="28"/>
  <c r="L7" i="30" s="1"/>
  <c r="AB7" i="28"/>
  <c r="AB7" i="30" s="1"/>
  <c r="M7" i="28"/>
  <c r="M7" i="30" s="1"/>
  <c r="AC7" i="28"/>
  <c r="AC7" i="30" s="1"/>
  <c r="N7" i="28"/>
  <c r="N7" i="30" s="1"/>
  <c r="AD7" i="28"/>
  <c r="AD7" i="30" s="1"/>
  <c r="U7" i="28"/>
  <c r="U7" i="30" s="1"/>
  <c r="O7" i="28"/>
  <c r="O7" i="30" s="1"/>
  <c r="AE7" i="28"/>
  <c r="AE7" i="30" s="1"/>
  <c r="G7" i="28"/>
  <c r="G7" i="30" s="1"/>
  <c r="P7" i="28"/>
  <c r="P7" i="30" s="1"/>
  <c r="AF7" i="28"/>
  <c r="AF7" i="30" s="1"/>
  <c r="Q7" i="28"/>
  <c r="Q7" i="30" s="1"/>
  <c r="AG7" i="28"/>
  <c r="AG7" i="30" s="1"/>
  <c r="R7" i="28"/>
  <c r="R7" i="30" s="1"/>
  <c r="S7" i="28"/>
  <c r="S7" i="30" s="1"/>
  <c r="T7" i="28"/>
  <c r="T7" i="30" s="1"/>
  <c r="F7" i="28"/>
  <c r="F7" i="30" s="1"/>
  <c r="D8" i="30"/>
  <c r="L8" i="30"/>
  <c r="M8" i="30"/>
  <c r="N8" i="30"/>
  <c r="E8" i="30"/>
  <c r="K8" i="30"/>
  <c r="I8" i="30"/>
  <c r="F8" i="30"/>
  <c r="G8" i="30"/>
  <c r="H8" i="30"/>
  <c r="J8" i="30"/>
  <c r="P9" i="28"/>
  <c r="P9" i="30" s="1"/>
  <c r="AF9" i="28"/>
  <c r="AF9" i="30" s="1"/>
  <c r="Q9" i="28"/>
  <c r="Q9" i="30" s="1"/>
  <c r="AG9" i="28"/>
  <c r="AG9" i="30" s="1"/>
  <c r="E9" i="28"/>
  <c r="E9" i="30" s="1"/>
  <c r="AA9" i="28"/>
  <c r="AA9" i="30" s="1"/>
  <c r="R9" i="28"/>
  <c r="R9" i="30" s="1"/>
  <c r="S9" i="28"/>
  <c r="S9" i="30" s="1"/>
  <c r="T9" i="28"/>
  <c r="T9" i="30" s="1"/>
  <c r="U9" i="28"/>
  <c r="U9" i="30" s="1"/>
  <c r="F9" i="28"/>
  <c r="F9" i="30" s="1"/>
  <c r="V9" i="28"/>
  <c r="V9" i="30" s="1"/>
  <c r="G9" i="28"/>
  <c r="G9" i="30" s="1"/>
  <c r="W9" i="28"/>
  <c r="W9" i="30" s="1"/>
  <c r="H9" i="28"/>
  <c r="H9" i="30" s="1"/>
  <c r="X9" i="28"/>
  <c r="X9" i="30" s="1"/>
  <c r="AD9" i="28"/>
  <c r="AD9" i="30" s="1"/>
  <c r="I9" i="28"/>
  <c r="I9" i="30" s="1"/>
  <c r="Y9" i="28"/>
  <c r="Y9" i="30" s="1"/>
  <c r="J9" i="28"/>
  <c r="J9" i="30" s="1"/>
  <c r="Z9" i="28"/>
  <c r="Z9" i="30" s="1"/>
  <c r="K9" i="28"/>
  <c r="K9" i="30" s="1"/>
  <c r="L9" i="28"/>
  <c r="L9" i="30" s="1"/>
  <c r="AB9" i="28"/>
  <c r="AB9" i="30" s="1"/>
  <c r="M9" i="28"/>
  <c r="M9" i="30" s="1"/>
  <c r="AC9" i="28"/>
  <c r="AC9" i="30" s="1"/>
  <c r="N9" i="28"/>
  <c r="N9" i="30" s="1"/>
  <c r="O9" i="28"/>
  <c r="O9" i="30" s="1"/>
  <c r="AE9" i="28"/>
  <c r="AE9" i="30" s="1"/>
  <c r="H6" i="28"/>
  <c r="X6" i="28"/>
  <c r="I6" i="28"/>
  <c r="Y6" i="28"/>
  <c r="J6" i="28"/>
  <c r="Z6" i="28"/>
  <c r="K6" i="28"/>
  <c r="AA6" i="28"/>
  <c r="L6" i="28"/>
  <c r="AB6" i="28"/>
  <c r="M6" i="28"/>
  <c r="AC6" i="28"/>
  <c r="N6" i="28"/>
  <c r="AD6" i="28"/>
  <c r="O6" i="28"/>
  <c r="AE6" i="28"/>
  <c r="E6" i="28"/>
  <c r="P6" i="28"/>
  <c r="AF6" i="28"/>
  <c r="Q6" i="28"/>
  <c r="AG6" i="28"/>
  <c r="R6" i="28"/>
  <c r="S6" i="28"/>
  <c r="T6" i="28"/>
  <c r="U6" i="28"/>
  <c r="F6" i="28"/>
  <c r="V6" i="28"/>
  <c r="G6" i="28"/>
  <c r="W6" i="28"/>
  <c r="T4" i="28"/>
  <c r="E4" i="28"/>
  <c r="U4" i="28"/>
  <c r="F4" i="28"/>
  <c r="V4" i="28"/>
  <c r="G4" i="28"/>
  <c r="W4" i="28"/>
  <c r="H4" i="28"/>
  <c r="X4" i="28"/>
  <c r="I4" i="28"/>
  <c r="Y4" i="28"/>
  <c r="J4" i="28"/>
  <c r="Z4" i="28"/>
  <c r="K4" i="28"/>
  <c r="AA4" i="28"/>
  <c r="L4" i="28"/>
  <c r="AB4" i="28"/>
  <c r="M4" i="28"/>
  <c r="AC4" i="28"/>
  <c r="N4" i="28"/>
  <c r="AD4" i="28"/>
  <c r="O4" i="28"/>
  <c r="AE4" i="28"/>
  <c r="P4" i="28"/>
  <c r="AF4" i="28"/>
  <c r="Q4" i="28"/>
  <c r="AG4" i="28"/>
  <c r="R4" i="28"/>
  <c r="S4" i="28"/>
  <c r="T13" i="28"/>
  <c r="T13" i="30" s="1"/>
  <c r="E13" i="28"/>
  <c r="E13" i="30" s="1"/>
  <c r="V13" i="28"/>
  <c r="V13" i="30" s="1"/>
  <c r="G13" i="28"/>
  <c r="G13" i="30" s="1"/>
  <c r="W13" i="28"/>
  <c r="W13" i="30" s="1"/>
  <c r="H13" i="28"/>
  <c r="H13" i="30" s="1"/>
  <c r="U13" i="28"/>
  <c r="U13" i="30" s="1"/>
  <c r="F13" i="28"/>
  <c r="F13" i="30" s="1"/>
  <c r="X13" i="28"/>
  <c r="X13" i="30" s="1"/>
  <c r="I13" i="28"/>
  <c r="I13" i="30" s="1"/>
  <c r="Y13" i="28"/>
  <c r="Y13" i="30" s="1"/>
  <c r="J13" i="28"/>
  <c r="J13" i="30" s="1"/>
  <c r="Z13" i="28"/>
  <c r="Z13" i="30" s="1"/>
  <c r="S13" i="28"/>
  <c r="S13" i="30" s="1"/>
  <c r="K13" i="28"/>
  <c r="K13" i="30" s="1"/>
  <c r="AA13" i="28"/>
  <c r="AA13" i="30" s="1"/>
  <c r="N13" i="28"/>
  <c r="N13" i="30" s="1"/>
  <c r="AD13" i="28"/>
  <c r="AD13" i="30" s="1"/>
  <c r="L13" i="28"/>
  <c r="L13" i="30" s="1"/>
  <c r="AB13" i="28"/>
  <c r="AB13" i="30" s="1"/>
  <c r="AE13" i="28"/>
  <c r="AE13" i="30" s="1"/>
  <c r="M13" i="28"/>
  <c r="M13" i="30" s="1"/>
  <c r="AC13" i="28"/>
  <c r="AC13" i="30" s="1"/>
  <c r="O13" i="28"/>
  <c r="O13" i="30" s="1"/>
  <c r="P13" i="28"/>
  <c r="P13" i="30" s="1"/>
  <c r="AF13" i="28"/>
  <c r="AF13" i="30" s="1"/>
  <c r="Q13" i="28"/>
  <c r="Q13" i="30" s="1"/>
  <c r="AG13" i="28"/>
  <c r="AG13" i="30" s="1"/>
  <c r="R13" i="28"/>
  <c r="R13" i="30" s="1"/>
  <c r="U12" i="28"/>
  <c r="U12" i="30" s="1"/>
  <c r="F12" i="28"/>
  <c r="F12" i="30" s="1"/>
  <c r="V12" i="28"/>
  <c r="V12" i="30" s="1"/>
  <c r="G12" i="28"/>
  <c r="G12" i="30" s="1"/>
  <c r="W12" i="28"/>
  <c r="W12" i="30" s="1"/>
  <c r="J12" i="28"/>
  <c r="J12" i="30" s="1"/>
  <c r="AA12" i="28"/>
  <c r="AA12" i="30" s="1"/>
  <c r="H12" i="28"/>
  <c r="H12" i="30" s="1"/>
  <c r="X12" i="28"/>
  <c r="X12" i="30" s="1"/>
  <c r="Z12" i="28"/>
  <c r="Z12" i="30" s="1"/>
  <c r="I12" i="28"/>
  <c r="I12" i="30" s="1"/>
  <c r="Y12" i="28"/>
  <c r="Y12" i="30" s="1"/>
  <c r="K12" i="28"/>
  <c r="K12" i="30" s="1"/>
  <c r="L12" i="28"/>
  <c r="L12" i="30" s="1"/>
  <c r="AB12" i="28"/>
  <c r="AB12" i="30" s="1"/>
  <c r="N12" i="28"/>
  <c r="N12" i="30" s="1"/>
  <c r="M12" i="28"/>
  <c r="M12" i="30" s="1"/>
  <c r="AC12" i="28"/>
  <c r="AC12" i="30" s="1"/>
  <c r="AD12" i="28"/>
  <c r="AD12" i="30" s="1"/>
  <c r="S12" i="28"/>
  <c r="S12" i="30" s="1"/>
  <c r="O12" i="28"/>
  <c r="O12" i="30" s="1"/>
  <c r="AE12" i="28"/>
  <c r="AE12" i="30" s="1"/>
  <c r="AF12" i="28"/>
  <c r="AF12" i="30" s="1"/>
  <c r="T12" i="28"/>
  <c r="T12" i="30" s="1"/>
  <c r="P12" i="28"/>
  <c r="P12" i="30" s="1"/>
  <c r="E12" i="28"/>
  <c r="E12" i="30" s="1"/>
  <c r="R12" i="28"/>
  <c r="R12" i="30" s="1"/>
  <c r="Q12" i="28"/>
  <c r="Q12" i="30" s="1"/>
  <c r="AG12" i="28"/>
  <c r="AG12" i="30" s="1"/>
  <c r="AD11" i="28"/>
  <c r="AD11" i="30" s="1"/>
  <c r="P11" i="28"/>
  <c r="P11" i="30" s="1"/>
  <c r="AF11" i="28"/>
  <c r="AF11" i="30" s="1"/>
  <c r="S11" i="28"/>
  <c r="S11" i="30" s="1"/>
  <c r="AE11" i="28"/>
  <c r="AE11" i="30" s="1"/>
  <c r="Q11" i="28"/>
  <c r="Q11" i="30" s="1"/>
  <c r="AG11" i="28"/>
  <c r="AG11" i="30" s="1"/>
  <c r="E11" i="28"/>
  <c r="E11" i="30" s="1"/>
  <c r="R11" i="28"/>
  <c r="R11" i="30" s="1"/>
  <c r="T11" i="28"/>
  <c r="T11" i="30" s="1"/>
  <c r="U11" i="28"/>
  <c r="U11" i="30" s="1"/>
  <c r="V11" i="28"/>
  <c r="V11" i="30" s="1"/>
  <c r="G11" i="28"/>
  <c r="G11" i="30" s="1"/>
  <c r="W11" i="28"/>
  <c r="W11" i="30" s="1"/>
  <c r="F11" i="28"/>
  <c r="F11" i="30" s="1"/>
  <c r="H11" i="28"/>
  <c r="H11" i="30" s="1"/>
  <c r="X11" i="28"/>
  <c r="X11" i="30" s="1"/>
  <c r="AA11" i="28"/>
  <c r="AA11" i="30" s="1"/>
  <c r="O11" i="28"/>
  <c r="O11" i="30" s="1"/>
  <c r="I11" i="28"/>
  <c r="I11" i="30" s="1"/>
  <c r="Y11" i="28"/>
  <c r="Y11" i="30" s="1"/>
  <c r="K11" i="28"/>
  <c r="K11" i="30" s="1"/>
  <c r="AB11" i="28"/>
  <c r="AB11" i="30" s="1"/>
  <c r="J11" i="28"/>
  <c r="J11" i="30" s="1"/>
  <c r="Z11" i="28"/>
  <c r="Z11" i="30" s="1"/>
  <c r="L11" i="28"/>
  <c r="L11" i="30" s="1"/>
  <c r="M11" i="28"/>
  <c r="M11" i="30" s="1"/>
  <c r="AC11" i="28"/>
  <c r="AC11" i="30" s="1"/>
  <c r="N11" i="28"/>
  <c r="N11" i="30" s="1"/>
  <c r="Y17" i="28"/>
  <c r="Y17" i="30" s="1"/>
  <c r="J17" i="28"/>
  <c r="J17" i="30" s="1"/>
  <c r="Z17" i="28"/>
  <c r="Z17" i="30" s="1"/>
  <c r="AE17" i="28"/>
  <c r="AE17" i="30" s="1"/>
  <c r="K17" i="28"/>
  <c r="K17" i="30" s="1"/>
  <c r="AA17" i="28"/>
  <c r="AA17" i="30" s="1"/>
  <c r="AD17" i="28"/>
  <c r="AD17" i="30" s="1"/>
  <c r="L17" i="28"/>
  <c r="L17" i="30" s="1"/>
  <c r="AB17" i="28"/>
  <c r="AB17" i="30" s="1"/>
  <c r="E17" i="28"/>
  <c r="E17" i="30" s="1"/>
  <c r="M17" i="28"/>
  <c r="M17" i="30" s="1"/>
  <c r="AC17" i="28"/>
  <c r="AC17" i="30" s="1"/>
  <c r="N17" i="28"/>
  <c r="N17" i="30" s="1"/>
  <c r="O17" i="28"/>
  <c r="O17" i="30" s="1"/>
  <c r="P17" i="28"/>
  <c r="P17" i="30" s="1"/>
  <c r="AF17" i="28"/>
  <c r="AF17" i="30" s="1"/>
  <c r="Q17" i="28"/>
  <c r="Q17" i="30" s="1"/>
  <c r="AG17" i="28"/>
  <c r="AG17" i="30" s="1"/>
  <c r="R17" i="28"/>
  <c r="R17" i="30" s="1"/>
  <c r="G17" i="28"/>
  <c r="G17" i="30" s="1"/>
  <c r="S17" i="28"/>
  <c r="S17" i="30" s="1"/>
  <c r="V17" i="28"/>
  <c r="V17" i="30" s="1"/>
  <c r="T17" i="28"/>
  <c r="T17" i="30" s="1"/>
  <c r="U17" i="28"/>
  <c r="U17" i="30" s="1"/>
  <c r="F17" i="28"/>
  <c r="F17" i="30" s="1"/>
  <c r="W17" i="28"/>
  <c r="W17" i="30" s="1"/>
  <c r="H17" i="28"/>
  <c r="H17" i="30" s="1"/>
  <c r="X17" i="28"/>
  <c r="X17" i="30" s="1"/>
  <c r="I17" i="28"/>
  <c r="I17" i="30" s="1"/>
  <c r="N8" i="29" l="1"/>
  <c r="O8" i="28"/>
  <c r="O6" i="30"/>
  <c r="O6" i="29"/>
  <c r="AB4" i="30"/>
  <c r="AB4" i="29"/>
  <c r="T4" i="30"/>
  <c r="T4" i="29"/>
  <c r="AD6" i="30"/>
  <c r="AD6" i="29"/>
  <c r="G14" i="30"/>
  <c r="G14" i="29"/>
  <c r="V14" i="30"/>
  <c r="V14" i="29"/>
  <c r="AC5" i="30"/>
  <c r="AC5" i="29"/>
  <c r="E5" i="30"/>
  <c r="E5" i="29"/>
  <c r="H6" i="30"/>
  <c r="H6" i="29"/>
  <c r="AC14" i="30"/>
  <c r="AC14" i="29"/>
  <c r="L4" i="30"/>
  <c r="L4" i="29"/>
  <c r="M5" i="30"/>
  <c r="M5" i="29"/>
  <c r="V5" i="30"/>
  <c r="V5" i="29"/>
  <c r="W5" i="30"/>
  <c r="W5" i="29"/>
  <c r="W6" i="30"/>
  <c r="W6" i="29"/>
  <c r="AA4" i="30"/>
  <c r="AA4" i="29"/>
  <c r="G6" i="30"/>
  <c r="G6" i="29"/>
  <c r="AC6" i="30"/>
  <c r="AC6" i="29"/>
  <c r="U14" i="30"/>
  <c r="U14" i="29"/>
  <c r="L14" i="30"/>
  <c r="L14" i="29"/>
  <c r="AB5" i="30"/>
  <c r="AB5" i="29"/>
  <c r="F5" i="30"/>
  <c r="F5" i="29"/>
  <c r="E4" i="30"/>
  <c r="E4" i="29"/>
  <c r="AA14" i="30"/>
  <c r="AA14" i="29"/>
  <c r="L5" i="30"/>
  <c r="L5" i="29"/>
  <c r="U5" i="30"/>
  <c r="U5" i="29"/>
  <c r="N4" i="30"/>
  <c r="N4" i="29"/>
  <c r="N5" i="30"/>
  <c r="N5" i="29"/>
  <c r="S5" i="30"/>
  <c r="S5" i="29"/>
  <c r="N6" i="30"/>
  <c r="N6" i="29"/>
  <c r="AB6" i="30"/>
  <c r="AB6" i="29"/>
  <c r="S14" i="30"/>
  <c r="S14" i="29"/>
  <c r="K14" i="30"/>
  <c r="K14" i="29"/>
  <c r="Q5" i="30"/>
  <c r="Q5" i="29"/>
  <c r="T5" i="30"/>
  <c r="T5" i="29"/>
  <c r="AK5" i="30"/>
  <c r="AK5" i="29"/>
  <c r="AG5" i="30"/>
  <c r="AG5" i="29"/>
  <c r="J4" i="30"/>
  <c r="J4" i="29"/>
  <c r="U6" i="30"/>
  <c r="U6" i="29"/>
  <c r="L6" i="30"/>
  <c r="L6" i="29"/>
  <c r="R14" i="30"/>
  <c r="R14" i="29"/>
  <c r="Z14" i="30"/>
  <c r="Z14" i="29"/>
  <c r="AA5" i="30"/>
  <c r="AA5" i="29"/>
  <c r="AH5" i="30"/>
  <c r="AH5" i="29"/>
  <c r="AE6" i="30"/>
  <c r="AE6" i="29"/>
  <c r="W14" i="30"/>
  <c r="W14" i="29"/>
  <c r="M6" i="30"/>
  <c r="M6" i="29"/>
  <c r="AG4" i="30"/>
  <c r="AG4" i="29"/>
  <c r="Y4" i="30"/>
  <c r="Y4" i="29"/>
  <c r="T6" i="30"/>
  <c r="T6" i="29"/>
  <c r="AA6" i="30"/>
  <c r="AA6" i="29"/>
  <c r="AG14" i="30"/>
  <c r="AG14" i="29"/>
  <c r="J14" i="30"/>
  <c r="J14" i="29"/>
  <c r="K5" i="30"/>
  <c r="K5" i="29"/>
  <c r="AI5" i="30"/>
  <c r="AI5" i="29"/>
  <c r="AC4" i="30"/>
  <c r="AC4" i="29"/>
  <c r="M14" i="30"/>
  <c r="M14" i="29"/>
  <c r="AB14" i="30"/>
  <c r="AB14" i="29"/>
  <c r="F6" i="30"/>
  <c r="F6" i="29"/>
  <c r="Q4" i="30"/>
  <c r="Q4" i="29"/>
  <c r="S6" i="30"/>
  <c r="S6" i="29"/>
  <c r="K6" i="30"/>
  <c r="K6" i="29"/>
  <c r="Q14" i="30"/>
  <c r="Q14" i="29"/>
  <c r="Y14" i="30"/>
  <c r="Y14" i="29"/>
  <c r="Z5" i="30"/>
  <c r="Z5" i="29"/>
  <c r="AQ5" i="30"/>
  <c r="AQ5" i="29"/>
  <c r="N14" i="30"/>
  <c r="N14" i="29"/>
  <c r="V6" i="30"/>
  <c r="V6" i="29"/>
  <c r="Z4" i="30"/>
  <c r="Z4" i="29"/>
  <c r="I4" i="30"/>
  <c r="I4" i="29"/>
  <c r="AF4" i="30"/>
  <c r="AF4" i="29"/>
  <c r="X4" i="30"/>
  <c r="X4" i="29"/>
  <c r="R6" i="30"/>
  <c r="R6" i="29"/>
  <c r="Z6" i="30"/>
  <c r="Z6" i="29"/>
  <c r="AF14" i="30"/>
  <c r="AF14" i="29"/>
  <c r="I14" i="30"/>
  <c r="I14" i="29"/>
  <c r="R5" i="30"/>
  <c r="R5" i="29"/>
  <c r="J5" i="30"/>
  <c r="J5" i="29"/>
  <c r="AD5" i="30"/>
  <c r="AD5" i="29"/>
  <c r="E14" i="30"/>
  <c r="E14" i="29"/>
  <c r="F14" i="30"/>
  <c r="F14" i="29"/>
  <c r="K4" i="30"/>
  <c r="K4" i="29"/>
  <c r="S4" i="30"/>
  <c r="S4" i="29"/>
  <c r="P4" i="30"/>
  <c r="P4" i="29"/>
  <c r="H4" i="30"/>
  <c r="H4" i="29"/>
  <c r="AG6" i="30"/>
  <c r="AG6" i="29"/>
  <c r="J6" i="30"/>
  <c r="J6" i="29"/>
  <c r="P14" i="30"/>
  <c r="P14" i="29"/>
  <c r="X14" i="30"/>
  <c r="X14" i="29"/>
  <c r="AF5" i="30"/>
  <c r="AF5" i="29"/>
  <c r="Y5" i="30"/>
  <c r="Y5" i="29"/>
  <c r="AP5" i="30"/>
  <c r="AP5" i="29"/>
  <c r="U4" i="30"/>
  <c r="U4" i="29"/>
  <c r="AE4" i="30"/>
  <c r="AE4" i="29"/>
  <c r="W4" i="30"/>
  <c r="W4" i="29"/>
  <c r="Q6" i="30"/>
  <c r="Q6" i="29"/>
  <c r="Y6" i="30"/>
  <c r="Y6" i="29"/>
  <c r="AE14" i="30"/>
  <c r="AE14" i="29"/>
  <c r="H14" i="30"/>
  <c r="H14" i="29"/>
  <c r="P5" i="30"/>
  <c r="P5" i="29"/>
  <c r="I5" i="30"/>
  <c r="I5" i="29"/>
  <c r="AO5" i="30"/>
  <c r="AO5" i="29"/>
  <c r="E6" i="30"/>
  <c r="E6" i="29"/>
  <c r="G5" i="30"/>
  <c r="G5" i="29"/>
  <c r="M4" i="30"/>
  <c r="M4" i="29"/>
  <c r="AJ5" i="30"/>
  <c r="AJ5" i="29"/>
  <c r="O4" i="30"/>
  <c r="O4" i="29"/>
  <c r="G4" i="30"/>
  <c r="G4" i="29"/>
  <c r="AF6" i="30"/>
  <c r="AF6" i="29"/>
  <c r="I6" i="30"/>
  <c r="I6" i="29"/>
  <c r="O14" i="30"/>
  <c r="O14" i="29"/>
  <c r="AE5" i="30"/>
  <c r="AE5" i="29"/>
  <c r="X5" i="30"/>
  <c r="X5" i="29"/>
  <c r="AN5" i="30"/>
  <c r="AN5" i="29"/>
  <c r="F4" i="30"/>
  <c r="F4" i="29"/>
  <c r="AL5" i="30"/>
  <c r="AL5" i="29"/>
  <c r="T14" i="30"/>
  <c r="T14" i="29"/>
  <c r="R4" i="30"/>
  <c r="R4" i="29"/>
  <c r="AD4" i="30"/>
  <c r="AD4" i="29"/>
  <c r="V4" i="30"/>
  <c r="V4" i="29"/>
  <c r="P6" i="30"/>
  <c r="P6" i="29"/>
  <c r="X6" i="30"/>
  <c r="X6" i="29"/>
  <c r="AD14" i="30"/>
  <c r="AD14" i="29"/>
  <c r="O5" i="30"/>
  <c r="O5" i="29"/>
  <c r="H5" i="30"/>
  <c r="H5" i="29"/>
  <c r="AM5" i="30"/>
  <c r="AM5" i="29"/>
  <c r="AL16" i="28"/>
  <c r="AL16" i="30" s="1"/>
  <c r="AM16" i="28"/>
  <c r="AM16" i="30" s="1"/>
  <c r="AN16" i="28"/>
  <c r="AN16" i="30" s="1"/>
  <c r="D16" i="30"/>
  <c r="AO16" i="28"/>
  <c r="AO16" i="30" s="1"/>
  <c r="AP16" i="28"/>
  <c r="AP16" i="30" s="1"/>
  <c r="AK16" i="28"/>
  <c r="AK16" i="30" s="1"/>
  <c r="AQ16" i="28"/>
  <c r="AQ16" i="30" s="1"/>
  <c r="AH16" i="28"/>
  <c r="AH16" i="30" s="1"/>
  <c r="AI16" i="28"/>
  <c r="AI16" i="30" s="1"/>
  <c r="AJ16" i="28"/>
  <c r="AJ16" i="30" s="1"/>
  <c r="AH15" i="28"/>
  <c r="AH15" i="30" s="1"/>
  <c r="AI15" i="28"/>
  <c r="AI15" i="30" s="1"/>
  <c r="AJ15" i="28"/>
  <c r="AJ15" i="30" s="1"/>
  <c r="AK15" i="28"/>
  <c r="AK15" i="30" s="1"/>
  <c r="AL15" i="28"/>
  <c r="AL15" i="30" s="1"/>
  <c r="AM15" i="28"/>
  <c r="AM15" i="30" s="1"/>
  <c r="AN15" i="28"/>
  <c r="AN15" i="30" s="1"/>
  <c r="AO15" i="28"/>
  <c r="AO15" i="30" s="1"/>
  <c r="D15" i="30"/>
  <c r="AP15" i="28"/>
  <c r="AP15" i="30" s="1"/>
  <c r="AQ15" i="28"/>
  <c r="AQ15" i="30" s="1"/>
  <c r="U15" i="28"/>
  <c r="U15" i="30" s="1"/>
  <c r="H15" i="28"/>
  <c r="H15" i="30" s="1"/>
  <c r="Y15" i="28"/>
  <c r="Y15" i="30" s="1"/>
  <c r="Z15" i="28"/>
  <c r="Z15" i="30" s="1"/>
  <c r="F15" i="28"/>
  <c r="F15" i="30" s="1"/>
  <c r="V15" i="28"/>
  <c r="V15" i="30" s="1"/>
  <c r="I15" i="28"/>
  <c r="I15" i="30" s="1"/>
  <c r="G15" i="28"/>
  <c r="G15" i="30" s="1"/>
  <c r="W15" i="28"/>
  <c r="W15" i="30" s="1"/>
  <c r="X15" i="28"/>
  <c r="X15" i="30" s="1"/>
  <c r="J15" i="28"/>
  <c r="J15" i="30" s="1"/>
  <c r="K15" i="28"/>
  <c r="K15" i="30" s="1"/>
  <c r="AA15" i="28"/>
  <c r="AA15" i="30" s="1"/>
  <c r="E15" i="28"/>
  <c r="E15" i="30" s="1"/>
  <c r="L15" i="28"/>
  <c r="L15" i="30" s="1"/>
  <c r="AB15" i="28"/>
  <c r="AB15" i="30" s="1"/>
  <c r="R15" i="28"/>
  <c r="R15" i="30" s="1"/>
  <c r="M15" i="28"/>
  <c r="M15" i="30" s="1"/>
  <c r="AC15" i="28"/>
  <c r="AC15" i="30" s="1"/>
  <c r="N15" i="28"/>
  <c r="N15" i="30" s="1"/>
  <c r="AD15" i="28"/>
  <c r="AD15" i="30" s="1"/>
  <c r="P15" i="28"/>
  <c r="P15" i="30" s="1"/>
  <c r="AG15" i="28"/>
  <c r="AG15" i="30" s="1"/>
  <c r="O15" i="28"/>
  <c r="O15" i="30" s="1"/>
  <c r="AE15" i="28"/>
  <c r="AE15" i="30" s="1"/>
  <c r="AF15" i="28"/>
  <c r="AF15" i="30" s="1"/>
  <c r="Q15" i="28"/>
  <c r="Q15" i="30" s="1"/>
  <c r="S15" i="28"/>
  <c r="S15" i="30" s="1"/>
  <c r="T15" i="28"/>
  <c r="T15" i="30" s="1"/>
  <c r="L16" i="28"/>
  <c r="L16" i="30" s="1"/>
  <c r="AB16" i="28"/>
  <c r="AB16" i="30" s="1"/>
  <c r="E16" i="28"/>
  <c r="E16" i="30" s="1"/>
  <c r="AE16" i="28"/>
  <c r="AE16" i="30" s="1"/>
  <c r="AF16" i="28"/>
  <c r="AF16" i="30" s="1"/>
  <c r="Q16" i="28"/>
  <c r="Q16" i="30" s="1"/>
  <c r="M16" i="28"/>
  <c r="M16" i="30" s="1"/>
  <c r="AC16" i="28"/>
  <c r="AC16" i="30" s="1"/>
  <c r="P16" i="28"/>
  <c r="P16" i="30" s="1"/>
  <c r="AG16" i="28"/>
  <c r="AG16" i="30" s="1"/>
  <c r="N16" i="28"/>
  <c r="N16" i="30" s="1"/>
  <c r="AD16" i="28"/>
  <c r="AD16" i="30" s="1"/>
  <c r="O16" i="28"/>
  <c r="O16" i="30" s="1"/>
  <c r="R16" i="28"/>
  <c r="R16" i="30" s="1"/>
  <c r="S16" i="28"/>
  <c r="S16" i="30" s="1"/>
  <c r="T16" i="28"/>
  <c r="T16" i="30" s="1"/>
  <c r="V16" i="28"/>
  <c r="V16" i="30" s="1"/>
  <c r="W16" i="28"/>
  <c r="W16" i="30" s="1"/>
  <c r="U16" i="28"/>
  <c r="U16" i="30" s="1"/>
  <c r="G16" i="28"/>
  <c r="G16" i="30" s="1"/>
  <c r="H16" i="28"/>
  <c r="H16" i="30" s="1"/>
  <c r="Y16" i="28"/>
  <c r="Y16" i="30" s="1"/>
  <c r="F16" i="28"/>
  <c r="F16" i="30" s="1"/>
  <c r="X16" i="28"/>
  <c r="X16" i="30" s="1"/>
  <c r="I16" i="28"/>
  <c r="I16" i="30" s="1"/>
  <c r="J16" i="28"/>
  <c r="J16" i="30" s="1"/>
  <c r="Z16" i="28"/>
  <c r="Z16" i="30" s="1"/>
  <c r="K16" i="28"/>
  <c r="K16" i="30" s="1"/>
  <c r="AA16" i="28"/>
  <c r="AA16" i="30" s="1"/>
  <c r="O8" i="29" l="1"/>
  <c r="P8" i="28"/>
  <c r="O8" i="30"/>
  <c r="AD10" i="27"/>
  <c r="AE10" i="27"/>
  <c r="AF10" i="27"/>
  <c r="AG10" i="27"/>
  <c r="AH10" i="27"/>
  <c r="Y29" i="27"/>
  <c r="Z29" i="27"/>
  <c r="AA29" i="27"/>
  <c r="AB29" i="27"/>
  <c r="AC29" i="27"/>
  <c r="AI5" i="27"/>
  <c r="AJ5" i="27"/>
  <c r="AK5" i="27"/>
  <c r="AL5" i="27"/>
  <c r="AM5" i="27"/>
  <c r="AI6" i="27"/>
  <c r="AJ6" i="27"/>
  <c r="AK6" i="27"/>
  <c r="AL6" i="27"/>
  <c r="AM6" i="27"/>
  <c r="AI7" i="27"/>
  <c r="AJ7" i="27"/>
  <c r="AK7" i="27"/>
  <c r="AL7" i="27"/>
  <c r="AM7" i="27"/>
  <c r="AI8" i="27"/>
  <c r="AJ8" i="27"/>
  <c r="AK8" i="27"/>
  <c r="AL8" i="27"/>
  <c r="AM8" i="27"/>
  <c r="AI30" i="27"/>
  <c r="AJ30" i="27"/>
  <c r="AK30" i="27"/>
  <c r="AL30" i="27"/>
  <c r="AM30" i="27"/>
  <c r="AI31" i="27"/>
  <c r="AJ31" i="27"/>
  <c r="AK31" i="27"/>
  <c r="AL31" i="27"/>
  <c r="AM31" i="27"/>
  <c r="AI32" i="27"/>
  <c r="AJ32" i="27"/>
  <c r="AK32" i="27"/>
  <c r="AL32" i="27"/>
  <c r="AM32" i="27"/>
  <c r="AI33" i="27"/>
  <c r="AJ33" i="27"/>
  <c r="AK33" i="27"/>
  <c r="AL33" i="27"/>
  <c r="AM33" i="27"/>
  <c r="AI34" i="27"/>
  <c r="AJ34" i="27"/>
  <c r="AK34" i="27"/>
  <c r="AL34" i="27"/>
  <c r="AM34" i="27"/>
  <c r="AD29" i="27"/>
  <c r="AE29" i="27"/>
  <c r="AF29" i="27"/>
  <c r="AG29" i="27"/>
  <c r="AH29" i="27"/>
  <c r="AD30" i="27"/>
  <c r="AE30" i="27"/>
  <c r="AF30" i="27"/>
  <c r="AG30" i="27"/>
  <c r="AH30" i="27"/>
  <c r="AD31" i="27"/>
  <c r="AE31" i="27"/>
  <c r="AF31" i="27"/>
  <c r="AG31" i="27"/>
  <c r="AH31" i="27"/>
  <c r="AD32" i="27"/>
  <c r="AE32" i="27"/>
  <c r="AF32" i="27"/>
  <c r="AG32" i="27"/>
  <c r="AH32" i="27"/>
  <c r="AI23" i="27"/>
  <c r="AJ23" i="27"/>
  <c r="AK23" i="27"/>
  <c r="AL23" i="27"/>
  <c r="AM23" i="27"/>
  <c r="AI24" i="27"/>
  <c r="AJ24" i="27"/>
  <c r="AK24" i="27"/>
  <c r="AL24" i="27"/>
  <c r="AM24" i="27"/>
  <c r="AI25" i="27"/>
  <c r="AJ25" i="27"/>
  <c r="AK25" i="27"/>
  <c r="AL25" i="27"/>
  <c r="AM25" i="27"/>
  <c r="AI26" i="27"/>
  <c r="AJ26" i="27"/>
  <c r="AK26" i="27"/>
  <c r="AL26" i="27"/>
  <c r="AM26" i="27"/>
  <c r="AI27" i="27"/>
  <c r="AJ27" i="27"/>
  <c r="AK27" i="27"/>
  <c r="AL27" i="27"/>
  <c r="AM27" i="27"/>
  <c r="AI28" i="27"/>
  <c r="AJ28" i="27"/>
  <c r="AK28" i="27"/>
  <c r="AL28" i="27"/>
  <c r="AM28" i="27"/>
  <c r="AK22" i="27"/>
  <c r="AL22" i="27"/>
  <c r="AM22" i="27"/>
  <c r="AI13" i="27"/>
  <c r="AJ13" i="27"/>
  <c r="AK13" i="27"/>
  <c r="AL13" i="27"/>
  <c r="AM13" i="27"/>
  <c r="AI14" i="27"/>
  <c r="AJ14" i="27"/>
  <c r="AK14" i="27"/>
  <c r="AL14" i="27"/>
  <c r="AM14" i="27"/>
  <c r="AI15" i="27"/>
  <c r="AJ15" i="27"/>
  <c r="AK15" i="27"/>
  <c r="AL15" i="27"/>
  <c r="AM15" i="27"/>
  <c r="AI16" i="27"/>
  <c r="AJ16" i="27"/>
  <c r="AK16" i="27"/>
  <c r="AL16" i="27"/>
  <c r="AM16" i="27"/>
  <c r="AI17" i="27"/>
  <c r="AJ17" i="27"/>
  <c r="AK17" i="27"/>
  <c r="AL17" i="27"/>
  <c r="AM17" i="27"/>
  <c r="AI18" i="27"/>
  <c r="AJ18" i="27"/>
  <c r="AK18" i="27"/>
  <c r="AL18" i="27"/>
  <c r="AM18" i="27"/>
  <c r="AI19" i="27"/>
  <c r="AJ19" i="27"/>
  <c r="AK19" i="27"/>
  <c r="AL19" i="27"/>
  <c r="AM19" i="27"/>
  <c r="AI20" i="27"/>
  <c r="AJ20" i="27"/>
  <c r="AK20" i="27"/>
  <c r="AL20" i="27"/>
  <c r="AM20" i="27"/>
  <c r="AI10" i="27"/>
  <c r="AJ10" i="27"/>
  <c r="AK10" i="27"/>
  <c r="AL10" i="27"/>
  <c r="AM10" i="27"/>
  <c r="AL11" i="27"/>
  <c r="AM11" i="27"/>
  <c r="AI4" i="27"/>
  <c r="AJ4" i="27"/>
  <c r="AK4" i="27"/>
  <c r="AL4" i="27"/>
  <c r="AM4" i="27"/>
  <c r="AI9" i="27"/>
  <c r="AJ9" i="27"/>
  <c r="AK9" i="27"/>
  <c r="AL9" i="27"/>
  <c r="AM9" i="27"/>
  <c r="AI11" i="27"/>
  <c r="AJ11" i="27"/>
  <c r="AK11" i="27"/>
  <c r="AI12" i="27"/>
  <c r="AJ12" i="27"/>
  <c r="AK12" i="27"/>
  <c r="AL12" i="27"/>
  <c r="AM12" i="27"/>
  <c r="AI21" i="27"/>
  <c r="AJ21" i="27"/>
  <c r="AK21" i="27"/>
  <c r="AL21" i="27"/>
  <c r="AM21" i="27"/>
  <c r="AI22" i="27"/>
  <c r="AJ22" i="27"/>
  <c r="AI29" i="27"/>
  <c r="AJ29" i="27"/>
  <c r="AK29" i="27"/>
  <c r="AL29" i="27"/>
  <c r="AM29" i="27"/>
  <c r="AJ3" i="27"/>
  <c r="AK3" i="27"/>
  <c r="AL3" i="27"/>
  <c r="AM3" i="27"/>
  <c r="AI3" i="27"/>
  <c r="AD3" i="27"/>
  <c r="AC4" i="27"/>
  <c r="Y4" i="27"/>
  <c r="Z4" i="27"/>
  <c r="AA4" i="27"/>
  <c r="AB4" i="27"/>
  <c r="Y5" i="27"/>
  <c r="Z5" i="27"/>
  <c r="AA5" i="27"/>
  <c r="AB5" i="27"/>
  <c r="AC5" i="27"/>
  <c r="Y6" i="27"/>
  <c r="Z6" i="27"/>
  <c r="AA6" i="27"/>
  <c r="AB6" i="27"/>
  <c r="AC6" i="27"/>
  <c r="Y7" i="27"/>
  <c r="Z7" i="27"/>
  <c r="AA7" i="27"/>
  <c r="AB7" i="27"/>
  <c r="AC7" i="27"/>
  <c r="Y8" i="27"/>
  <c r="Z8" i="27"/>
  <c r="AA8" i="27"/>
  <c r="AB8" i="27"/>
  <c r="AC8" i="27"/>
  <c r="Y9" i="27"/>
  <c r="Z9" i="27"/>
  <c r="AA9" i="27"/>
  <c r="AB9" i="27"/>
  <c r="AC9" i="27"/>
  <c r="Y10" i="27"/>
  <c r="Z10" i="27"/>
  <c r="AA10" i="27"/>
  <c r="AB10" i="27"/>
  <c r="AC10" i="27"/>
  <c r="Y11" i="27"/>
  <c r="Z11" i="27"/>
  <c r="AA11" i="27"/>
  <c r="AB11" i="27"/>
  <c r="AC11" i="27"/>
  <c r="Y12" i="27"/>
  <c r="Z12" i="27"/>
  <c r="AA12" i="27"/>
  <c r="AB12" i="27"/>
  <c r="AC12" i="27"/>
  <c r="Y13" i="27"/>
  <c r="Z13" i="27"/>
  <c r="AA13" i="27"/>
  <c r="AB13" i="27"/>
  <c r="AC13" i="27"/>
  <c r="Y14" i="27"/>
  <c r="Z14" i="27"/>
  <c r="AA14" i="27"/>
  <c r="AB14" i="27"/>
  <c r="AC14" i="27"/>
  <c r="Y15" i="27"/>
  <c r="Z15" i="27"/>
  <c r="AA15" i="27"/>
  <c r="AB15" i="27"/>
  <c r="AC15" i="27"/>
  <c r="Y16" i="27"/>
  <c r="Z16" i="27"/>
  <c r="AA16" i="27"/>
  <c r="AB16" i="27"/>
  <c r="AC16" i="27"/>
  <c r="Y17" i="27"/>
  <c r="Z17" i="27"/>
  <c r="AA17" i="27"/>
  <c r="AB17" i="27"/>
  <c r="AC17" i="27"/>
  <c r="Y18" i="27"/>
  <c r="Z18" i="27"/>
  <c r="AA18" i="27"/>
  <c r="AB18" i="27"/>
  <c r="AC18" i="27"/>
  <c r="Y19" i="27"/>
  <c r="Z19" i="27"/>
  <c r="AA19" i="27"/>
  <c r="AB19" i="27"/>
  <c r="AC19" i="27"/>
  <c r="Y20" i="27"/>
  <c r="Z20" i="27"/>
  <c r="AA20" i="27"/>
  <c r="AB20" i="27"/>
  <c r="AC20" i="27"/>
  <c r="Y21" i="27"/>
  <c r="Z21" i="27"/>
  <c r="AA21" i="27"/>
  <c r="AB21" i="27"/>
  <c r="AC21" i="27"/>
  <c r="Y22" i="27"/>
  <c r="Z22" i="27"/>
  <c r="AA22" i="27"/>
  <c r="AB22" i="27"/>
  <c r="AC22" i="27"/>
  <c r="Y23" i="27"/>
  <c r="Z23" i="27"/>
  <c r="AA23" i="27"/>
  <c r="AB23" i="27"/>
  <c r="AC23" i="27"/>
  <c r="Y24" i="27"/>
  <c r="Z24" i="27"/>
  <c r="AA24" i="27"/>
  <c r="AB24" i="27"/>
  <c r="AC24" i="27"/>
  <c r="Y25" i="27"/>
  <c r="Z25" i="27"/>
  <c r="AA25" i="27"/>
  <c r="AB25" i="27"/>
  <c r="AC25" i="27"/>
  <c r="Y26" i="27"/>
  <c r="Z26" i="27"/>
  <c r="AA26" i="27"/>
  <c r="AB26" i="27"/>
  <c r="AC26" i="27"/>
  <c r="Y27" i="27"/>
  <c r="Z27" i="27"/>
  <c r="AA27" i="27"/>
  <c r="AB27" i="27"/>
  <c r="AC27" i="27"/>
  <c r="Y28" i="27"/>
  <c r="Z28" i="27"/>
  <c r="AA28" i="27"/>
  <c r="AB28" i="27"/>
  <c r="AC28" i="27"/>
  <c r="Y30" i="27"/>
  <c r="Z30" i="27"/>
  <c r="AA30" i="27"/>
  <c r="AB30" i="27"/>
  <c r="AC30" i="27"/>
  <c r="Y31" i="27"/>
  <c r="Z31" i="27"/>
  <c r="AA31" i="27"/>
  <c r="AB31" i="27"/>
  <c r="AC31" i="27"/>
  <c r="Y32" i="27"/>
  <c r="Z32" i="27"/>
  <c r="AA32" i="27"/>
  <c r="AB32" i="27"/>
  <c r="AC32" i="27"/>
  <c r="Y33" i="27"/>
  <c r="Z33" i="27"/>
  <c r="AA33" i="27"/>
  <c r="AB33" i="27"/>
  <c r="AC33" i="27"/>
  <c r="Y34" i="27"/>
  <c r="Z34" i="27"/>
  <c r="AA34" i="27"/>
  <c r="AB34" i="27"/>
  <c r="AC34" i="27"/>
  <c r="Z3" i="27"/>
  <c r="AA3" i="27"/>
  <c r="AB3" i="27"/>
  <c r="AC3" i="27"/>
  <c r="Y3" i="27"/>
  <c r="H66" i="27"/>
  <c r="C66" i="27"/>
  <c r="H65" i="27"/>
  <c r="C65" i="27"/>
  <c r="H64" i="27"/>
  <c r="V64" i="27" s="1"/>
  <c r="C64" i="27"/>
  <c r="H63" i="27"/>
  <c r="C63" i="27"/>
  <c r="H62" i="27"/>
  <c r="V62" i="27" s="1"/>
  <c r="C62" i="27"/>
  <c r="H61" i="27"/>
  <c r="C61" i="27"/>
  <c r="H60" i="27"/>
  <c r="V60" i="27" s="1"/>
  <c r="C60" i="27"/>
  <c r="H59" i="27"/>
  <c r="V59" i="27" s="1"/>
  <c r="C59" i="27"/>
  <c r="H58" i="27"/>
  <c r="C58" i="27"/>
  <c r="H57" i="27"/>
  <c r="C57" i="27"/>
  <c r="H56" i="27"/>
  <c r="C56" i="27"/>
  <c r="H55" i="27"/>
  <c r="C55" i="27"/>
  <c r="H54" i="27"/>
  <c r="V54" i="27" s="1"/>
  <c r="C54" i="27"/>
  <c r="R54" i="27" s="1" a="1"/>
  <c r="R54" i="27" s="1"/>
  <c r="H53" i="27"/>
  <c r="C53" i="27"/>
  <c r="H52" i="27"/>
  <c r="R52" i="27" s="1" a="1"/>
  <c r="R52" i="27" s="1"/>
  <c r="C52" i="27"/>
  <c r="H51" i="27"/>
  <c r="V51" i="27" s="1"/>
  <c r="C51" i="27"/>
  <c r="R51" i="27" s="1" a="1"/>
  <c r="R51" i="27" s="1"/>
  <c r="H50" i="27"/>
  <c r="C50" i="27"/>
  <c r="H49" i="27"/>
  <c r="C49" i="27"/>
  <c r="H48" i="27"/>
  <c r="C48" i="27"/>
  <c r="H47" i="27"/>
  <c r="C47" i="27"/>
  <c r="H46" i="27"/>
  <c r="R46" i="27" s="1" a="1"/>
  <c r="R46" i="27" s="1"/>
  <c r="C46" i="27"/>
  <c r="H45" i="27"/>
  <c r="C45" i="27"/>
  <c r="H44" i="27"/>
  <c r="C44" i="27"/>
  <c r="H43" i="27"/>
  <c r="V43" i="27" s="1"/>
  <c r="C43" i="27"/>
  <c r="H42" i="27"/>
  <c r="C42" i="27"/>
  <c r="H41" i="27"/>
  <c r="C41" i="27"/>
  <c r="H40" i="27"/>
  <c r="C40" i="27"/>
  <c r="H39" i="27"/>
  <c r="C39" i="27"/>
  <c r="H38" i="27"/>
  <c r="V38" i="27" s="1"/>
  <c r="C38" i="27"/>
  <c r="R38" i="27" s="1" a="1"/>
  <c r="R38" i="27" s="1"/>
  <c r="H37" i="27"/>
  <c r="C37" i="27"/>
  <c r="H36" i="27"/>
  <c r="C36" i="27"/>
  <c r="H35" i="27"/>
  <c r="V35" i="27" s="1"/>
  <c r="C35" i="27"/>
  <c r="R35" i="27" s="1" a="1"/>
  <c r="R35" i="27" s="1"/>
  <c r="H34" i="27"/>
  <c r="C34" i="27"/>
  <c r="H33" i="27"/>
  <c r="C33" i="27"/>
  <c r="H32" i="27"/>
  <c r="C32" i="27"/>
  <c r="H31" i="27"/>
  <c r="C31" i="27"/>
  <c r="H30" i="27"/>
  <c r="C30" i="27"/>
  <c r="H29" i="27"/>
  <c r="C29" i="27"/>
  <c r="H28" i="27"/>
  <c r="C28" i="27"/>
  <c r="H27" i="27"/>
  <c r="C27" i="27"/>
  <c r="R27" i="27" s="1" a="1"/>
  <c r="R27" i="27" s="1"/>
  <c r="H26" i="27"/>
  <c r="C26" i="27"/>
  <c r="H25" i="27"/>
  <c r="C25" i="27"/>
  <c r="H24" i="27"/>
  <c r="C24" i="27"/>
  <c r="H23" i="27"/>
  <c r="C23" i="27"/>
  <c r="H22" i="27"/>
  <c r="C22" i="27"/>
  <c r="H21" i="27"/>
  <c r="C21" i="27"/>
  <c r="H20" i="27"/>
  <c r="R20" i="27" s="1" a="1"/>
  <c r="R20" i="27" s="1"/>
  <c r="C20" i="27"/>
  <c r="H19" i="27"/>
  <c r="R19" i="27" s="1" a="1"/>
  <c r="R19" i="27" s="1"/>
  <c r="C19" i="27"/>
  <c r="H18" i="27"/>
  <c r="C18" i="27"/>
  <c r="H17" i="27"/>
  <c r="C17" i="27"/>
  <c r="H16" i="27"/>
  <c r="C16" i="27"/>
  <c r="H15" i="27"/>
  <c r="C15" i="27"/>
  <c r="H14" i="27"/>
  <c r="C14" i="27"/>
  <c r="H13" i="27"/>
  <c r="C13" i="27"/>
  <c r="H12" i="27"/>
  <c r="C12" i="27"/>
  <c r="H11" i="27"/>
  <c r="C11" i="27"/>
  <c r="V11" i="27" s="1"/>
  <c r="H10" i="27"/>
  <c r="C10" i="27"/>
  <c r="H9" i="27"/>
  <c r="C9" i="27"/>
  <c r="H8" i="27"/>
  <c r="C8" i="27"/>
  <c r="H7" i="27"/>
  <c r="C7" i="27"/>
  <c r="H6" i="27"/>
  <c r="C6" i="27"/>
  <c r="H5" i="27"/>
  <c r="C5" i="27"/>
  <c r="H4" i="27"/>
  <c r="C4" i="27"/>
  <c r="H3" i="27"/>
  <c r="V3" i="27" s="1"/>
  <c r="C3" i="27"/>
  <c r="V162" i="27"/>
  <c r="U162" i="27" a="1"/>
  <c r="U162" i="27" s="1"/>
  <c r="T162" i="27" a="1"/>
  <c r="T162" i="27" s="1"/>
  <c r="S162" i="27" a="1"/>
  <c r="S162" i="27" s="1"/>
  <c r="R162" i="27" a="1"/>
  <c r="R162" i="27" s="1"/>
  <c r="V161" i="27"/>
  <c r="U161" i="27" a="1"/>
  <c r="U161" i="27" s="1"/>
  <c r="T161" i="27" a="1"/>
  <c r="T161" i="27" s="1"/>
  <c r="S161" i="27" a="1"/>
  <c r="S161" i="27" s="1"/>
  <c r="R161" i="27" a="1"/>
  <c r="R161" i="27" s="1"/>
  <c r="V160" i="27"/>
  <c r="U160" i="27" a="1"/>
  <c r="U160" i="27" s="1"/>
  <c r="T160" i="27" a="1"/>
  <c r="T160" i="27" s="1"/>
  <c r="S160" i="27" a="1"/>
  <c r="S160" i="27" s="1"/>
  <c r="R160" i="27" a="1"/>
  <c r="R160" i="27" s="1"/>
  <c r="V159" i="27"/>
  <c r="U159" i="27" a="1"/>
  <c r="U159" i="27" s="1"/>
  <c r="T159" i="27" a="1"/>
  <c r="T159" i="27" s="1"/>
  <c r="S159" i="27" a="1"/>
  <c r="S159" i="27" s="1"/>
  <c r="R159" i="27" a="1"/>
  <c r="R159" i="27" s="1"/>
  <c r="V158" i="27"/>
  <c r="U158" i="27" a="1"/>
  <c r="U158" i="27" s="1"/>
  <c r="T158" i="27" a="1"/>
  <c r="T158" i="27" s="1"/>
  <c r="S158" i="27" a="1"/>
  <c r="S158" i="27" s="1"/>
  <c r="R158" i="27" a="1"/>
  <c r="R158" i="27" s="1"/>
  <c r="V157" i="27"/>
  <c r="U157" i="27" a="1"/>
  <c r="U157" i="27" s="1"/>
  <c r="T157" i="27" a="1"/>
  <c r="T157" i="27" s="1"/>
  <c r="S157" i="27" a="1"/>
  <c r="S157" i="27" s="1"/>
  <c r="R157" i="27" a="1"/>
  <c r="R157" i="27" s="1"/>
  <c r="V156" i="27"/>
  <c r="U156" i="27" a="1"/>
  <c r="U156" i="27" s="1"/>
  <c r="T156" i="27" a="1"/>
  <c r="T156" i="27" s="1"/>
  <c r="S156" i="27" a="1"/>
  <c r="S156" i="27" s="1"/>
  <c r="R156" i="27" a="1"/>
  <c r="R156" i="27" s="1"/>
  <c r="V155" i="27"/>
  <c r="U155" i="27" a="1"/>
  <c r="U155" i="27" s="1"/>
  <c r="T155" i="27" a="1"/>
  <c r="T155" i="27" s="1"/>
  <c r="S155" i="27" a="1"/>
  <c r="S155" i="27" s="1"/>
  <c r="R155" i="27" a="1"/>
  <c r="R155" i="27" s="1"/>
  <c r="V154" i="27"/>
  <c r="U154" i="27" a="1"/>
  <c r="U154" i="27" s="1"/>
  <c r="T154" i="27" a="1"/>
  <c r="T154" i="27" s="1"/>
  <c r="S154" i="27" a="1"/>
  <c r="S154" i="27" s="1"/>
  <c r="R154" i="27" a="1"/>
  <c r="R154" i="27" s="1"/>
  <c r="V153" i="27"/>
  <c r="U153" i="27" a="1"/>
  <c r="U153" i="27" s="1"/>
  <c r="T153" i="27" a="1"/>
  <c r="T153" i="27" s="1"/>
  <c r="S153" i="27" a="1"/>
  <c r="S153" i="27" s="1"/>
  <c r="R153" i="27" a="1"/>
  <c r="R153" i="27" s="1"/>
  <c r="V152" i="27"/>
  <c r="U152" i="27" a="1"/>
  <c r="U152" i="27" s="1"/>
  <c r="T152" i="27" a="1"/>
  <c r="T152" i="27" s="1"/>
  <c r="S152" i="27" a="1"/>
  <c r="S152" i="27" s="1"/>
  <c r="R152" i="27" a="1"/>
  <c r="R152" i="27" s="1"/>
  <c r="V151" i="27"/>
  <c r="U151" i="27" a="1"/>
  <c r="U151" i="27" s="1"/>
  <c r="T151" i="27" a="1"/>
  <c r="T151" i="27" s="1"/>
  <c r="S151" i="27" a="1"/>
  <c r="S151" i="27" s="1"/>
  <c r="R151" i="27" a="1"/>
  <c r="R151" i="27" s="1"/>
  <c r="V150" i="27"/>
  <c r="U150" i="27" a="1"/>
  <c r="U150" i="27" s="1"/>
  <c r="T150" i="27" a="1"/>
  <c r="T150" i="27" s="1"/>
  <c r="S150" i="27" a="1"/>
  <c r="S150" i="27" s="1"/>
  <c r="R150" i="27" a="1"/>
  <c r="R150" i="27" s="1"/>
  <c r="V149" i="27"/>
  <c r="U149" i="27" a="1"/>
  <c r="U149" i="27" s="1"/>
  <c r="T149" i="27" a="1"/>
  <c r="T149" i="27" s="1"/>
  <c r="S149" i="27" a="1"/>
  <c r="S149" i="27" s="1"/>
  <c r="R149" i="27" a="1"/>
  <c r="R149" i="27" s="1"/>
  <c r="V148" i="27"/>
  <c r="U148" i="27" a="1"/>
  <c r="U148" i="27" s="1"/>
  <c r="T148" i="27" a="1"/>
  <c r="T148" i="27" s="1"/>
  <c r="S148" i="27" a="1"/>
  <c r="S148" i="27" s="1"/>
  <c r="R148" i="27" a="1"/>
  <c r="R148" i="27" s="1"/>
  <c r="V147" i="27"/>
  <c r="U147" i="27" a="1"/>
  <c r="U147" i="27" s="1"/>
  <c r="T147" i="27" a="1"/>
  <c r="T147" i="27" s="1"/>
  <c r="S147" i="27" a="1"/>
  <c r="S147" i="27" s="1"/>
  <c r="R147" i="27" a="1"/>
  <c r="R147" i="27" s="1"/>
  <c r="V146" i="27"/>
  <c r="U146" i="27" a="1"/>
  <c r="U146" i="27" s="1"/>
  <c r="T146" i="27" a="1"/>
  <c r="T146" i="27" s="1"/>
  <c r="S146" i="27" a="1"/>
  <c r="S146" i="27" s="1"/>
  <c r="R146" i="27" a="1"/>
  <c r="R146" i="27" s="1"/>
  <c r="V145" i="27"/>
  <c r="U145" i="27" a="1"/>
  <c r="U145" i="27" s="1"/>
  <c r="T145" i="27" a="1"/>
  <c r="T145" i="27" s="1"/>
  <c r="S145" i="27" a="1"/>
  <c r="S145" i="27" s="1"/>
  <c r="R145" i="27" a="1"/>
  <c r="R145" i="27" s="1"/>
  <c r="V144" i="27"/>
  <c r="U144" i="27" a="1"/>
  <c r="U144" i="27" s="1"/>
  <c r="T144" i="27" a="1"/>
  <c r="T144" i="27" s="1"/>
  <c r="S144" i="27" a="1"/>
  <c r="S144" i="27" s="1"/>
  <c r="R144" i="27" a="1"/>
  <c r="R144" i="27" s="1"/>
  <c r="V143" i="27"/>
  <c r="U143" i="27" a="1"/>
  <c r="U143" i="27" s="1"/>
  <c r="T143" i="27" a="1"/>
  <c r="T143" i="27" s="1"/>
  <c r="S143" i="27" a="1"/>
  <c r="S143" i="27" s="1"/>
  <c r="R143" i="27" a="1"/>
  <c r="R143" i="27" s="1"/>
  <c r="V142" i="27"/>
  <c r="U142" i="27" a="1"/>
  <c r="U142" i="27" s="1"/>
  <c r="T142" i="27" a="1"/>
  <c r="T142" i="27" s="1"/>
  <c r="S142" i="27" a="1"/>
  <c r="S142" i="27" s="1"/>
  <c r="R142" i="27" a="1"/>
  <c r="R142" i="27" s="1"/>
  <c r="V141" i="27"/>
  <c r="U141" i="27" a="1"/>
  <c r="U141" i="27" s="1"/>
  <c r="T141" i="27" a="1"/>
  <c r="T141" i="27" s="1"/>
  <c r="S141" i="27" a="1"/>
  <c r="S141" i="27" s="1"/>
  <c r="R141" i="27" a="1"/>
  <c r="R141" i="27" s="1"/>
  <c r="V140" i="27"/>
  <c r="U140" i="27" a="1"/>
  <c r="U140" i="27" s="1"/>
  <c r="T140" i="27" a="1"/>
  <c r="T140" i="27" s="1"/>
  <c r="S140" i="27" a="1"/>
  <c r="S140" i="27" s="1"/>
  <c r="R140" i="27" a="1"/>
  <c r="R140" i="27" s="1"/>
  <c r="V139" i="27"/>
  <c r="U139" i="27" a="1"/>
  <c r="U139" i="27" s="1"/>
  <c r="T139" i="27" a="1"/>
  <c r="T139" i="27" s="1"/>
  <c r="S139" i="27" a="1"/>
  <c r="S139" i="27" s="1"/>
  <c r="R139" i="27" a="1"/>
  <c r="R139" i="27" s="1"/>
  <c r="V138" i="27"/>
  <c r="U138" i="27" a="1"/>
  <c r="U138" i="27" s="1"/>
  <c r="T138" i="27" a="1"/>
  <c r="T138" i="27" s="1"/>
  <c r="S138" i="27" a="1"/>
  <c r="S138" i="27" s="1"/>
  <c r="R138" i="27" a="1"/>
  <c r="R138" i="27" s="1"/>
  <c r="V137" i="27"/>
  <c r="U137" i="27" a="1"/>
  <c r="U137" i="27" s="1"/>
  <c r="T137" i="27" a="1"/>
  <c r="T137" i="27" s="1"/>
  <c r="S137" i="27" a="1"/>
  <c r="S137" i="27" s="1"/>
  <c r="R137" i="27" a="1"/>
  <c r="R137" i="27" s="1"/>
  <c r="V136" i="27"/>
  <c r="U136" i="27" a="1"/>
  <c r="U136" i="27" s="1"/>
  <c r="T136" i="27" a="1"/>
  <c r="T136" i="27" s="1"/>
  <c r="S136" i="27" a="1"/>
  <c r="S136" i="27" s="1"/>
  <c r="R136" i="27" a="1"/>
  <c r="R136" i="27" s="1"/>
  <c r="V135" i="27"/>
  <c r="U135" i="27" a="1"/>
  <c r="U135" i="27" s="1"/>
  <c r="T135" i="27" a="1"/>
  <c r="T135" i="27" s="1"/>
  <c r="S135" i="27" a="1"/>
  <c r="S135" i="27" s="1"/>
  <c r="R135" i="27" a="1"/>
  <c r="R135" i="27" s="1"/>
  <c r="V134" i="27"/>
  <c r="U134" i="27" a="1"/>
  <c r="U134" i="27" s="1"/>
  <c r="T134" i="27" a="1"/>
  <c r="T134" i="27" s="1"/>
  <c r="S134" i="27" a="1"/>
  <c r="S134" i="27" s="1"/>
  <c r="R134" i="27" a="1"/>
  <c r="R134" i="27" s="1"/>
  <c r="V133" i="27"/>
  <c r="U133" i="27" a="1"/>
  <c r="U133" i="27" s="1"/>
  <c r="T133" i="27" a="1"/>
  <c r="T133" i="27" s="1"/>
  <c r="S133" i="27" a="1"/>
  <c r="S133" i="27" s="1"/>
  <c r="R133" i="27" a="1"/>
  <c r="R133" i="27" s="1"/>
  <c r="V132" i="27"/>
  <c r="U132" i="27" a="1"/>
  <c r="U132" i="27" s="1"/>
  <c r="T132" i="27" a="1"/>
  <c r="T132" i="27" s="1"/>
  <c r="S132" i="27" a="1"/>
  <c r="S132" i="27" s="1"/>
  <c r="R132" i="27" a="1"/>
  <c r="R132" i="27" s="1"/>
  <c r="V131" i="27"/>
  <c r="U131" i="27" a="1"/>
  <c r="U131" i="27" s="1"/>
  <c r="T131" i="27" a="1"/>
  <c r="T131" i="27" s="1"/>
  <c r="S131" i="27" a="1"/>
  <c r="S131" i="27" s="1"/>
  <c r="R131" i="27" a="1"/>
  <c r="R131" i="27" s="1"/>
  <c r="V130" i="27"/>
  <c r="U130" i="27" a="1"/>
  <c r="U130" i="27" s="1"/>
  <c r="T130" i="27" a="1"/>
  <c r="T130" i="27" s="1"/>
  <c r="S130" i="27" a="1"/>
  <c r="S130" i="27" s="1"/>
  <c r="R130" i="27" a="1"/>
  <c r="R130" i="27" s="1"/>
  <c r="V129" i="27"/>
  <c r="U129" i="27" a="1"/>
  <c r="U129" i="27" s="1"/>
  <c r="T129" i="27" a="1"/>
  <c r="T129" i="27" s="1"/>
  <c r="S129" i="27" a="1"/>
  <c r="S129" i="27" s="1"/>
  <c r="R129" i="27" a="1"/>
  <c r="R129" i="27" s="1"/>
  <c r="V128" i="27"/>
  <c r="U128" i="27" a="1"/>
  <c r="U128" i="27" s="1"/>
  <c r="T128" i="27" a="1"/>
  <c r="T128" i="27" s="1"/>
  <c r="S128" i="27" a="1"/>
  <c r="S128" i="27" s="1"/>
  <c r="R128" i="27" a="1"/>
  <c r="R128" i="27" s="1"/>
  <c r="V127" i="27"/>
  <c r="U127" i="27" a="1"/>
  <c r="U127" i="27" s="1"/>
  <c r="T127" i="27" a="1"/>
  <c r="T127" i="27" s="1"/>
  <c r="S127" i="27" a="1"/>
  <c r="S127" i="27" s="1"/>
  <c r="R127" i="27" a="1"/>
  <c r="R127" i="27" s="1"/>
  <c r="V126" i="27"/>
  <c r="U126" i="27" a="1"/>
  <c r="U126" i="27" s="1"/>
  <c r="T126" i="27" a="1"/>
  <c r="T126" i="27" s="1"/>
  <c r="S126" i="27" a="1"/>
  <c r="S126" i="27" s="1"/>
  <c r="R126" i="27" a="1"/>
  <c r="R126" i="27" s="1"/>
  <c r="V125" i="27"/>
  <c r="U125" i="27" a="1"/>
  <c r="U125" i="27" s="1"/>
  <c r="T125" i="27" a="1"/>
  <c r="T125" i="27" s="1"/>
  <c r="S125" i="27" a="1"/>
  <c r="S125" i="27" s="1"/>
  <c r="R125" i="27" a="1"/>
  <c r="R125" i="27" s="1"/>
  <c r="V124" i="27"/>
  <c r="U124" i="27" a="1"/>
  <c r="U124" i="27" s="1"/>
  <c r="T124" i="27" a="1"/>
  <c r="T124" i="27" s="1"/>
  <c r="S124" i="27" a="1"/>
  <c r="S124" i="27" s="1"/>
  <c r="R124" i="27" a="1"/>
  <c r="R124" i="27" s="1"/>
  <c r="V123" i="27"/>
  <c r="U123" i="27" a="1"/>
  <c r="U123" i="27" s="1"/>
  <c r="T123" i="27" a="1"/>
  <c r="T123" i="27" s="1"/>
  <c r="S123" i="27" a="1"/>
  <c r="S123" i="27" s="1"/>
  <c r="R123" i="27" a="1"/>
  <c r="R123" i="27" s="1"/>
  <c r="V122" i="27"/>
  <c r="U122" i="27" a="1"/>
  <c r="U122" i="27" s="1"/>
  <c r="T122" i="27" a="1"/>
  <c r="T122" i="27" s="1"/>
  <c r="S122" i="27" a="1"/>
  <c r="S122" i="27" s="1"/>
  <c r="R122" i="27" a="1"/>
  <c r="R122" i="27" s="1"/>
  <c r="V121" i="27"/>
  <c r="U121" i="27" a="1"/>
  <c r="U121" i="27" s="1"/>
  <c r="T121" i="27" a="1"/>
  <c r="T121" i="27" s="1"/>
  <c r="S121" i="27" a="1"/>
  <c r="S121" i="27" s="1"/>
  <c r="R121" i="27" a="1"/>
  <c r="R121" i="27" s="1"/>
  <c r="V120" i="27"/>
  <c r="U120" i="27" a="1"/>
  <c r="U120" i="27" s="1"/>
  <c r="T120" i="27" a="1"/>
  <c r="T120" i="27" s="1"/>
  <c r="S120" i="27" a="1"/>
  <c r="S120" i="27" s="1"/>
  <c r="R120" i="27" a="1"/>
  <c r="R120" i="27" s="1"/>
  <c r="V119" i="27"/>
  <c r="U119" i="27" a="1"/>
  <c r="U119" i="27" s="1"/>
  <c r="T119" i="27" a="1"/>
  <c r="T119" i="27" s="1"/>
  <c r="S119" i="27" a="1"/>
  <c r="S119" i="27" s="1"/>
  <c r="R119" i="27" a="1"/>
  <c r="R119" i="27" s="1"/>
  <c r="V118" i="27"/>
  <c r="U118" i="27" a="1"/>
  <c r="U118" i="27" s="1"/>
  <c r="T118" i="27" a="1"/>
  <c r="T118" i="27" s="1"/>
  <c r="S118" i="27" a="1"/>
  <c r="S118" i="27" s="1"/>
  <c r="R118" i="27" a="1"/>
  <c r="R118" i="27" s="1"/>
  <c r="V117" i="27"/>
  <c r="U117" i="27" a="1"/>
  <c r="U117" i="27" s="1"/>
  <c r="T117" i="27" a="1"/>
  <c r="T117" i="27" s="1"/>
  <c r="S117" i="27" a="1"/>
  <c r="S117" i="27" s="1"/>
  <c r="R117" i="27" a="1"/>
  <c r="R117" i="27" s="1"/>
  <c r="V116" i="27"/>
  <c r="U116" i="27" a="1"/>
  <c r="U116" i="27" s="1"/>
  <c r="T116" i="27" a="1"/>
  <c r="T116" i="27" s="1"/>
  <c r="S116" i="27" a="1"/>
  <c r="S116" i="27" s="1"/>
  <c r="R116" i="27" a="1"/>
  <c r="R116" i="27" s="1"/>
  <c r="V115" i="27"/>
  <c r="U115" i="27" a="1"/>
  <c r="U115" i="27" s="1"/>
  <c r="T115" i="27" a="1"/>
  <c r="T115" i="27" s="1"/>
  <c r="S115" i="27" a="1"/>
  <c r="S115" i="27" s="1"/>
  <c r="R115" i="27" a="1"/>
  <c r="R115" i="27" s="1"/>
  <c r="V114" i="27"/>
  <c r="U114" i="27" a="1"/>
  <c r="U114" i="27" s="1"/>
  <c r="T114" i="27" a="1"/>
  <c r="T114" i="27" s="1"/>
  <c r="S114" i="27" a="1"/>
  <c r="S114" i="27" s="1"/>
  <c r="R114" i="27" a="1"/>
  <c r="R114" i="27" s="1"/>
  <c r="V113" i="27"/>
  <c r="U113" i="27" a="1"/>
  <c r="U113" i="27" s="1"/>
  <c r="T113" i="27" a="1"/>
  <c r="T113" i="27" s="1"/>
  <c r="S113" i="27" a="1"/>
  <c r="S113" i="27" s="1"/>
  <c r="R113" i="27" a="1"/>
  <c r="R113" i="27" s="1"/>
  <c r="V112" i="27"/>
  <c r="U112" i="27" a="1"/>
  <c r="U112" i="27" s="1"/>
  <c r="T112" i="27" a="1"/>
  <c r="T112" i="27" s="1"/>
  <c r="S112" i="27" a="1"/>
  <c r="S112" i="27" s="1"/>
  <c r="R112" i="27" a="1"/>
  <c r="R112" i="27" s="1"/>
  <c r="V111" i="27"/>
  <c r="U111" i="27" a="1"/>
  <c r="U111" i="27" s="1"/>
  <c r="T111" i="27" a="1"/>
  <c r="T111" i="27" s="1"/>
  <c r="S111" i="27" a="1"/>
  <c r="S111" i="27" s="1"/>
  <c r="R111" i="27" a="1"/>
  <c r="R111" i="27" s="1"/>
  <c r="V110" i="27"/>
  <c r="U110" i="27" a="1"/>
  <c r="U110" i="27" s="1"/>
  <c r="T110" i="27" a="1"/>
  <c r="T110" i="27" s="1"/>
  <c r="S110" i="27" a="1"/>
  <c r="S110" i="27" s="1"/>
  <c r="R110" i="27" a="1"/>
  <c r="R110" i="27" s="1"/>
  <c r="V109" i="27"/>
  <c r="U109" i="27" a="1"/>
  <c r="U109" i="27" s="1"/>
  <c r="T109" i="27" a="1"/>
  <c r="T109" i="27" s="1"/>
  <c r="S109" i="27" a="1"/>
  <c r="S109" i="27" s="1"/>
  <c r="R109" i="27" a="1"/>
  <c r="R109" i="27" s="1"/>
  <c r="V108" i="27"/>
  <c r="U108" i="27" a="1"/>
  <c r="U108" i="27" s="1"/>
  <c r="T108" i="27" a="1"/>
  <c r="T108" i="27" s="1"/>
  <c r="S108" i="27" a="1"/>
  <c r="S108" i="27" s="1"/>
  <c r="R108" i="27" a="1"/>
  <c r="R108" i="27" s="1"/>
  <c r="V107" i="27"/>
  <c r="U107" i="27" a="1"/>
  <c r="U107" i="27" s="1"/>
  <c r="T107" i="27" a="1"/>
  <c r="T107" i="27" s="1"/>
  <c r="S107" i="27" a="1"/>
  <c r="S107" i="27" s="1"/>
  <c r="R107" i="27" a="1"/>
  <c r="R107" i="27" s="1"/>
  <c r="V106" i="27"/>
  <c r="U106" i="27" a="1"/>
  <c r="U106" i="27" s="1"/>
  <c r="T106" i="27" a="1"/>
  <c r="T106" i="27" s="1"/>
  <c r="S106" i="27" a="1"/>
  <c r="S106" i="27" s="1"/>
  <c r="R106" i="27" a="1"/>
  <c r="R106" i="27" s="1"/>
  <c r="V105" i="27"/>
  <c r="U105" i="27" a="1"/>
  <c r="U105" i="27" s="1"/>
  <c r="T105" i="27" a="1"/>
  <c r="T105" i="27" s="1"/>
  <c r="S105" i="27" a="1"/>
  <c r="S105" i="27" s="1"/>
  <c r="R105" i="27" a="1"/>
  <c r="R105" i="27" s="1"/>
  <c r="V104" i="27"/>
  <c r="U104" i="27" a="1"/>
  <c r="U104" i="27" s="1"/>
  <c r="T104" i="27" a="1"/>
  <c r="T104" i="27" s="1"/>
  <c r="S104" i="27" a="1"/>
  <c r="S104" i="27" s="1"/>
  <c r="R104" i="27" a="1"/>
  <c r="R104" i="27" s="1"/>
  <c r="V103" i="27"/>
  <c r="U103" i="27" a="1"/>
  <c r="U103" i="27" s="1"/>
  <c r="T103" i="27" a="1"/>
  <c r="T103" i="27" s="1"/>
  <c r="S103" i="27" a="1"/>
  <c r="S103" i="27" s="1"/>
  <c r="R103" i="27" a="1"/>
  <c r="R103" i="27" s="1"/>
  <c r="V102" i="27"/>
  <c r="U102" i="27" a="1"/>
  <c r="U102" i="27" s="1"/>
  <c r="T102" i="27" a="1"/>
  <c r="T102" i="27" s="1"/>
  <c r="S102" i="27" a="1"/>
  <c r="S102" i="27" s="1"/>
  <c r="R102" i="27" a="1"/>
  <c r="R102" i="27" s="1"/>
  <c r="V101" i="27"/>
  <c r="U101" i="27" a="1"/>
  <c r="U101" i="27" s="1"/>
  <c r="T101" i="27" a="1"/>
  <c r="T101" i="27" s="1"/>
  <c r="S101" i="27" a="1"/>
  <c r="S101" i="27" s="1"/>
  <c r="R101" i="27" a="1"/>
  <c r="R101" i="27" s="1"/>
  <c r="V100" i="27"/>
  <c r="U100" i="27" a="1"/>
  <c r="U100" i="27" s="1"/>
  <c r="T100" i="27" a="1"/>
  <c r="T100" i="27" s="1"/>
  <c r="S100" i="27" a="1"/>
  <c r="S100" i="27" s="1"/>
  <c r="R100" i="27" a="1"/>
  <c r="R100" i="27" s="1"/>
  <c r="V99" i="27"/>
  <c r="U99" i="27" a="1"/>
  <c r="U99" i="27" s="1"/>
  <c r="T99" i="27" a="1"/>
  <c r="T99" i="27" s="1"/>
  <c r="S99" i="27" a="1"/>
  <c r="S99" i="27" s="1"/>
  <c r="R99" i="27" a="1"/>
  <c r="R99" i="27" s="1"/>
  <c r="V98" i="27"/>
  <c r="U98" i="27" a="1"/>
  <c r="U98" i="27" s="1"/>
  <c r="T98" i="27" a="1"/>
  <c r="T98" i="27" s="1"/>
  <c r="S98" i="27" a="1"/>
  <c r="S98" i="27" s="1"/>
  <c r="R98" i="27" a="1"/>
  <c r="R98" i="27" s="1"/>
  <c r="V97" i="27"/>
  <c r="U97" i="27" a="1"/>
  <c r="U97" i="27" s="1"/>
  <c r="T97" i="27" a="1"/>
  <c r="T97" i="27" s="1"/>
  <c r="S97" i="27" a="1"/>
  <c r="S97" i="27" s="1"/>
  <c r="R97" i="27" a="1"/>
  <c r="R97" i="27" s="1"/>
  <c r="V96" i="27"/>
  <c r="U96" i="27" a="1"/>
  <c r="U96" i="27" s="1"/>
  <c r="T96" i="27" a="1"/>
  <c r="T96" i="27" s="1"/>
  <c r="S96" i="27" a="1"/>
  <c r="S96" i="27" s="1"/>
  <c r="R96" i="27" a="1"/>
  <c r="R96" i="27" s="1"/>
  <c r="V95" i="27"/>
  <c r="U95" i="27" a="1"/>
  <c r="U95" i="27" s="1"/>
  <c r="T95" i="27" a="1"/>
  <c r="T95" i="27" s="1"/>
  <c r="S95" i="27" a="1"/>
  <c r="S95" i="27" s="1"/>
  <c r="R95" i="27" a="1"/>
  <c r="R95" i="27" s="1"/>
  <c r="V94" i="27"/>
  <c r="U94" i="27" a="1"/>
  <c r="U94" i="27" s="1"/>
  <c r="T94" i="27" a="1"/>
  <c r="T94" i="27" s="1"/>
  <c r="S94" i="27" a="1"/>
  <c r="S94" i="27" s="1"/>
  <c r="R94" i="27" a="1"/>
  <c r="R94" i="27" s="1"/>
  <c r="V93" i="27"/>
  <c r="U93" i="27" a="1"/>
  <c r="U93" i="27" s="1"/>
  <c r="T93" i="27" a="1"/>
  <c r="T93" i="27" s="1"/>
  <c r="S93" i="27" a="1"/>
  <c r="S93" i="27" s="1"/>
  <c r="R93" i="27" a="1"/>
  <c r="R93" i="27" s="1"/>
  <c r="V92" i="27"/>
  <c r="U92" i="27" a="1"/>
  <c r="U92" i="27" s="1"/>
  <c r="T92" i="27" a="1"/>
  <c r="T92" i="27" s="1"/>
  <c r="S92" i="27" a="1"/>
  <c r="S92" i="27" s="1"/>
  <c r="R92" i="27" a="1"/>
  <c r="R92" i="27" s="1"/>
  <c r="V91" i="27"/>
  <c r="U91" i="27" a="1"/>
  <c r="U91" i="27" s="1"/>
  <c r="T91" i="27" a="1"/>
  <c r="T91" i="27" s="1"/>
  <c r="S91" i="27" a="1"/>
  <c r="S91" i="27" s="1"/>
  <c r="R91" i="27" a="1"/>
  <c r="R91" i="27" s="1"/>
  <c r="V90" i="27"/>
  <c r="U90" i="27" a="1"/>
  <c r="U90" i="27" s="1"/>
  <c r="T90" i="27" a="1"/>
  <c r="T90" i="27" s="1"/>
  <c r="S90" i="27" a="1"/>
  <c r="S90" i="27" s="1"/>
  <c r="R90" i="27" a="1"/>
  <c r="R90" i="27" s="1"/>
  <c r="V89" i="27"/>
  <c r="U89" i="27" a="1"/>
  <c r="U89" i="27" s="1"/>
  <c r="T89" i="27" a="1"/>
  <c r="T89" i="27" s="1"/>
  <c r="S89" i="27" a="1"/>
  <c r="S89" i="27" s="1"/>
  <c r="R89" i="27" a="1"/>
  <c r="R89" i="27" s="1"/>
  <c r="V88" i="27"/>
  <c r="U88" i="27" a="1"/>
  <c r="U88" i="27" s="1"/>
  <c r="T88" i="27" a="1"/>
  <c r="T88" i="27" s="1"/>
  <c r="S88" i="27" a="1"/>
  <c r="S88" i="27" s="1"/>
  <c r="R88" i="27" a="1"/>
  <c r="R88" i="27" s="1"/>
  <c r="V87" i="27"/>
  <c r="U87" i="27" a="1"/>
  <c r="U87" i="27" s="1"/>
  <c r="T87" i="27" a="1"/>
  <c r="T87" i="27" s="1"/>
  <c r="S87" i="27" a="1"/>
  <c r="S87" i="27" s="1"/>
  <c r="R87" i="27" a="1"/>
  <c r="R87" i="27" s="1"/>
  <c r="V86" i="27"/>
  <c r="U86" i="27" a="1"/>
  <c r="U86" i="27" s="1"/>
  <c r="T86" i="27" a="1"/>
  <c r="T86" i="27" s="1"/>
  <c r="S86" i="27" a="1"/>
  <c r="S86" i="27" s="1"/>
  <c r="R86" i="27" a="1"/>
  <c r="R86" i="27" s="1"/>
  <c r="V85" i="27"/>
  <c r="U85" i="27" a="1"/>
  <c r="U85" i="27" s="1"/>
  <c r="T85" i="27" a="1"/>
  <c r="T85" i="27" s="1"/>
  <c r="S85" i="27" a="1"/>
  <c r="S85" i="27" s="1"/>
  <c r="R85" i="27" a="1"/>
  <c r="R85" i="27" s="1"/>
  <c r="V84" i="27"/>
  <c r="U84" i="27" a="1"/>
  <c r="U84" i="27" s="1"/>
  <c r="T84" i="27" a="1"/>
  <c r="T84" i="27" s="1"/>
  <c r="S84" i="27" a="1"/>
  <c r="S84" i="27" s="1"/>
  <c r="R84" i="27" a="1"/>
  <c r="R84" i="27" s="1"/>
  <c r="V83" i="27"/>
  <c r="U83" i="27" a="1"/>
  <c r="U83" i="27" s="1"/>
  <c r="T83" i="27" a="1"/>
  <c r="T83" i="27" s="1"/>
  <c r="S83" i="27" a="1"/>
  <c r="S83" i="27" s="1"/>
  <c r="R83" i="27" a="1"/>
  <c r="R83" i="27" s="1"/>
  <c r="V82" i="27"/>
  <c r="U82" i="27" a="1"/>
  <c r="U82" i="27" s="1"/>
  <c r="T82" i="27" a="1"/>
  <c r="T82" i="27" s="1"/>
  <c r="S82" i="27" a="1"/>
  <c r="S82" i="27" s="1"/>
  <c r="R82" i="27" a="1"/>
  <c r="R82" i="27" s="1"/>
  <c r="V81" i="27"/>
  <c r="U81" i="27" a="1"/>
  <c r="U81" i="27" s="1"/>
  <c r="T81" i="27" a="1"/>
  <c r="T81" i="27" s="1"/>
  <c r="S81" i="27" a="1"/>
  <c r="S81" i="27" s="1"/>
  <c r="R81" i="27" a="1"/>
  <c r="R81" i="27" s="1"/>
  <c r="V80" i="27"/>
  <c r="U80" i="27" a="1"/>
  <c r="U80" i="27" s="1"/>
  <c r="T80" i="27" a="1"/>
  <c r="T80" i="27" s="1"/>
  <c r="S80" i="27" a="1"/>
  <c r="S80" i="27" s="1"/>
  <c r="R80" i="27" a="1"/>
  <c r="R80" i="27" s="1"/>
  <c r="V79" i="27"/>
  <c r="U79" i="27" a="1"/>
  <c r="U79" i="27" s="1"/>
  <c r="T79" i="27" a="1"/>
  <c r="T79" i="27" s="1"/>
  <c r="S79" i="27" a="1"/>
  <c r="S79" i="27" s="1"/>
  <c r="R79" i="27" a="1"/>
  <c r="R79" i="27" s="1"/>
  <c r="V78" i="27"/>
  <c r="U78" i="27" a="1"/>
  <c r="U78" i="27" s="1"/>
  <c r="T78" i="27" a="1"/>
  <c r="T78" i="27" s="1"/>
  <c r="S78" i="27" a="1"/>
  <c r="S78" i="27" s="1"/>
  <c r="R78" i="27" a="1"/>
  <c r="R78" i="27" s="1"/>
  <c r="V77" i="27"/>
  <c r="U77" i="27" a="1"/>
  <c r="U77" i="27" s="1"/>
  <c r="T77" i="27" a="1"/>
  <c r="T77" i="27" s="1"/>
  <c r="S77" i="27" a="1"/>
  <c r="S77" i="27" s="1"/>
  <c r="R77" i="27" a="1"/>
  <c r="R77" i="27" s="1"/>
  <c r="V76" i="27"/>
  <c r="U76" i="27" a="1"/>
  <c r="U76" i="27" s="1"/>
  <c r="T76" i="27" a="1"/>
  <c r="T76" i="27" s="1"/>
  <c r="S76" i="27" a="1"/>
  <c r="S76" i="27" s="1"/>
  <c r="R76" i="27" a="1"/>
  <c r="R76" i="27" s="1"/>
  <c r="V75" i="27"/>
  <c r="U75" i="27" a="1"/>
  <c r="U75" i="27" s="1"/>
  <c r="T75" i="27" a="1"/>
  <c r="T75" i="27" s="1"/>
  <c r="S75" i="27" a="1"/>
  <c r="S75" i="27" s="1"/>
  <c r="R75" i="27" a="1"/>
  <c r="R75" i="27" s="1"/>
  <c r="V74" i="27"/>
  <c r="U74" i="27" a="1"/>
  <c r="U74" i="27" s="1"/>
  <c r="T74" i="27" a="1"/>
  <c r="T74" i="27" s="1"/>
  <c r="S74" i="27" a="1"/>
  <c r="S74" i="27" s="1"/>
  <c r="R74" i="27" a="1"/>
  <c r="R74" i="27" s="1"/>
  <c r="V73" i="27"/>
  <c r="U73" i="27" a="1"/>
  <c r="U73" i="27" s="1"/>
  <c r="T73" i="27" a="1"/>
  <c r="T73" i="27" s="1"/>
  <c r="S73" i="27" a="1"/>
  <c r="S73" i="27" s="1"/>
  <c r="R73" i="27" a="1"/>
  <c r="R73" i="27" s="1"/>
  <c r="V72" i="27"/>
  <c r="U72" i="27" a="1"/>
  <c r="U72" i="27" s="1"/>
  <c r="T72" i="27" a="1"/>
  <c r="T72" i="27" s="1"/>
  <c r="S72" i="27" a="1"/>
  <c r="S72" i="27" s="1"/>
  <c r="R72" i="27" a="1"/>
  <c r="R72" i="27" s="1"/>
  <c r="V71" i="27"/>
  <c r="U71" i="27" a="1"/>
  <c r="U71" i="27" s="1"/>
  <c r="T71" i="27" a="1"/>
  <c r="T71" i="27" s="1"/>
  <c r="S71" i="27" a="1"/>
  <c r="S71" i="27" s="1"/>
  <c r="R71" i="27" a="1"/>
  <c r="R71" i="27" s="1"/>
  <c r="V70" i="27"/>
  <c r="U70" i="27" a="1"/>
  <c r="U70" i="27" s="1"/>
  <c r="T70" i="27" a="1"/>
  <c r="T70" i="27" s="1"/>
  <c r="S70" i="27" a="1"/>
  <c r="S70" i="27" s="1"/>
  <c r="R70" i="27" a="1"/>
  <c r="R70" i="27" s="1"/>
  <c r="V69" i="27"/>
  <c r="U69" i="27" a="1"/>
  <c r="U69" i="27" s="1"/>
  <c r="T69" i="27" a="1"/>
  <c r="T69" i="27" s="1"/>
  <c r="S69" i="27" a="1"/>
  <c r="S69" i="27" s="1"/>
  <c r="R69" i="27" a="1"/>
  <c r="R69" i="27" s="1"/>
  <c r="V68" i="27"/>
  <c r="U68" i="27" a="1"/>
  <c r="U68" i="27" s="1"/>
  <c r="T68" i="27" a="1"/>
  <c r="T68" i="27" s="1"/>
  <c r="S68" i="27" a="1"/>
  <c r="S68" i="27" s="1"/>
  <c r="R68" i="27" a="1"/>
  <c r="R68" i="27" s="1"/>
  <c r="V67" i="27"/>
  <c r="U67" i="27" a="1"/>
  <c r="U67" i="27" s="1"/>
  <c r="T67" i="27" a="1"/>
  <c r="T67" i="27" s="1"/>
  <c r="S67" i="27" a="1"/>
  <c r="S67" i="27" s="1"/>
  <c r="R67" i="27" a="1"/>
  <c r="R67" i="27" s="1"/>
  <c r="V66" i="27"/>
  <c r="U66" i="27" a="1"/>
  <c r="U66" i="27" s="1"/>
  <c r="T66" i="27" a="1"/>
  <c r="T66" i="27" s="1"/>
  <c r="S66" i="27" a="1"/>
  <c r="S66" i="27" s="1"/>
  <c r="R66" i="27" a="1"/>
  <c r="R66" i="27" s="1"/>
  <c r="V65" i="27"/>
  <c r="U65" i="27" a="1"/>
  <c r="U65" i="27" s="1"/>
  <c r="T65" i="27" a="1"/>
  <c r="T65" i="27" s="1"/>
  <c r="S65" i="27" a="1"/>
  <c r="S65" i="27" s="1"/>
  <c r="R65" i="27" a="1"/>
  <c r="R65" i="27" s="1"/>
  <c r="U64" i="27" a="1"/>
  <c r="U64" i="27" s="1"/>
  <c r="T64" i="27" a="1"/>
  <c r="T64" i="27" s="1"/>
  <c r="S64" i="27" a="1"/>
  <c r="S64" i="27" s="1"/>
  <c r="R64" i="27" a="1"/>
  <c r="R64" i="27" s="1"/>
  <c r="V63" i="27"/>
  <c r="U63" i="27" a="1"/>
  <c r="U63" i="27" s="1"/>
  <c r="T63" i="27" a="1"/>
  <c r="T63" i="27" s="1"/>
  <c r="S63" i="27" a="1"/>
  <c r="S63" i="27" s="1"/>
  <c r="R63" i="27" a="1"/>
  <c r="R63" i="27" s="1"/>
  <c r="U62" i="27" a="1"/>
  <c r="U62" i="27" s="1"/>
  <c r="T62" i="27" a="1"/>
  <c r="T62" i="27" s="1"/>
  <c r="S62" i="27" a="1"/>
  <c r="S62" i="27" s="1"/>
  <c r="V61" i="27"/>
  <c r="U61" i="27" a="1"/>
  <c r="U61" i="27" s="1"/>
  <c r="T61" i="27" a="1"/>
  <c r="T61" i="27" s="1"/>
  <c r="S61" i="27" a="1"/>
  <c r="S61" i="27" s="1"/>
  <c r="R61" i="27" a="1"/>
  <c r="R61" i="27" s="1"/>
  <c r="U60" i="27" a="1"/>
  <c r="U60" i="27" s="1"/>
  <c r="T60" i="27" a="1"/>
  <c r="T60" i="27" s="1"/>
  <c r="S60" i="27" a="1"/>
  <c r="S60" i="27" s="1"/>
  <c r="R60" i="27" a="1"/>
  <c r="R60" i="27" s="1"/>
  <c r="U59" i="27" a="1"/>
  <c r="U59" i="27" s="1"/>
  <c r="T59" i="27" a="1"/>
  <c r="T59" i="27" s="1"/>
  <c r="S59" i="27" a="1"/>
  <c r="S59" i="27" s="1"/>
  <c r="R59" i="27" a="1"/>
  <c r="R59" i="27" s="1"/>
  <c r="V58" i="27"/>
  <c r="U58" i="27" a="1"/>
  <c r="U58" i="27" s="1"/>
  <c r="T58" i="27" a="1"/>
  <c r="T58" i="27" s="1"/>
  <c r="S58" i="27" a="1"/>
  <c r="S58" i="27" s="1"/>
  <c r="R58" i="27" a="1"/>
  <c r="R58" i="27" s="1"/>
  <c r="V57" i="27"/>
  <c r="U57" i="27" a="1"/>
  <c r="U57" i="27" s="1"/>
  <c r="T57" i="27" a="1"/>
  <c r="T57" i="27" s="1"/>
  <c r="S57" i="27" a="1"/>
  <c r="S57" i="27" s="1"/>
  <c r="R57" i="27" a="1"/>
  <c r="R57" i="27" s="1"/>
  <c r="V56" i="27"/>
  <c r="U56" i="27" a="1"/>
  <c r="U56" i="27" s="1"/>
  <c r="T56" i="27" a="1"/>
  <c r="T56" i="27" s="1"/>
  <c r="S56" i="27" a="1"/>
  <c r="S56" i="27" s="1"/>
  <c r="R56" i="27" a="1"/>
  <c r="R56" i="27" s="1"/>
  <c r="V55" i="27"/>
  <c r="U55" i="27" a="1"/>
  <c r="U55" i="27" s="1"/>
  <c r="T55" i="27" a="1"/>
  <c r="T55" i="27" s="1"/>
  <c r="S55" i="27" a="1"/>
  <c r="S55" i="27" s="1"/>
  <c r="R55" i="27" a="1"/>
  <c r="R55" i="27" s="1"/>
  <c r="U54" i="27" a="1"/>
  <c r="U54" i="27" s="1"/>
  <c r="T54" i="27" a="1"/>
  <c r="T54" i="27" s="1"/>
  <c r="S54" i="27" a="1"/>
  <c r="S54" i="27" s="1"/>
  <c r="V53" i="27"/>
  <c r="U53" i="27" a="1"/>
  <c r="U53" i="27" s="1"/>
  <c r="T53" i="27" a="1"/>
  <c r="T53" i="27" s="1"/>
  <c r="S53" i="27" a="1"/>
  <c r="S53" i="27" s="1"/>
  <c r="R53" i="27" a="1"/>
  <c r="R53" i="27" s="1"/>
  <c r="V52" i="27"/>
  <c r="U52" i="27" a="1"/>
  <c r="U52" i="27" s="1"/>
  <c r="T52" i="27" a="1"/>
  <c r="T52" i="27" s="1"/>
  <c r="S52" i="27" a="1"/>
  <c r="S52" i="27" s="1"/>
  <c r="U51" i="27" a="1"/>
  <c r="U51" i="27" s="1"/>
  <c r="T51" i="27" a="1"/>
  <c r="T51" i="27" s="1"/>
  <c r="S51" i="27" a="1"/>
  <c r="S51" i="27" s="1"/>
  <c r="V50" i="27"/>
  <c r="U50" i="27" a="1"/>
  <c r="U50" i="27" s="1"/>
  <c r="T50" i="27" a="1"/>
  <c r="T50" i="27" s="1"/>
  <c r="S50" i="27" a="1"/>
  <c r="S50" i="27" s="1"/>
  <c r="R50" i="27" a="1"/>
  <c r="R50" i="27" s="1"/>
  <c r="V49" i="27"/>
  <c r="U49" i="27" a="1"/>
  <c r="U49" i="27" s="1"/>
  <c r="T49" i="27" a="1"/>
  <c r="T49" i="27" s="1"/>
  <c r="S49" i="27" a="1"/>
  <c r="S49" i="27" s="1"/>
  <c r="R49" i="27" a="1"/>
  <c r="R49" i="27" s="1"/>
  <c r="V48" i="27"/>
  <c r="U48" i="27" a="1"/>
  <c r="U48" i="27" s="1"/>
  <c r="T48" i="27" a="1"/>
  <c r="T48" i="27" s="1"/>
  <c r="S48" i="27" a="1"/>
  <c r="S48" i="27" s="1"/>
  <c r="R48" i="27" a="1"/>
  <c r="R48" i="27" s="1"/>
  <c r="V47" i="27"/>
  <c r="U47" i="27" a="1"/>
  <c r="U47" i="27" s="1"/>
  <c r="T47" i="27" a="1"/>
  <c r="T47" i="27" s="1"/>
  <c r="S47" i="27" a="1"/>
  <c r="S47" i="27" s="1"/>
  <c r="R47" i="27" a="1"/>
  <c r="R47" i="27" s="1"/>
  <c r="U46" i="27" a="1"/>
  <c r="U46" i="27" s="1"/>
  <c r="T46" i="27" a="1"/>
  <c r="T46" i="27" s="1"/>
  <c r="S46" i="27" a="1"/>
  <c r="S46" i="27" s="1"/>
  <c r="V45" i="27"/>
  <c r="U45" i="27" a="1"/>
  <c r="U45" i="27" s="1"/>
  <c r="T45" i="27" a="1"/>
  <c r="T45" i="27" s="1"/>
  <c r="S45" i="27" a="1"/>
  <c r="S45" i="27" s="1"/>
  <c r="R45" i="27" a="1"/>
  <c r="R45" i="27" s="1"/>
  <c r="V44" i="27"/>
  <c r="U44" i="27" a="1"/>
  <c r="U44" i="27" s="1"/>
  <c r="T44" i="27" a="1"/>
  <c r="T44" i="27" s="1"/>
  <c r="S44" i="27" a="1"/>
  <c r="S44" i="27" s="1"/>
  <c r="R44" i="27" a="1"/>
  <c r="R44" i="27" s="1"/>
  <c r="U43" i="27" a="1"/>
  <c r="U43" i="27" s="1"/>
  <c r="T43" i="27" a="1"/>
  <c r="T43" i="27" s="1"/>
  <c r="S43" i="27" a="1"/>
  <c r="S43" i="27" s="1"/>
  <c r="R43" i="27" a="1"/>
  <c r="R43" i="27" s="1"/>
  <c r="V42" i="27"/>
  <c r="U42" i="27" a="1"/>
  <c r="U42" i="27" s="1"/>
  <c r="T42" i="27" a="1"/>
  <c r="T42" i="27" s="1"/>
  <c r="S42" i="27" a="1"/>
  <c r="S42" i="27" s="1"/>
  <c r="R42" i="27" a="1"/>
  <c r="R42" i="27" s="1"/>
  <c r="V41" i="27"/>
  <c r="U41" i="27" a="1"/>
  <c r="U41" i="27" s="1"/>
  <c r="T41" i="27" a="1"/>
  <c r="T41" i="27" s="1"/>
  <c r="S41" i="27" a="1"/>
  <c r="S41" i="27" s="1"/>
  <c r="R41" i="27" a="1"/>
  <c r="R41" i="27" s="1"/>
  <c r="V40" i="27"/>
  <c r="U40" i="27" a="1"/>
  <c r="U40" i="27" s="1"/>
  <c r="T40" i="27" a="1"/>
  <c r="T40" i="27" s="1"/>
  <c r="S40" i="27" a="1"/>
  <c r="S40" i="27" s="1"/>
  <c r="R40" i="27" a="1"/>
  <c r="R40" i="27" s="1"/>
  <c r="V39" i="27"/>
  <c r="U39" i="27" a="1"/>
  <c r="U39" i="27" s="1"/>
  <c r="T39" i="27" a="1"/>
  <c r="T39" i="27" s="1"/>
  <c r="S39" i="27" a="1"/>
  <c r="S39" i="27" s="1"/>
  <c r="R39" i="27" a="1"/>
  <c r="R39" i="27" s="1"/>
  <c r="U38" i="27" a="1"/>
  <c r="U38" i="27" s="1"/>
  <c r="T38" i="27" a="1"/>
  <c r="T38" i="27" s="1"/>
  <c r="S38" i="27" a="1"/>
  <c r="S38" i="27" s="1"/>
  <c r="V37" i="27"/>
  <c r="U37" i="27" a="1"/>
  <c r="U37" i="27" s="1"/>
  <c r="T37" i="27" a="1"/>
  <c r="T37" i="27" s="1"/>
  <c r="S37" i="27" a="1"/>
  <c r="S37" i="27" s="1"/>
  <c r="R37" i="27" a="1"/>
  <c r="R37" i="27" s="1"/>
  <c r="V36" i="27"/>
  <c r="U36" i="27" a="1"/>
  <c r="U36" i="27" s="1"/>
  <c r="T36" i="27" a="1"/>
  <c r="T36" i="27" s="1"/>
  <c r="S36" i="27" a="1"/>
  <c r="S36" i="27" s="1"/>
  <c r="R36" i="27" a="1"/>
  <c r="R36" i="27" s="1"/>
  <c r="U35" i="27" a="1"/>
  <c r="U35" i="27" s="1"/>
  <c r="T35" i="27" a="1"/>
  <c r="T35" i="27" s="1"/>
  <c r="S35" i="27" a="1"/>
  <c r="S35" i="27" s="1"/>
  <c r="AH34" i="27"/>
  <c r="AG34" i="27"/>
  <c r="AF34" i="27"/>
  <c r="AE34" i="27"/>
  <c r="AD34" i="27"/>
  <c r="V34" i="27"/>
  <c r="U34" i="27" a="1"/>
  <c r="U34" i="27" s="1"/>
  <c r="T34" i="27" a="1"/>
  <c r="T34" i="27" s="1"/>
  <c r="S34" i="27" a="1"/>
  <c r="S34" i="27" s="1"/>
  <c r="R34" i="27" a="1"/>
  <c r="R34" i="27" s="1"/>
  <c r="AH33" i="27"/>
  <c r="AG33" i="27"/>
  <c r="AF33" i="27"/>
  <c r="AE33" i="27"/>
  <c r="AD33" i="27"/>
  <c r="V33" i="27"/>
  <c r="U33" i="27" a="1"/>
  <c r="U33" i="27" s="1"/>
  <c r="T33" i="27" a="1"/>
  <c r="T33" i="27" s="1"/>
  <c r="S33" i="27" a="1"/>
  <c r="S33" i="27" s="1"/>
  <c r="R33" i="27" a="1"/>
  <c r="R33" i="27" s="1"/>
  <c r="V32" i="27"/>
  <c r="U32" i="27" a="1"/>
  <c r="U32" i="27" s="1"/>
  <c r="T32" i="27" a="1"/>
  <c r="T32" i="27" s="1"/>
  <c r="S32" i="27" a="1"/>
  <c r="S32" i="27" s="1"/>
  <c r="R32" i="27" a="1"/>
  <c r="R32" i="27" s="1"/>
  <c r="V31" i="27"/>
  <c r="U31" i="27" a="1"/>
  <c r="U31" i="27" s="1"/>
  <c r="T31" i="27" a="1"/>
  <c r="T31" i="27" s="1"/>
  <c r="S31" i="27" a="1"/>
  <c r="S31" i="27" s="1"/>
  <c r="R31" i="27" a="1"/>
  <c r="R31" i="27" s="1"/>
  <c r="V30" i="27"/>
  <c r="U30" i="27" a="1"/>
  <c r="U30" i="27" s="1"/>
  <c r="T30" i="27" a="1"/>
  <c r="T30" i="27" s="1"/>
  <c r="S30" i="27" a="1"/>
  <c r="S30" i="27" s="1"/>
  <c r="R30" i="27" a="1"/>
  <c r="R30" i="27" s="1"/>
  <c r="V29" i="27"/>
  <c r="U29" i="27" a="1"/>
  <c r="U29" i="27" s="1"/>
  <c r="T29" i="27" a="1"/>
  <c r="T29" i="27" s="1"/>
  <c r="S29" i="27" a="1"/>
  <c r="S29" i="27" s="1"/>
  <c r="R29" i="27" a="1"/>
  <c r="R29" i="27" s="1"/>
  <c r="AH28" i="27"/>
  <c r="AG28" i="27"/>
  <c r="AF28" i="27"/>
  <c r="AE28" i="27"/>
  <c r="AD28" i="27"/>
  <c r="V28" i="27"/>
  <c r="U28" i="27" a="1"/>
  <c r="U28" i="27" s="1"/>
  <c r="T28" i="27" a="1"/>
  <c r="T28" i="27" s="1"/>
  <c r="S28" i="27" a="1"/>
  <c r="S28" i="27" s="1"/>
  <c r="R28" i="27" a="1"/>
  <c r="R28" i="27" s="1"/>
  <c r="AH27" i="27"/>
  <c r="AG27" i="27"/>
  <c r="AF27" i="27"/>
  <c r="AE27" i="27"/>
  <c r="AD27" i="27"/>
  <c r="U27" i="27" a="1"/>
  <c r="U27" i="27" s="1"/>
  <c r="T27" i="27" a="1"/>
  <c r="T27" i="27" s="1"/>
  <c r="S27" i="27" a="1"/>
  <c r="S27" i="27" s="1"/>
  <c r="AH26" i="27"/>
  <c r="AG26" i="27"/>
  <c r="AF26" i="27"/>
  <c r="AE26" i="27"/>
  <c r="AD26" i="27"/>
  <c r="V26" i="27"/>
  <c r="U26" i="27" a="1"/>
  <c r="U26" i="27" s="1"/>
  <c r="T26" i="27" a="1"/>
  <c r="T26" i="27" s="1"/>
  <c r="S26" i="27" a="1"/>
  <c r="S26" i="27" s="1"/>
  <c r="R26" i="27" a="1"/>
  <c r="R26" i="27" s="1"/>
  <c r="AH25" i="27"/>
  <c r="AG25" i="27"/>
  <c r="AF25" i="27"/>
  <c r="AE25" i="27"/>
  <c r="AD25" i="27"/>
  <c r="V25" i="27"/>
  <c r="U25" i="27" a="1"/>
  <c r="U25" i="27" s="1"/>
  <c r="T25" i="27" a="1"/>
  <c r="T25" i="27" s="1"/>
  <c r="S25" i="27" a="1"/>
  <c r="S25" i="27" s="1"/>
  <c r="R25" i="27" a="1"/>
  <c r="R25" i="27" s="1"/>
  <c r="AH24" i="27"/>
  <c r="AG24" i="27"/>
  <c r="AF24" i="27"/>
  <c r="AE24" i="27"/>
  <c r="AD24" i="27"/>
  <c r="V24" i="27"/>
  <c r="U24" i="27" a="1"/>
  <c r="U24" i="27" s="1"/>
  <c r="T24" i="27" a="1"/>
  <c r="T24" i="27" s="1"/>
  <c r="S24" i="27" a="1"/>
  <c r="S24" i="27" s="1"/>
  <c r="R24" i="27" a="1"/>
  <c r="R24" i="27" s="1"/>
  <c r="AH23" i="27"/>
  <c r="AG23" i="27"/>
  <c r="AF23" i="27"/>
  <c r="AE23" i="27"/>
  <c r="AD23" i="27"/>
  <c r="V23" i="27"/>
  <c r="U23" i="27" a="1"/>
  <c r="U23" i="27" s="1"/>
  <c r="T23" i="27" a="1"/>
  <c r="T23" i="27" s="1"/>
  <c r="S23" i="27" a="1"/>
  <c r="S23" i="27" s="1"/>
  <c r="R23" i="27" a="1"/>
  <c r="R23" i="27" s="1"/>
  <c r="AH22" i="27"/>
  <c r="AG22" i="27"/>
  <c r="AF22" i="27"/>
  <c r="AE22" i="27"/>
  <c r="AD22" i="27"/>
  <c r="V22" i="27"/>
  <c r="U22" i="27" a="1"/>
  <c r="U22" i="27" s="1"/>
  <c r="T22" i="27" a="1"/>
  <c r="T22" i="27" s="1"/>
  <c r="S22" i="27" a="1"/>
  <c r="S22" i="27" s="1"/>
  <c r="R22" i="27" a="1"/>
  <c r="R22" i="27" s="1"/>
  <c r="AH21" i="27"/>
  <c r="AG21" i="27"/>
  <c r="AF21" i="27"/>
  <c r="AE21" i="27"/>
  <c r="AD21" i="27"/>
  <c r="V21" i="27"/>
  <c r="U21" i="27" a="1"/>
  <c r="U21" i="27" s="1"/>
  <c r="T21" i="27" a="1"/>
  <c r="T21" i="27" s="1"/>
  <c r="S21" i="27" a="1"/>
  <c r="S21" i="27" s="1"/>
  <c r="R21" i="27" a="1"/>
  <c r="R21" i="27" s="1"/>
  <c r="AH20" i="27"/>
  <c r="AG20" i="27"/>
  <c r="AF20" i="27"/>
  <c r="AE20" i="27"/>
  <c r="AD20" i="27"/>
  <c r="U20" i="27" a="1"/>
  <c r="U20" i="27" s="1"/>
  <c r="T20" i="27" a="1"/>
  <c r="T20" i="27" s="1"/>
  <c r="S20" i="27" a="1"/>
  <c r="S20" i="27" s="1"/>
  <c r="AH19" i="27"/>
  <c r="AG19" i="27"/>
  <c r="AF19" i="27"/>
  <c r="AE19" i="27"/>
  <c r="AD19" i="27"/>
  <c r="U19" i="27" a="1"/>
  <c r="U19" i="27" s="1"/>
  <c r="T19" i="27" a="1"/>
  <c r="T19" i="27" s="1"/>
  <c r="S19" i="27" a="1"/>
  <c r="S19" i="27" s="1"/>
  <c r="AH18" i="27"/>
  <c r="AG18" i="27"/>
  <c r="AF18" i="27"/>
  <c r="AE18" i="27"/>
  <c r="AD18" i="27"/>
  <c r="V18" i="27"/>
  <c r="U18" i="27" a="1"/>
  <c r="U18" i="27" s="1"/>
  <c r="T18" i="27" a="1"/>
  <c r="T18" i="27" s="1"/>
  <c r="S18" i="27" a="1"/>
  <c r="S18" i="27" s="1"/>
  <c r="R18" i="27" a="1"/>
  <c r="R18" i="27" s="1"/>
  <c r="AH17" i="27"/>
  <c r="AG17" i="27"/>
  <c r="AF17" i="27"/>
  <c r="AE17" i="27"/>
  <c r="AD17" i="27"/>
  <c r="V17" i="27"/>
  <c r="U17" i="27" a="1"/>
  <c r="U17" i="27" s="1"/>
  <c r="T17" i="27" a="1"/>
  <c r="T17" i="27" s="1"/>
  <c r="S17" i="27" a="1"/>
  <c r="S17" i="27" s="1"/>
  <c r="R17" i="27" a="1"/>
  <c r="R17" i="27" s="1"/>
  <c r="AH16" i="27"/>
  <c r="AG16" i="27"/>
  <c r="AF16" i="27"/>
  <c r="AE16" i="27"/>
  <c r="AD16" i="27"/>
  <c r="V16" i="27"/>
  <c r="U16" i="27" a="1"/>
  <c r="U16" i="27" s="1"/>
  <c r="T16" i="27" a="1"/>
  <c r="T16" i="27" s="1"/>
  <c r="S16" i="27" a="1"/>
  <c r="S16" i="27" s="1"/>
  <c r="R16" i="27" a="1"/>
  <c r="R16" i="27" s="1"/>
  <c r="AH15" i="27"/>
  <c r="AG15" i="27"/>
  <c r="AF15" i="27"/>
  <c r="AE15" i="27"/>
  <c r="AD15" i="27"/>
  <c r="V15" i="27"/>
  <c r="U15" i="27" a="1"/>
  <c r="U15" i="27" s="1"/>
  <c r="T15" i="27" a="1"/>
  <c r="T15" i="27" s="1"/>
  <c r="S15" i="27" a="1"/>
  <c r="S15" i="27" s="1"/>
  <c r="R15" i="27" a="1"/>
  <c r="R15" i="27" s="1"/>
  <c r="AH14" i="27"/>
  <c r="AG14" i="27"/>
  <c r="AF14" i="27"/>
  <c r="AE14" i="27"/>
  <c r="AD14" i="27"/>
  <c r="V14" i="27"/>
  <c r="U14" i="27" a="1"/>
  <c r="U14" i="27" s="1"/>
  <c r="T14" i="27" a="1"/>
  <c r="T14" i="27" s="1"/>
  <c r="S14" i="27" a="1"/>
  <c r="S14" i="27" s="1"/>
  <c r="R14" i="27" a="1"/>
  <c r="R14" i="27" s="1"/>
  <c r="AH13" i="27"/>
  <c r="AG13" i="27"/>
  <c r="AF13" i="27"/>
  <c r="AE13" i="27"/>
  <c r="AD13" i="27"/>
  <c r="V13" i="27"/>
  <c r="U13" i="27" a="1"/>
  <c r="U13" i="27" s="1"/>
  <c r="T13" i="27" a="1"/>
  <c r="T13" i="27" s="1"/>
  <c r="S13" i="27" a="1"/>
  <c r="S13" i="27" s="1"/>
  <c r="R13" i="27" a="1"/>
  <c r="R13" i="27" s="1"/>
  <c r="AH12" i="27"/>
  <c r="AG12" i="27"/>
  <c r="AF12" i="27"/>
  <c r="AE12" i="27"/>
  <c r="AD12" i="27"/>
  <c r="V12" i="27"/>
  <c r="U12" i="27" a="1"/>
  <c r="U12" i="27" s="1"/>
  <c r="T12" i="27" a="1"/>
  <c r="T12" i="27" s="1"/>
  <c r="S12" i="27" a="1"/>
  <c r="S12" i="27" s="1"/>
  <c r="R12" i="27" a="1"/>
  <c r="R12" i="27" s="1"/>
  <c r="AH11" i="27"/>
  <c r="AG11" i="27"/>
  <c r="AF11" i="27"/>
  <c r="AE11" i="27"/>
  <c r="AD11" i="27"/>
  <c r="U11" i="27" a="1"/>
  <c r="U11" i="27" s="1"/>
  <c r="T11" i="27" a="1"/>
  <c r="T11" i="27" s="1"/>
  <c r="S11" i="27" a="1"/>
  <c r="S11" i="27" s="1"/>
  <c r="R11" i="27" a="1"/>
  <c r="R11" i="27" s="1"/>
  <c r="V10" i="27"/>
  <c r="U10" i="27" a="1"/>
  <c r="U10" i="27" s="1"/>
  <c r="T10" i="27" a="1"/>
  <c r="T10" i="27" s="1"/>
  <c r="S10" i="27" a="1"/>
  <c r="S10" i="27" s="1"/>
  <c r="R10" i="27" a="1"/>
  <c r="R10" i="27" s="1"/>
  <c r="AH9" i="27"/>
  <c r="AG9" i="27"/>
  <c r="AF9" i="27"/>
  <c r="AE9" i="27"/>
  <c r="AD9" i="27"/>
  <c r="V9" i="27"/>
  <c r="U9" i="27" a="1"/>
  <c r="U9" i="27" s="1"/>
  <c r="T9" i="27" a="1"/>
  <c r="T9" i="27" s="1"/>
  <c r="S9" i="27" a="1"/>
  <c r="S9" i="27" s="1"/>
  <c r="R9" i="27" a="1"/>
  <c r="R9" i="27" s="1"/>
  <c r="AH8" i="27"/>
  <c r="AG8" i="27"/>
  <c r="AF8" i="27"/>
  <c r="AE8" i="27"/>
  <c r="AD8" i="27"/>
  <c r="V8" i="27"/>
  <c r="U8" i="27" a="1"/>
  <c r="U8" i="27" s="1"/>
  <c r="T8" i="27" a="1"/>
  <c r="T8" i="27" s="1"/>
  <c r="S8" i="27" a="1"/>
  <c r="S8" i="27" s="1"/>
  <c r="R8" i="27" a="1"/>
  <c r="R8" i="27" s="1"/>
  <c r="AH7" i="27"/>
  <c r="AG7" i="27"/>
  <c r="AF7" i="27"/>
  <c r="AE7" i="27"/>
  <c r="AD7" i="27"/>
  <c r="V7" i="27"/>
  <c r="U7" i="27" a="1"/>
  <c r="U7" i="27" s="1"/>
  <c r="T7" i="27" a="1"/>
  <c r="T7" i="27" s="1"/>
  <c r="S7" i="27" a="1"/>
  <c r="S7" i="27" s="1"/>
  <c r="R7" i="27" a="1"/>
  <c r="R7" i="27" s="1"/>
  <c r="AH6" i="27"/>
  <c r="AG6" i="27"/>
  <c r="AF6" i="27"/>
  <c r="AE6" i="27"/>
  <c r="AD6" i="27"/>
  <c r="V6" i="27"/>
  <c r="U6" i="27" a="1"/>
  <c r="U6" i="27" s="1"/>
  <c r="T6" i="27" a="1"/>
  <c r="T6" i="27" s="1"/>
  <c r="S6" i="27" a="1"/>
  <c r="S6" i="27" s="1"/>
  <c r="R6" i="27" a="1"/>
  <c r="R6" i="27" s="1"/>
  <c r="AH5" i="27"/>
  <c r="AG5" i="27"/>
  <c r="AF5" i="27"/>
  <c r="AE5" i="27"/>
  <c r="AD5" i="27"/>
  <c r="V5" i="27"/>
  <c r="U5" i="27" a="1"/>
  <c r="U5" i="27" s="1"/>
  <c r="T5" i="27" a="1"/>
  <c r="T5" i="27" s="1"/>
  <c r="S5" i="27" a="1"/>
  <c r="S5" i="27" s="1"/>
  <c r="R5" i="27" a="1"/>
  <c r="R5" i="27" s="1"/>
  <c r="AH4" i="27"/>
  <c r="AG4" i="27"/>
  <c r="AF4" i="27"/>
  <c r="AE4" i="27"/>
  <c r="AD4" i="27"/>
  <c r="V4" i="27"/>
  <c r="U4" i="27" a="1"/>
  <c r="U4" i="27" s="1"/>
  <c r="T4" i="27" a="1"/>
  <c r="T4" i="27" s="1"/>
  <c r="S4" i="27" a="1"/>
  <c r="S4" i="27" s="1"/>
  <c r="R4" i="27" a="1"/>
  <c r="R4" i="27" s="1"/>
  <c r="AH3" i="27"/>
  <c r="AG3" i="27"/>
  <c r="AF3" i="27"/>
  <c r="AE3" i="27"/>
  <c r="U3" i="27" a="1"/>
  <c r="U3" i="27" s="1"/>
  <c r="T3" i="27" a="1"/>
  <c r="T3" i="27" s="1"/>
  <c r="S3" i="27" a="1"/>
  <c r="S3" i="27" s="1"/>
  <c r="AA4" i="26"/>
  <c r="AB4" i="26"/>
  <c r="AC4" i="26"/>
  <c r="AD4" i="26"/>
  <c r="AE4" i="26"/>
  <c r="AA5" i="26"/>
  <c r="AB5" i="26"/>
  <c r="AC5" i="26"/>
  <c r="AD5" i="26"/>
  <c r="AE5" i="26"/>
  <c r="AA6" i="26"/>
  <c r="AB6" i="26"/>
  <c r="AC6" i="26"/>
  <c r="AD6" i="26"/>
  <c r="AE6" i="26"/>
  <c r="AA7" i="26"/>
  <c r="AB7" i="26"/>
  <c r="AC7" i="26"/>
  <c r="AD7" i="26"/>
  <c r="AE7" i="26"/>
  <c r="AA8" i="26"/>
  <c r="AB8" i="26"/>
  <c r="AC8" i="26"/>
  <c r="AD8" i="26"/>
  <c r="AE8" i="26"/>
  <c r="AA9" i="26"/>
  <c r="AB9" i="26"/>
  <c r="AC9" i="26"/>
  <c r="AD9" i="26"/>
  <c r="AE9" i="26"/>
  <c r="AA10" i="26"/>
  <c r="AB10" i="26"/>
  <c r="AC10" i="26"/>
  <c r="AD10" i="26"/>
  <c r="AE10" i="26"/>
  <c r="AA11" i="26"/>
  <c r="AB11" i="26"/>
  <c r="AC11" i="26"/>
  <c r="AD11" i="26"/>
  <c r="AE11" i="26"/>
  <c r="AA12" i="26"/>
  <c r="AB12" i="26"/>
  <c r="AC12" i="26"/>
  <c r="AD12" i="26"/>
  <c r="AE12" i="26"/>
  <c r="AA13" i="26"/>
  <c r="AB13" i="26"/>
  <c r="AC13" i="26"/>
  <c r="AD13" i="26"/>
  <c r="AE13" i="26"/>
  <c r="AA14" i="26"/>
  <c r="AB14" i="26"/>
  <c r="AC14" i="26"/>
  <c r="AD14" i="26"/>
  <c r="AE14" i="26"/>
  <c r="AA15" i="26"/>
  <c r="AB15" i="26"/>
  <c r="AC15" i="26"/>
  <c r="AD15" i="26"/>
  <c r="AE15" i="26"/>
  <c r="AA16" i="26"/>
  <c r="AB16" i="26"/>
  <c r="AC16" i="26"/>
  <c r="AD16" i="26"/>
  <c r="AE16" i="26"/>
  <c r="AA17" i="26"/>
  <c r="AB17" i="26"/>
  <c r="AC17" i="26"/>
  <c r="AD17" i="26"/>
  <c r="AE17" i="26"/>
  <c r="AA18" i="26"/>
  <c r="AB18" i="26"/>
  <c r="AC18" i="26"/>
  <c r="AD18" i="26"/>
  <c r="AE18" i="26"/>
  <c r="AA19" i="26"/>
  <c r="AB19" i="26"/>
  <c r="AC19" i="26"/>
  <c r="AD19" i="26"/>
  <c r="AE19" i="26"/>
  <c r="AA20" i="26"/>
  <c r="AB20" i="26"/>
  <c r="AC20" i="26"/>
  <c r="AD20" i="26"/>
  <c r="AE20" i="26"/>
  <c r="AA21" i="26"/>
  <c r="AB21" i="26"/>
  <c r="AC21" i="26"/>
  <c r="AD21" i="26"/>
  <c r="AE21" i="26"/>
  <c r="AA22" i="26"/>
  <c r="AB22" i="26"/>
  <c r="AC22" i="26"/>
  <c r="AD22" i="26"/>
  <c r="AE22" i="26"/>
  <c r="AA23" i="26"/>
  <c r="AB23" i="26"/>
  <c r="AC23" i="26"/>
  <c r="AD23" i="26"/>
  <c r="AE23" i="26"/>
  <c r="AA24" i="26"/>
  <c r="AB24" i="26"/>
  <c r="AC24" i="26"/>
  <c r="AD24" i="26"/>
  <c r="AE24" i="26"/>
  <c r="AA25" i="26"/>
  <c r="AB25" i="26"/>
  <c r="AC25" i="26"/>
  <c r="AD25" i="26"/>
  <c r="AE25" i="26"/>
  <c r="AA26" i="26"/>
  <c r="AB26" i="26"/>
  <c r="AC26" i="26"/>
  <c r="AD26" i="26"/>
  <c r="AE26" i="26"/>
  <c r="AA27" i="26"/>
  <c r="AB27" i="26"/>
  <c r="AC27" i="26"/>
  <c r="AD27" i="26"/>
  <c r="AE27" i="26"/>
  <c r="AA28" i="26"/>
  <c r="AB28" i="26"/>
  <c r="AC28" i="26"/>
  <c r="AD28" i="26"/>
  <c r="AE28" i="26"/>
  <c r="AA29" i="26"/>
  <c r="AB29" i="26"/>
  <c r="AC29" i="26"/>
  <c r="AD29" i="26"/>
  <c r="AE29" i="26"/>
  <c r="AA30" i="26"/>
  <c r="AB30" i="26"/>
  <c r="AC30" i="26"/>
  <c r="AD30" i="26"/>
  <c r="AE30" i="26"/>
  <c r="AA31" i="26"/>
  <c r="AB31" i="26"/>
  <c r="AC31" i="26"/>
  <c r="AD31" i="26"/>
  <c r="AE31" i="26"/>
  <c r="AA32" i="26"/>
  <c r="AB32" i="26"/>
  <c r="AC32" i="26"/>
  <c r="AD32" i="26"/>
  <c r="AE32" i="26"/>
  <c r="AA33" i="26"/>
  <c r="AB33" i="26"/>
  <c r="AC33" i="26"/>
  <c r="AD33" i="26"/>
  <c r="AE33" i="26"/>
  <c r="AA34" i="26"/>
  <c r="AB34" i="26"/>
  <c r="AC34" i="26"/>
  <c r="AD34" i="26"/>
  <c r="AE34" i="26"/>
  <c r="AB3" i="26"/>
  <c r="AC3" i="26"/>
  <c r="AD3" i="26"/>
  <c r="AE3" i="26"/>
  <c r="AA3" i="26"/>
  <c r="V4" i="26"/>
  <c r="W4" i="26"/>
  <c r="X4" i="26"/>
  <c r="Y4" i="26"/>
  <c r="Z4" i="26"/>
  <c r="V5" i="26"/>
  <c r="W5" i="26"/>
  <c r="X5" i="26"/>
  <c r="Y5" i="26"/>
  <c r="Z5" i="26"/>
  <c r="V6" i="26"/>
  <c r="W6" i="26"/>
  <c r="X6" i="26"/>
  <c r="Y6" i="26"/>
  <c r="Z6" i="26"/>
  <c r="V7" i="26"/>
  <c r="W7" i="26"/>
  <c r="X7" i="26"/>
  <c r="Y7" i="26"/>
  <c r="Z7" i="26"/>
  <c r="V8" i="26"/>
  <c r="W8" i="26"/>
  <c r="X8" i="26"/>
  <c r="Y8" i="26"/>
  <c r="Z8" i="26"/>
  <c r="V9" i="26"/>
  <c r="W9" i="26"/>
  <c r="X9" i="26"/>
  <c r="Y9" i="26"/>
  <c r="Z9" i="26"/>
  <c r="V10" i="26"/>
  <c r="W10" i="26"/>
  <c r="X10" i="26"/>
  <c r="Y10" i="26"/>
  <c r="Z10" i="26"/>
  <c r="V11" i="26"/>
  <c r="W11" i="26"/>
  <c r="X11" i="26"/>
  <c r="Y11" i="26"/>
  <c r="Z11" i="26"/>
  <c r="V12" i="26"/>
  <c r="W12" i="26"/>
  <c r="X12" i="26"/>
  <c r="Y12" i="26"/>
  <c r="Z12" i="26"/>
  <c r="V13" i="26"/>
  <c r="W13" i="26"/>
  <c r="X13" i="26"/>
  <c r="Y13" i="26"/>
  <c r="Z13" i="26"/>
  <c r="V14" i="26"/>
  <c r="W14" i="26"/>
  <c r="X14" i="26"/>
  <c r="Y14" i="26"/>
  <c r="Z14" i="26"/>
  <c r="V15" i="26"/>
  <c r="W15" i="26"/>
  <c r="X15" i="26"/>
  <c r="Y15" i="26"/>
  <c r="Z15" i="26"/>
  <c r="V16" i="26"/>
  <c r="W16" i="26"/>
  <c r="X16" i="26"/>
  <c r="Y16" i="26"/>
  <c r="Z16" i="26"/>
  <c r="V17" i="26"/>
  <c r="W17" i="26"/>
  <c r="X17" i="26"/>
  <c r="Y17" i="26"/>
  <c r="Z17" i="26"/>
  <c r="V18" i="26"/>
  <c r="W18" i="26"/>
  <c r="X18" i="26"/>
  <c r="Y18" i="26"/>
  <c r="Z18" i="26"/>
  <c r="V19" i="26"/>
  <c r="W19" i="26"/>
  <c r="X19" i="26"/>
  <c r="Y19" i="26"/>
  <c r="Z19" i="26"/>
  <c r="V20" i="26"/>
  <c r="W20" i="26"/>
  <c r="X20" i="26"/>
  <c r="Y20" i="26"/>
  <c r="Z20" i="26"/>
  <c r="V21" i="26"/>
  <c r="W21" i="26"/>
  <c r="X21" i="26"/>
  <c r="Y21" i="26"/>
  <c r="Z21" i="26"/>
  <c r="V22" i="26"/>
  <c r="W22" i="26"/>
  <c r="X22" i="26"/>
  <c r="Y22" i="26"/>
  <c r="Z22" i="26"/>
  <c r="V23" i="26"/>
  <c r="W23" i="26"/>
  <c r="X23" i="26"/>
  <c r="Y23" i="26"/>
  <c r="Z23" i="26"/>
  <c r="V24" i="26"/>
  <c r="W24" i="26"/>
  <c r="X24" i="26"/>
  <c r="Y24" i="26"/>
  <c r="Z24" i="26"/>
  <c r="V25" i="26"/>
  <c r="W25" i="26"/>
  <c r="X25" i="26"/>
  <c r="Y25" i="26"/>
  <c r="Z25" i="26"/>
  <c r="V26" i="26"/>
  <c r="W26" i="26"/>
  <c r="X26" i="26"/>
  <c r="Y26" i="26"/>
  <c r="Z26" i="26"/>
  <c r="V27" i="26"/>
  <c r="W27" i="26"/>
  <c r="X27" i="26"/>
  <c r="Y27" i="26"/>
  <c r="Z27" i="26"/>
  <c r="V28" i="26"/>
  <c r="W28" i="26"/>
  <c r="X28" i="26"/>
  <c r="Y28" i="26"/>
  <c r="Z28" i="26"/>
  <c r="V29" i="26"/>
  <c r="W29" i="26"/>
  <c r="X29" i="26"/>
  <c r="Y29" i="26"/>
  <c r="Z29" i="26"/>
  <c r="V30" i="26"/>
  <c r="W30" i="26"/>
  <c r="X30" i="26"/>
  <c r="Y30" i="26"/>
  <c r="Z30" i="26"/>
  <c r="V31" i="26"/>
  <c r="W31" i="26"/>
  <c r="X31" i="26"/>
  <c r="Y31" i="26"/>
  <c r="Z31" i="26"/>
  <c r="V32" i="26"/>
  <c r="W32" i="26"/>
  <c r="X32" i="26"/>
  <c r="Y32" i="26"/>
  <c r="Z32" i="26"/>
  <c r="V33" i="26"/>
  <c r="W33" i="26"/>
  <c r="X33" i="26"/>
  <c r="Y33" i="26"/>
  <c r="Z33" i="26"/>
  <c r="V34" i="26"/>
  <c r="W34" i="26"/>
  <c r="X34" i="26"/>
  <c r="Y34" i="26"/>
  <c r="Z34" i="26"/>
  <c r="W3" i="26"/>
  <c r="X3" i="26"/>
  <c r="Y3" i="26"/>
  <c r="Z3" i="26"/>
  <c r="V3" i="26"/>
  <c r="O4" i="26" a="1"/>
  <c r="O4" i="26"/>
  <c r="P4" i="26" a="1"/>
  <c r="P4" i="26" s="1"/>
  <c r="Q4" i="26" a="1"/>
  <c r="Q4" i="26" s="1"/>
  <c r="R4" i="26" a="1"/>
  <c r="R4" i="26" s="1"/>
  <c r="S4" i="26"/>
  <c r="O5" i="26" a="1"/>
  <c r="O5" i="26" s="1"/>
  <c r="P5" i="26" a="1"/>
  <c r="P5" i="26" s="1"/>
  <c r="Q5" i="26" a="1"/>
  <c r="Q5" i="26" s="1"/>
  <c r="R5" i="26" a="1"/>
  <c r="R5" i="26" s="1"/>
  <c r="S5" i="26"/>
  <c r="O6" i="26" a="1"/>
  <c r="O6" i="26" s="1"/>
  <c r="P6" i="26" a="1"/>
  <c r="P6" i="26" s="1"/>
  <c r="Q6" i="26" a="1"/>
  <c r="Q6" i="26" s="1"/>
  <c r="R6" i="26" a="1"/>
  <c r="R6" i="26" s="1"/>
  <c r="S6" i="26"/>
  <c r="O7" i="26" a="1"/>
  <c r="O7" i="26" s="1"/>
  <c r="P7" i="26" a="1"/>
  <c r="P7" i="26" s="1"/>
  <c r="Q7" i="26" a="1"/>
  <c r="Q7" i="26" s="1"/>
  <c r="R7" i="26" a="1"/>
  <c r="R7" i="26" s="1"/>
  <c r="S7" i="26"/>
  <c r="O8" i="26" a="1"/>
  <c r="O8" i="26" s="1"/>
  <c r="P8" i="26" a="1"/>
  <c r="P8" i="26" s="1"/>
  <c r="Q8" i="26" a="1"/>
  <c r="Q8" i="26" s="1"/>
  <c r="R8" i="26" a="1"/>
  <c r="R8" i="26" s="1"/>
  <c r="S8" i="26"/>
  <c r="O9" i="26" a="1"/>
  <c r="O9" i="26" s="1"/>
  <c r="P9" i="26" a="1"/>
  <c r="P9" i="26" s="1"/>
  <c r="Q9" i="26" a="1"/>
  <c r="Q9" i="26" s="1"/>
  <c r="R9" i="26" a="1"/>
  <c r="R9" i="26" s="1"/>
  <c r="S9" i="26"/>
  <c r="O10" i="26" a="1"/>
  <c r="O10" i="26" s="1"/>
  <c r="P10" i="26" a="1"/>
  <c r="P10" i="26" s="1"/>
  <c r="Q10" i="26" a="1"/>
  <c r="Q10" i="26" s="1"/>
  <c r="R10" i="26" a="1"/>
  <c r="R10" i="26" s="1"/>
  <c r="S10" i="26"/>
  <c r="O11" i="26" a="1"/>
  <c r="O11" i="26" s="1"/>
  <c r="P11" i="26" a="1"/>
  <c r="P11" i="26" s="1"/>
  <c r="Q11" i="26" a="1"/>
  <c r="Q11" i="26" s="1"/>
  <c r="R11" i="26" a="1"/>
  <c r="R11" i="26" s="1"/>
  <c r="S11" i="26"/>
  <c r="O12" i="26" a="1"/>
  <c r="O12" i="26" s="1"/>
  <c r="P12" i="26" a="1"/>
  <c r="P12" i="26" s="1"/>
  <c r="Q12" i="26" a="1"/>
  <c r="Q12" i="26" s="1"/>
  <c r="R12" i="26" a="1"/>
  <c r="R12" i="26" s="1"/>
  <c r="S12" i="26"/>
  <c r="O13" i="26" a="1"/>
  <c r="O13" i="26" s="1"/>
  <c r="P13" i="26" a="1"/>
  <c r="P13" i="26" s="1"/>
  <c r="Q13" i="26" a="1"/>
  <c r="Q13" i="26" s="1"/>
  <c r="R13" i="26" a="1"/>
  <c r="R13" i="26" s="1"/>
  <c r="S13" i="26"/>
  <c r="O14" i="26" a="1"/>
  <c r="O14" i="26" s="1"/>
  <c r="P14" i="26" a="1"/>
  <c r="P14" i="26" s="1"/>
  <c r="Q14" i="26" a="1"/>
  <c r="Q14" i="26" s="1"/>
  <c r="R14" i="26" a="1"/>
  <c r="R14" i="26" s="1"/>
  <c r="S14" i="26"/>
  <c r="O15" i="26" a="1"/>
  <c r="O15" i="26" s="1"/>
  <c r="P15" i="26" a="1"/>
  <c r="P15" i="26" s="1"/>
  <c r="Q15" i="26" a="1"/>
  <c r="Q15" i="26" s="1"/>
  <c r="R15" i="26" a="1"/>
  <c r="R15" i="26" s="1"/>
  <c r="S15" i="26"/>
  <c r="O16" i="26" a="1"/>
  <c r="O16" i="26" s="1"/>
  <c r="P16" i="26" a="1"/>
  <c r="P16" i="26" s="1"/>
  <c r="Q16" i="26" a="1"/>
  <c r="Q16" i="26" s="1"/>
  <c r="R16" i="26" a="1"/>
  <c r="R16" i="26" s="1"/>
  <c r="S16" i="26"/>
  <c r="O17" i="26" a="1"/>
  <c r="O17" i="26" s="1"/>
  <c r="P17" i="26" a="1"/>
  <c r="P17" i="26" s="1"/>
  <c r="Q17" i="26" a="1"/>
  <c r="Q17" i="26" s="1"/>
  <c r="R17" i="26" a="1"/>
  <c r="R17" i="26" s="1"/>
  <c r="S17" i="26"/>
  <c r="O18" i="26" a="1"/>
  <c r="O18" i="26" s="1"/>
  <c r="P18" i="26" a="1"/>
  <c r="P18" i="26" s="1"/>
  <c r="Q18" i="26" a="1"/>
  <c r="Q18" i="26" s="1"/>
  <c r="R18" i="26" a="1"/>
  <c r="R18" i="26" s="1"/>
  <c r="S18" i="26"/>
  <c r="O19" i="26" a="1"/>
  <c r="O19" i="26" s="1"/>
  <c r="P19" i="26" a="1"/>
  <c r="P19" i="26" s="1"/>
  <c r="Q19" i="26" a="1"/>
  <c r="Q19" i="26" s="1"/>
  <c r="R19" i="26" a="1"/>
  <c r="R19" i="26" s="1"/>
  <c r="S19" i="26"/>
  <c r="O20" i="26" a="1"/>
  <c r="O20" i="26" s="1"/>
  <c r="P20" i="26" a="1"/>
  <c r="P20" i="26" s="1"/>
  <c r="Q20" i="26" a="1"/>
  <c r="Q20" i="26" s="1"/>
  <c r="R20" i="26" a="1"/>
  <c r="R20" i="26" s="1"/>
  <c r="S20" i="26"/>
  <c r="O21" i="26" a="1"/>
  <c r="O21" i="26" s="1"/>
  <c r="P21" i="26" a="1"/>
  <c r="P21" i="26" s="1"/>
  <c r="Q21" i="26" a="1"/>
  <c r="Q21" i="26" s="1"/>
  <c r="R21" i="26" a="1"/>
  <c r="R21" i="26" s="1"/>
  <c r="S21" i="26"/>
  <c r="O22" i="26" a="1"/>
  <c r="O22" i="26" s="1"/>
  <c r="P22" i="26" a="1"/>
  <c r="P22" i="26" s="1"/>
  <c r="Q22" i="26" a="1"/>
  <c r="Q22" i="26" s="1"/>
  <c r="R22" i="26" a="1"/>
  <c r="R22" i="26" s="1"/>
  <c r="S22" i="26"/>
  <c r="O23" i="26" a="1"/>
  <c r="O23" i="26"/>
  <c r="P23" i="26" a="1"/>
  <c r="P23" i="26" s="1"/>
  <c r="Q23" i="26" a="1"/>
  <c r="Q23" i="26" s="1"/>
  <c r="R23" i="26" a="1"/>
  <c r="R23" i="26" s="1"/>
  <c r="S23" i="26"/>
  <c r="O24" i="26" a="1"/>
  <c r="O24" i="26" s="1"/>
  <c r="P24" i="26" a="1"/>
  <c r="P24" i="26" s="1"/>
  <c r="Q24" i="26" a="1"/>
  <c r="Q24" i="26" s="1"/>
  <c r="R24" i="26" a="1"/>
  <c r="R24" i="26" s="1"/>
  <c r="S24" i="26"/>
  <c r="O25" i="26" a="1"/>
  <c r="O25" i="26" s="1"/>
  <c r="P25" i="26" a="1"/>
  <c r="P25" i="26" s="1"/>
  <c r="Q25" i="26" a="1"/>
  <c r="Q25" i="26" s="1"/>
  <c r="R25" i="26" a="1"/>
  <c r="R25" i="26" s="1"/>
  <c r="S25" i="26"/>
  <c r="O26" i="26" a="1"/>
  <c r="O26" i="26" s="1"/>
  <c r="P26" i="26" a="1"/>
  <c r="P26" i="26" s="1"/>
  <c r="Q26" i="26" a="1"/>
  <c r="Q26" i="26" s="1"/>
  <c r="R26" i="26" a="1"/>
  <c r="R26" i="26" s="1"/>
  <c r="S26" i="26"/>
  <c r="O27" i="26" a="1"/>
  <c r="O27" i="26" s="1"/>
  <c r="P27" i="26" a="1"/>
  <c r="P27" i="26" s="1"/>
  <c r="Q27" i="26" a="1"/>
  <c r="Q27" i="26" s="1"/>
  <c r="R27" i="26" a="1"/>
  <c r="R27" i="26" s="1"/>
  <c r="S27" i="26"/>
  <c r="O28" i="26" a="1"/>
  <c r="O28" i="26" s="1"/>
  <c r="P28" i="26" a="1"/>
  <c r="P28" i="26" s="1"/>
  <c r="Q28" i="26" a="1"/>
  <c r="Q28" i="26" s="1"/>
  <c r="R28" i="26" a="1"/>
  <c r="R28" i="26" s="1"/>
  <c r="S28" i="26"/>
  <c r="O29" i="26" a="1"/>
  <c r="O29" i="26" s="1"/>
  <c r="P29" i="26" a="1"/>
  <c r="P29" i="26" s="1"/>
  <c r="Q29" i="26" a="1"/>
  <c r="Q29" i="26" s="1"/>
  <c r="R29" i="26" a="1"/>
  <c r="R29" i="26" s="1"/>
  <c r="S29" i="26"/>
  <c r="O30" i="26" a="1"/>
  <c r="O30" i="26" s="1"/>
  <c r="P30" i="26" a="1"/>
  <c r="P30" i="26" s="1"/>
  <c r="Q30" i="26" a="1"/>
  <c r="Q30" i="26" s="1"/>
  <c r="R30" i="26" a="1"/>
  <c r="R30" i="26" s="1"/>
  <c r="S30" i="26"/>
  <c r="O31" i="26" a="1"/>
  <c r="O31" i="26" s="1"/>
  <c r="P31" i="26" a="1"/>
  <c r="P31" i="26" s="1"/>
  <c r="Q31" i="26" a="1"/>
  <c r="Q31" i="26" s="1"/>
  <c r="R31" i="26" a="1"/>
  <c r="R31" i="26" s="1"/>
  <c r="S31" i="26"/>
  <c r="O32" i="26" a="1"/>
  <c r="O32" i="26" s="1"/>
  <c r="P32" i="26" a="1"/>
  <c r="P32" i="26"/>
  <c r="Q32" i="26" a="1"/>
  <c r="Q32" i="26" s="1"/>
  <c r="R32" i="26" a="1"/>
  <c r="R32" i="26" s="1"/>
  <c r="S32" i="26"/>
  <c r="O33" i="26" a="1"/>
  <c r="O33" i="26" s="1"/>
  <c r="P33" i="26" a="1"/>
  <c r="P33" i="26" s="1"/>
  <c r="Q33" i="26" a="1"/>
  <c r="Q33" i="26" s="1"/>
  <c r="R33" i="26" a="1"/>
  <c r="R33" i="26" s="1"/>
  <c r="S33" i="26"/>
  <c r="O34" i="26" a="1"/>
  <c r="O34" i="26" s="1"/>
  <c r="P34" i="26" a="1"/>
  <c r="P34" i="26" s="1"/>
  <c r="Q34" i="26" a="1"/>
  <c r="Q34" i="26" s="1"/>
  <c r="R34" i="26" a="1"/>
  <c r="R34" i="26" s="1"/>
  <c r="S34" i="26"/>
  <c r="O35" i="26" a="1"/>
  <c r="O35" i="26" s="1"/>
  <c r="P35" i="26" a="1"/>
  <c r="P35" i="26" s="1"/>
  <c r="Q35" i="26" a="1"/>
  <c r="Q35" i="26" s="1"/>
  <c r="R35" i="26" a="1"/>
  <c r="R35" i="26" s="1"/>
  <c r="S35" i="26"/>
  <c r="O36" i="26" a="1"/>
  <c r="O36" i="26" s="1"/>
  <c r="P36" i="26" a="1"/>
  <c r="P36" i="26" s="1"/>
  <c r="Q36" i="26" a="1"/>
  <c r="Q36" i="26" s="1"/>
  <c r="R36" i="26" a="1"/>
  <c r="R36" i="26" s="1"/>
  <c r="S36" i="26"/>
  <c r="O37" i="26" a="1"/>
  <c r="O37" i="26" s="1"/>
  <c r="P37" i="26" a="1"/>
  <c r="P37" i="26" s="1"/>
  <c r="Q37" i="26" a="1"/>
  <c r="Q37" i="26" s="1"/>
  <c r="R37" i="26" a="1"/>
  <c r="R37" i="26" s="1"/>
  <c r="S37" i="26"/>
  <c r="O38" i="26" a="1"/>
  <c r="O38" i="26" s="1"/>
  <c r="P38" i="26" a="1"/>
  <c r="P38" i="26" s="1"/>
  <c r="Q38" i="26" a="1"/>
  <c r="Q38" i="26" s="1"/>
  <c r="R38" i="26" a="1"/>
  <c r="R38" i="26" s="1"/>
  <c r="S38" i="26"/>
  <c r="O39" i="26" a="1"/>
  <c r="O39" i="26" s="1"/>
  <c r="P39" i="26" a="1"/>
  <c r="P39" i="26" s="1"/>
  <c r="Q39" i="26" a="1"/>
  <c r="Q39" i="26" s="1"/>
  <c r="R39" i="26" a="1"/>
  <c r="R39" i="26" s="1"/>
  <c r="S39" i="26"/>
  <c r="O40" i="26" a="1"/>
  <c r="O40" i="26" s="1"/>
  <c r="P40" i="26" a="1"/>
  <c r="P40" i="26" s="1"/>
  <c r="Q40" i="26" a="1"/>
  <c r="Q40" i="26" s="1"/>
  <c r="R40" i="26" a="1"/>
  <c r="R40" i="26" s="1"/>
  <c r="S40" i="26"/>
  <c r="O41" i="26" a="1"/>
  <c r="O41" i="26" s="1"/>
  <c r="P41" i="26" a="1"/>
  <c r="P41" i="26" s="1"/>
  <c r="Q41" i="26" a="1"/>
  <c r="Q41" i="26" s="1"/>
  <c r="R41" i="26" a="1"/>
  <c r="R41" i="26" s="1"/>
  <c r="S41" i="26"/>
  <c r="O42" i="26" a="1"/>
  <c r="O42" i="26" s="1"/>
  <c r="P42" i="26" a="1"/>
  <c r="P42" i="26" s="1"/>
  <c r="Q42" i="26" a="1"/>
  <c r="Q42" i="26" s="1"/>
  <c r="R42" i="26" a="1"/>
  <c r="R42" i="26" s="1"/>
  <c r="S42" i="26"/>
  <c r="O43" i="26" a="1"/>
  <c r="O43" i="26" s="1"/>
  <c r="P43" i="26" a="1"/>
  <c r="P43" i="26" s="1"/>
  <c r="Q43" i="26" a="1"/>
  <c r="Q43" i="26" s="1"/>
  <c r="R43" i="26" a="1"/>
  <c r="R43" i="26" s="1"/>
  <c r="S43" i="26"/>
  <c r="O44" i="26" a="1"/>
  <c r="O44" i="26" s="1"/>
  <c r="P44" i="26" a="1"/>
  <c r="P44" i="26" s="1"/>
  <c r="Q44" i="26" a="1"/>
  <c r="Q44" i="26" s="1"/>
  <c r="R44" i="26" a="1"/>
  <c r="R44" i="26" s="1"/>
  <c r="S44" i="26"/>
  <c r="O45" i="26" a="1"/>
  <c r="O45" i="26" s="1"/>
  <c r="P45" i="26" a="1"/>
  <c r="P45" i="26" s="1"/>
  <c r="Q45" i="26" a="1"/>
  <c r="Q45" i="26" s="1"/>
  <c r="R45" i="26" a="1"/>
  <c r="R45" i="26" s="1"/>
  <c r="S45" i="26"/>
  <c r="O46" i="26" a="1"/>
  <c r="O46" i="26" s="1"/>
  <c r="P46" i="26" a="1"/>
  <c r="P46" i="26" s="1"/>
  <c r="Q46" i="26" a="1"/>
  <c r="Q46" i="26" s="1"/>
  <c r="R46" i="26" a="1"/>
  <c r="R46" i="26" s="1"/>
  <c r="S46" i="26"/>
  <c r="O47" i="26" a="1"/>
  <c r="O47" i="26" s="1"/>
  <c r="P47" i="26" a="1"/>
  <c r="P47" i="26" s="1"/>
  <c r="Q47" i="26" a="1"/>
  <c r="Q47" i="26" s="1"/>
  <c r="R47" i="26" a="1"/>
  <c r="R47" i="26" s="1"/>
  <c r="S47" i="26"/>
  <c r="O48" i="26" a="1"/>
  <c r="O48" i="26" s="1"/>
  <c r="P48" i="26" a="1"/>
  <c r="P48" i="26" s="1"/>
  <c r="Q48" i="26" a="1"/>
  <c r="Q48" i="26" s="1"/>
  <c r="R48" i="26" a="1"/>
  <c r="R48" i="26" s="1"/>
  <c r="S48" i="26"/>
  <c r="O49" i="26" a="1"/>
  <c r="O49" i="26" s="1"/>
  <c r="P49" i="26" a="1"/>
  <c r="P49" i="26" s="1"/>
  <c r="Q49" i="26" a="1"/>
  <c r="Q49" i="26" s="1"/>
  <c r="R49" i="26" a="1"/>
  <c r="R49" i="26" s="1"/>
  <c r="S49" i="26"/>
  <c r="O50" i="26" a="1"/>
  <c r="O50" i="26" s="1"/>
  <c r="P50" i="26" a="1"/>
  <c r="P50" i="26" s="1"/>
  <c r="Q50" i="26" a="1"/>
  <c r="Q50" i="26" s="1"/>
  <c r="R50" i="26" a="1"/>
  <c r="R50" i="26" s="1"/>
  <c r="S50" i="26"/>
  <c r="O51" i="26" a="1"/>
  <c r="O51" i="26" s="1"/>
  <c r="P51" i="26" a="1"/>
  <c r="P51" i="26" s="1"/>
  <c r="Q51" i="26" a="1"/>
  <c r="Q51" i="26" s="1"/>
  <c r="R51" i="26" a="1"/>
  <c r="R51" i="26" s="1"/>
  <c r="S51" i="26"/>
  <c r="O52" i="26" a="1"/>
  <c r="O52" i="26" s="1"/>
  <c r="P52" i="26" a="1"/>
  <c r="P52" i="26" s="1"/>
  <c r="Q52" i="26" a="1"/>
  <c r="Q52" i="26" s="1"/>
  <c r="R52" i="26" a="1"/>
  <c r="R52" i="26" s="1"/>
  <c r="S52" i="26"/>
  <c r="O53" i="26" a="1"/>
  <c r="O53" i="26" s="1"/>
  <c r="P53" i="26" a="1"/>
  <c r="P53" i="26" s="1"/>
  <c r="Q53" i="26" a="1"/>
  <c r="Q53" i="26" s="1"/>
  <c r="R53" i="26" a="1"/>
  <c r="R53" i="26" s="1"/>
  <c r="S53" i="26"/>
  <c r="O54" i="26" a="1"/>
  <c r="O54" i="26" s="1"/>
  <c r="P54" i="26" a="1"/>
  <c r="P54" i="26" s="1"/>
  <c r="Q54" i="26" a="1"/>
  <c r="Q54" i="26" s="1"/>
  <c r="R54" i="26" a="1"/>
  <c r="R54" i="26" s="1"/>
  <c r="S54" i="26"/>
  <c r="O55" i="26" a="1"/>
  <c r="O55" i="26" s="1"/>
  <c r="P55" i="26" a="1"/>
  <c r="P55" i="26" s="1"/>
  <c r="Q55" i="26" a="1"/>
  <c r="Q55" i="26" s="1"/>
  <c r="R55" i="26" a="1"/>
  <c r="R55" i="26" s="1"/>
  <c r="S55" i="26"/>
  <c r="O56" i="26" a="1"/>
  <c r="O56" i="26" s="1"/>
  <c r="P56" i="26" a="1"/>
  <c r="P56" i="26" s="1"/>
  <c r="Q56" i="26" a="1"/>
  <c r="Q56" i="26" s="1"/>
  <c r="R56" i="26" a="1"/>
  <c r="R56" i="26" s="1"/>
  <c r="S56" i="26"/>
  <c r="O57" i="26" a="1"/>
  <c r="O57" i="26" s="1"/>
  <c r="P57" i="26" a="1"/>
  <c r="P57" i="26" s="1"/>
  <c r="Q57" i="26" a="1"/>
  <c r="Q57" i="26" s="1"/>
  <c r="R57" i="26" a="1"/>
  <c r="R57" i="26" s="1"/>
  <c r="S57" i="26"/>
  <c r="O58" i="26" a="1"/>
  <c r="O58" i="26" s="1"/>
  <c r="P58" i="26" a="1"/>
  <c r="P58" i="26" s="1"/>
  <c r="Q58" i="26" a="1"/>
  <c r="Q58" i="26" s="1"/>
  <c r="R58" i="26" a="1"/>
  <c r="R58" i="26" s="1"/>
  <c r="S58" i="26"/>
  <c r="O59" i="26" a="1"/>
  <c r="O59" i="26" s="1"/>
  <c r="P59" i="26" a="1"/>
  <c r="P59" i="26" s="1"/>
  <c r="Q59" i="26" a="1"/>
  <c r="Q59" i="26" s="1"/>
  <c r="R59" i="26" a="1"/>
  <c r="R59" i="26" s="1"/>
  <c r="S59" i="26"/>
  <c r="O60" i="26" a="1"/>
  <c r="O60" i="26" s="1"/>
  <c r="P60" i="26" a="1"/>
  <c r="P60" i="26" s="1"/>
  <c r="Q60" i="26" a="1"/>
  <c r="Q60" i="26" s="1"/>
  <c r="R60" i="26" a="1"/>
  <c r="R60" i="26" s="1"/>
  <c r="S60" i="26"/>
  <c r="O61" i="26" a="1"/>
  <c r="O61" i="26" s="1"/>
  <c r="P61" i="26" a="1"/>
  <c r="P61" i="26" s="1"/>
  <c r="Q61" i="26" a="1"/>
  <c r="Q61" i="26" s="1"/>
  <c r="R61" i="26" a="1"/>
  <c r="R61" i="26" s="1"/>
  <c r="S61" i="26"/>
  <c r="O62" i="26" a="1"/>
  <c r="O62" i="26" s="1"/>
  <c r="P62" i="26" a="1"/>
  <c r="P62" i="26" s="1"/>
  <c r="Q62" i="26" a="1"/>
  <c r="Q62" i="26" s="1"/>
  <c r="R62" i="26" a="1"/>
  <c r="R62" i="26" s="1"/>
  <c r="S62" i="26"/>
  <c r="O63" i="26" a="1"/>
  <c r="O63" i="26" s="1"/>
  <c r="P63" i="26" a="1"/>
  <c r="P63" i="26" s="1"/>
  <c r="Q63" i="26" a="1"/>
  <c r="Q63" i="26" s="1"/>
  <c r="R63" i="26" a="1"/>
  <c r="R63" i="26" s="1"/>
  <c r="S63" i="26"/>
  <c r="O64" i="26" a="1"/>
  <c r="O64" i="26" s="1"/>
  <c r="P64" i="26" a="1"/>
  <c r="P64" i="26" s="1"/>
  <c r="Q64" i="26" a="1"/>
  <c r="Q64" i="26" s="1"/>
  <c r="R64" i="26" a="1"/>
  <c r="R64" i="26" s="1"/>
  <c r="S64" i="26"/>
  <c r="O65" i="26" a="1"/>
  <c r="O65" i="26" s="1"/>
  <c r="P65" i="26" a="1"/>
  <c r="P65" i="26" s="1"/>
  <c r="Q65" i="26" a="1"/>
  <c r="Q65" i="26" s="1"/>
  <c r="R65" i="26" a="1"/>
  <c r="R65" i="26" s="1"/>
  <c r="S65" i="26"/>
  <c r="O66" i="26" a="1"/>
  <c r="O66" i="26" s="1"/>
  <c r="P66" i="26" a="1"/>
  <c r="P66" i="26" s="1"/>
  <c r="Q66" i="26" a="1"/>
  <c r="Q66" i="26" s="1"/>
  <c r="R66" i="26" a="1"/>
  <c r="R66" i="26" s="1"/>
  <c r="S66" i="26"/>
  <c r="O67" i="26" a="1"/>
  <c r="O67" i="26" s="1"/>
  <c r="P67" i="26" a="1"/>
  <c r="P67" i="26" s="1"/>
  <c r="Q67" i="26" a="1"/>
  <c r="Q67" i="26" s="1"/>
  <c r="R67" i="26" a="1"/>
  <c r="R67" i="26" s="1"/>
  <c r="S67" i="26"/>
  <c r="O68" i="26" a="1"/>
  <c r="O68" i="26" s="1"/>
  <c r="P68" i="26" a="1"/>
  <c r="P68" i="26" s="1"/>
  <c r="Q68" i="26" a="1"/>
  <c r="Q68" i="26" s="1"/>
  <c r="R68" i="26" a="1"/>
  <c r="R68" i="26" s="1"/>
  <c r="S68" i="26"/>
  <c r="O69" i="26" a="1"/>
  <c r="O69" i="26" s="1"/>
  <c r="P69" i="26" a="1"/>
  <c r="P69" i="26" s="1"/>
  <c r="Q69" i="26" a="1"/>
  <c r="Q69" i="26" s="1"/>
  <c r="R69" i="26" a="1"/>
  <c r="R69" i="26" s="1"/>
  <c r="S69" i="26"/>
  <c r="O70" i="26" a="1"/>
  <c r="O70" i="26" s="1"/>
  <c r="P70" i="26" a="1"/>
  <c r="P70" i="26" s="1"/>
  <c r="Q70" i="26" a="1"/>
  <c r="Q70" i="26" s="1"/>
  <c r="R70" i="26" a="1"/>
  <c r="R70" i="26" s="1"/>
  <c r="S70" i="26"/>
  <c r="O71" i="26" a="1"/>
  <c r="O71" i="26" s="1"/>
  <c r="P71" i="26" a="1"/>
  <c r="P71" i="26" s="1"/>
  <c r="Q71" i="26" a="1"/>
  <c r="Q71" i="26" s="1"/>
  <c r="R71" i="26" a="1"/>
  <c r="R71" i="26" s="1"/>
  <c r="S71" i="26"/>
  <c r="O72" i="26" a="1"/>
  <c r="O72" i="26" s="1"/>
  <c r="P72" i="26" a="1"/>
  <c r="P72" i="26" s="1"/>
  <c r="Q72" i="26" a="1"/>
  <c r="Q72" i="26" s="1"/>
  <c r="R72" i="26" a="1"/>
  <c r="R72" i="26" s="1"/>
  <c r="S72" i="26"/>
  <c r="O73" i="26" a="1"/>
  <c r="O73" i="26" s="1"/>
  <c r="P73" i="26" a="1"/>
  <c r="P73" i="26" s="1"/>
  <c r="Q73" i="26" a="1"/>
  <c r="Q73" i="26" s="1"/>
  <c r="R73" i="26" a="1"/>
  <c r="R73" i="26" s="1"/>
  <c r="S73" i="26"/>
  <c r="O74" i="26" a="1"/>
  <c r="O74" i="26" s="1"/>
  <c r="P74" i="26" a="1"/>
  <c r="P74" i="26" s="1"/>
  <c r="Q74" i="26" a="1"/>
  <c r="Q74" i="26" s="1"/>
  <c r="R74" i="26" a="1"/>
  <c r="R74" i="26" s="1"/>
  <c r="S74" i="26"/>
  <c r="O75" i="26" a="1"/>
  <c r="O75" i="26" s="1"/>
  <c r="P75" i="26" a="1"/>
  <c r="P75" i="26" s="1"/>
  <c r="Q75" i="26" a="1"/>
  <c r="Q75" i="26" s="1"/>
  <c r="R75" i="26" a="1"/>
  <c r="R75" i="26" s="1"/>
  <c r="S75" i="26"/>
  <c r="O76" i="26" a="1"/>
  <c r="O76" i="26" s="1"/>
  <c r="P76" i="26" a="1"/>
  <c r="P76" i="26" s="1"/>
  <c r="Q76" i="26" a="1"/>
  <c r="Q76" i="26" s="1"/>
  <c r="R76" i="26" a="1"/>
  <c r="R76" i="26" s="1"/>
  <c r="S76" i="26"/>
  <c r="O77" i="26" a="1"/>
  <c r="O77" i="26" s="1"/>
  <c r="P77" i="26" a="1"/>
  <c r="P77" i="26" s="1"/>
  <c r="Q77" i="26" a="1"/>
  <c r="Q77" i="26" s="1"/>
  <c r="R77" i="26" a="1"/>
  <c r="R77" i="26" s="1"/>
  <c r="S77" i="26"/>
  <c r="O78" i="26" a="1"/>
  <c r="O78" i="26" s="1"/>
  <c r="P78" i="26" a="1"/>
  <c r="P78" i="26" s="1"/>
  <c r="Q78" i="26" a="1"/>
  <c r="Q78" i="26" s="1"/>
  <c r="R78" i="26" a="1"/>
  <c r="R78" i="26" s="1"/>
  <c r="S78" i="26"/>
  <c r="O79" i="26" a="1"/>
  <c r="O79" i="26" s="1"/>
  <c r="P79" i="26" a="1"/>
  <c r="P79" i="26" s="1"/>
  <c r="Q79" i="26" a="1"/>
  <c r="Q79" i="26" s="1"/>
  <c r="R79" i="26" a="1"/>
  <c r="R79" i="26" s="1"/>
  <c r="S79" i="26"/>
  <c r="O80" i="26" a="1"/>
  <c r="O80" i="26" s="1"/>
  <c r="P80" i="26" a="1"/>
  <c r="P80" i="26" s="1"/>
  <c r="Q80" i="26" a="1"/>
  <c r="Q80" i="26" s="1"/>
  <c r="R80" i="26" a="1"/>
  <c r="R80" i="26" s="1"/>
  <c r="S80" i="26"/>
  <c r="O81" i="26" a="1"/>
  <c r="O81" i="26" s="1"/>
  <c r="P81" i="26" a="1"/>
  <c r="P81" i="26" s="1"/>
  <c r="Q81" i="26" a="1"/>
  <c r="Q81" i="26" s="1"/>
  <c r="R81" i="26" a="1"/>
  <c r="R81" i="26" s="1"/>
  <c r="S81" i="26"/>
  <c r="O82" i="26" a="1"/>
  <c r="O82" i="26" s="1"/>
  <c r="P82" i="26" a="1"/>
  <c r="P82" i="26" s="1"/>
  <c r="Q82" i="26" a="1"/>
  <c r="Q82" i="26" s="1"/>
  <c r="R82" i="26" a="1"/>
  <c r="R82" i="26" s="1"/>
  <c r="S82" i="26"/>
  <c r="O83" i="26" a="1"/>
  <c r="O83" i="26" s="1"/>
  <c r="P83" i="26" a="1"/>
  <c r="P83" i="26" s="1"/>
  <c r="Q83" i="26" a="1"/>
  <c r="Q83" i="26" s="1"/>
  <c r="R83" i="26" a="1"/>
  <c r="R83" i="26" s="1"/>
  <c r="S83" i="26"/>
  <c r="O84" i="26" a="1"/>
  <c r="O84" i="26" s="1"/>
  <c r="P84" i="26" a="1"/>
  <c r="P84" i="26" s="1"/>
  <c r="Q84" i="26" a="1"/>
  <c r="Q84" i="26" s="1"/>
  <c r="R84" i="26" a="1"/>
  <c r="R84" i="26" s="1"/>
  <c r="S84" i="26"/>
  <c r="O85" i="26" a="1"/>
  <c r="O85" i="26" s="1"/>
  <c r="P85" i="26" a="1"/>
  <c r="P85" i="26" s="1"/>
  <c r="Q85" i="26" a="1"/>
  <c r="Q85" i="26" s="1"/>
  <c r="R85" i="26" a="1"/>
  <c r="R85" i="26" s="1"/>
  <c r="S85" i="26"/>
  <c r="O86" i="26" a="1"/>
  <c r="O86" i="26" s="1"/>
  <c r="P86" i="26" a="1"/>
  <c r="P86" i="26" s="1"/>
  <c r="Q86" i="26" a="1"/>
  <c r="Q86" i="26" s="1"/>
  <c r="R86" i="26" a="1"/>
  <c r="R86" i="26" s="1"/>
  <c r="S86" i="26"/>
  <c r="O87" i="26" a="1"/>
  <c r="O87" i="26" s="1"/>
  <c r="P87" i="26" a="1"/>
  <c r="P87" i="26" s="1"/>
  <c r="Q87" i="26" a="1"/>
  <c r="Q87" i="26" s="1"/>
  <c r="R87" i="26" a="1"/>
  <c r="R87" i="26" s="1"/>
  <c r="S87" i="26"/>
  <c r="O88" i="26" a="1"/>
  <c r="O88" i="26" s="1"/>
  <c r="P88" i="26" a="1"/>
  <c r="P88" i="26" s="1"/>
  <c r="Q88" i="26" a="1"/>
  <c r="Q88" i="26" s="1"/>
  <c r="R88" i="26" a="1"/>
  <c r="R88" i="26" s="1"/>
  <c r="S88" i="26"/>
  <c r="O89" i="26" a="1"/>
  <c r="O89" i="26" s="1"/>
  <c r="P89" i="26" a="1"/>
  <c r="P89" i="26" s="1"/>
  <c r="Q89" i="26" a="1"/>
  <c r="Q89" i="26" s="1"/>
  <c r="R89" i="26" a="1"/>
  <c r="R89" i="26" s="1"/>
  <c r="S89" i="26"/>
  <c r="O90" i="26" a="1"/>
  <c r="O90" i="26" s="1"/>
  <c r="P90" i="26" a="1"/>
  <c r="P90" i="26" s="1"/>
  <c r="Q90" i="26" a="1"/>
  <c r="Q90" i="26" s="1"/>
  <c r="R90" i="26" a="1"/>
  <c r="R90" i="26" s="1"/>
  <c r="S90" i="26"/>
  <c r="O91" i="26" a="1"/>
  <c r="O91" i="26" s="1"/>
  <c r="P91" i="26" a="1"/>
  <c r="P91" i="26" s="1"/>
  <c r="Q91" i="26" a="1"/>
  <c r="Q91" i="26" s="1"/>
  <c r="R91" i="26" a="1"/>
  <c r="R91" i="26" s="1"/>
  <c r="S91" i="26"/>
  <c r="O92" i="26" a="1"/>
  <c r="O92" i="26" s="1"/>
  <c r="P92" i="26" a="1"/>
  <c r="P92" i="26" s="1"/>
  <c r="Q92" i="26" a="1"/>
  <c r="Q92" i="26" s="1"/>
  <c r="R92" i="26" a="1"/>
  <c r="R92" i="26" s="1"/>
  <c r="S92" i="26"/>
  <c r="O93" i="26" a="1"/>
  <c r="O93" i="26" s="1"/>
  <c r="P93" i="26" a="1"/>
  <c r="P93" i="26" s="1"/>
  <c r="Q93" i="26" a="1"/>
  <c r="Q93" i="26" s="1"/>
  <c r="R93" i="26" a="1"/>
  <c r="R93" i="26" s="1"/>
  <c r="S93" i="26"/>
  <c r="O94" i="26" a="1"/>
  <c r="O94" i="26" s="1"/>
  <c r="P94" i="26" a="1"/>
  <c r="P94" i="26" s="1"/>
  <c r="Q94" i="26" a="1"/>
  <c r="Q94" i="26" s="1"/>
  <c r="R94" i="26" a="1"/>
  <c r="R94" i="26" s="1"/>
  <c r="S94" i="26"/>
  <c r="O95" i="26" a="1"/>
  <c r="O95" i="26" s="1"/>
  <c r="P95" i="26" a="1"/>
  <c r="P95" i="26" s="1"/>
  <c r="Q95" i="26" a="1"/>
  <c r="Q95" i="26" s="1"/>
  <c r="R95" i="26" a="1"/>
  <c r="R95" i="26" s="1"/>
  <c r="S95" i="26"/>
  <c r="O96" i="26" a="1"/>
  <c r="O96" i="26" s="1"/>
  <c r="P96" i="26" a="1"/>
  <c r="P96" i="26" s="1"/>
  <c r="Q96" i="26" a="1"/>
  <c r="Q96" i="26" s="1"/>
  <c r="R96" i="26" a="1"/>
  <c r="R96" i="26" s="1"/>
  <c r="S96" i="26"/>
  <c r="O97" i="26" a="1"/>
  <c r="O97" i="26" s="1"/>
  <c r="P97" i="26" a="1"/>
  <c r="P97" i="26" s="1"/>
  <c r="Q97" i="26" a="1"/>
  <c r="Q97" i="26" s="1"/>
  <c r="R97" i="26" a="1"/>
  <c r="R97" i="26" s="1"/>
  <c r="S97" i="26"/>
  <c r="O98" i="26" a="1"/>
  <c r="O98" i="26" s="1"/>
  <c r="P98" i="26" a="1"/>
  <c r="P98" i="26" s="1"/>
  <c r="Q98" i="26" a="1"/>
  <c r="Q98" i="26" s="1"/>
  <c r="R98" i="26" a="1"/>
  <c r="R98" i="26" s="1"/>
  <c r="S98" i="26"/>
  <c r="O99" i="26" a="1"/>
  <c r="O99" i="26" s="1"/>
  <c r="P99" i="26" a="1"/>
  <c r="P99" i="26" s="1"/>
  <c r="Q99" i="26" a="1"/>
  <c r="Q99" i="26" s="1"/>
  <c r="R99" i="26" a="1"/>
  <c r="R99" i="26" s="1"/>
  <c r="S99" i="26"/>
  <c r="O100" i="26" a="1"/>
  <c r="O100" i="26" s="1"/>
  <c r="P100" i="26" a="1"/>
  <c r="P100" i="26" s="1"/>
  <c r="Q100" i="26" a="1"/>
  <c r="Q100" i="26" s="1"/>
  <c r="R100" i="26" a="1"/>
  <c r="R100" i="26" s="1"/>
  <c r="S100" i="26"/>
  <c r="O101" i="26" a="1"/>
  <c r="O101" i="26" s="1"/>
  <c r="P101" i="26" a="1"/>
  <c r="P101" i="26" s="1"/>
  <c r="Q101" i="26" a="1"/>
  <c r="Q101" i="26" s="1"/>
  <c r="R101" i="26" a="1"/>
  <c r="R101" i="26" s="1"/>
  <c r="S101" i="26"/>
  <c r="O102" i="26" a="1"/>
  <c r="O102" i="26" s="1"/>
  <c r="P102" i="26" a="1"/>
  <c r="P102" i="26" s="1"/>
  <c r="Q102" i="26" a="1"/>
  <c r="Q102" i="26" s="1"/>
  <c r="R102" i="26" a="1"/>
  <c r="R102" i="26" s="1"/>
  <c r="S102" i="26"/>
  <c r="O103" i="26" a="1"/>
  <c r="O103" i="26" s="1"/>
  <c r="P103" i="26" a="1"/>
  <c r="P103" i="26" s="1"/>
  <c r="Q103" i="26" a="1"/>
  <c r="Q103" i="26" s="1"/>
  <c r="R103" i="26" a="1"/>
  <c r="R103" i="26" s="1"/>
  <c r="S103" i="26"/>
  <c r="O104" i="26" a="1"/>
  <c r="O104" i="26" s="1"/>
  <c r="P104" i="26" a="1"/>
  <c r="P104" i="26" s="1"/>
  <c r="Q104" i="26" a="1"/>
  <c r="Q104" i="26" s="1"/>
  <c r="R104" i="26" a="1"/>
  <c r="R104" i="26" s="1"/>
  <c r="S104" i="26"/>
  <c r="O105" i="26" a="1"/>
  <c r="O105" i="26" s="1"/>
  <c r="P105" i="26" a="1"/>
  <c r="P105" i="26" s="1"/>
  <c r="Q105" i="26" a="1"/>
  <c r="Q105" i="26" s="1"/>
  <c r="R105" i="26" a="1"/>
  <c r="R105" i="26" s="1"/>
  <c r="S105" i="26"/>
  <c r="O106" i="26" a="1"/>
  <c r="O106" i="26" s="1"/>
  <c r="P106" i="26" a="1"/>
  <c r="P106" i="26" s="1"/>
  <c r="Q106" i="26" a="1"/>
  <c r="Q106" i="26" s="1"/>
  <c r="R106" i="26" a="1"/>
  <c r="R106" i="26" s="1"/>
  <c r="S106" i="26"/>
  <c r="O107" i="26" a="1"/>
  <c r="O107" i="26" s="1"/>
  <c r="P107" i="26" a="1"/>
  <c r="P107" i="26" s="1"/>
  <c r="Q107" i="26" a="1"/>
  <c r="Q107" i="26" s="1"/>
  <c r="R107" i="26" a="1"/>
  <c r="R107" i="26" s="1"/>
  <c r="S107" i="26"/>
  <c r="O108" i="26" a="1"/>
  <c r="O108" i="26" s="1"/>
  <c r="P108" i="26" a="1"/>
  <c r="P108" i="26" s="1"/>
  <c r="Q108" i="26" a="1"/>
  <c r="Q108" i="26" s="1"/>
  <c r="R108" i="26" a="1"/>
  <c r="R108" i="26" s="1"/>
  <c r="S108" i="26"/>
  <c r="O109" i="26" a="1"/>
  <c r="O109" i="26" s="1"/>
  <c r="P109" i="26" a="1"/>
  <c r="P109" i="26" s="1"/>
  <c r="Q109" i="26" a="1"/>
  <c r="Q109" i="26" s="1"/>
  <c r="R109" i="26" a="1"/>
  <c r="R109" i="26" s="1"/>
  <c r="S109" i="26"/>
  <c r="O110" i="26" a="1"/>
  <c r="O110" i="26" s="1"/>
  <c r="P110" i="26" a="1"/>
  <c r="P110" i="26" s="1"/>
  <c r="Q110" i="26" a="1"/>
  <c r="Q110" i="26" s="1"/>
  <c r="R110" i="26" a="1"/>
  <c r="R110" i="26" s="1"/>
  <c r="S110" i="26"/>
  <c r="O111" i="26" a="1"/>
  <c r="O111" i="26" s="1"/>
  <c r="P111" i="26" a="1"/>
  <c r="P111" i="26" s="1"/>
  <c r="Q111" i="26" a="1"/>
  <c r="Q111" i="26" s="1"/>
  <c r="R111" i="26" a="1"/>
  <c r="R111" i="26" s="1"/>
  <c r="S111" i="26"/>
  <c r="O112" i="26" a="1"/>
  <c r="O112" i="26" s="1"/>
  <c r="P112" i="26" a="1"/>
  <c r="P112" i="26" s="1"/>
  <c r="Q112" i="26" a="1"/>
  <c r="Q112" i="26" s="1"/>
  <c r="R112" i="26" a="1"/>
  <c r="R112" i="26" s="1"/>
  <c r="S112" i="26"/>
  <c r="O113" i="26" a="1"/>
  <c r="O113" i="26" s="1"/>
  <c r="P113" i="26" a="1"/>
  <c r="P113" i="26" s="1"/>
  <c r="Q113" i="26" a="1"/>
  <c r="Q113" i="26" s="1"/>
  <c r="R113" i="26" a="1"/>
  <c r="R113" i="26" s="1"/>
  <c r="S113" i="26"/>
  <c r="O114" i="26" a="1"/>
  <c r="O114" i="26" s="1"/>
  <c r="P114" i="26" a="1"/>
  <c r="P114" i="26" s="1"/>
  <c r="Q114" i="26" a="1"/>
  <c r="Q114" i="26" s="1"/>
  <c r="R114" i="26" a="1"/>
  <c r="R114" i="26" s="1"/>
  <c r="S114" i="26"/>
  <c r="O115" i="26" a="1"/>
  <c r="O115" i="26" s="1"/>
  <c r="P115" i="26" a="1"/>
  <c r="P115" i="26" s="1"/>
  <c r="Q115" i="26" a="1"/>
  <c r="Q115" i="26" s="1"/>
  <c r="R115" i="26" a="1"/>
  <c r="R115" i="26" s="1"/>
  <c r="S115" i="26"/>
  <c r="O116" i="26" a="1"/>
  <c r="O116" i="26" s="1"/>
  <c r="P116" i="26" a="1"/>
  <c r="P116" i="26" s="1"/>
  <c r="Q116" i="26" a="1"/>
  <c r="Q116" i="26" s="1"/>
  <c r="R116" i="26" a="1"/>
  <c r="R116" i="26" s="1"/>
  <c r="S116" i="26"/>
  <c r="O117" i="26" a="1"/>
  <c r="O117" i="26" s="1"/>
  <c r="P117" i="26" a="1"/>
  <c r="P117" i="26" s="1"/>
  <c r="Q117" i="26" a="1"/>
  <c r="Q117" i="26" s="1"/>
  <c r="R117" i="26" a="1"/>
  <c r="R117" i="26" s="1"/>
  <c r="S117" i="26"/>
  <c r="O118" i="26" a="1"/>
  <c r="O118" i="26" s="1"/>
  <c r="P118" i="26" a="1"/>
  <c r="P118" i="26" s="1"/>
  <c r="Q118" i="26" a="1"/>
  <c r="Q118" i="26" s="1"/>
  <c r="R118" i="26" a="1"/>
  <c r="R118" i="26" s="1"/>
  <c r="S118" i="26"/>
  <c r="O119" i="26" a="1"/>
  <c r="O119" i="26" s="1"/>
  <c r="P119" i="26" a="1"/>
  <c r="P119" i="26" s="1"/>
  <c r="Q119" i="26" a="1"/>
  <c r="Q119" i="26" s="1"/>
  <c r="R119" i="26" a="1"/>
  <c r="R119" i="26" s="1"/>
  <c r="S119" i="26"/>
  <c r="O120" i="26" a="1"/>
  <c r="O120" i="26" s="1"/>
  <c r="P120" i="26" a="1"/>
  <c r="P120" i="26" s="1"/>
  <c r="Q120" i="26" a="1"/>
  <c r="Q120" i="26" s="1"/>
  <c r="R120" i="26" a="1"/>
  <c r="R120" i="26" s="1"/>
  <c r="S120" i="26"/>
  <c r="O121" i="26" a="1"/>
  <c r="O121" i="26" s="1"/>
  <c r="P121" i="26" a="1"/>
  <c r="P121" i="26" s="1"/>
  <c r="Q121" i="26" a="1"/>
  <c r="Q121" i="26" s="1"/>
  <c r="R121" i="26" a="1"/>
  <c r="R121" i="26" s="1"/>
  <c r="S121" i="26"/>
  <c r="O122" i="26" a="1"/>
  <c r="O122" i="26" s="1"/>
  <c r="P122" i="26" a="1"/>
  <c r="P122" i="26" s="1"/>
  <c r="Q122" i="26" a="1"/>
  <c r="Q122" i="26" s="1"/>
  <c r="R122" i="26" a="1"/>
  <c r="R122" i="26" s="1"/>
  <c r="S122" i="26"/>
  <c r="O123" i="26" a="1"/>
  <c r="O123" i="26" s="1"/>
  <c r="P123" i="26" a="1"/>
  <c r="P123" i="26" s="1"/>
  <c r="Q123" i="26" a="1"/>
  <c r="Q123" i="26" s="1"/>
  <c r="R123" i="26" a="1"/>
  <c r="R123" i="26" s="1"/>
  <c r="S123" i="26"/>
  <c r="O124" i="26" a="1"/>
  <c r="O124" i="26" s="1"/>
  <c r="P124" i="26" a="1"/>
  <c r="P124" i="26" s="1"/>
  <c r="Q124" i="26" a="1"/>
  <c r="Q124" i="26" s="1"/>
  <c r="R124" i="26" a="1"/>
  <c r="R124" i="26" s="1"/>
  <c r="S124" i="26"/>
  <c r="O125" i="26" a="1"/>
  <c r="O125" i="26" s="1"/>
  <c r="P125" i="26" a="1"/>
  <c r="P125" i="26" s="1"/>
  <c r="Q125" i="26" a="1"/>
  <c r="Q125" i="26" s="1"/>
  <c r="R125" i="26" a="1"/>
  <c r="R125" i="26" s="1"/>
  <c r="S125" i="26"/>
  <c r="O126" i="26" a="1"/>
  <c r="O126" i="26" s="1"/>
  <c r="P126" i="26" a="1"/>
  <c r="P126" i="26" s="1"/>
  <c r="Q126" i="26" a="1"/>
  <c r="Q126" i="26" s="1"/>
  <c r="R126" i="26" a="1"/>
  <c r="R126" i="26" s="1"/>
  <c r="S126" i="26"/>
  <c r="O127" i="26" a="1"/>
  <c r="O127" i="26" s="1"/>
  <c r="P127" i="26" a="1"/>
  <c r="P127" i="26" s="1"/>
  <c r="Q127" i="26" a="1"/>
  <c r="Q127" i="26" s="1"/>
  <c r="R127" i="26" a="1"/>
  <c r="R127" i="26" s="1"/>
  <c r="S127" i="26"/>
  <c r="O128" i="26" a="1"/>
  <c r="O128" i="26" s="1"/>
  <c r="P128" i="26" a="1"/>
  <c r="P128" i="26" s="1"/>
  <c r="Q128" i="26" a="1"/>
  <c r="Q128" i="26" s="1"/>
  <c r="R128" i="26" a="1"/>
  <c r="R128" i="26" s="1"/>
  <c r="S128" i="26"/>
  <c r="O129" i="26" a="1"/>
  <c r="O129" i="26" s="1"/>
  <c r="P129" i="26" a="1"/>
  <c r="P129" i="26" s="1"/>
  <c r="Q129" i="26" a="1"/>
  <c r="Q129" i="26" s="1"/>
  <c r="R129" i="26" a="1"/>
  <c r="R129" i="26" s="1"/>
  <c r="S129" i="26"/>
  <c r="O130" i="26" a="1"/>
  <c r="O130" i="26" s="1"/>
  <c r="P130" i="26" a="1"/>
  <c r="P130" i="26" s="1"/>
  <c r="Q130" i="26" a="1"/>
  <c r="Q130" i="26" s="1"/>
  <c r="R130" i="26" a="1"/>
  <c r="R130" i="26" s="1"/>
  <c r="S130" i="26"/>
  <c r="O131" i="26" a="1"/>
  <c r="O131" i="26" s="1"/>
  <c r="P131" i="26" a="1"/>
  <c r="P131" i="26" s="1"/>
  <c r="Q131" i="26" a="1"/>
  <c r="Q131" i="26" s="1"/>
  <c r="R131" i="26" a="1"/>
  <c r="R131" i="26" s="1"/>
  <c r="S131" i="26"/>
  <c r="O132" i="26" a="1"/>
  <c r="O132" i="26" s="1"/>
  <c r="P132" i="26" a="1"/>
  <c r="P132" i="26" s="1"/>
  <c r="Q132" i="26" a="1"/>
  <c r="Q132" i="26" s="1"/>
  <c r="R132" i="26" a="1"/>
  <c r="R132" i="26" s="1"/>
  <c r="S132" i="26"/>
  <c r="O133" i="26" a="1"/>
  <c r="O133" i="26" s="1"/>
  <c r="P133" i="26" a="1"/>
  <c r="P133" i="26" s="1"/>
  <c r="Q133" i="26" a="1"/>
  <c r="Q133" i="26" s="1"/>
  <c r="R133" i="26" a="1"/>
  <c r="R133" i="26" s="1"/>
  <c r="S133" i="26"/>
  <c r="O134" i="26" a="1"/>
  <c r="O134" i="26" s="1"/>
  <c r="P134" i="26" a="1"/>
  <c r="P134" i="26" s="1"/>
  <c r="Q134" i="26" a="1"/>
  <c r="Q134" i="26" s="1"/>
  <c r="R134" i="26" a="1"/>
  <c r="R134" i="26" s="1"/>
  <c r="S134" i="26"/>
  <c r="O135" i="26" a="1"/>
  <c r="O135" i="26" s="1"/>
  <c r="P135" i="26" a="1"/>
  <c r="P135" i="26" s="1"/>
  <c r="Q135" i="26" a="1"/>
  <c r="Q135" i="26" s="1"/>
  <c r="R135" i="26" a="1"/>
  <c r="R135" i="26" s="1"/>
  <c r="S135" i="26"/>
  <c r="O136" i="26" a="1"/>
  <c r="O136" i="26" s="1"/>
  <c r="P136" i="26" a="1"/>
  <c r="P136" i="26" s="1"/>
  <c r="Q136" i="26" a="1"/>
  <c r="Q136" i="26" s="1"/>
  <c r="R136" i="26" a="1"/>
  <c r="R136" i="26" s="1"/>
  <c r="S136" i="26"/>
  <c r="O137" i="26" a="1"/>
  <c r="O137" i="26" s="1"/>
  <c r="P137" i="26" a="1"/>
  <c r="P137" i="26" s="1"/>
  <c r="Q137" i="26" a="1"/>
  <c r="Q137" i="26" s="1"/>
  <c r="R137" i="26" a="1"/>
  <c r="R137" i="26" s="1"/>
  <c r="S137" i="26"/>
  <c r="O138" i="26" a="1"/>
  <c r="O138" i="26" s="1"/>
  <c r="P138" i="26" a="1"/>
  <c r="P138" i="26" s="1"/>
  <c r="Q138" i="26" a="1"/>
  <c r="Q138" i="26" s="1"/>
  <c r="R138" i="26" a="1"/>
  <c r="R138" i="26" s="1"/>
  <c r="S138" i="26"/>
  <c r="O139" i="26" a="1"/>
  <c r="O139" i="26" s="1"/>
  <c r="P139" i="26" a="1"/>
  <c r="P139" i="26" s="1"/>
  <c r="Q139" i="26" a="1"/>
  <c r="Q139" i="26" s="1"/>
  <c r="R139" i="26" a="1"/>
  <c r="R139" i="26" s="1"/>
  <c r="S139" i="26"/>
  <c r="O140" i="26" a="1"/>
  <c r="O140" i="26" s="1"/>
  <c r="P140" i="26" a="1"/>
  <c r="P140" i="26" s="1"/>
  <c r="Q140" i="26" a="1"/>
  <c r="Q140" i="26" s="1"/>
  <c r="R140" i="26" a="1"/>
  <c r="R140" i="26" s="1"/>
  <c r="S140" i="26"/>
  <c r="O141" i="26" a="1"/>
  <c r="O141" i="26" s="1"/>
  <c r="P141" i="26" a="1"/>
  <c r="P141" i="26" s="1"/>
  <c r="Q141" i="26" a="1"/>
  <c r="Q141" i="26" s="1"/>
  <c r="R141" i="26" a="1"/>
  <c r="R141" i="26" s="1"/>
  <c r="S141" i="26"/>
  <c r="O142" i="26" a="1"/>
  <c r="O142" i="26" s="1"/>
  <c r="P142" i="26" a="1"/>
  <c r="P142" i="26" s="1"/>
  <c r="Q142" i="26" a="1"/>
  <c r="Q142" i="26" s="1"/>
  <c r="R142" i="26" a="1"/>
  <c r="R142" i="26" s="1"/>
  <c r="S142" i="26"/>
  <c r="O143" i="26" a="1"/>
  <c r="O143" i="26" s="1"/>
  <c r="P143" i="26" a="1"/>
  <c r="P143" i="26" s="1"/>
  <c r="Q143" i="26" a="1"/>
  <c r="Q143" i="26" s="1"/>
  <c r="R143" i="26" a="1"/>
  <c r="R143" i="26" s="1"/>
  <c r="S143" i="26"/>
  <c r="O144" i="26" a="1"/>
  <c r="O144" i="26" s="1"/>
  <c r="P144" i="26" a="1"/>
  <c r="P144" i="26" s="1"/>
  <c r="Q144" i="26" a="1"/>
  <c r="Q144" i="26" s="1"/>
  <c r="R144" i="26" a="1"/>
  <c r="R144" i="26" s="1"/>
  <c r="S144" i="26"/>
  <c r="O145" i="26" a="1"/>
  <c r="O145" i="26" s="1"/>
  <c r="P145" i="26" a="1"/>
  <c r="P145" i="26" s="1"/>
  <c r="Q145" i="26" a="1"/>
  <c r="Q145" i="26" s="1"/>
  <c r="R145" i="26" a="1"/>
  <c r="R145" i="26" s="1"/>
  <c r="S145" i="26"/>
  <c r="O146" i="26" a="1"/>
  <c r="O146" i="26" s="1"/>
  <c r="P146" i="26" a="1"/>
  <c r="P146" i="26" s="1"/>
  <c r="Q146" i="26" a="1"/>
  <c r="Q146" i="26" s="1"/>
  <c r="R146" i="26" a="1"/>
  <c r="R146" i="26" s="1"/>
  <c r="S146" i="26"/>
  <c r="O147" i="26" a="1"/>
  <c r="O147" i="26" s="1"/>
  <c r="P147" i="26" a="1"/>
  <c r="P147" i="26" s="1"/>
  <c r="Q147" i="26" a="1"/>
  <c r="Q147" i="26" s="1"/>
  <c r="R147" i="26" a="1"/>
  <c r="R147" i="26" s="1"/>
  <c r="S147" i="26"/>
  <c r="O148" i="26" a="1"/>
  <c r="O148" i="26" s="1"/>
  <c r="P148" i="26" a="1"/>
  <c r="P148" i="26" s="1"/>
  <c r="Q148" i="26" a="1"/>
  <c r="Q148" i="26" s="1"/>
  <c r="R148" i="26" a="1"/>
  <c r="R148" i="26" s="1"/>
  <c r="S148" i="26"/>
  <c r="O149" i="26" a="1"/>
  <c r="O149" i="26" s="1"/>
  <c r="P149" i="26" a="1"/>
  <c r="P149" i="26" s="1"/>
  <c r="Q149" i="26" a="1"/>
  <c r="Q149" i="26" s="1"/>
  <c r="R149" i="26" a="1"/>
  <c r="R149" i="26" s="1"/>
  <c r="S149" i="26"/>
  <c r="O150" i="26" a="1"/>
  <c r="O150" i="26" s="1"/>
  <c r="P150" i="26" a="1"/>
  <c r="P150" i="26" s="1"/>
  <c r="Q150" i="26" a="1"/>
  <c r="Q150" i="26" s="1"/>
  <c r="R150" i="26" a="1"/>
  <c r="R150" i="26" s="1"/>
  <c r="S150" i="26"/>
  <c r="O151" i="26" a="1"/>
  <c r="O151" i="26" s="1"/>
  <c r="P151" i="26" a="1"/>
  <c r="P151" i="26" s="1"/>
  <c r="Q151" i="26" a="1"/>
  <c r="Q151" i="26" s="1"/>
  <c r="R151" i="26" a="1"/>
  <c r="R151" i="26" s="1"/>
  <c r="S151" i="26"/>
  <c r="O152" i="26" a="1"/>
  <c r="O152" i="26" s="1"/>
  <c r="P152" i="26" a="1"/>
  <c r="P152" i="26" s="1"/>
  <c r="Q152" i="26" a="1"/>
  <c r="Q152" i="26" s="1"/>
  <c r="R152" i="26" a="1"/>
  <c r="R152" i="26" s="1"/>
  <c r="S152" i="26"/>
  <c r="O153" i="26" a="1"/>
  <c r="O153" i="26" s="1"/>
  <c r="P153" i="26" a="1"/>
  <c r="P153" i="26" s="1"/>
  <c r="Q153" i="26" a="1"/>
  <c r="Q153" i="26" s="1"/>
  <c r="R153" i="26" a="1"/>
  <c r="R153" i="26" s="1"/>
  <c r="S153" i="26"/>
  <c r="O154" i="26" a="1"/>
  <c r="O154" i="26" s="1"/>
  <c r="P154" i="26" a="1"/>
  <c r="P154" i="26" s="1"/>
  <c r="Q154" i="26" a="1"/>
  <c r="Q154" i="26" s="1"/>
  <c r="R154" i="26" a="1"/>
  <c r="R154" i="26" s="1"/>
  <c r="S154" i="26"/>
  <c r="O155" i="26" a="1"/>
  <c r="O155" i="26" s="1"/>
  <c r="P155" i="26" a="1"/>
  <c r="P155" i="26" s="1"/>
  <c r="Q155" i="26" a="1"/>
  <c r="Q155" i="26" s="1"/>
  <c r="R155" i="26" a="1"/>
  <c r="R155" i="26" s="1"/>
  <c r="S155" i="26"/>
  <c r="O156" i="26" a="1"/>
  <c r="O156" i="26" s="1"/>
  <c r="P156" i="26" a="1"/>
  <c r="P156" i="26" s="1"/>
  <c r="Q156" i="26" a="1"/>
  <c r="Q156" i="26" s="1"/>
  <c r="R156" i="26" a="1"/>
  <c r="R156" i="26" s="1"/>
  <c r="S156" i="26"/>
  <c r="O157" i="26" a="1"/>
  <c r="O157" i="26" s="1"/>
  <c r="P157" i="26" a="1"/>
  <c r="P157" i="26" s="1"/>
  <c r="Q157" i="26" a="1"/>
  <c r="Q157" i="26" s="1"/>
  <c r="R157" i="26" a="1"/>
  <c r="R157" i="26" s="1"/>
  <c r="S157" i="26"/>
  <c r="O158" i="26" a="1"/>
  <c r="O158" i="26" s="1"/>
  <c r="P158" i="26" a="1"/>
  <c r="P158" i="26" s="1"/>
  <c r="Q158" i="26" a="1"/>
  <c r="Q158" i="26" s="1"/>
  <c r="R158" i="26" a="1"/>
  <c r="R158" i="26" s="1"/>
  <c r="S158" i="26"/>
  <c r="O159" i="26" a="1"/>
  <c r="O159" i="26" s="1"/>
  <c r="P159" i="26" a="1"/>
  <c r="P159" i="26" s="1"/>
  <c r="Q159" i="26" a="1"/>
  <c r="Q159" i="26" s="1"/>
  <c r="R159" i="26" a="1"/>
  <c r="R159" i="26" s="1"/>
  <c r="S159" i="26"/>
  <c r="O160" i="26" a="1"/>
  <c r="O160" i="26" s="1"/>
  <c r="P160" i="26" a="1"/>
  <c r="P160" i="26" s="1"/>
  <c r="Q160" i="26" a="1"/>
  <c r="Q160" i="26" s="1"/>
  <c r="R160" i="26" a="1"/>
  <c r="R160" i="26" s="1"/>
  <c r="S160" i="26"/>
  <c r="O161" i="26" a="1"/>
  <c r="O161" i="26" s="1"/>
  <c r="P161" i="26" a="1"/>
  <c r="P161" i="26" s="1"/>
  <c r="Q161" i="26" a="1"/>
  <c r="Q161" i="26" s="1"/>
  <c r="R161" i="26" a="1"/>
  <c r="R161" i="26" s="1"/>
  <c r="S161" i="26"/>
  <c r="O162" i="26" a="1"/>
  <c r="O162" i="26" s="1"/>
  <c r="P162" i="26" a="1"/>
  <c r="P162" i="26" s="1"/>
  <c r="Q162" i="26" a="1"/>
  <c r="Q162" i="26" s="1"/>
  <c r="R162" i="26" a="1"/>
  <c r="R162" i="26" s="1"/>
  <c r="S162" i="26"/>
  <c r="S3" i="26"/>
  <c r="P3" i="26" a="1"/>
  <c r="P3" i="26" s="1"/>
  <c r="Q3" i="26" a="1"/>
  <c r="Q3" i="26" s="1"/>
  <c r="R3" i="26" a="1"/>
  <c r="R3" i="26" s="1"/>
  <c r="O3" i="26" a="1"/>
  <c r="O3" i="26" s="1"/>
  <c r="P8" i="29" l="1"/>
  <c r="Q8" i="28"/>
  <c r="P8" i="30"/>
  <c r="R62" i="27" a="1"/>
  <c r="R62" i="27" s="1"/>
  <c r="V46" i="27"/>
  <c r="V27" i="27"/>
  <c r="V19" i="27"/>
  <c r="V20" i="27"/>
  <c r="R3" i="27" a="1"/>
  <c r="R3" i="27" s="1"/>
  <c r="Q8" i="29" l="1"/>
  <c r="R8" i="28"/>
  <c r="Q8" i="30"/>
  <c r="Y5" i="1"/>
  <c r="Z6" i="1"/>
  <c r="R8" i="29" l="1"/>
  <c r="S8" i="28"/>
  <c r="R8" i="30"/>
  <c r="V38" i="25"/>
  <c r="U38" i="25"/>
  <c r="Y25" i="1"/>
  <c r="V38" i="17"/>
  <c r="U38" i="17"/>
  <c r="V38" i="16"/>
  <c r="U38" i="16"/>
  <c r="T38" i="16"/>
  <c r="S38" i="16"/>
  <c r="P38" i="16"/>
  <c r="O38" i="16"/>
  <c r="N38" i="16"/>
  <c r="M38" i="16"/>
  <c r="L38" i="16"/>
  <c r="J38" i="16"/>
  <c r="I38" i="16"/>
  <c r="H38" i="16"/>
  <c r="F38" i="16"/>
  <c r="E38" i="16"/>
  <c r="D38" i="16"/>
  <c r="C38" i="16"/>
  <c r="B38" i="16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5" i="1"/>
  <c r="V38" i="10"/>
  <c r="U38" i="10"/>
  <c r="T38" i="10"/>
  <c r="S38" i="10"/>
  <c r="P38" i="10"/>
  <c r="O38" i="10"/>
  <c r="N38" i="10"/>
  <c r="M38" i="10"/>
  <c r="L38" i="10"/>
  <c r="J38" i="10"/>
  <c r="I38" i="10"/>
  <c r="H38" i="10"/>
  <c r="F38" i="10"/>
  <c r="E38" i="10"/>
  <c r="D38" i="10"/>
  <c r="C38" i="10"/>
  <c r="B38" i="10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6" i="1"/>
  <c r="Y27" i="1"/>
  <c r="Y28" i="1"/>
  <c r="Y29" i="1"/>
  <c r="Y30" i="1"/>
  <c r="Y31" i="1"/>
  <c r="Y32" i="1"/>
  <c r="Y33" i="1"/>
  <c r="Y34" i="1"/>
  <c r="Y35" i="1"/>
  <c r="Y36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5" i="1"/>
  <c r="C38" i="1"/>
  <c r="D38" i="1"/>
  <c r="E38" i="1"/>
  <c r="F38" i="1"/>
  <c r="H38" i="1"/>
  <c r="I38" i="1"/>
  <c r="J38" i="1"/>
  <c r="L38" i="1"/>
  <c r="M38" i="1"/>
  <c r="N38" i="1"/>
  <c r="O38" i="1"/>
  <c r="P38" i="1"/>
  <c r="S38" i="1"/>
  <c r="T38" i="1"/>
  <c r="U38" i="1"/>
  <c r="V38" i="1"/>
  <c r="B38" i="1"/>
  <c r="T8" i="28" l="1"/>
  <c r="S8" i="29"/>
  <c r="S8" i="30"/>
  <c r="U8" i="28" l="1"/>
  <c r="T8" i="29"/>
  <c r="T8" i="30"/>
  <c r="V8" i="28" l="1"/>
  <c r="U8" i="29"/>
  <c r="U8" i="30"/>
  <c r="W8" i="28" l="1"/>
  <c r="V8" i="29"/>
  <c r="V8" i="30"/>
  <c r="X8" i="28" l="1"/>
  <c r="W8" i="29"/>
  <c r="W8" i="30"/>
  <c r="Y8" i="28" l="1"/>
  <c r="X8" i="29"/>
  <c r="X8" i="30"/>
  <c r="Z8" i="28" l="1"/>
  <c r="Y8" i="29"/>
  <c r="Y8" i="30"/>
  <c r="AA8" i="28" l="1"/>
  <c r="Z8" i="29"/>
  <c r="Z8" i="30"/>
  <c r="AA8" i="29" l="1"/>
  <c r="AB8" i="28"/>
  <c r="AA8" i="30"/>
  <c r="AC8" i="28" l="1"/>
  <c r="AB8" i="29"/>
  <c r="AB8" i="30"/>
  <c r="AC8" i="29" l="1"/>
  <c r="AD8" i="28"/>
  <c r="AC8" i="30"/>
  <c r="AD8" i="29" l="1"/>
  <c r="AE8" i="28"/>
  <c r="AD8" i="30"/>
  <c r="AE8" i="29" l="1"/>
  <c r="AF8" i="28"/>
  <c r="AE8" i="30"/>
  <c r="AF8" i="29" l="1"/>
  <c r="AG8" i="28"/>
  <c r="AF8" i="30"/>
  <c r="AG8" i="29" l="1"/>
  <c r="AH8" i="28"/>
  <c r="AG8" i="30"/>
  <c r="AI8" i="28" l="1"/>
  <c r="AH8" i="29"/>
  <c r="AH8" i="30"/>
  <c r="AJ8" i="28" l="1"/>
  <c r="AI8" i="29"/>
  <c r="AI8" i="30"/>
  <c r="AJ8" i="29" l="1"/>
  <c r="AK8" i="28"/>
  <c r="AJ8" i="30"/>
  <c r="AL8" i="28" l="1"/>
  <c r="AK8" i="29"/>
  <c r="AK8" i="30"/>
  <c r="AL8" i="29" l="1"/>
  <c r="AM8" i="28"/>
  <c r="AL8" i="30"/>
  <c r="AM8" i="29" l="1"/>
  <c r="AN8" i="28"/>
  <c r="AM8" i="30"/>
  <c r="AO8" i="28" l="1"/>
  <c r="AN8" i="29"/>
  <c r="AN8" i="30"/>
  <c r="AP8" i="28" l="1"/>
  <c r="AO8" i="29"/>
  <c r="AO8" i="30"/>
  <c r="AP8" i="29" l="1"/>
  <c r="AQ8" i="28"/>
  <c r="AP8" i="30"/>
  <c r="AQ8" i="29" l="1"/>
  <c r="AQ8" i="3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<sst xmlns="http://schemas.openxmlformats.org/spreadsheetml/2006/main" count="1249" uniqueCount="265">
  <si>
    <t>煤矸石发电</t>
    <phoneticPr fontId="3" type="noConversion"/>
  </si>
  <si>
    <t>太阳能发电</t>
    <phoneticPr fontId="3" type="noConversion"/>
  </si>
  <si>
    <t>内蒙古</t>
  </si>
  <si>
    <t>吉林</t>
  </si>
  <si>
    <t>黑龙江</t>
  </si>
  <si>
    <t>全国</t>
  </si>
  <si>
    <t>北京</t>
  </si>
  <si>
    <t>天津</t>
  </si>
  <si>
    <t>河北</t>
  </si>
  <si>
    <t>山西</t>
  </si>
  <si>
    <t>辽宁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</si>
  <si>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</si>
  <si>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</si>
  <si>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</si>
  <si>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</si>
  <si>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</si>
  <si>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</si>
  <si>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</si>
  <si>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</si>
  <si>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</si>
  <si>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</si>
  <si>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</si>
  <si>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</si>
  <si>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</si>
  <si>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</si>
  <si>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</si>
  <si>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</si>
  <si>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</si>
  <si>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</si>
  <si>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</si>
  <si>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</si>
  <si>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</si>
  <si>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</si>
  <si>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</si>
  <si>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地区</t>
    <phoneticPr fontId="3" type="noConversion"/>
  </si>
  <si>
    <t>合计</t>
  </si>
  <si>
    <t>水电</t>
  </si>
  <si>
    <t>火电</t>
  </si>
  <si>
    <t>核电</t>
  </si>
  <si>
    <t>风电</t>
  </si>
  <si>
    <t>其他</t>
  </si>
  <si>
    <t>抽水蓄能</t>
  </si>
  <si>
    <t>燃煤</t>
  </si>
  <si>
    <t>燃气</t>
  </si>
  <si>
    <t>燃油</t>
  </si>
  <si>
    <t>分地区新增发电装机容量（万KW）</t>
    <phoneticPr fontId="3" type="noConversion"/>
  </si>
  <si>
    <t>煤层气发电</t>
    <phoneticPr fontId="3" type="noConversion"/>
  </si>
  <si>
    <t>沼气</t>
    <phoneticPr fontId="3" type="noConversion"/>
  </si>
  <si>
    <t>技改增容</t>
    <phoneticPr fontId="3" type="noConversion"/>
  </si>
  <si>
    <t>2016 年</t>
  </si>
  <si>
    <t>地区</t>
  </si>
  <si>
    <t>水</t>
    <phoneticPr fontId="3" type="noConversion"/>
  </si>
  <si>
    <t>火</t>
    <phoneticPr fontId="3" type="noConversion"/>
  </si>
  <si>
    <t>风</t>
    <phoneticPr fontId="3" type="noConversion"/>
  </si>
  <si>
    <t>光</t>
    <phoneticPr fontId="3" type="noConversion"/>
  </si>
  <si>
    <t>万千瓦</t>
    <phoneticPr fontId="3" type="noConversion"/>
  </si>
  <si>
    <t>合计</t>
    <phoneticPr fontId="3" type="noConversion"/>
  </si>
  <si>
    <t>垃圾焚烧发电</t>
    <phoneticPr fontId="3" type="noConversion"/>
  </si>
  <si>
    <t>余温、余气、余压发电</t>
  </si>
  <si>
    <t>秸秆、蔗渣、林木质发电</t>
  </si>
  <si>
    <t>常规燃气</t>
    <phoneticPr fontId="3" type="noConversion"/>
  </si>
  <si>
    <t>常规燃煤</t>
    <phoneticPr fontId="3" type="noConversion"/>
  </si>
  <si>
    <t>分地区装机容量（万KW）</t>
    <phoneticPr fontId="3" type="noConversion"/>
  </si>
  <si>
    <t>分布式太阳能</t>
    <phoneticPr fontId="3" type="noConversion"/>
  </si>
  <si>
    <t>水电</t>
    <phoneticPr fontId="3" type="noConversion"/>
  </si>
  <si>
    <t>火电</t>
    <phoneticPr fontId="3" type="noConversion"/>
  </si>
  <si>
    <t>分地区6000千万以上装机容量（万KW）</t>
    <phoneticPr fontId="3" type="noConversion"/>
  </si>
  <si>
    <r>
      <rPr>
        <sz val="10"/>
        <rFont val="宋体"/>
        <family val="3"/>
        <charset val="134"/>
      </rPr>
      <t>分地区装机容量（万</t>
    </r>
    <r>
      <rPr>
        <sz val="10"/>
        <rFont val="Arial"/>
        <family val="2"/>
      </rPr>
      <t>KW</t>
    </r>
    <r>
      <rPr>
        <sz val="10"/>
        <rFont val="宋体"/>
        <family val="3"/>
        <charset val="134"/>
      </rPr>
      <t>）</t>
    </r>
    <phoneticPr fontId="3" type="noConversion"/>
  </si>
  <si>
    <t>0. 1</t>
  </si>
  <si>
    <r>
      <rPr>
        <sz val="10"/>
        <rFont val="宋体"/>
        <family val="3"/>
        <charset val="134"/>
      </rPr>
      <t>地区</t>
    </r>
  </si>
  <si>
    <r>
      <rPr>
        <sz val="10"/>
        <rFont val="宋体"/>
        <family val="3"/>
        <charset val="134"/>
      </rPr>
      <t>装机容量（万千瓦）</t>
    </r>
  </si>
  <si>
    <r>
      <rPr>
        <sz val="10"/>
        <color rgb="FF000000"/>
        <rFont val="宋体"/>
        <family val="3"/>
        <charset val="134"/>
      </rPr>
      <t>发电量（亿千瓦时）</t>
    </r>
    <phoneticPr fontId="3" type="noConversion"/>
  </si>
  <si>
    <r>
      <rPr>
        <sz val="10"/>
        <color rgb="FF000000"/>
        <rFont val="宋体"/>
        <family val="3"/>
        <charset val="134"/>
      </rPr>
      <t>利用小时数</t>
    </r>
    <phoneticPr fontId="3" type="noConversion"/>
  </si>
  <si>
    <r>
      <rPr>
        <sz val="10"/>
        <rFont val="宋体"/>
        <family val="3"/>
        <charset val="134"/>
      </rPr>
      <t>合计</t>
    </r>
  </si>
  <si>
    <r>
      <rPr>
        <sz val="10"/>
        <rFont val="宋体"/>
        <family val="3"/>
        <charset val="134"/>
      </rPr>
      <t>沼气发电</t>
    </r>
    <phoneticPr fontId="3" type="noConversion"/>
  </si>
  <si>
    <r>
      <rPr>
        <sz val="10"/>
        <rFont val="宋体"/>
        <family val="3"/>
        <charset val="134"/>
      </rPr>
      <t>垃圾焚烧发电</t>
    </r>
    <phoneticPr fontId="3" type="noConversion"/>
  </si>
  <si>
    <r>
      <rPr>
        <sz val="10"/>
        <rFont val="宋体"/>
        <family val="3"/>
        <charset val="134"/>
      </rPr>
      <t>秸秆、蔗渣、林木质发电</t>
    </r>
    <phoneticPr fontId="3" type="noConversion"/>
  </si>
  <si>
    <r>
      <rPr>
        <sz val="10"/>
        <rFont val="宋体"/>
        <family val="3"/>
        <charset val="134"/>
      </rPr>
      <t>全国</t>
    </r>
    <phoneticPr fontId="3" type="noConversion"/>
  </si>
  <si>
    <r>
      <rPr>
        <sz val="10"/>
        <rFont val="宋体"/>
        <family val="3"/>
        <charset val="134"/>
      </rPr>
      <t>北京</t>
    </r>
    <phoneticPr fontId="3" type="noConversion"/>
  </si>
  <si>
    <r>
      <rPr>
        <sz val="10"/>
        <rFont val="宋体"/>
        <family val="3"/>
        <charset val="134"/>
      </rPr>
      <t>天津</t>
    </r>
    <phoneticPr fontId="3" type="noConversion"/>
  </si>
  <si>
    <r>
      <rPr>
        <sz val="10"/>
        <rFont val="宋体"/>
        <family val="3"/>
        <charset val="134"/>
      </rPr>
      <t>河北</t>
    </r>
    <phoneticPr fontId="3" type="noConversion"/>
  </si>
  <si>
    <r>
      <rPr>
        <sz val="10"/>
        <rFont val="宋体"/>
        <family val="3"/>
        <charset val="134"/>
      </rPr>
      <t>山西</t>
    </r>
    <phoneticPr fontId="3" type="noConversion"/>
  </si>
  <si>
    <r>
      <rPr>
        <sz val="10"/>
        <rFont val="宋体"/>
        <family val="3"/>
        <charset val="134"/>
      </rPr>
      <t>内蒙古</t>
    </r>
    <phoneticPr fontId="3" type="noConversion"/>
  </si>
  <si>
    <r>
      <rPr>
        <sz val="10"/>
        <rFont val="宋体"/>
        <family val="3"/>
        <charset val="134"/>
      </rPr>
      <t>辽宁</t>
    </r>
    <phoneticPr fontId="3" type="noConversion"/>
  </si>
  <si>
    <r>
      <rPr>
        <sz val="10"/>
        <rFont val="宋体"/>
        <family val="3"/>
        <charset val="134"/>
      </rPr>
      <t>吉林</t>
    </r>
    <phoneticPr fontId="3" type="noConversion"/>
  </si>
  <si>
    <r>
      <rPr>
        <sz val="10"/>
        <rFont val="宋体"/>
        <family val="3"/>
        <charset val="134"/>
      </rPr>
      <t>黑龙江</t>
    </r>
    <phoneticPr fontId="3" type="noConversion"/>
  </si>
  <si>
    <r>
      <rPr>
        <sz val="10"/>
        <rFont val="宋体"/>
        <family val="3"/>
        <charset val="134"/>
      </rPr>
      <t>上海</t>
    </r>
    <phoneticPr fontId="3" type="noConversion"/>
  </si>
  <si>
    <r>
      <rPr>
        <sz val="10"/>
        <rFont val="宋体"/>
        <family val="3"/>
        <charset val="134"/>
      </rPr>
      <t>江苏</t>
    </r>
    <phoneticPr fontId="3" type="noConversion"/>
  </si>
  <si>
    <r>
      <rPr>
        <sz val="10"/>
        <rFont val="宋体"/>
        <family val="3"/>
        <charset val="134"/>
      </rPr>
      <t>浙江</t>
    </r>
    <phoneticPr fontId="3" type="noConversion"/>
  </si>
  <si>
    <r>
      <rPr>
        <sz val="10"/>
        <rFont val="宋体"/>
        <family val="3"/>
        <charset val="134"/>
      </rPr>
      <t>安徽</t>
    </r>
    <phoneticPr fontId="3" type="noConversion"/>
  </si>
  <si>
    <r>
      <rPr>
        <sz val="10"/>
        <rFont val="宋体"/>
        <family val="3"/>
        <charset val="134"/>
      </rPr>
      <t>福建</t>
    </r>
    <phoneticPr fontId="3" type="noConversion"/>
  </si>
  <si>
    <r>
      <rPr>
        <sz val="10"/>
        <rFont val="宋体"/>
        <family val="3"/>
        <charset val="134"/>
      </rPr>
      <t>江西</t>
    </r>
    <phoneticPr fontId="3" type="noConversion"/>
  </si>
  <si>
    <r>
      <rPr>
        <sz val="10"/>
        <rFont val="宋体"/>
        <family val="3"/>
        <charset val="134"/>
      </rPr>
      <t>山东</t>
    </r>
    <phoneticPr fontId="3" type="noConversion"/>
  </si>
  <si>
    <r>
      <rPr>
        <sz val="10"/>
        <rFont val="宋体"/>
        <family val="3"/>
        <charset val="134"/>
      </rPr>
      <t>河南</t>
    </r>
    <phoneticPr fontId="3" type="noConversion"/>
  </si>
  <si>
    <r>
      <rPr>
        <sz val="10"/>
        <rFont val="宋体"/>
        <family val="3"/>
        <charset val="134"/>
      </rPr>
      <t>湖北</t>
    </r>
    <phoneticPr fontId="3" type="noConversion"/>
  </si>
  <si>
    <r>
      <rPr>
        <sz val="10"/>
        <rFont val="宋体"/>
        <family val="3"/>
        <charset val="134"/>
      </rPr>
      <t>湖南</t>
    </r>
    <phoneticPr fontId="3" type="noConversion"/>
  </si>
  <si>
    <r>
      <rPr>
        <sz val="10"/>
        <rFont val="宋体"/>
        <family val="3"/>
        <charset val="134"/>
      </rPr>
      <t>广东</t>
    </r>
    <phoneticPr fontId="3" type="noConversion"/>
  </si>
  <si>
    <r>
      <rPr>
        <sz val="10"/>
        <rFont val="宋体"/>
        <family val="3"/>
        <charset val="134"/>
      </rPr>
      <t>广西</t>
    </r>
    <phoneticPr fontId="3" type="noConversion"/>
  </si>
  <si>
    <r>
      <rPr>
        <sz val="10"/>
        <rFont val="宋体"/>
        <family val="3"/>
        <charset val="134"/>
      </rPr>
      <t>海南</t>
    </r>
    <phoneticPr fontId="3" type="noConversion"/>
  </si>
  <si>
    <r>
      <rPr>
        <sz val="10"/>
        <rFont val="宋体"/>
        <family val="3"/>
        <charset val="134"/>
      </rPr>
      <t>重庆</t>
    </r>
    <phoneticPr fontId="3" type="noConversion"/>
  </si>
  <si>
    <r>
      <rPr>
        <sz val="10"/>
        <rFont val="宋体"/>
        <family val="3"/>
        <charset val="134"/>
      </rPr>
      <t>四川</t>
    </r>
    <phoneticPr fontId="3" type="noConversion"/>
  </si>
  <si>
    <r>
      <rPr>
        <sz val="10"/>
        <rFont val="宋体"/>
        <family val="3"/>
        <charset val="134"/>
      </rPr>
      <t>贵州</t>
    </r>
    <phoneticPr fontId="3" type="noConversion"/>
  </si>
  <si>
    <r>
      <rPr>
        <sz val="10"/>
        <rFont val="宋体"/>
        <family val="3"/>
        <charset val="134"/>
      </rPr>
      <t>云南</t>
    </r>
    <phoneticPr fontId="3" type="noConversion"/>
  </si>
  <si>
    <r>
      <rPr>
        <sz val="10"/>
        <rFont val="宋体"/>
        <family val="3"/>
        <charset val="134"/>
      </rPr>
      <t>西藏</t>
    </r>
    <phoneticPr fontId="3" type="noConversion"/>
  </si>
  <si>
    <r>
      <rPr>
        <sz val="10"/>
        <rFont val="宋体"/>
        <family val="3"/>
        <charset val="134"/>
      </rPr>
      <t>陕西</t>
    </r>
    <phoneticPr fontId="3" type="noConversion"/>
  </si>
  <si>
    <r>
      <rPr>
        <sz val="10"/>
        <rFont val="宋体"/>
        <family val="3"/>
        <charset val="134"/>
      </rPr>
      <t>甘肃</t>
    </r>
    <phoneticPr fontId="3" type="noConversion"/>
  </si>
  <si>
    <r>
      <rPr>
        <sz val="10"/>
        <rFont val="宋体"/>
        <family val="3"/>
        <charset val="134"/>
      </rPr>
      <t>青海</t>
    </r>
    <phoneticPr fontId="3" type="noConversion"/>
  </si>
  <si>
    <r>
      <rPr>
        <sz val="10"/>
        <rFont val="宋体"/>
        <family val="3"/>
        <charset val="134"/>
      </rPr>
      <t>宁夏</t>
    </r>
    <phoneticPr fontId="3" type="noConversion"/>
  </si>
  <si>
    <r>
      <rPr>
        <sz val="10"/>
        <rFont val="宋体"/>
        <family val="3"/>
        <charset val="134"/>
      </rPr>
      <t>新疆</t>
    </r>
    <phoneticPr fontId="3" type="noConversion"/>
  </si>
  <si>
    <t>0. 04</t>
  </si>
  <si>
    <t>年份</t>
    <phoneticPr fontId="3" type="noConversion"/>
  </si>
  <si>
    <t>容量因子</t>
    <phoneticPr fontId="3" type="noConversion"/>
  </si>
  <si>
    <t>垃圾焚烧发电</t>
  </si>
  <si>
    <t>除垃圾外生物质</t>
    <phoneticPr fontId="3" type="noConversion"/>
  </si>
  <si>
    <t>生物质</t>
    <phoneticPr fontId="3" type="noConversion"/>
  </si>
  <si>
    <t>0. 02</t>
  </si>
  <si>
    <r>
      <rPr>
        <sz val="10"/>
        <rFont val="宋体"/>
        <family val="3"/>
        <charset val="134"/>
      </rPr>
      <t>燃煤</t>
    </r>
  </si>
  <si>
    <r>
      <rPr>
        <sz val="10"/>
        <rFont val="宋体"/>
        <family val="3"/>
        <charset val="134"/>
      </rPr>
      <t>燃气</t>
    </r>
  </si>
  <si>
    <r>
      <rPr>
        <sz val="10"/>
        <rFont val="宋体"/>
        <family val="3"/>
        <charset val="134"/>
      </rPr>
      <t>燃油</t>
    </r>
  </si>
  <si>
    <r>
      <rPr>
        <sz val="10"/>
        <rFont val="宋体"/>
        <family val="3"/>
        <charset val="134"/>
      </rPr>
      <t>其他</t>
    </r>
  </si>
  <si>
    <t>燃煤</t>
    <phoneticPr fontId="3" type="noConversion"/>
  </si>
  <si>
    <t>燃气</t>
    <phoneticPr fontId="3" type="noConversion"/>
  </si>
  <si>
    <t>燃油</t>
    <phoneticPr fontId="3" type="noConversion"/>
  </si>
  <si>
    <t>municipal solid waste</t>
  </si>
  <si>
    <t>heavy or residual fuel oil</t>
  </si>
  <si>
    <t>crude oil</t>
  </si>
  <si>
    <t>offshore wind</t>
  </si>
  <si>
    <t>lignite</t>
  </si>
  <si>
    <t>natural gas peaker</t>
  </si>
  <si>
    <t>petroleum</t>
  </si>
  <si>
    <t>geothermal</t>
  </si>
  <si>
    <t>biomass</t>
  </si>
  <si>
    <t>solar thermal</t>
  </si>
  <si>
    <t>solar PV</t>
  </si>
  <si>
    <t>onshore wind</t>
  </si>
  <si>
    <t>hydro</t>
  </si>
  <si>
    <t>nuclear</t>
  </si>
  <si>
    <t>natural gas nonpeaker</t>
  </si>
  <si>
    <t>hard coal</t>
  </si>
  <si>
    <t>Expected Capacity Factor (dimensionless)</t>
  </si>
  <si>
    <t>北京市</t>
  </si>
  <si>
    <t>天津市</t>
  </si>
  <si>
    <t>河北省</t>
  </si>
  <si>
    <t>山西省</t>
  </si>
  <si>
    <t>内蒙古自治区</t>
  </si>
  <si>
    <t>辽宁省</t>
  </si>
  <si>
    <t>吉林省</t>
  </si>
  <si>
    <t>黑龙江省</t>
  </si>
  <si>
    <t>上海市</t>
  </si>
  <si>
    <t>江苏省</t>
  </si>
  <si>
    <t>浙江省</t>
  </si>
  <si>
    <t>安徽省</t>
  </si>
  <si>
    <t>福建省</t>
  </si>
  <si>
    <t>江西省</t>
  </si>
  <si>
    <t>山东省</t>
  </si>
  <si>
    <t>河南省</t>
  </si>
  <si>
    <t>湖北省</t>
  </si>
  <si>
    <t>湖南省</t>
  </si>
  <si>
    <t>广东省</t>
  </si>
  <si>
    <t>广西壮族自治区</t>
  </si>
  <si>
    <t>海南省</t>
  </si>
  <si>
    <t>重庆市</t>
  </si>
  <si>
    <t>四川省</t>
  </si>
  <si>
    <t>贵州省</t>
  </si>
  <si>
    <t>云南省</t>
  </si>
  <si>
    <t>西藏自治区</t>
  </si>
  <si>
    <t>陕西省</t>
  </si>
  <si>
    <t>甘肃省</t>
  </si>
  <si>
    <t>青海省</t>
  </si>
  <si>
    <t>宁夏回族自治区</t>
  </si>
  <si>
    <t>新疆维吾尔自治区</t>
  </si>
  <si>
    <t>新疆建设兵团</t>
  </si>
  <si>
    <r>
      <rPr>
        <sz val="10"/>
        <rFont val="宋体"/>
        <family val="3"/>
        <charset val="134"/>
      </rPr>
      <t>地区</t>
    </r>
    <phoneticPr fontId="3" type="noConversion"/>
  </si>
  <si>
    <r>
      <t>2017</t>
    </r>
    <r>
      <rPr>
        <sz val="10"/>
        <rFont val="MS Gothic"/>
        <family val="3"/>
        <charset val="128"/>
      </rPr>
      <t>年</t>
    </r>
    <phoneticPr fontId="3" type="noConversion"/>
  </si>
  <si>
    <r>
      <t>2016</t>
    </r>
    <r>
      <rPr>
        <sz val="10"/>
        <rFont val="MS Gothic"/>
        <family val="3"/>
        <charset val="128"/>
      </rPr>
      <t>年</t>
    </r>
    <phoneticPr fontId="3" type="noConversion"/>
  </si>
  <si>
    <r>
      <t>2017</t>
    </r>
    <r>
      <rPr>
        <sz val="10"/>
        <rFont val="微软雅黑"/>
        <family val="2"/>
        <charset val="134"/>
      </rPr>
      <t>年</t>
    </r>
    <phoneticPr fontId="3" type="noConversion"/>
  </si>
  <si>
    <r>
      <t>2018</t>
    </r>
    <r>
      <rPr>
        <sz val="10"/>
        <rFont val="MS Gothic"/>
        <family val="3"/>
        <charset val="128"/>
      </rPr>
      <t>年</t>
    </r>
    <phoneticPr fontId="3" type="noConversion"/>
  </si>
  <si>
    <r>
      <rPr>
        <sz val="10"/>
        <rFont val="SimSun"/>
        <charset val="134"/>
      </rPr>
      <t>合计</t>
    </r>
  </si>
  <si>
    <r>
      <rPr>
        <sz val="10"/>
        <rFont val="SimSun"/>
        <charset val="134"/>
      </rPr>
      <t>水电</t>
    </r>
  </si>
  <si>
    <r>
      <rPr>
        <sz val="10"/>
        <rFont val="SimSun"/>
        <charset val="134"/>
      </rPr>
      <t>火电</t>
    </r>
  </si>
  <si>
    <r>
      <rPr>
        <sz val="10"/>
        <rFont val="SimSun"/>
        <charset val="134"/>
      </rPr>
      <t>核电</t>
    </r>
  </si>
  <si>
    <r>
      <rPr>
        <sz val="10"/>
        <rFont val="SimSun"/>
        <charset val="134"/>
      </rPr>
      <t>风电</t>
    </r>
  </si>
  <si>
    <r>
      <rPr>
        <sz val="10"/>
        <rFont val="SimSun"/>
        <charset val="134"/>
      </rPr>
      <t>太阳能发电</t>
    </r>
  </si>
  <si>
    <r>
      <rPr>
        <sz val="10"/>
        <rFont val="SimSun"/>
        <charset val="134"/>
      </rPr>
      <t>其他</t>
    </r>
  </si>
  <si>
    <r>
      <t>2020</t>
    </r>
    <r>
      <rPr>
        <sz val="10"/>
        <rFont val="宋体"/>
        <family val="2"/>
        <charset val="134"/>
      </rPr>
      <t>年</t>
    </r>
    <phoneticPr fontId="3" type="noConversion"/>
  </si>
  <si>
    <r>
      <t>2019</t>
    </r>
    <r>
      <rPr>
        <sz val="10"/>
        <rFont val="宋体"/>
        <family val="2"/>
        <charset val="134"/>
      </rPr>
      <t>年</t>
    </r>
    <phoneticPr fontId="3" type="noConversion"/>
  </si>
  <si>
    <t>2019年</t>
  </si>
  <si>
    <t>2018年</t>
  </si>
  <si>
    <t>0. 46</t>
  </si>
  <si>
    <t>风能</t>
    <phoneticPr fontId="3" type="noConversion"/>
  </si>
  <si>
    <r>
      <t>2021</t>
    </r>
    <r>
      <rPr>
        <sz val="10"/>
        <rFont val="宋体"/>
        <family val="2"/>
        <charset val="134"/>
      </rPr>
      <t>年</t>
    </r>
    <phoneticPr fontId="3" type="noConversion"/>
  </si>
  <si>
    <r>
      <t>2021年</t>
    </r>
    <r>
      <rPr>
        <sz val="10"/>
        <rFont val="MS Gothic"/>
        <family val="3"/>
        <charset val="128"/>
      </rPr>
      <t/>
    </r>
  </si>
  <si>
    <t>抽蓄</t>
    <phoneticPr fontId="3" type="noConversion"/>
  </si>
  <si>
    <t>13021</t>
    <phoneticPr fontId="3" type="noConversion"/>
  </si>
  <si>
    <t>319</t>
    <phoneticPr fontId="3" type="noConversion"/>
  </si>
  <si>
    <t>35804</t>
    <phoneticPr fontId="3" type="noConversion"/>
  </si>
  <si>
    <t>3029</t>
    <phoneticPr fontId="3" type="noConversion"/>
  </si>
  <si>
    <r>
      <t>2016年</t>
    </r>
    <r>
      <rPr>
        <sz val="10"/>
        <rFont val="MS Gothic"/>
        <family val="3"/>
        <charset val="128"/>
      </rPr>
      <t/>
    </r>
  </si>
  <si>
    <t>传统水电</t>
    <phoneticPr fontId="3" type="noConversion"/>
  </si>
  <si>
    <t>发电量</t>
    <phoneticPr fontId="3" type="noConversion"/>
  </si>
  <si>
    <t>装机容量</t>
    <phoneticPr fontId="3" type="noConversion"/>
  </si>
  <si>
    <r>
      <rPr>
        <sz val="10"/>
        <rFont val="SimSun"/>
        <charset val="134"/>
      </rPr>
      <t>太阳能发电</t>
    </r>
    <r>
      <rPr>
        <sz val="10"/>
        <rFont val="宋体"/>
        <family val="2"/>
        <charset val="134"/>
      </rPr>
      <t>量</t>
    </r>
    <phoneticPr fontId="3" type="noConversion"/>
  </si>
  <si>
    <r>
      <t>2020</t>
    </r>
    <r>
      <rPr>
        <sz val="10"/>
        <rFont val="宋体"/>
        <family val="3"/>
        <charset val="134"/>
      </rPr>
      <t>年</t>
    </r>
    <phoneticPr fontId="3" type="noConversion"/>
  </si>
  <si>
    <r>
      <t xml:space="preserve">2019 </t>
    </r>
    <r>
      <rPr>
        <sz val="10"/>
        <rFont val="宋体"/>
        <family val="3"/>
        <charset val="134"/>
      </rPr>
      <t>年</t>
    </r>
    <phoneticPr fontId="3" type="noConversion"/>
  </si>
  <si>
    <r>
      <t xml:space="preserve">2018 </t>
    </r>
    <r>
      <rPr>
        <sz val="10"/>
        <rFont val="宋体"/>
        <family val="3"/>
        <charset val="134"/>
      </rPr>
      <t>年</t>
    </r>
  </si>
  <si>
    <r>
      <t>2017</t>
    </r>
    <r>
      <rPr>
        <sz val="10"/>
        <rFont val="宋体"/>
        <family val="3"/>
        <charset val="134"/>
      </rPr>
      <t>年</t>
    </r>
    <phoneticPr fontId="3" type="noConversion"/>
  </si>
  <si>
    <t>分布式发电量（亿千瓦时）</t>
    <phoneticPr fontId="3" type="noConversion"/>
  </si>
  <si>
    <t>光伏电站发电量（亿千瓦时）</t>
    <phoneticPr fontId="3" type="noConversion"/>
  </si>
  <si>
    <r>
      <rPr>
        <sz val="10"/>
        <rFont val="MS Gothic"/>
        <family val="3"/>
        <charset val="128"/>
      </rPr>
      <t>光伏</t>
    </r>
    <r>
      <rPr>
        <sz val="10"/>
        <rFont val="Microsoft JhengHei"/>
        <family val="2"/>
        <charset val="136"/>
      </rPr>
      <t>电站</t>
    </r>
    <r>
      <rPr>
        <sz val="10"/>
        <rFont val="宋体"/>
        <family val="3"/>
        <charset val="134"/>
      </rPr>
      <t>装机容量（万千瓦）</t>
    </r>
    <phoneticPr fontId="3" type="noConversion"/>
  </si>
  <si>
    <r>
      <rPr>
        <sz val="10"/>
        <rFont val="MS Gothic"/>
        <family val="3"/>
        <charset val="128"/>
      </rPr>
      <t>分布式光伏</t>
    </r>
    <r>
      <rPr>
        <sz val="10"/>
        <rFont val="宋体"/>
        <family val="3"/>
        <charset val="134"/>
      </rPr>
      <t>（万千瓦）</t>
    </r>
    <phoneticPr fontId="3" type="noConversion"/>
  </si>
  <si>
    <t>光伏电站容量因子</t>
    <phoneticPr fontId="3" type="noConversion"/>
  </si>
  <si>
    <t>项目名称</t>
    <phoneticPr fontId="18" type="noConversion"/>
  </si>
  <si>
    <t>装机容量（MW）</t>
    <phoneticPr fontId="18" type="noConversion"/>
  </si>
  <si>
    <t>年设计发电量（亿千瓦时）</t>
    <phoneticPr fontId="18" type="noConversion"/>
  </si>
  <si>
    <t>塔/线/槽式</t>
    <phoneticPr fontId="18" type="noConversion"/>
  </si>
  <si>
    <t>建成时间（预计）</t>
    <phoneticPr fontId="18" type="noConversion"/>
  </si>
  <si>
    <t>建设状态</t>
    <phoneticPr fontId="18" type="noConversion"/>
  </si>
  <si>
    <t>开工时间</t>
    <phoneticPr fontId="18" type="noConversion"/>
  </si>
  <si>
    <t>中广核太阳能德令哈有限公司导热油槽式5万千瓦光热发电项目</t>
    <phoneticPr fontId="18" type="noConversion"/>
  </si>
  <si>
    <t>槽式</t>
    <phoneticPr fontId="18" type="noConversion"/>
  </si>
  <si>
    <t>2018年6月30日并网</t>
    <phoneticPr fontId="18" type="noConversion"/>
  </si>
  <si>
    <t>建成投运</t>
    <phoneticPr fontId="18" type="noConversion"/>
  </si>
  <si>
    <t>首航高科能源技术股份有限公司（原北京首航艾启威节能技术股份有限公司）敦煌熔盐塔式10万千瓦光热发电示范项目</t>
    <phoneticPr fontId="18" type="noConversion"/>
  </si>
  <si>
    <t>塔式</t>
    <phoneticPr fontId="18" type="noConversion"/>
  </si>
  <si>
    <t>2019 年 6 月</t>
    <phoneticPr fontId="18" type="noConversion"/>
  </si>
  <si>
    <t>青海中控太阳能发电有限公司德令哈熔盐塔式5万千万光热发电项目</t>
    <phoneticPr fontId="18" type="noConversion"/>
  </si>
  <si>
    <t>2018 年 12 月 30 日并网发电，2019 年 4 月 17 日实现了满
负荷运行</t>
    <phoneticPr fontId="18" type="noConversion"/>
  </si>
  <si>
    <t>中国电建西北勘测设计研究院有限公司共和熔盐塔式5万千瓦光热发电项目（中电建青海共和 50MW 塔式项目）</t>
    <phoneticPr fontId="18" type="noConversion"/>
  </si>
  <si>
    <t>2020 年 11 月 6 日实现满负荷运行 2021 年 4 月通过国家光热
发电项目示范性验收</t>
    <phoneticPr fontId="18" type="noConversion"/>
  </si>
  <si>
    <t>中国电力工程顾问集团西北电力设计院有限公司哈密熔盐塔式5万千瓦光热发电项目（中能建哈密 50MW 塔式项目）</t>
    <phoneticPr fontId="18" type="noConversion"/>
  </si>
  <si>
    <t>2019 年 12 月 29 日实现首次并网。2021 年 6 月 18 日凌
晨 01 时 26 分并网发电，9 月 6 日实现全容量发电。</t>
    <phoneticPr fontId="18" type="noConversion"/>
  </si>
  <si>
    <t>2017 年 10 月 19 日</t>
    <phoneticPr fontId="18" type="noConversion"/>
  </si>
  <si>
    <t>兰州大成科技股份有限公司敦煌熔盐线性菲涅尔式5万千瓦光热发电示范项目（兰州大成敦煌 50MW 线菲项目）</t>
    <phoneticPr fontId="18" type="noConversion"/>
  </si>
  <si>
    <t>线性
菲涅耳式</t>
    <phoneticPr fontId="18" type="noConversion"/>
  </si>
  <si>
    <t>2019 年 12 月 31 日实现并网发电。2020年 6 月 18 日太阳能集热场系统整体并网发电投运 [17</t>
    <phoneticPr fontId="18" type="noConversion"/>
  </si>
  <si>
    <t>内蒙古中核龙腾新能源有限公司乌拉特中旗导热油槽式10万千瓦光热发电项目（乌拉特中旗 100MW 槽式项目）</t>
    <phoneticPr fontId="18" type="noConversion"/>
  </si>
  <si>
    <t>2020 年 1 月 8 日首次
实现并网发电，2020 年 12 月 16 日实现满负荷发电，2021 年 10 月 20 日通过国家示范性验收。</t>
    <phoneticPr fontId="18" type="noConversion"/>
  </si>
  <si>
    <t>2018 年 6 月</t>
    <phoneticPr fontId="18" type="noConversion"/>
  </si>
  <si>
    <t>鲁能格尔木多能互补 50MW 塔式项目</t>
    <phoneticPr fontId="18" type="noConversion"/>
  </si>
  <si>
    <t xml:space="preserve"> 2019年 9 月 19 日成功一次并网， 2020 年 8 月 27 日完成了 120 小时可靠性运行， 2021 年 5 月 14 日，光热电站完成涉网联合试验。</t>
    <phoneticPr fontId="18" type="noConversion"/>
  </si>
  <si>
    <t>Capacity (MW)</t>
    <phoneticPr fontId="19" type="noConversion"/>
  </si>
  <si>
    <t>Expected Output (MWh)</t>
    <phoneticPr fontId="19" type="noConversion"/>
  </si>
  <si>
    <t>Capacity Factor</t>
    <phoneticPr fontId="19" type="noConversion"/>
  </si>
  <si>
    <t>玉门鑫能光热第一电力有限公司熔盐塔式5万千瓦光热发电项目</t>
    <phoneticPr fontId="18" type="noConversion"/>
  </si>
  <si>
    <t>2017年8月31 日，常规动力岛正式开工建设</t>
    <phoneticPr fontId="18" type="noConversion"/>
  </si>
  <si>
    <t>深圳市金钒能源科技有限公司阿克塞5万千瓦熔盐槽式光热发电项目</t>
    <phoneticPr fontId="18" type="noConversion"/>
  </si>
  <si>
    <t>在建</t>
    <phoneticPr fontId="18" type="noConversion"/>
  </si>
  <si>
    <t>主体工程2017年6月份开工建设</t>
    <phoneticPr fontId="18" type="noConversion"/>
  </si>
  <si>
    <t>国电投黄河上游水电开发有限责任公司德令哈水工质塔式13.5万千瓦光热发电项目（现由中控太阳能接续开发）</t>
    <phoneticPr fontId="18" type="noConversion"/>
  </si>
  <si>
    <t>2021年3月25日项目正式开建。</t>
    <phoneticPr fontId="18" type="noConversion"/>
  </si>
  <si>
    <t>中国三峡新能源有限公司金塔熔盐塔式10万千瓦光热发电项目（现由中控太阳能接续开发）</t>
    <phoneticPr fontId="18" type="noConversion"/>
  </si>
  <si>
    <t>计划于2023年底实现全容量并网发电</t>
    <phoneticPr fontId="18" type="noConversion"/>
  </si>
  <si>
    <t>达华工程管理（集团）有限公司尚义水工质塔式5万千瓦光热发电项目</t>
    <phoneticPr fontId="18" type="noConversion"/>
  </si>
  <si>
    <t>　　北京国华电力有限责任公司玉门熔盐塔式10万千瓦光热发电项目（现由首航高科接续开发）</t>
    <phoneticPr fontId="18" type="noConversion"/>
  </si>
  <si>
    <t>退出首批</t>
    <phoneticPr fontId="18" type="noConversion"/>
  </si>
  <si>
    <t>　　常州龙腾太阳能热电设备有限公司玉门东镇导热油槽式5万千瓦光热发电项目</t>
    <phoneticPr fontId="18" type="noConversion"/>
  </si>
  <si>
    <t>2018年6月19日奠基</t>
    <phoneticPr fontId="18" type="noConversion"/>
  </si>
  <si>
    <t>中海阳能源集团股份有限公司玉门东镇导热油槽式5万千瓦光热发电项目</t>
    <phoneticPr fontId="18" type="noConversion"/>
  </si>
  <si>
    <t>2017年8月12日，前期场平工程正式启动，项目正式进入全面建设阶段。</t>
    <phoneticPr fontId="18" type="noConversion"/>
  </si>
  <si>
    <t>　中节能甘肃武威太阳能发电有限公司古浪导热油槽式10万千瓦光热发电项目</t>
    <phoneticPr fontId="18" type="noConversion"/>
  </si>
  <si>
    <t>中阳张家口察北能源有限公司熔盐槽式6.4万千瓦光热发电项目</t>
    <phoneticPr fontId="18" type="noConversion"/>
  </si>
  <si>
    <t>2017年4月17日（2014年7月举行开工仪式。）</t>
    <phoneticPr fontId="18" type="noConversion"/>
  </si>
  <si>
    <t>北方联合电力有限责任公司乌拉特旗导热油菲涅尔式5万千瓦光热发电项目</t>
    <phoneticPr fontId="18" type="noConversion"/>
  </si>
  <si>
    <t>　　中信张北新能源开发有限公司水工质类菲涅尔式5万千瓦光热发电项目</t>
    <phoneticPr fontId="18" type="noConversion"/>
  </si>
  <si>
    <t>　　张北华强兆阳能源有限公司张家口水工质类菲涅尔式5万千瓦太阳能热发电项目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</si>
</sst>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"/>
    <numFmt numFmtId="177" formatCode="0.0_);[Red]\(0.0\)"/>
    <numFmt numFmtId="178" formatCode="0.00_);[Red]\(0.00\)"/>
    <numFmt numFmtId="179" formatCode="0.000_ "/>
    <numFmt numFmtId="180" formatCode="0_ "/>
    <numFmt numFmtId="181" formatCode="0.000"/>
  </numFmts>
  <fonts count="23">
    <font>
      <sz val="10"/>
      <name val="Arial"/>
    </font>
    <font>
      <sz val="11"/>
      <color theme="1"/>
      <name val="等线"/>
      <family val="2"/>
      <scheme val="minor"/>
    </font>
    <font>
      <sz val="10"/>
      <name val="Arial"/>
      <family val="2"/>
    </font>
    <font>
      <sz val="9"/>
      <name val="宋体"/>
      <family val="3"/>
      <charset val="134"/>
    </font>
    <font>
      <sz val="10"/>
      <name val="宋体"/>
      <family val="3"/>
      <charset val="134"/>
    </font>
    <font>
      <b/>
      <sz val="10"/>
      <name val="宋体"/>
      <family val="3"/>
      <charset val="134"/>
    </font>
    <font>
      <sz val="10"/>
      <color rgb="FF000000"/>
      <name val="Arial"/>
      <family val="2"/>
    </font>
    <font>
      <sz val="10"/>
      <name val="Arial"/>
      <family val="3"/>
      <charset val="134"/>
    </font>
    <font>
      <sz val="10"/>
      <color rgb="FF000000"/>
      <name val="宋体"/>
      <family val="3"/>
      <charset val="134"/>
    </font>
    <font>
      <sz val="10"/>
      <name val="宋体"/>
      <family val="2"/>
      <charset val="134"/>
    </font>
    <font>
      <sz val="10"/>
      <name val="MS Gothic"/>
      <family val="3"/>
      <charset val="128"/>
    </font>
    <font>
      <sz val="10"/>
      <name val="Microsoft JhengHei"/>
      <family val="2"/>
      <charset val="136"/>
    </font>
    <font>
      <b/>
      <sz val="11"/>
      <color theme="1"/>
      <name val="等线"/>
      <family val="2"/>
      <scheme val="minor"/>
    </font>
    <font>
      <sz val="10"/>
      <name val="微软雅黑"/>
      <family val="2"/>
      <charset val="134"/>
    </font>
    <font>
      <sz val="10"/>
      <name val="Arial"/>
      <family val="3"/>
      <charset val="128"/>
    </font>
    <font>
      <sz val="11"/>
      <color rgb="FFFF0000"/>
      <name val="等线"/>
      <family val="2"/>
      <scheme val="minor"/>
    </font>
    <font>
      <sz val="10"/>
      <name val="SimSun"/>
      <charset val="134"/>
    </font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0.5"/>
      <color rgb="FF231F20"/>
      <name val="SimSun"/>
      <family val="3"/>
      <charset val="134"/>
    </font>
    <font>
      <sz val="12"/>
      <color theme="1"/>
      <name val="等线"/>
      <family val="4"/>
      <charset val="134"/>
      <scheme val="minor"/>
    </font>
    <font>
      <sz val="12"/>
      <color rgb="FF333333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/>
    <xf numFmtId="0" fontId="17" fillId="0" borderId="0">
      <alignment vertical="center"/>
    </xf>
    <xf numFmtId="0" fontId="17" fillId="0" borderId="0">
      <alignment vertical="center"/>
    </xf>
  </cellStyleXfs>
  <cellXfs count="16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right" vertical="center" wrapText="1"/>
    </xf>
    <xf numFmtId="0" fontId="4" fillId="0" borderId="6" xfId="0" applyFont="1" applyBorder="1" applyAlignment="1">
      <alignment horizontal="right" vertical="center" wrapText="1"/>
    </xf>
    <xf numFmtId="0" fontId="4" fillId="0" borderId="11" xfId="0" applyFont="1" applyBorder="1" applyAlignment="1">
      <alignment horizontal="right" vertical="center" wrapText="1"/>
    </xf>
    <xf numFmtId="0" fontId="4" fillId="0" borderId="12" xfId="0" applyFont="1" applyBorder="1" applyAlignment="1">
      <alignment horizontal="right" vertical="center" wrapText="1"/>
    </xf>
    <xf numFmtId="0" fontId="4" fillId="0" borderId="7" xfId="0" applyFont="1" applyBorder="1" applyAlignment="1">
      <alignment horizontal="right" vertical="center" wrapText="1"/>
    </xf>
    <xf numFmtId="0" fontId="4" fillId="0" borderId="13" xfId="0" applyFont="1" applyBorder="1" applyAlignment="1">
      <alignment horizontal="right" vertical="center" wrapText="1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 wrapText="1"/>
    </xf>
    <xf numFmtId="0" fontId="4" fillId="0" borderId="8" xfId="0" applyFont="1" applyBorder="1" applyAlignment="1">
      <alignment horizontal="right" vertical="center" wrapText="1"/>
    </xf>
    <xf numFmtId="0" fontId="4" fillId="0" borderId="9" xfId="0" applyFont="1" applyBorder="1" applyAlignment="1">
      <alignment horizontal="right" vertical="center" wrapText="1"/>
    </xf>
    <xf numFmtId="0" fontId="4" fillId="0" borderId="8" xfId="0" applyFont="1" applyBorder="1" applyAlignment="1">
      <alignment horizontal="right" vertical="center"/>
    </xf>
    <xf numFmtId="0" fontId="4" fillId="0" borderId="1" xfId="0" applyFont="1" applyBorder="1">
      <alignment vertical="center"/>
    </xf>
    <xf numFmtId="0" fontId="5" fillId="0" borderId="11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>
      <alignment vertical="center"/>
    </xf>
    <xf numFmtId="0" fontId="0" fillId="0" borderId="0" xfId="0" applyAlignment="1">
      <alignment vertical="center" wrapText="1"/>
    </xf>
    <xf numFmtId="0" fontId="2" fillId="0" borderId="1" xfId="1" applyBorder="1" applyAlignment="1">
      <alignment horizontal="center" vertical="center"/>
    </xf>
    <xf numFmtId="0" fontId="2" fillId="0" borderId="1" xfId="1" applyBorder="1" applyAlignment="1">
      <alignment horizontal="center" vertical="top"/>
    </xf>
    <xf numFmtId="0" fontId="2" fillId="0" borderId="1" xfId="1" applyBorder="1" applyAlignment="1">
      <alignment horizontal="center"/>
    </xf>
    <xf numFmtId="1" fontId="6" fillId="0" borderId="1" xfId="0" applyNumberFormat="1" applyFont="1" applyBorder="1" applyAlignment="1">
      <alignment horizontal="center" vertical="top" shrinkToFit="1"/>
    </xf>
    <xf numFmtId="0" fontId="6" fillId="0" borderId="1" xfId="0" applyFont="1" applyBorder="1" applyAlignment="1">
      <alignment horizontal="center" wrapText="1"/>
    </xf>
    <xf numFmtId="176" fontId="6" fillId="0" borderId="1" xfId="0" applyNumberFormat="1" applyFont="1" applyBorder="1" applyAlignment="1">
      <alignment horizontal="center" vertical="top" shrinkToFit="1"/>
    </xf>
    <xf numFmtId="0" fontId="6" fillId="0" borderId="1" xfId="0" applyFont="1" applyBorder="1" applyAlignment="1">
      <alignment horizontal="center" vertical="top" wrapText="1"/>
    </xf>
    <xf numFmtId="177" fontId="6" fillId="0" borderId="1" xfId="0" applyNumberFormat="1" applyFont="1" applyBorder="1" applyAlignment="1">
      <alignment horizontal="center" vertical="top" shrinkToFit="1"/>
    </xf>
    <xf numFmtId="177" fontId="6" fillId="0" borderId="1" xfId="0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shrinkToFit="1"/>
    </xf>
    <xf numFmtId="0" fontId="2" fillId="0" borderId="1" xfId="0" applyFont="1" applyBorder="1">
      <alignment vertical="center"/>
    </xf>
    <xf numFmtId="178" fontId="6" fillId="0" borderId="1" xfId="0" applyNumberFormat="1" applyFont="1" applyBorder="1" applyAlignment="1">
      <alignment horizontal="center" vertical="top" shrinkToFit="1"/>
    </xf>
    <xf numFmtId="2" fontId="6" fillId="0" borderId="1" xfId="0" applyNumberFormat="1" applyFont="1" applyBorder="1" applyAlignment="1">
      <alignment horizontal="center" vertical="top" shrinkToFit="1"/>
    </xf>
    <xf numFmtId="0" fontId="6" fillId="0" borderId="2" xfId="0" applyFont="1" applyBorder="1" applyAlignment="1">
      <alignment horizontal="center" vertical="top" shrinkToFit="1"/>
    </xf>
    <xf numFmtId="1" fontId="6" fillId="0" borderId="2" xfId="0" applyNumberFormat="1" applyFont="1" applyBorder="1" applyAlignment="1">
      <alignment horizontal="center" vertical="top" shrinkToFit="1"/>
    </xf>
    <xf numFmtId="0" fontId="6" fillId="0" borderId="2" xfId="0" applyFont="1" applyBorder="1" applyAlignment="1">
      <alignment horizontal="center" wrapText="1"/>
    </xf>
    <xf numFmtId="179" fontId="0" fillId="0" borderId="1" xfId="0" applyNumberFormat="1" applyBorder="1">
      <alignment vertical="center"/>
    </xf>
    <xf numFmtId="0" fontId="2" fillId="0" borderId="5" xfId="0" applyFont="1" applyBorder="1">
      <alignment vertical="center"/>
    </xf>
    <xf numFmtId="179" fontId="0" fillId="0" borderId="5" xfId="0" applyNumberFormat="1" applyBorder="1">
      <alignment vertical="center"/>
    </xf>
    <xf numFmtId="0" fontId="2" fillId="0" borderId="15" xfId="0" applyFont="1" applyBorder="1">
      <alignment vertical="center"/>
    </xf>
    <xf numFmtId="0" fontId="2" fillId="0" borderId="16" xfId="0" applyFont="1" applyBorder="1">
      <alignment vertical="center"/>
    </xf>
    <xf numFmtId="0" fontId="6" fillId="0" borderId="16" xfId="0" applyFont="1" applyBorder="1" applyAlignment="1">
      <alignment horizontal="center" vertical="top" shrinkToFit="1"/>
    </xf>
    <xf numFmtId="1" fontId="6" fillId="0" borderId="16" xfId="0" applyNumberFormat="1" applyFont="1" applyBorder="1" applyAlignment="1">
      <alignment horizontal="center" vertical="top" shrinkToFit="1"/>
    </xf>
    <xf numFmtId="1" fontId="6" fillId="0" borderId="17" xfId="0" applyNumberFormat="1" applyFont="1" applyBorder="1" applyAlignment="1">
      <alignment horizontal="center" vertical="top" shrinkToFit="1"/>
    </xf>
    <xf numFmtId="179" fontId="0" fillId="0" borderId="16" xfId="0" applyNumberFormat="1" applyBorder="1">
      <alignment vertical="center"/>
    </xf>
    <xf numFmtId="179" fontId="0" fillId="0" borderId="18" xfId="0" applyNumberFormat="1" applyBorder="1">
      <alignment vertical="center"/>
    </xf>
    <xf numFmtId="0" fontId="2" fillId="0" borderId="19" xfId="0" applyFont="1" applyBorder="1">
      <alignment vertical="center"/>
    </xf>
    <xf numFmtId="179" fontId="0" fillId="0" borderId="20" xfId="0" applyNumberFormat="1" applyBorder="1">
      <alignment vertical="center"/>
    </xf>
    <xf numFmtId="0" fontId="2" fillId="0" borderId="21" xfId="0" applyFont="1" applyBorder="1">
      <alignment vertical="center"/>
    </xf>
    <xf numFmtId="0" fontId="2" fillId="0" borderId="22" xfId="0" applyFont="1" applyBorder="1">
      <alignment vertical="center"/>
    </xf>
    <xf numFmtId="0" fontId="6" fillId="0" borderId="22" xfId="0" applyFont="1" applyBorder="1" applyAlignment="1">
      <alignment horizontal="center" vertical="top" shrinkToFit="1"/>
    </xf>
    <xf numFmtId="0" fontId="6" fillId="0" borderId="22" xfId="0" applyFont="1" applyBorder="1" applyAlignment="1">
      <alignment horizontal="center" vertical="top" wrapText="1"/>
    </xf>
    <xf numFmtId="177" fontId="6" fillId="0" borderId="22" xfId="0" applyNumberFormat="1" applyFont="1" applyBorder="1" applyAlignment="1">
      <alignment horizontal="center" vertical="top" shrinkToFit="1"/>
    </xf>
    <xf numFmtId="0" fontId="6" fillId="0" borderId="22" xfId="0" applyFont="1" applyBorder="1" applyAlignment="1">
      <alignment horizontal="center" wrapText="1"/>
    </xf>
    <xf numFmtId="179" fontId="0" fillId="0" borderId="22" xfId="0" applyNumberFormat="1" applyBorder="1">
      <alignment vertical="center"/>
    </xf>
    <xf numFmtId="179" fontId="0" fillId="0" borderId="24" xfId="0" applyNumberFormat="1" applyBorder="1">
      <alignment vertical="center"/>
    </xf>
    <xf numFmtId="177" fontId="6" fillId="0" borderId="5" xfId="0" applyNumberFormat="1" applyFont="1" applyBorder="1" applyAlignment="1">
      <alignment horizontal="center" vertical="top" shrinkToFit="1"/>
    </xf>
    <xf numFmtId="1" fontId="6" fillId="0" borderId="5" xfId="0" applyNumberFormat="1" applyFont="1" applyBorder="1" applyAlignment="1">
      <alignment horizontal="center" vertical="top" shrinkToFit="1"/>
    </xf>
    <xf numFmtId="0" fontId="6" fillId="0" borderId="5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177" fontId="6" fillId="0" borderId="16" xfId="0" applyNumberFormat="1" applyFont="1" applyBorder="1" applyAlignment="1">
      <alignment horizontal="center" vertical="top" shrinkToFit="1"/>
    </xf>
    <xf numFmtId="0" fontId="6" fillId="0" borderId="17" xfId="0" applyFont="1" applyBorder="1" applyAlignment="1">
      <alignment horizontal="center" vertical="top" shrinkToFit="1"/>
    </xf>
    <xf numFmtId="1" fontId="6" fillId="0" borderId="22" xfId="0" applyNumberFormat="1" applyFont="1" applyBorder="1" applyAlignment="1">
      <alignment horizontal="center" vertical="top" shrinkToFit="1"/>
    </xf>
    <xf numFmtId="0" fontId="6" fillId="0" borderId="23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0" fontId="2" fillId="0" borderId="26" xfId="0" applyFont="1" applyBorder="1">
      <alignment vertical="center"/>
    </xf>
    <xf numFmtId="0" fontId="2" fillId="0" borderId="14" xfId="0" applyFont="1" applyBorder="1">
      <alignment vertical="center"/>
    </xf>
    <xf numFmtId="0" fontId="6" fillId="0" borderId="14" xfId="0" applyFont="1" applyBorder="1" applyAlignment="1">
      <alignment horizontal="center" vertical="top" shrinkToFit="1"/>
    </xf>
    <xf numFmtId="0" fontId="6" fillId="0" borderId="10" xfId="0" applyFont="1" applyBorder="1" applyAlignment="1">
      <alignment horizontal="center" vertical="top" shrinkToFit="1"/>
    </xf>
    <xf numFmtId="179" fontId="0" fillId="0" borderId="14" xfId="0" applyNumberFormat="1" applyBorder="1">
      <alignment vertical="center"/>
    </xf>
    <xf numFmtId="179" fontId="0" fillId="0" borderId="27" xfId="0" applyNumberFormat="1" applyBorder="1">
      <alignment vertical="center"/>
    </xf>
    <xf numFmtId="179" fontId="0" fillId="0" borderId="0" xfId="0" applyNumberFormat="1">
      <alignment vertical="center"/>
    </xf>
    <xf numFmtId="0" fontId="2" fillId="0" borderId="16" xfId="1" applyBorder="1" applyAlignment="1">
      <alignment horizontal="center" vertical="center"/>
    </xf>
    <xf numFmtId="0" fontId="2" fillId="0" borderId="22" xfId="1" applyBorder="1" applyAlignment="1">
      <alignment horizontal="center"/>
    </xf>
    <xf numFmtId="0" fontId="2" fillId="0" borderId="22" xfId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2" fillId="0" borderId="28" xfId="0" applyFont="1" applyBorder="1">
      <alignment vertical="center"/>
    </xf>
    <xf numFmtId="179" fontId="0" fillId="0" borderId="29" xfId="0" applyNumberFormat="1" applyBorder="1">
      <alignment vertical="center"/>
    </xf>
    <xf numFmtId="0" fontId="2" fillId="0" borderId="16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/>
    </xf>
    <xf numFmtId="0" fontId="2" fillId="0" borderId="22" xfId="0" applyFont="1" applyBorder="1" applyAlignment="1">
      <alignment horizontal="center" vertical="top"/>
    </xf>
    <xf numFmtId="0" fontId="2" fillId="0" borderId="16" xfId="0" applyFont="1" applyBorder="1" applyAlignment="1">
      <alignment horizontal="center" wrapText="1"/>
    </xf>
    <xf numFmtId="0" fontId="6" fillId="0" borderId="16" xfId="0" applyFont="1" applyBorder="1" applyAlignment="1">
      <alignment horizontal="center" vertical="top" wrapText="1"/>
    </xf>
    <xf numFmtId="0" fontId="6" fillId="0" borderId="16" xfId="0" applyFont="1" applyBorder="1" applyAlignment="1">
      <alignment horizontal="center" vertical="top"/>
    </xf>
    <xf numFmtId="0" fontId="2" fillId="0" borderId="22" xfId="0" applyFont="1" applyBorder="1" applyAlignment="1">
      <alignment horizontal="left" vertical="center" wrapText="1"/>
    </xf>
    <xf numFmtId="0" fontId="2" fillId="0" borderId="24" xfId="0" applyFont="1" applyBorder="1" applyAlignment="1">
      <alignment horizontal="left" vertical="center" wrapText="1"/>
    </xf>
    <xf numFmtId="0" fontId="1" fillId="0" borderId="0" xfId="2"/>
    <xf numFmtId="181" fontId="1" fillId="0" borderId="0" xfId="2" applyNumberFormat="1"/>
    <xf numFmtId="0" fontId="1" fillId="0" borderId="0" xfId="2" applyAlignment="1">
      <alignment wrapText="1"/>
    </xf>
    <xf numFmtId="0" fontId="12" fillId="0" borderId="0" xfId="2" applyFont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4" fillId="0" borderId="1" xfId="0" applyFont="1" applyBorder="1" applyAlignment="1">
      <alignment horizontal="right" vertical="center" wrapText="1"/>
    </xf>
    <xf numFmtId="180" fontId="0" fillId="0" borderId="1" xfId="0" applyNumberFormat="1" applyBorder="1">
      <alignment vertical="center"/>
    </xf>
    <xf numFmtId="181" fontId="15" fillId="0" borderId="0" xfId="2" applyNumberFormat="1" applyFont="1"/>
    <xf numFmtId="0" fontId="2" fillId="0" borderId="6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9" fillId="0" borderId="1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" fillId="0" borderId="1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/>
    </xf>
    <xf numFmtId="0" fontId="9" fillId="0" borderId="5" xfId="0" applyFont="1" applyBorder="1" applyAlignment="1">
      <alignment horizontal="center" vertical="top" wrapText="1"/>
    </xf>
    <xf numFmtId="0" fontId="2" fillId="0" borderId="25" xfId="0" applyFont="1" applyBorder="1" applyAlignment="1">
      <alignment horizontal="center" vertical="top" wrapText="1"/>
    </xf>
    <xf numFmtId="0" fontId="2" fillId="0" borderId="15" xfId="0" applyFont="1" applyBorder="1" applyAlignment="1">
      <alignment horizontal="center" vertical="top" wrapText="1"/>
    </xf>
    <xf numFmtId="0" fontId="2" fillId="0" borderId="21" xfId="0" applyFont="1" applyBorder="1" applyAlignment="1">
      <alignment horizontal="center" vertical="top" wrapText="1"/>
    </xf>
    <xf numFmtId="0" fontId="9" fillId="0" borderId="30" xfId="0" applyFont="1" applyBorder="1" applyAlignment="1">
      <alignment horizontal="center" vertical="top" wrapText="1"/>
    </xf>
    <xf numFmtId="0" fontId="2" fillId="0" borderId="31" xfId="0" applyFont="1" applyBorder="1" applyAlignment="1">
      <alignment horizontal="center" vertical="top" wrapText="1"/>
    </xf>
    <xf numFmtId="0" fontId="2" fillId="0" borderId="16" xfId="0" applyFont="1" applyBorder="1" applyAlignment="1">
      <alignment horizontal="center" wrapText="1"/>
    </xf>
    <xf numFmtId="0" fontId="6" fillId="0" borderId="16" xfId="0" applyFont="1" applyBorder="1" applyAlignment="1">
      <alignment horizontal="center" vertical="top" wrapText="1"/>
    </xf>
    <xf numFmtId="0" fontId="6" fillId="0" borderId="16" xfId="0" applyFont="1" applyBorder="1" applyAlignment="1">
      <alignment horizontal="center" vertical="top"/>
    </xf>
    <xf numFmtId="0" fontId="4" fillId="0" borderId="16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0" xfId="4" applyAlignment="1">
      <alignment horizontal="center" vertical="center"/>
    </xf>
    <xf numFmtId="0" fontId="17" fillId="0" borderId="0" xfId="4">
      <alignment vertical="center"/>
    </xf>
    <xf numFmtId="0" fontId="17" fillId="0" borderId="0" xfId="4" applyAlignment="1">
      <alignment horizontal="left" vertical="center"/>
    </xf>
    <xf numFmtId="0" fontId="20" fillId="0" borderId="0" xfId="4" applyFont="1" applyAlignment="1">
      <alignment horizontal="left" vertical="center" wrapText="1"/>
    </xf>
    <xf numFmtId="179" fontId="17" fillId="0" borderId="0" xfId="4" applyNumberFormat="1">
      <alignment vertical="center"/>
    </xf>
    <xf numFmtId="0" fontId="17" fillId="0" borderId="0" xfId="4" applyAlignment="1">
      <alignment horizontal="left" vertical="center" wrapText="1"/>
    </xf>
    <xf numFmtId="0" fontId="17" fillId="0" borderId="0" xfId="4" applyAlignment="1">
      <alignment horizontal="center" vertical="center" wrapText="1"/>
    </xf>
    <xf numFmtId="0" fontId="17" fillId="0" borderId="0" xfId="4" applyAlignment="1">
      <alignment vertical="center" wrapText="1"/>
    </xf>
    <xf numFmtId="0" fontId="21" fillId="0" borderId="0" xfId="4" applyFont="1" applyAlignment="1">
      <alignment horizontal="center" vertical="center" wrapText="1"/>
    </xf>
    <xf numFmtId="0" fontId="21" fillId="0" borderId="0" xfId="4" applyFont="1">
      <alignment vertical="center"/>
    </xf>
    <xf numFmtId="31" fontId="17" fillId="0" borderId="0" xfId="4" applyNumberFormat="1" applyAlignment="1">
      <alignment horizontal="left" vertical="center"/>
    </xf>
    <xf numFmtId="57" fontId="17" fillId="0" borderId="0" xfId="4" applyNumberFormat="1" applyAlignment="1">
      <alignment horizontal="left" vertical="center"/>
    </xf>
    <xf numFmtId="0" fontId="22" fillId="0" borderId="0" xfId="4" applyFont="1" applyAlignment="1">
      <alignment horizontal="center" vertical="center" wrapText="1"/>
    </xf>
    <xf numFmtId="0" fontId="22" fillId="0" borderId="0" xfId="4" applyFont="1">
      <alignment vertical="center"/>
    </xf>
  </cellXfs>
  <cellStyles count="5">
    <cellStyle name="常规" xfId="0" builtinId="0"/>
    <cellStyle name="常规 2" xfId="1" xr:uid="{7875FEEB-216D-4735-9958-42D2ECDE2A72}"/>
    <cellStyle name="常规 3" xfId="2" xr:uid="{6A91FD61-7B53-4B2A-8314-BB3185E0CA97}"/>
    <cellStyle name="常规 3 2" xfId="4" xr:uid="{01F46FF0-D21D-46D9-96E0-91EBACF3EC5E}"/>
    <cellStyle name="常规 4" xfId="3" xr:uid="{578E6CE8-5C57-4C50-BE0C-CA981980EC0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esktop\EPS%20Models\EPS%20China%203.3.1\InputData\elec\CCaMC\Capacity%20Construction%20and%20Maint%20Costs.xlsx" TargetMode="External"/><Relationship Id="rId1" Type="http://schemas.openxmlformats.org/officeDocument/2006/relationships/externalLinkPath" Target="/Users/admin/Desktop/EPS%20Models/EPS%20China%203.3.1/InputData/elec/CCaMC/Capacity%20Construction%20and%20Maint%20Cos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bout"/>
      <sheetName val="Exchange Rate"/>
      <sheetName val="IRENA Historic Cost"/>
      <sheetName val="LCOE China - IEA"/>
      <sheetName val="Start Year Wind and Solar"/>
      <sheetName val="Start Year Soft Cost Data"/>
      <sheetName val="中国光伏行业协会"/>
      <sheetName val="Solar Thermal"/>
      <sheetName val="LBNL Data"/>
      <sheetName val="S&amp;L"/>
      <sheetName val="Existing Plants"/>
      <sheetName val="Existing O&amp;M Costs"/>
      <sheetName val="New O&amp;M Costs"/>
      <sheetName val="All Other Capital and O&amp;M Costs"/>
      <sheetName val="All Other Capital and O&amp;M C 22"/>
      <sheetName val="CCaMC-AFOaMCpUC-pre-ret"/>
      <sheetName val="CCaMC-AFOaMCpUC-pre-nonret"/>
      <sheetName val="CCaMC-AFOaMCpUC-new"/>
      <sheetName val="CCaMC-VOaMCpUC-pre-ret"/>
      <sheetName val="CCaMC-VOaMCpUC-pre-nonret"/>
      <sheetName val="CCaMC-VOaMCpUC-new"/>
      <sheetName val="CCaMC-BCCpUC"/>
      <sheetName val="CCaMC-BSCpUC"/>
    </sheetNames>
    <sheetDataSet>
      <sheetData sheetId="0">
        <row r="97">
          <cell r="A97">
            <v>0.89800000000000002</v>
          </cell>
        </row>
        <row r="99">
          <cell r="A99">
            <v>0.88711067149387013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7FA02-0EB0-4ABF-B5D6-C9C219775D16}">
  <dimension ref="A2:BC70"/>
  <sheetViews>
    <sheetView topLeftCell="AO30" zoomScaleNormal="100" workbookViewId="0">
      <selection activeCell="AW58" sqref="AW58"/>
    </sheetView>
  </sheetViews>
  <sheetFormatPr defaultRowHeight="12.75"/>
  <sheetData>
    <row r="2" spans="1:54">
      <c r="A2" s="107" t="s">
        <v>172</v>
      </c>
      <c r="B2" s="111" t="s">
        <v>177</v>
      </c>
      <c r="C2" s="111"/>
      <c r="D2" s="111"/>
      <c r="E2" s="111"/>
      <c r="F2" s="111"/>
      <c r="G2" s="111"/>
      <c r="H2" s="111" t="s">
        <v>178</v>
      </c>
      <c r="I2" s="111"/>
      <c r="J2" s="111"/>
      <c r="K2" s="111"/>
      <c r="L2" s="111"/>
      <c r="M2" s="111"/>
      <c r="N2" s="111" t="s">
        <v>179</v>
      </c>
      <c r="O2" s="111"/>
      <c r="P2" s="111"/>
      <c r="Q2" s="111"/>
      <c r="R2" s="111"/>
      <c r="S2" s="111"/>
      <c r="T2" s="111" t="s">
        <v>180</v>
      </c>
      <c r="U2" s="111"/>
      <c r="V2" s="111"/>
      <c r="W2" s="111"/>
      <c r="X2" s="111"/>
      <c r="Y2" s="111"/>
      <c r="Z2" s="111" t="s">
        <v>181</v>
      </c>
      <c r="AA2" s="111"/>
      <c r="AB2" s="111"/>
      <c r="AC2" s="111"/>
      <c r="AD2" s="111"/>
      <c r="AE2" s="111"/>
      <c r="AF2" s="111" t="s">
        <v>182</v>
      </c>
      <c r="AG2" s="111"/>
      <c r="AH2" s="111"/>
      <c r="AI2" s="111"/>
      <c r="AJ2" s="111"/>
      <c r="AK2" s="111"/>
      <c r="AL2" s="111" t="s">
        <v>183</v>
      </c>
      <c r="AM2" s="111"/>
      <c r="AN2" s="111"/>
      <c r="AO2" s="111"/>
      <c r="AP2" s="111"/>
      <c r="AR2" s="103" t="s">
        <v>180</v>
      </c>
      <c r="AS2" s="103"/>
      <c r="AT2" s="103"/>
      <c r="AU2" s="103"/>
      <c r="AV2" s="104"/>
      <c r="AX2" s="105" t="s">
        <v>189</v>
      </c>
      <c r="AY2" s="105"/>
      <c r="AZ2" s="105"/>
      <c r="BA2" s="105"/>
      <c r="BB2" s="106"/>
    </row>
    <row r="3" spans="1:54" ht="16.5">
      <c r="A3" s="108"/>
      <c r="B3" s="5" t="s">
        <v>190</v>
      </c>
      <c r="C3" s="83" t="s">
        <v>184</v>
      </c>
      <c r="D3" s="83" t="s">
        <v>185</v>
      </c>
      <c r="E3" s="83" t="s">
        <v>187</v>
      </c>
      <c r="F3" s="83" t="s">
        <v>173</v>
      </c>
      <c r="G3" s="83" t="s">
        <v>174</v>
      </c>
      <c r="H3" s="5" t="s">
        <v>190</v>
      </c>
      <c r="I3" s="83" t="s">
        <v>184</v>
      </c>
      <c r="J3" s="83" t="s">
        <v>185</v>
      </c>
      <c r="K3" s="83" t="s">
        <v>187</v>
      </c>
      <c r="L3" s="83" t="s">
        <v>173</v>
      </c>
      <c r="M3" s="83" t="s">
        <v>174</v>
      </c>
      <c r="N3" s="5" t="s">
        <v>190</v>
      </c>
      <c r="O3" s="83" t="s">
        <v>184</v>
      </c>
      <c r="P3" s="83" t="s">
        <v>185</v>
      </c>
      <c r="Q3" s="83" t="s">
        <v>187</v>
      </c>
      <c r="R3" s="83" t="s">
        <v>173</v>
      </c>
      <c r="S3" s="83" t="s">
        <v>174</v>
      </c>
      <c r="T3" s="5" t="s">
        <v>190</v>
      </c>
      <c r="U3" s="83" t="s">
        <v>184</v>
      </c>
      <c r="V3" s="83" t="s">
        <v>185</v>
      </c>
      <c r="W3" s="83" t="s">
        <v>187</v>
      </c>
      <c r="X3" s="83" t="s">
        <v>173</v>
      </c>
      <c r="Y3" s="83" t="s">
        <v>174</v>
      </c>
      <c r="Z3" s="5" t="s">
        <v>190</v>
      </c>
      <c r="AA3" s="83" t="s">
        <v>184</v>
      </c>
      <c r="AB3" s="83" t="s">
        <v>185</v>
      </c>
      <c r="AC3" s="83" t="s">
        <v>187</v>
      </c>
      <c r="AD3" s="83" t="s">
        <v>173</v>
      </c>
      <c r="AE3" s="83" t="s">
        <v>174</v>
      </c>
      <c r="AF3" s="5" t="s">
        <v>190</v>
      </c>
      <c r="AG3" s="83" t="s">
        <v>184</v>
      </c>
      <c r="AH3" s="83" t="s">
        <v>185</v>
      </c>
      <c r="AI3" s="83" t="s">
        <v>187</v>
      </c>
      <c r="AJ3" s="83" t="s">
        <v>173</v>
      </c>
      <c r="AK3" s="83" t="s">
        <v>174</v>
      </c>
      <c r="AL3" s="5" t="s">
        <v>190</v>
      </c>
      <c r="AM3" s="83" t="s">
        <v>184</v>
      </c>
      <c r="AN3" s="83" t="s">
        <v>186</v>
      </c>
      <c r="AO3" s="83" t="s">
        <v>176</v>
      </c>
      <c r="AP3" s="83" t="s">
        <v>175</v>
      </c>
      <c r="AR3" s="83" t="s">
        <v>191</v>
      </c>
      <c r="AS3" s="83" t="s">
        <v>184</v>
      </c>
      <c r="AT3" s="83" t="s">
        <v>185</v>
      </c>
      <c r="AU3" s="83" t="s">
        <v>187</v>
      </c>
      <c r="AV3" s="83" t="s">
        <v>173</v>
      </c>
      <c r="AX3" s="83" t="s">
        <v>191</v>
      </c>
      <c r="AY3" s="83" t="s">
        <v>184</v>
      </c>
      <c r="AZ3" s="83" t="s">
        <v>185</v>
      </c>
      <c r="BA3" s="83" t="s">
        <v>187</v>
      </c>
      <c r="BB3" s="83" t="s">
        <v>173</v>
      </c>
    </row>
    <row r="4" spans="1:54">
      <c r="A4" s="5" t="s">
        <v>77</v>
      </c>
      <c r="B4" s="5">
        <v>237777</v>
      </c>
      <c r="C4" s="5">
        <v>220204</v>
      </c>
      <c r="D4" s="5">
        <v>201006</v>
      </c>
      <c r="E4" s="5">
        <v>190012</v>
      </c>
      <c r="F4" s="5">
        <v>178451</v>
      </c>
      <c r="G4" s="5">
        <v>165051</v>
      </c>
      <c r="H4" s="5">
        <v>39094</v>
      </c>
      <c r="I4" s="5">
        <v>37028</v>
      </c>
      <c r="J4" s="5">
        <v>35804</v>
      </c>
      <c r="K4" s="5">
        <v>35259</v>
      </c>
      <c r="L4" s="5">
        <v>34411</v>
      </c>
      <c r="M4" s="5">
        <v>33207</v>
      </c>
      <c r="N4" s="5">
        <v>129739</v>
      </c>
      <c r="O4" s="5">
        <v>124624</v>
      </c>
      <c r="P4" s="5">
        <v>118957</v>
      </c>
      <c r="Q4" s="5">
        <v>114408</v>
      </c>
      <c r="R4" s="5">
        <v>111009</v>
      </c>
      <c r="S4" s="5">
        <v>106094</v>
      </c>
      <c r="T4" s="5">
        <v>5326</v>
      </c>
      <c r="U4" s="5">
        <v>4989</v>
      </c>
      <c r="V4" s="5">
        <v>4874</v>
      </c>
      <c r="W4" s="5">
        <v>4466</v>
      </c>
      <c r="X4" s="5">
        <v>3582</v>
      </c>
      <c r="Y4" s="5">
        <v>3364</v>
      </c>
      <c r="Z4" s="5">
        <v>32871</v>
      </c>
      <c r="AA4" s="5">
        <v>28165</v>
      </c>
      <c r="AB4" s="5">
        <v>20915</v>
      </c>
      <c r="AC4" s="5">
        <v>18427</v>
      </c>
      <c r="AD4" s="5">
        <v>16400</v>
      </c>
      <c r="AE4" s="5">
        <v>14747</v>
      </c>
      <c r="AF4" s="5">
        <v>30654</v>
      </c>
      <c r="AG4" s="5">
        <v>25356</v>
      </c>
      <c r="AH4" s="5">
        <v>20429</v>
      </c>
      <c r="AI4" s="5">
        <v>17433</v>
      </c>
      <c r="AJ4" s="5">
        <v>13042</v>
      </c>
      <c r="AK4" s="5">
        <v>7631</v>
      </c>
      <c r="AL4" s="5">
        <v>94</v>
      </c>
      <c r="AM4" s="5">
        <v>41</v>
      </c>
      <c r="AN4" s="5">
        <v>37</v>
      </c>
      <c r="AO4" s="5">
        <v>20</v>
      </c>
      <c r="AP4" s="5">
        <v>7</v>
      </c>
      <c r="AR4" s="43">
        <f>IFERROR(T39/AVERAGE(T4:U4)*10000/8760,"")</f>
        <v>0.90195375356631413</v>
      </c>
      <c r="AS4" s="43">
        <f>IFERROR(U39/AVERAGE(U4:V4)*10000/8760,"")</f>
        <v>0.84768636252735541</v>
      </c>
      <c r="AT4" s="43">
        <f>IFERROR(V39/AVERAGE(V4:W4)*10000/8760,"")</f>
        <v>0.85237550477643176</v>
      </c>
      <c r="AU4" s="43">
        <f>IFERROR(W39/AVERAGE(W4:X4)*10000/8760,"")</f>
        <v>0.8368737347603874</v>
      </c>
      <c r="AV4" s="43">
        <f>IFERROR(X39/AVERAGE(X4:Y4)*10000/8760,"")</f>
        <v>0.81548856343850218</v>
      </c>
      <c r="AW4" s="79"/>
      <c r="AX4" s="43">
        <f t="shared" ref="AX4:AX35" si="0">IFERROR(Z39/AVERAGE(Z4:AA4)*10000/8760,"")</f>
        <v>0.2453077321535819</v>
      </c>
      <c r="AY4" s="43">
        <f>IFERROR(AA39/AVERAGE(AA4:AB4)*10000/8760,"")</f>
        <v>0.21700662044634983</v>
      </c>
      <c r="AZ4" s="43">
        <f t="shared" ref="AZ4:AZ35" si="1">IFERROR(AB39/AVERAGE(AB4:AC4)*10000/8760,"")</f>
        <v>0.23520473431788536</v>
      </c>
      <c r="BA4" s="43">
        <f t="shared" ref="BA4:BA35" si="2">IFERROR(AC39/AVERAGE(AC4:AD4)*10000/8760,"")</f>
        <v>0.23980239967599801</v>
      </c>
      <c r="BB4" s="43">
        <f t="shared" ref="BB4:BB35" si="3">IFERROR(AD39/AVERAGE(AD4:AE4)*10000/8760,"")</f>
        <v>0.22327472628321762</v>
      </c>
    </row>
    <row r="5" spans="1:54">
      <c r="A5" s="5" t="s">
        <v>78</v>
      </c>
      <c r="B5" s="5"/>
      <c r="C5" s="5">
        <v>1316</v>
      </c>
      <c r="D5" s="5">
        <v>1304</v>
      </c>
      <c r="E5" s="5">
        <v>1276</v>
      </c>
      <c r="F5" s="5">
        <v>1219</v>
      </c>
      <c r="G5" s="5">
        <v>1103</v>
      </c>
      <c r="H5" s="5"/>
      <c r="I5" s="5">
        <v>99</v>
      </c>
      <c r="J5" s="5">
        <v>99</v>
      </c>
      <c r="K5" s="5">
        <v>98</v>
      </c>
      <c r="L5" s="5">
        <v>98</v>
      </c>
      <c r="M5" s="5">
        <v>98</v>
      </c>
      <c r="N5" s="5"/>
      <c r="O5" s="5">
        <v>1136</v>
      </c>
      <c r="P5" s="5">
        <v>1135</v>
      </c>
      <c r="Q5" s="5">
        <v>1119</v>
      </c>
      <c r="R5" s="5">
        <v>1077</v>
      </c>
      <c r="S5" s="5">
        <v>971</v>
      </c>
      <c r="T5" s="5"/>
      <c r="U5" s="34"/>
      <c r="V5" s="34"/>
      <c r="W5" s="34"/>
      <c r="X5" s="34"/>
      <c r="Y5" s="34"/>
      <c r="Z5" s="34"/>
      <c r="AA5" s="5">
        <v>19</v>
      </c>
      <c r="AB5" s="5">
        <v>19</v>
      </c>
      <c r="AC5" s="5">
        <v>19</v>
      </c>
      <c r="AD5" s="5">
        <v>19</v>
      </c>
      <c r="AE5" s="5">
        <v>19</v>
      </c>
      <c r="AF5" s="5"/>
      <c r="AG5" s="5">
        <v>62</v>
      </c>
      <c r="AH5" s="5">
        <v>51</v>
      </c>
      <c r="AI5" s="5">
        <v>40</v>
      </c>
      <c r="AJ5" s="5">
        <v>25</v>
      </c>
      <c r="AK5" s="5">
        <v>15</v>
      </c>
      <c r="AL5" s="5"/>
      <c r="AM5" s="34"/>
      <c r="AN5" s="34"/>
      <c r="AO5" s="34"/>
      <c r="AP5" s="34"/>
      <c r="AR5" s="43" t="str">
        <f t="shared" ref="AR5:AR35" si="4">IFERROR(T40/AVERAGE(T5:U5)*10000/8760,"")</f>
        <v/>
      </c>
      <c r="AS5" s="43" t="str">
        <f t="shared" ref="AS5:AS35" si="5">IFERROR(U40/AVERAGE(U5:V5)*10000/8760,"")</f>
        <v/>
      </c>
      <c r="AT5" s="43" t="str">
        <f t="shared" ref="AT5:AT35" si="6">IFERROR(V40/AVERAGE(V5:W5)*10000/8760,"")</f>
        <v/>
      </c>
      <c r="AU5" s="43" t="str">
        <f t="shared" ref="AU5:AU35" si="7">IFERROR(W40/AVERAGE(W5:X5)*10000/8760,"")</f>
        <v/>
      </c>
      <c r="AV5" s="43" t="str">
        <f t="shared" ref="AV5:AV35" si="8">IFERROR(X40/AVERAGE(X5:Y5)*10000/8760,"")</f>
        <v/>
      </c>
      <c r="AW5" s="79"/>
      <c r="AX5" s="43">
        <f t="shared" si="0"/>
        <v>0</v>
      </c>
      <c r="AY5" s="43">
        <f t="shared" ref="AY5:AY35" si="9">IFERROR(AA40/AVERAGE(AA5:AB5)*10000/8760,"")</f>
        <v>0.24032684450853159</v>
      </c>
      <c r="AZ5" s="43">
        <f t="shared" si="1"/>
        <v>0.18024513338139869</v>
      </c>
      <c r="BA5" s="43">
        <f t="shared" si="2"/>
        <v>0.18024513338139869</v>
      </c>
      <c r="BB5" s="43">
        <f t="shared" si="3"/>
        <v>0.18024513338139869</v>
      </c>
    </row>
    <row r="6" spans="1:54">
      <c r="A6" s="5" t="s">
        <v>79</v>
      </c>
      <c r="B6" s="5"/>
      <c r="C6" s="5">
        <v>1917</v>
      </c>
      <c r="D6" s="5">
        <v>1842</v>
      </c>
      <c r="E6" s="5">
        <v>1709</v>
      </c>
      <c r="F6" s="5">
        <v>1499</v>
      </c>
      <c r="G6" s="5">
        <v>1467</v>
      </c>
      <c r="H6" s="5"/>
      <c r="I6" s="5">
        <v>1</v>
      </c>
      <c r="J6" s="5">
        <v>1</v>
      </c>
      <c r="K6" s="5">
        <v>1</v>
      </c>
      <c r="L6" s="5">
        <v>1</v>
      </c>
      <c r="M6" s="5">
        <v>1</v>
      </c>
      <c r="N6" s="5"/>
      <c r="O6" s="5">
        <v>1668</v>
      </c>
      <c r="P6" s="5">
        <v>1639</v>
      </c>
      <c r="Q6" s="5">
        <v>1529</v>
      </c>
      <c r="R6" s="5">
        <v>1402</v>
      </c>
      <c r="S6" s="5">
        <v>1378</v>
      </c>
      <c r="T6" s="5"/>
      <c r="U6" s="34"/>
      <c r="V6" s="34"/>
      <c r="W6" s="34"/>
      <c r="X6" s="34"/>
      <c r="Y6" s="34"/>
      <c r="Z6" s="34"/>
      <c r="AA6" s="5">
        <v>85</v>
      </c>
      <c r="AB6" s="5">
        <v>60</v>
      </c>
      <c r="AC6" s="5">
        <v>52</v>
      </c>
      <c r="AD6" s="5">
        <v>29</v>
      </c>
      <c r="AE6" s="5">
        <v>29</v>
      </c>
      <c r="AF6" s="5"/>
      <c r="AG6" s="5">
        <v>164</v>
      </c>
      <c r="AH6" s="5">
        <v>143</v>
      </c>
      <c r="AI6" s="5">
        <v>128</v>
      </c>
      <c r="AJ6" s="5">
        <v>68</v>
      </c>
      <c r="AK6" s="5">
        <v>60</v>
      </c>
      <c r="AL6" s="5"/>
      <c r="AM6" s="34"/>
      <c r="AN6" s="34"/>
      <c r="AO6" s="34"/>
      <c r="AP6" s="34"/>
      <c r="AR6" s="43" t="str">
        <f t="shared" si="4"/>
        <v/>
      </c>
      <c r="AS6" s="43" t="str">
        <f t="shared" si="5"/>
        <v/>
      </c>
      <c r="AT6" s="43" t="str">
        <f t="shared" si="6"/>
        <v/>
      </c>
      <c r="AU6" s="43" t="str">
        <f t="shared" si="7"/>
        <v/>
      </c>
      <c r="AV6" s="43" t="str">
        <f t="shared" si="8"/>
        <v/>
      </c>
      <c r="AW6" s="79"/>
      <c r="AX6" s="43">
        <f t="shared" si="0"/>
        <v>0</v>
      </c>
      <c r="AY6" s="43">
        <f t="shared" si="9"/>
        <v>0.1889466225791214</v>
      </c>
      <c r="AZ6" s="43">
        <f t="shared" si="1"/>
        <v>0.22423352902804958</v>
      </c>
      <c r="BA6" s="43">
        <f t="shared" si="2"/>
        <v>0.22549185410677039</v>
      </c>
      <c r="BB6" s="43">
        <f t="shared" si="3"/>
        <v>0.23618327822390173</v>
      </c>
    </row>
    <row r="7" spans="1:54">
      <c r="A7" s="5" t="s">
        <v>80</v>
      </c>
      <c r="B7" s="5"/>
      <c r="C7" s="5">
        <v>10042</v>
      </c>
      <c r="D7" s="5">
        <v>8319</v>
      </c>
      <c r="E7" s="5">
        <v>7427</v>
      </c>
      <c r="F7" s="5">
        <v>6807</v>
      </c>
      <c r="G7" s="5">
        <v>6275</v>
      </c>
      <c r="H7" s="5"/>
      <c r="I7" s="5">
        <v>182</v>
      </c>
      <c r="J7" s="5">
        <v>182</v>
      </c>
      <c r="K7" s="5">
        <v>182</v>
      </c>
      <c r="L7" s="5">
        <v>182</v>
      </c>
      <c r="M7" s="5">
        <v>182</v>
      </c>
      <c r="N7" s="5"/>
      <c r="O7" s="5">
        <v>5391</v>
      </c>
      <c r="P7" s="5">
        <v>5021</v>
      </c>
      <c r="Q7" s="5">
        <v>4617</v>
      </c>
      <c r="R7" s="5">
        <v>4574</v>
      </c>
      <c r="S7" s="5">
        <v>4510</v>
      </c>
      <c r="T7" s="5"/>
      <c r="U7" s="34"/>
      <c r="V7" s="34"/>
      <c r="W7" s="34"/>
      <c r="X7" s="34"/>
      <c r="Y7" s="34"/>
      <c r="Z7" s="34"/>
      <c r="AA7" s="5">
        <v>2274</v>
      </c>
      <c r="AB7" s="5">
        <v>1639</v>
      </c>
      <c r="AC7" s="5">
        <v>1391</v>
      </c>
      <c r="AD7" s="5">
        <v>1181</v>
      </c>
      <c r="AE7" s="5">
        <v>1138</v>
      </c>
      <c r="AF7" s="5"/>
      <c r="AG7" s="5">
        <v>2190</v>
      </c>
      <c r="AH7" s="5">
        <v>1474</v>
      </c>
      <c r="AI7" s="5">
        <v>1234</v>
      </c>
      <c r="AJ7" s="5">
        <v>868</v>
      </c>
      <c r="AK7" s="5">
        <v>443</v>
      </c>
      <c r="AL7" s="5"/>
      <c r="AM7" s="5">
        <v>4</v>
      </c>
      <c r="AN7" s="5">
        <v>3</v>
      </c>
      <c r="AO7" s="5">
        <v>3</v>
      </c>
      <c r="AP7" s="5">
        <v>2</v>
      </c>
      <c r="AR7" s="43" t="str">
        <f t="shared" si="4"/>
        <v/>
      </c>
      <c r="AS7" s="43" t="str">
        <f t="shared" si="5"/>
        <v/>
      </c>
      <c r="AT7" s="43" t="str">
        <f t="shared" si="6"/>
        <v/>
      </c>
      <c r="AU7" s="43" t="str">
        <f t="shared" si="7"/>
        <v/>
      </c>
      <c r="AV7" s="43" t="str">
        <f t="shared" si="8"/>
        <v/>
      </c>
      <c r="AW7" s="79"/>
      <c r="AX7" s="43">
        <f t="shared" si="0"/>
        <v>0</v>
      </c>
      <c r="AY7" s="43">
        <f t="shared" si="9"/>
        <v>0.21471572921079135</v>
      </c>
      <c r="AZ7" s="43">
        <f t="shared" si="1"/>
        <v>0.23961300239613004</v>
      </c>
      <c r="BA7" s="43">
        <f t="shared" si="2"/>
        <v>0.25121256666453629</v>
      </c>
      <c r="BB7" s="43">
        <f t="shared" si="3"/>
        <v>0.25892911643146449</v>
      </c>
    </row>
    <row r="8" spans="1:54">
      <c r="A8" s="5" t="s">
        <v>81</v>
      </c>
      <c r="B8" s="5"/>
      <c r="C8" s="5">
        <v>10383</v>
      </c>
      <c r="D8" s="5">
        <v>9249</v>
      </c>
      <c r="E8" s="5">
        <v>8758</v>
      </c>
      <c r="F8" s="5">
        <v>8073</v>
      </c>
      <c r="G8" s="5">
        <v>7640</v>
      </c>
      <c r="H8" s="5"/>
      <c r="I8" s="5">
        <v>223</v>
      </c>
      <c r="J8" s="5">
        <v>223</v>
      </c>
      <c r="K8" s="5">
        <v>223</v>
      </c>
      <c r="L8" s="5">
        <v>244</v>
      </c>
      <c r="M8" s="5">
        <v>244</v>
      </c>
      <c r="N8" s="5"/>
      <c r="O8" s="5">
        <v>6878</v>
      </c>
      <c r="P8" s="5">
        <v>6687</v>
      </c>
      <c r="Q8" s="5">
        <v>6628</v>
      </c>
      <c r="R8" s="5">
        <v>6366</v>
      </c>
      <c r="S8" s="5">
        <v>6329</v>
      </c>
      <c r="T8" s="5"/>
      <c r="U8" s="34"/>
      <c r="V8" s="34"/>
      <c r="W8" s="34"/>
      <c r="X8" s="34"/>
      <c r="Y8" s="34"/>
      <c r="Z8" s="34"/>
      <c r="AA8" s="5">
        <v>1974</v>
      </c>
      <c r="AB8" s="5">
        <v>1251</v>
      </c>
      <c r="AC8" s="5">
        <v>1043</v>
      </c>
      <c r="AD8" s="5">
        <v>872</v>
      </c>
      <c r="AE8" s="5">
        <v>771</v>
      </c>
      <c r="AF8" s="5"/>
      <c r="AG8" s="5">
        <v>1309</v>
      </c>
      <c r="AH8" s="5">
        <v>1088</v>
      </c>
      <c r="AI8" s="5">
        <v>864</v>
      </c>
      <c r="AJ8" s="5">
        <v>590</v>
      </c>
      <c r="AK8" s="5">
        <v>297</v>
      </c>
      <c r="AL8" s="5"/>
      <c r="AM8" s="34"/>
      <c r="AN8" s="34"/>
      <c r="AO8" s="34"/>
      <c r="AP8" s="34"/>
      <c r="AR8" s="43" t="str">
        <f t="shared" si="4"/>
        <v/>
      </c>
      <c r="AS8" s="43" t="str">
        <f t="shared" si="5"/>
        <v/>
      </c>
      <c r="AT8" s="43" t="str">
        <f t="shared" si="6"/>
        <v/>
      </c>
      <c r="AU8" s="43" t="str">
        <f t="shared" si="7"/>
        <v/>
      </c>
      <c r="AV8" s="43" t="str">
        <f t="shared" si="8"/>
        <v/>
      </c>
      <c r="AW8" s="79"/>
      <c r="AX8" s="43">
        <f t="shared" si="0"/>
        <v>0</v>
      </c>
      <c r="AY8" s="43">
        <f t="shared" si="9"/>
        <v>0.18831191816218895</v>
      </c>
      <c r="AZ8" s="43">
        <f t="shared" si="1"/>
        <v>0.22293614869841116</v>
      </c>
      <c r="BA8" s="43">
        <f t="shared" si="2"/>
        <v>0.25275105213586557</v>
      </c>
      <c r="BB8" s="43">
        <f t="shared" si="3"/>
        <v>0.2292832189696429</v>
      </c>
    </row>
    <row r="9" spans="1:54">
      <c r="A9" s="5" t="s">
        <v>82</v>
      </c>
      <c r="B9" s="5"/>
      <c r="C9" s="5">
        <v>14639</v>
      </c>
      <c r="D9" s="5">
        <v>12931</v>
      </c>
      <c r="E9" s="5">
        <v>12285</v>
      </c>
      <c r="F9" s="5">
        <v>11826</v>
      </c>
      <c r="G9" s="5">
        <v>11045</v>
      </c>
      <c r="H9" s="5"/>
      <c r="I9" s="5">
        <v>242</v>
      </c>
      <c r="J9" s="5">
        <v>239</v>
      </c>
      <c r="K9" s="5">
        <v>242</v>
      </c>
      <c r="L9" s="5">
        <v>242</v>
      </c>
      <c r="M9" s="5">
        <v>241</v>
      </c>
      <c r="N9" s="5"/>
      <c r="O9" s="5">
        <v>9374</v>
      </c>
      <c r="P9" s="5">
        <v>8721</v>
      </c>
      <c r="Q9" s="5">
        <v>8229</v>
      </c>
      <c r="R9" s="5">
        <v>8170</v>
      </c>
      <c r="S9" s="5">
        <v>7609</v>
      </c>
      <c r="T9" s="5"/>
      <c r="U9" s="34"/>
      <c r="V9" s="34"/>
      <c r="W9" s="34"/>
      <c r="X9" s="34"/>
      <c r="Y9" s="34"/>
      <c r="Z9" s="34"/>
      <c r="AA9" s="5">
        <v>3786</v>
      </c>
      <c r="AB9" s="5">
        <v>2920</v>
      </c>
      <c r="AC9" s="5">
        <v>2868</v>
      </c>
      <c r="AD9" s="5">
        <v>2670</v>
      </c>
      <c r="AE9" s="5">
        <v>2557</v>
      </c>
      <c r="AF9" s="5"/>
      <c r="AG9" s="5">
        <v>1237</v>
      </c>
      <c r="AH9" s="5">
        <v>1051</v>
      </c>
      <c r="AI9" s="5">
        <v>946</v>
      </c>
      <c r="AJ9" s="5">
        <v>743</v>
      </c>
      <c r="AK9" s="5">
        <v>638</v>
      </c>
      <c r="AL9" s="5"/>
      <c r="AM9" s="34"/>
      <c r="AN9" s="34"/>
      <c r="AO9" s="34"/>
      <c r="AP9" s="34"/>
      <c r="AR9" s="43" t="str">
        <f t="shared" si="4"/>
        <v/>
      </c>
      <c r="AS9" s="43" t="str">
        <f t="shared" si="5"/>
        <v/>
      </c>
      <c r="AT9" s="43" t="str">
        <f t="shared" si="6"/>
        <v/>
      </c>
      <c r="AU9" s="43" t="str">
        <f t="shared" si="7"/>
        <v/>
      </c>
      <c r="AV9" s="43" t="str">
        <f t="shared" si="8"/>
        <v/>
      </c>
      <c r="AW9" s="79"/>
      <c r="AX9" s="43">
        <f t="shared" si="0"/>
        <v>0</v>
      </c>
      <c r="AY9" s="43">
        <f t="shared" si="9"/>
        <v>0.2471718232292488</v>
      </c>
      <c r="AZ9" s="43">
        <f t="shared" si="1"/>
        <v>0.26270697049161701</v>
      </c>
      <c r="BA9" s="43">
        <f t="shared" si="2"/>
        <v>0.26054936338555862</v>
      </c>
      <c r="BB9" s="43">
        <f t="shared" si="3"/>
        <v>0.24067167927681435</v>
      </c>
    </row>
    <row r="10" spans="1:54">
      <c r="A10" s="5" t="s">
        <v>83</v>
      </c>
      <c r="B10" s="5"/>
      <c r="C10" s="5">
        <v>5776</v>
      </c>
      <c r="D10" s="5">
        <v>5370</v>
      </c>
      <c r="E10" s="5">
        <v>5192</v>
      </c>
      <c r="F10" s="5">
        <v>4869</v>
      </c>
      <c r="G10" s="5">
        <v>4601</v>
      </c>
      <c r="H10" s="5"/>
      <c r="I10" s="5">
        <v>305</v>
      </c>
      <c r="J10" s="5">
        <v>302</v>
      </c>
      <c r="K10" s="5">
        <v>299</v>
      </c>
      <c r="L10" s="5">
        <v>295</v>
      </c>
      <c r="M10" s="5">
        <v>293</v>
      </c>
      <c r="N10" s="5"/>
      <c r="O10" s="5">
        <v>3643</v>
      </c>
      <c r="P10" s="5">
        <v>3446</v>
      </c>
      <c r="Q10" s="5">
        <v>3383</v>
      </c>
      <c r="R10" s="5">
        <v>3193</v>
      </c>
      <c r="S10" s="5">
        <v>3114</v>
      </c>
      <c r="T10" s="5"/>
      <c r="U10" s="5">
        <v>448</v>
      </c>
      <c r="V10" s="5">
        <v>448</v>
      </c>
      <c r="W10" s="5">
        <v>448</v>
      </c>
      <c r="X10" s="5">
        <v>448</v>
      </c>
      <c r="Y10" s="5">
        <v>448</v>
      </c>
      <c r="Z10" s="5"/>
      <c r="AA10" s="5">
        <v>981</v>
      </c>
      <c r="AB10" s="5">
        <v>832</v>
      </c>
      <c r="AC10" s="5">
        <v>761</v>
      </c>
      <c r="AD10" s="5">
        <v>711</v>
      </c>
      <c r="AE10" s="5">
        <v>695</v>
      </c>
      <c r="AF10" s="5"/>
      <c r="AG10" s="5">
        <v>400</v>
      </c>
      <c r="AH10" s="5">
        <v>343</v>
      </c>
      <c r="AI10" s="5">
        <v>302</v>
      </c>
      <c r="AJ10" s="5">
        <v>223</v>
      </c>
      <c r="AK10" s="5">
        <v>52</v>
      </c>
      <c r="AL10" s="5"/>
      <c r="AM10" s="34"/>
      <c r="AN10" s="34"/>
      <c r="AO10" s="34"/>
      <c r="AP10" s="34"/>
      <c r="AR10" s="43">
        <f t="shared" si="4"/>
        <v>0</v>
      </c>
      <c r="AS10" s="43">
        <f t="shared" si="5"/>
        <v>0.83323140900195702</v>
      </c>
      <c r="AT10" s="43">
        <f t="shared" si="6"/>
        <v>0.83323140900195702</v>
      </c>
      <c r="AU10" s="43">
        <f t="shared" si="7"/>
        <v>0.76952870189171563</v>
      </c>
      <c r="AV10" s="43">
        <f t="shared" si="8"/>
        <v>0.60135355512067845</v>
      </c>
      <c r="AW10" s="79"/>
      <c r="AX10" s="43">
        <f t="shared" si="0"/>
        <v>0</v>
      </c>
      <c r="AY10" s="43">
        <f t="shared" si="9"/>
        <v>0.24430357111374723</v>
      </c>
      <c r="AZ10" s="43">
        <f t="shared" si="1"/>
        <v>0.26227760149283252</v>
      </c>
      <c r="BA10" s="43">
        <f t="shared" si="2"/>
        <v>0.25591870160810004</v>
      </c>
      <c r="BB10" s="43">
        <f t="shared" si="3"/>
        <v>0.24357450456945773</v>
      </c>
    </row>
    <row r="11" spans="1:54">
      <c r="A11" s="5" t="s">
        <v>84</v>
      </c>
      <c r="B11" s="5"/>
      <c r="C11" s="5">
        <v>3278</v>
      </c>
      <c r="D11" s="5">
        <v>3122</v>
      </c>
      <c r="E11" s="5">
        <v>3055</v>
      </c>
      <c r="F11" s="5">
        <v>2864</v>
      </c>
      <c r="G11" s="5">
        <v>2716</v>
      </c>
      <c r="H11" s="5"/>
      <c r="I11" s="5">
        <v>510</v>
      </c>
      <c r="J11" s="5">
        <v>445</v>
      </c>
      <c r="K11" s="5">
        <v>385</v>
      </c>
      <c r="L11" s="5">
        <v>380</v>
      </c>
      <c r="M11" s="5">
        <v>378</v>
      </c>
      <c r="N11" s="5"/>
      <c r="O11" s="5">
        <v>1852</v>
      </c>
      <c r="P11" s="5">
        <v>1845</v>
      </c>
      <c r="Q11" s="5">
        <v>1892</v>
      </c>
      <c r="R11" s="5">
        <v>1820</v>
      </c>
      <c r="S11" s="5">
        <v>1777</v>
      </c>
      <c r="T11" s="5"/>
      <c r="U11" s="34"/>
      <c r="V11" s="34"/>
      <c r="W11" s="34"/>
      <c r="X11" s="34"/>
      <c r="Y11" s="34"/>
      <c r="Z11" s="34"/>
      <c r="AA11" s="5">
        <v>577</v>
      </c>
      <c r="AB11" s="5">
        <v>557</v>
      </c>
      <c r="AC11" s="5">
        <v>514</v>
      </c>
      <c r="AD11" s="5">
        <v>505</v>
      </c>
      <c r="AE11" s="5">
        <v>505</v>
      </c>
      <c r="AF11" s="5"/>
      <c r="AG11" s="5">
        <v>338</v>
      </c>
      <c r="AH11" s="5">
        <v>274</v>
      </c>
      <c r="AI11" s="5">
        <v>265</v>
      </c>
      <c r="AJ11" s="5">
        <v>159</v>
      </c>
      <c r="AK11" s="5">
        <v>56</v>
      </c>
      <c r="AL11" s="5"/>
      <c r="AM11" s="34"/>
      <c r="AN11" s="34"/>
      <c r="AO11" s="34"/>
      <c r="AP11" s="34"/>
      <c r="AR11" s="43" t="str">
        <f t="shared" si="4"/>
        <v/>
      </c>
      <c r="AS11" s="43" t="str">
        <f t="shared" si="5"/>
        <v/>
      </c>
      <c r="AT11" s="43" t="str">
        <f t="shared" si="6"/>
        <v/>
      </c>
      <c r="AU11" s="43" t="str">
        <f t="shared" si="7"/>
        <v/>
      </c>
      <c r="AV11" s="43" t="str">
        <f t="shared" si="8"/>
        <v/>
      </c>
      <c r="AW11" s="79"/>
      <c r="AX11" s="43">
        <f t="shared" si="0"/>
        <v>0</v>
      </c>
      <c r="AY11" s="43">
        <f t="shared" si="9"/>
        <v>0.26173161637392994</v>
      </c>
      <c r="AZ11" s="43">
        <f t="shared" si="1"/>
        <v>0.24515133298372618</v>
      </c>
      <c r="BA11" s="43">
        <f t="shared" si="2"/>
        <v>0.2352561603505989</v>
      </c>
      <c r="BB11" s="43">
        <f t="shared" si="3"/>
        <v>0.19666350196663501</v>
      </c>
    </row>
    <row r="12" spans="1:54">
      <c r="A12" s="5" t="s">
        <v>85</v>
      </c>
      <c r="B12" s="5"/>
      <c r="C12" s="5">
        <v>3536</v>
      </c>
      <c r="D12" s="5">
        <v>3246</v>
      </c>
      <c r="E12" s="5">
        <v>3129</v>
      </c>
      <c r="F12" s="5">
        <v>2969</v>
      </c>
      <c r="G12" s="5">
        <v>2783</v>
      </c>
      <c r="H12" s="5"/>
      <c r="I12" s="5">
        <v>109</v>
      </c>
      <c r="J12" s="5">
        <v>108</v>
      </c>
      <c r="K12" s="5">
        <v>104</v>
      </c>
      <c r="L12" s="5">
        <v>103</v>
      </c>
      <c r="M12" s="5">
        <v>102</v>
      </c>
      <c r="N12" s="5"/>
      <c r="O12" s="5">
        <v>2423</v>
      </c>
      <c r="P12" s="5">
        <v>2253</v>
      </c>
      <c r="Q12" s="5">
        <v>2212</v>
      </c>
      <c r="R12" s="5">
        <v>2201</v>
      </c>
      <c r="S12" s="5">
        <v>2104</v>
      </c>
      <c r="T12" s="5"/>
      <c r="U12" s="34"/>
      <c r="V12" s="34"/>
      <c r="W12" s="34"/>
      <c r="X12" s="34"/>
      <c r="Y12" s="34"/>
      <c r="Z12" s="34"/>
      <c r="AA12" s="5">
        <v>686</v>
      </c>
      <c r="AB12" s="5">
        <v>611</v>
      </c>
      <c r="AC12" s="5">
        <v>598</v>
      </c>
      <c r="AD12" s="5">
        <v>570</v>
      </c>
      <c r="AE12" s="5">
        <v>561</v>
      </c>
      <c r="AF12" s="5"/>
      <c r="AG12" s="5">
        <v>318</v>
      </c>
      <c r="AH12" s="5">
        <v>274</v>
      </c>
      <c r="AI12" s="5">
        <v>215</v>
      </c>
      <c r="AJ12" s="5">
        <v>94</v>
      </c>
      <c r="AK12" s="5">
        <v>17</v>
      </c>
      <c r="AL12" s="5"/>
      <c r="AM12" s="34"/>
      <c r="AN12" s="34"/>
      <c r="AO12" s="34"/>
      <c r="AP12" s="34"/>
      <c r="AR12" s="43" t="str">
        <f t="shared" si="4"/>
        <v/>
      </c>
      <c r="AS12" s="43" t="str">
        <f t="shared" si="5"/>
        <v/>
      </c>
      <c r="AT12" s="43" t="str">
        <f t="shared" si="6"/>
        <v/>
      </c>
      <c r="AU12" s="43" t="str">
        <f t="shared" si="7"/>
        <v/>
      </c>
      <c r="AV12" s="43" t="str">
        <f t="shared" si="8"/>
        <v/>
      </c>
      <c r="AW12" s="79"/>
      <c r="AX12" s="43">
        <f t="shared" si="0"/>
        <v>0</v>
      </c>
      <c r="AY12" s="43">
        <f t="shared" si="9"/>
        <v>0.24820185676112419</v>
      </c>
      <c r="AZ12" s="43">
        <f t="shared" si="1"/>
        <v>0.26437940711029528</v>
      </c>
      <c r="BA12" s="43">
        <f t="shared" si="2"/>
        <v>0.24433915055982985</v>
      </c>
      <c r="BB12" s="43">
        <f t="shared" si="3"/>
        <v>0.21801533374514007</v>
      </c>
    </row>
    <row r="13" spans="1:54">
      <c r="A13" s="5" t="s">
        <v>86</v>
      </c>
      <c r="B13" s="5"/>
      <c r="C13" s="5">
        <v>2669</v>
      </c>
      <c r="D13" s="5">
        <v>2664</v>
      </c>
      <c r="E13" s="5">
        <v>2525</v>
      </c>
      <c r="F13" s="5">
        <v>2400</v>
      </c>
      <c r="G13" s="5">
        <v>2371</v>
      </c>
      <c r="H13" s="5"/>
      <c r="I13" s="34"/>
      <c r="J13" s="34"/>
      <c r="K13" s="34"/>
      <c r="L13" s="34"/>
      <c r="M13" s="34"/>
      <c r="N13" s="34"/>
      <c r="O13" s="5">
        <v>2450</v>
      </c>
      <c r="P13" s="5">
        <v>2475</v>
      </c>
      <c r="Q13" s="5">
        <v>2365</v>
      </c>
      <c r="R13" s="5">
        <v>2271</v>
      </c>
      <c r="S13" s="5">
        <v>2264</v>
      </c>
      <c r="T13" s="5"/>
      <c r="U13" s="34"/>
      <c r="V13" s="34"/>
      <c r="W13" s="34"/>
      <c r="X13" s="34"/>
      <c r="Y13" s="34"/>
      <c r="Z13" s="34"/>
      <c r="AA13" s="5">
        <v>82</v>
      </c>
      <c r="AB13" s="5">
        <v>81</v>
      </c>
      <c r="AC13" s="5">
        <v>71</v>
      </c>
      <c r="AD13" s="5">
        <v>71</v>
      </c>
      <c r="AE13" s="5">
        <v>71</v>
      </c>
      <c r="AF13" s="5"/>
      <c r="AG13" s="5">
        <v>137</v>
      </c>
      <c r="AH13" s="5">
        <v>109</v>
      </c>
      <c r="AI13" s="5">
        <v>89</v>
      </c>
      <c r="AJ13" s="5">
        <v>58</v>
      </c>
      <c r="AK13" s="5">
        <v>35</v>
      </c>
      <c r="AL13" s="5"/>
      <c r="AM13" s="34"/>
      <c r="AN13" s="34"/>
      <c r="AO13" s="34"/>
      <c r="AP13" s="34"/>
      <c r="AR13" s="43" t="str">
        <f t="shared" si="4"/>
        <v/>
      </c>
      <c r="AS13" s="43" t="str">
        <f t="shared" si="5"/>
        <v/>
      </c>
      <c r="AT13" s="43" t="str">
        <f t="shared" si="6"/>
        <v/>
      </c>
      <c r="AU13" s="43" t="str">
        <f t="shared" si="7"/>
        <v/>
      </c>
      <c r="AV13" s="43" t="str">
        <f t="shared" si="8"/>
        <v/>
      </c>
      <c r="AW13" s="79"/>
      <c r="AX13" s="43">
        <f t="shared" si="0"/>
        <v>0</v>
      </c>
      <c r="AY13" s="43">
        <f t="shared" si="9"/>
        <v>0.26612880634226965</v>
      </c>
      <c r="AZ13" s="43">
        <f t="shared" si="1"/>
        <v>0.25534727229031484</v>
      </c>
      <c r="BA13" s="43">
        <f t="shared" si="2"/>
        <v>0.2894076789504148</v>
      </c>
      <c r="BB13" s="43">
        <f t="shared" si="3"/>
        <v>0.27332947456428064</v>
      </c>
    </row>
    <row r="14" spans="1:54">
      <c r="A14" s="5" t="s">
        <v>87</v>
      </c>
      <c r="B14" s="5"/>
      <c r="C14" s="5">
        <v>14146</v>
      </c>
      <c r="D14" s="5">
        <v>13288</v>
      </c>
      <c r="E14" s="5">
        <v>12657</v>
      </c>
      <c r="F14" s="5">
        <v>11469</v>
      </c>
      <c r="G14" s="5">
        <v>10160</v>
      </c>
      <c r="H14" s="5"/>
      <c r="I14" s="5">
        <v>265</v>
      </c>
      <c r="J14" s="5">
        <v>265</v>
      </c>
      <c r="K14" s="5">
        <v>265</v>
      </c>
      <c r="L14" s="5">
        <v>265</v>
      </c>
      <c r="M14" s="5">
        <v>115</v>
      </c>
      <c r="N14" s="5"/>
      <c r="O14" s="5">
        <v>10079</v>
      </c>
      <c r="P14" s="5">
        <v>10050</v>
      </c>
      <c r="Q14" s="5">
        <v>9749</v>
      </c>
      <c r="R14" s="5">
        <v>9430</v>
      </c>
      <c r="S14" s="5">
        <v>8727</v>
      </c>
      <c r="T14" s="5"/>
      <c r="U14" s="5">
        <v>549</v>
      </c>
      <c r="V14" s="5">
        <v>437</v>
      </c>
      <c r="W14" s="5">
        <v>437</v>
      </c>
      <c r="X14" s="5">
        <v>212</v>
      </c>
      <c r="Y14" s="5">
        <v>212</v>
      </c>
      <c r="Z14" s="5"/>
      <c r="AA14" s="5">
        <v>1547</v>
      </c>
      <c r="AB14" s="5">
        <v>1041</v>
      </c>
      <c r="AC14" s="5">
        <v>865</v>
      </c>
      <c r="AD14" s="5">
        <v>656</v>
      </c>
      <c r="AE14" s="5">
        <v>561</v>
      </c>
      <c r="AF14" s="5"/>
      <c r="AG14" s="5">
        <v>1684</v>
      </c>
      <c r="AH14" s="5">
        <v>1486</v>
      </c>
      <c r="AI14" s="5">
        <v>1332</v>
      </c>
      <c r="AJ14" s="5">
        <v>907</v>
      </c>
      <c r="AK14" s="5">
        <v>546</v>
      </c>
      <c r="AL14" s="5"/>
      <c r="AM14" s="5">
        <v>23</v>
      </c>
      <c r="AN14" s="5">
        <v>10</v>
      </c>
      <c r="AO14" s="5">
        <v>10</v>
      </c>
      <c r="AP14" s="5"/>
      <c r="AR14" s="43">
        <f t="shared" si="4"/>
        <v>0</v>
      </c>
      <c r="AS14" s="43">
        <f t="shared" si="5"/>
        <v>0.82201042911259925</v>
      </c>
      <c r="AT14" s="43">
        <f t="shared" si="6"/>
        <v>0.85942969394898794</v>
      </c>
      <c r="AU14" s="43">
        <f t="shared" si="7"/>
        <v>0.85132729664886619</v>
      </c>
      <c r="AV14" s="43">
        <f t="shared" si="8"/>
        <v>0.93154992676832937</v>
      </c>
      <c r="AW14" s="79"/>
      <c r="AX14" s="43">
        <f t="shared" si="0"/>
        <v>0</v>
      </c>
      <c r="AY14" s="43">
        <f t="shared" si="9"/>
        <v>0.20202127134015088</v>
      </c>
      <c r="AZ14" s="43">
        <f t="shared" si="1"/>
        <v>0.22040468216207409</v>
      </c>
      <c r="BA14" s="43">
        <f t="shared" si="2"/>
        <v>0.25968255683745672</v>
      </c>
      <c r="BB14" s="43">
        <f t="shared" si="3"/>
        <v>0.22512128409180446</v>
      </c>
    </row>
    <row r="15" spans="1:54">
      <c r="A15" s="5" t="s">
        <v>88</v>
      </c>
      <c r="B15" s="5"/>
      <c r="C15" s="5">
        <v>10142</v>
      </c>
      <c r="D15" s="5">
        <v>9789</v>
      </c>
      <c r="E15" s="5">
        <v>9565</v>
      </c>
      <c r="F15" s="5">
        <v>8899</v>
      </c>
      <c r="G15" s="5">
        <v>8331</v>
      </c>
      <c r="H15" s="5"/>
      <c r="I15" s="5">
        <v>1171</v>
      </c>
      <c r="J15" s="5">
        <v>1170</v>
      </c>
      <c r="K15" s="5">
        <v>1161</v>
      </c>
      <c r="L15" s="5">
        <v>1160</v>
      </c>
      <c r="M15" s="5">
        <v>1154</v>
      </c>
      <c r="N15" s="5"/>
      <c r="O15" s="5">
        <v>6358</v>
      </c>
      <c r="P15" s="5">
        <v>6212</v>
      </c>
      <c r="Q15" s="5">
        <v>6209</v>
      </c>
      <c r="R15" s="5">
        <v>6134</v>
      </c>
      <c r="S15" s="5">
        <v>6062</v>
      </c>
      <c r="T15" s="5"/>
      <c r="U15" s="5">
        <v>911</v>
      </c>
      <c r="V15" s="5">
        <v>908</v>
      </c>
      <c r="W15" s="5">
        <v>908</v>
      </c>
      <c r="X15" s="5">
        <v>657</v>
      </c>
      <c r="Y15" s="5">
        <v>657</v>
      </c>
      <c r="Z15" s="5"/>
      <c r="AA15" s="5">
        <v>186</v>
      </c>
      <c r="AB15" s="5">
        <v>160</v>
      </c>
      <c r="AC15" s="5">
        <v>148</v>
      </c>
      <c r="AD15" s="5">
        <v>133</v>
      </c>
      <c r="AE15" s="5">
        <v>119</v>
      </c>
      <c r="AF15" s="5"/>
      <c r="AG15" s="5">
        <v>1517</v>
      </c>
      <c r="AH15" s="5">
        <v>1339</v>
      </c>
      <c r="AI15" s="5">
        <v>1138</v>
      </c>
      <c r="AJ15" s="5">
        <v>814</v>
      </c>
      <c r="AK15" s="5">
        <v>338</v>
      </c>
      <c r="AL15" s="5"/>
      <c r="AM15" s="5">
        <v>1</v>
      </c>
      <c r="AN15" s="5">
        <v>1</v>
      </c>
      <c r="AO15" s="5">
        <v>0.4</v>
      </c>
      <c r="AP15" s="5">
        <v>0.4</v>
      </c>
      <c r="AR15" s="43">
        <f t="shared" si="4"/>
        <v>0</v>
      </c>
      <c r="AS15" s="43">
        <f t="shared" si="5"/>
        <v>0.8936617791400262</v>
      </c>
      <c r="AT15" s="43">
        <f t="shared" si="6"/>
        <v>0.79078912960392644</v>
      </c>
      <c r="AU15" s="43">
        <f t="shared" si="7"/>
        <v>0.85634674019286039</v>
      </c>
      <c r="AV15" s="43">
        <f t="shared" si="8"/>
        <v>0.88787417554540848</v>
      </c>
      <c r="AW15" s="79"/>
      <c r="AX15" s="43">
        <f t="shared" si="0"/>
        <v>0</v>
      </c>
      <c r="AY15" s="43">
        <f t="shared" si="9"/>
        <v>0.23754849948531162</v>
      </c>
      <c r="AZ15" s="43">
        <f t="shared" si="1"/>
        <v>0.2446183953033268</v>
      </c>
      <c r="BA15" s="43">
        <f t="shared" si="2"/>
        <v>0.25187279611303404</v>
      </c>
      <c r="BB15" s="43">
        <f t="shared" si="3"/>
        <v>0.22649851416974703</v>
      </c>
    </row>
    <row r="16" spans="1:54">
      <c r="A16" s="5" t="s">
        <v>89</v>
      </c>
      <c r="B16" s="5"/>
      <c r="C16" s="5">
        <v>7816</v>
      </c>
      <c r="D16" s="5">
        <v>7394</v>
      </c>
      <c r="E16" s="5">
        <v>7089</v>
      </c>
      <c r="F16" s="5">
        <v>6468</v>
      </c>
      <c r="G16" s="5">
        <v>5733</v>
      </c>
      <c r="H16" s="5"/>
      <c r="I16" s="5">
        <v>474</v>
      </c>
      <c r="J16" s="5">
        <v>345</v>
      </c>
      <c r="K16" s="5">
        <v>312</v>
      </c>
      <c r="L16" s="5">
        <v>310</v>
      </c>
      <c r="M16" s="5">
        <v>295</v>
      </c>
      <c r="N16" s="5"/>
      <c r="O16" s="5">
        <v>5561</v>
      </c>
      <c r="P16" s="5">
        <v>5521</v>
      </c>
      <c r="Q16" s="5">
        <v>5413</v>
      </c>
      <c r="R16" s="5">
        <v>5053</v>
      </c>
      <c r="S16" s="5">
        <v>4915</v>
      </c>
      <c r="T16" s="5"/>
      <c r="U16" s="34"/>
      <c r="V16" s="34"/>
      <c r="W16" s="34"/>
      <c r="X16" s="34"/>
      <c r="Y16" s="34"/>
      <c r="Z16" s="34"/>
      <c r="AA16" s="5">
        <v>412</v>
      </c>
      <c r="AB16" s="5">
        <v>274</v>
      </c>
      <c r="AC16" s="5">
        <v>246</v>
      </c>
      <c r="AD16" s="5">
        <v>217</v>
      </c>
      <c r="AE16" s="5">
        <v>177</v>
      </c>
      <c r="AF16" s="5"/>
      <c r="AG16" s="5">
        <v>1370</v>
      </c>
      <c r="AH16" s="5">
        <v>1254</v>
      </c>
      <c r="AI16" s="5">
        <v>1118</v>
      </c>
      <c r="AJ16" s="5">
        <v>888</v>
      </c>
      <c r="AK16" s="5">
        <v>345</v>
      </c>
      <c r="AL16" s="5"/>
      <c r="AM16" s="34"/>
      <c r="AN16" s="34"/>
      <c r="AO16" s="34"/>
      <c r="AP16" s="34"/>
      <c r="AR16" s="43" t="str">
        <f t="shared" si="4"/>
        <v/>
      </c>
      <c r="AS16" s="43" t="str">
        <f t="shared" si="5"/>
        <v/>
      </c>
      <c r="AT16" s="43" t="str">
        <f t="shared" si="6"/>
        <v/>
      </c>
      <c r="AU16" s="43" t="str">
        <f t="shared" si="7"/>
        <v/>
      </c>
      <c r="AV16" s="43" t="str">
        <f t="shared" si="8"/>
        <v/>
      </c>
      <c r="AW16" s="79"/>
      <c r="AX16" s="43">
        <f t="shared" si="0"/>
        <v>0</v>
      </c>
      <c r="AY16" s="43">
        <f t="shared" si="9"/>
        <v>0.18970406166380446</v>
      </c>
      <c r="AZ16" s="43">
        <f t="shared" si="1"/>
        <v>0.20635756937126801</v>
      </c>
      <c r="BA16" s="43">
        <f t="shared" si="2"/>
        <v>0.24655561801631209</v>
      </c>
      <c r="BB16" s="43">
        <f t="shared" si="3"/>
        <v>0.23758199476160677</v>
      </c>
    </row>
    <row r="17" spans="1:54">
      <c r="A17" s="5" t="s">
        <v>90</v>
      </c>
      <c r="B17" s="5"/>
      <c r="C17" s="5">
        <v>6372</v>
      </c>
      <c r="D17" s="5">
        <v>5909</v>
      </c>
      <c r="E17" s="5">
        <v>5770</v>
      </c>
      <c r="F17" s="5">
        <v>5597</v>
      </c>
      <c r="G17" s="5">
        <v>5210</v>
      </c>
      <c r="H17" s="5"/>
      <c r="I17" s="5">
        <v>1331</v>
      </c>
      <c r="J17" s="5">
        <v>1321</v>
      </c>
      <c r="K17" s="5">
        <v>1322</v>
      </c>
      <c r="L17" s="5">
        <v>1307</v>
      </c>
      <c r="M17" s="5">
        <v>1304</v>
      </c>
      <c r="N17" s="5"/>
      <c r="O17" s="5">
        <v>3478</v>
      </c>
      <c r="P17" s="5">
        <v>3172</v>
      </c>
      <c r="Q17" s="5">
        <v>3128</v>
      </c>
      <c r="R17" s="5">
        <v>3074</v>
      </c>
      <c r="S17" s="5">
        <v>2902</v>
      </c>
      <c r="T17" s="5"/>
      <c r="U17" s="5">
        <v>871</v>
      </c>
      <c r="V17" s="5">
        <v>871</v>
      </c>
      <c r="W17" s="5">
        <v>871</v>
      </c>
      <c r="X17" s="5">
        <v>871</v>
      </c>
      <c r="Y17" s="5">
        <v>762</v>
      </c>
      <c r="Z17" s="5"/>
      <c r="AA17" s="5">
        <v>486</v>
      </c>
      <c r="AB17" s="5">
        <v>376</v>
      </c>
      <c r="AC17" s="5">
        <v>300</v>
      </c>
      <c r="AD17" s="5">
        <v>252</v>
      </c>
      <c r="AE17" s="5">
        <v>214</v>
      </c>
      <c r="AF17" s="5"/>
      <c r="AG17" s="5">
        <v>202</v>
      </c>
      <c r="AH17" s="5">
        <v>169</v>
      </c>
      <c r="AI17" s="5">
        <v>148</v>
      </c>
      <c r="AJ17" s="5">
        <v>92</v>
      </c>
      <c r="AK17" s="5">
        <v>27</v>
      </c>
      <c r="AL17" s="5"/>
      <c r="AM17" s="34">
        <v>3</v>
      </c>
      <c r="AN17" s="34"/>
      <c r="AO17" s="34"/>
      <c r="AP17" s="34"/>
      <c r="AR17" s="43">
        <f t="shared" si="4"/>
        <v>0</v>
      </c>
      <c r="AS17" s="43">
        <f t="shared" si="5"/>
        <v>0.85452610498613357</v>
      </c>
      <c r="AT17" s="43">
        <f t="shared" si="6"/>
        <v>0.81389679631348</v>
      </c>
      <c r="AU17" s="43">
        <f t="shared" si="7"/>
        <v>0.84666236782368454</v>
      </c>
      <c r="AV17" s="43">
        <f t="shared" si="8"/>
        <v>0.78293864836827198</v>
      </c>
      <c r="AW17" s="79"/>
      <c r="AX17" s="43">
        <f t="shared" si="0"/>
        <v>0</v>
      </c>
      <c r="AY17" s="43">
        <f t="shared" si="9"/>
        <v>0.32313087330091433</v>
      </c>
      <c r="AZ17" s="43">
        <f t="shared" si="1"/>
        <v>0.2938315635892032</v>
      </c>
      <c r="BA17" s="43">
        <f t="shared" si="2"/>
        <v>0.29779630732578916</v>
      </c>
      <c r="BB17" s="43">
        <f t="shared" si="3"/>
        <v>0.31845885511591898</v>
      </c>
    </row>
    <row r="18" spans="1:54">
      <c r="A18" s="5" t="s">
        <v>91</v>
      </c>
      <c r="B18" s="5"/>
      <c r="C18" s="5">
        <v>4401</v>
      </c>
      <c r="D18" s="5">
        <v>3782</v>
      </c>
      <c r="E18" s="5">
        <v>3554</v>
      </c>
      <c r="F18" s="5">
        <v>3167</v>
      </c>
      <c r="G18" s="5">
        <v>2866</v>
      </c>
      <c r="H18" s="5"/>
      <c r="I18" s="5">
        <v>660</v>
      </c>
      <c r="J18" s="5">
        <v>661</v>
      </c>
      <c r="K18" s="5">
        <v>627</v>
      </c>
      <c r="L18" s="5">
        <v>615</v>
      </c>
      <c r="M18" s="5">
        <v>613</v>
      </c>
      <c r="N18" s="5"/>
      <c r="O18" s="5">
        <v>2455</v>
      </c>
      <c r="P18" s="5">
        <v>2205</v>
      </c>
      <c r="Q18" s="5">
        <v>2165</v>
      </c>
      <c r="R18" s="5">
        <v>1934</v>
      </c>
      <c r="S18" s="5">
        <v>1918</v>
      </c>
      <c r="T18" s="5"/>
      <c r="U18" s="34"/>
      <c r="V18" s="34"/>
      <c r="W18" s="34"/>
      <c r="X18" s="34"/>
      <c r="Y18" s="34"/>
      <c r="Z18" s="34"/>
      <c r="AA18" s="5">
        <v>510</v>
      </c>
      <c r="AB18" s="5">
        <v>286</v>
      </c>
      <c r="AC18" s="5">
        <v>225</v>
      </c>
      <c r="AD18" s="5">
        <v>169</v>
      </c>
      <c r="AE18" s="5">
        <v>108</v>
      </c>
      <c r="AF18" s="5"/>
      <c r="AG18" s="5">
        <v>776</v>
      </c>
      <c r="AH18" s="5">
        <v>630</v>
      </c>
      <c r="AI18" s="5">
        <v>536</v>
      </c>
      <c r="AJ18" s="5">
        <v>449</v>
      </c>
      <c r="AK18" s="5">
        <v>228</v>
      </c>
      <c r="AL18" s="5"/>
      <c r="AM18" s="34"/>
      <c r="AN18" s="34"/>
      <c r="AO18" s="34"/>
      <c r="AP18" s="34"/>
      <c r="AR18" s="43" t="str">
        <f t="shared" si="4"/>
        <v/>
      </c>
      <c r="AS18" s="43" t="str">
        <f t="shared" si="5"/>
        <v/>
      </c>
      <c r="AT18" s="43" t="str">
        <f t="shared" si="6"/>
        <v/>
      </c>
      <c r="AU18" s="43" t="str">
        <f t="shared" si="7"/>
        <v/>
      </c>
      <c r="AV18" s="43" t="str">
        <f t="shared" si="8"/>
        <v/>
      </c>
      <c r="AW18" s="79"/>
      <c r="AX18" s="43">
        <f t="shared" si="0"/>
        <v>0</v>
      </c>
      <c r="AY18" s="43">
        <f t="shared" si="9"/>
        <v>0.20364378972488012</v>
      </c>
      <c r="AZ18" s="43">
        <f t="shared" si="1"/>
        <v>0.22786371069350989</v>
      </c>
      <c r="BA18" s="43">
        <f t="shared" si="2"/>
        <v>0.23758199476160677</v>
      </c>
      <c r="BB18" s="43">
        <f t="shared" si="3"/>
        <v>0.25550994840347491</v>
      </c>
    </row>
    <row r="19" spans="1:54">
      <c r="A19" s="5" t="s">
        <v>92</v>
      </c>
      <c r="B19" s="5"/>
      <c r="C19" s="5">
        <v>15560</v>
      </c>
      <c r="D19" s="5">
        <v>14044</v>
      </c>
      <c r="E19" s="5">
        <v>13107</v>
      </c>
      <c r="F19" s="5">
        <v>12556</v>
      </c>
      <c r="G19" s="5">
        <v>10942</v>
      </c>
      <c r="H19" s="5"/>
      <c r="I19" s="5">
        <v>108</v>
      </c>
      <c r="J19" s="5">
        <v>108</v>
      </c>
      <c r="K19" s="5">
        <v>108</v>
      </c>
      <c r="L19" s="5">
        <v>108</v>
      </c>
      <c r="M19" s="5">
        <v>108</v>
      </c>
      <c r="N19" s="5"/>
      <c r="O19" s="5">
        <v>11135</v>
      </c>
      <c r="P19" s="5">
        <v>10713</v>
      </c>
      <c r="Q19" s="5">
        <v>10367</v>
      </c>
      <c r="R19" s="5">
        <v>10335</v>
      </c>
      <c r="S19" s="5">
        <v>9540</v>
      </c>
      <c r="T19" s="5"/>
      <c r="U19" s="5">
        <v>250</v>
      </c>
      <c r="V19" s="5">
        <v>250</v>
      </c>
      <c r="W19" s="5">
        <v>125</v>
      </c>
      <c r="X19" s="5">
        <v>0</v>
      </c>
      <c r="Y19" s="5"/>
      <c r="Z19" s="5"/>
      <c r="AA19" s="5">
        <v>1795</v>
      </c>
      <c r="AB19" s="5">
        <v>1354</v>
      </c>
      <c r="AC19" s="5">
        <v>1146</v>
      </c>
      <c r="AD19" s="5">
        <v>1061</v>
      </c>
      <c r="AE19" s="5">
        <v>839</v>
      </c>
      <c r="AF19" s="5"/>
      <c r="AG19" s="5">
        <v>2272</v>
      </c>
      <c r="AH19" s="5">
        <v>1619</v>
      </c>
      <c r="AI19" s="5">
        <v>1361</v>
      </c>
      <c r="AJ19" s="5">
        <v>1052</v>
      </c>
      <c r="AK19" s="5">
        <v>455</v>
      </c>
      <c r="AL19" s="5"/>
      <c r="AM19" s="34"/>
      <c r="AN19" s="34"/>
      <c r="AO19" s="34"/>
      <c r="AP19" s="34"/>
      <c r="AR19" s="43">
        <f t="shared" si="4"/>
        <v>0</v>
      </c>
      <c r="AS19" s="43">
        <f t="shared" si="5"/>
        <v>0.87214611872146119</v>
      </c>
      <c r="AT19" s="43">
        <f t="shared" si="6"/>
        <v>1.2602739726027399</v>
      </c>
      <c r="AU19" s="43">
        <f t="shared" si="7"/>
        <v>0.71232876712328763</v>
      </c>
      <c r="AV19" s="43" t="str">
        <f t="shared" si="8"/>
        <v/>
      </c>
      <c r="AW19" s="79"/>
      <c r="AX19" s="43">
        <f t="shared" si="0"/>
        <v>0</v>
      </c>
      <c r="AY19" s="43">
        <f t="shared" si="9"/>
        <v>0.18778158174444015</v>
      </c>
      <c r="AZ19" s="43">
        <f t="shared" si="1"/>
        <v>0.20547945205479451</v>
      </c>
      <c r="BA19" s="43">
        <f t="shared" si="2"/>
        <v>0.22137946302031933</v>
      </c>
      <c r="BB19" s="43">
        <f t="shared" si="3"/>
        <v>0.19947128094208125</v>
      </c>
    </row>
    <row r="20" spans="1:54">
      <c r="A20" s="5" t="s">
        <v>93</v>
      </c>
      <c r="B20" s="5"/>
      <c r="C20" s="5">
        <v>10169</v>
      </c>
      <c r="D20" s="5">
        <v>9306</v>
      </c>
      <c r="E20" s="5">
        <v>8680</v>
      </c>
      <c r="F20" s="5">
        <v>7880</v>
      </c>
      <c r="G20" s="5">
        <v>7218</v>
      </c>
      <c r="H20" s="5"/>
      <c r="I20" s="5">
        <v>408</v>
      </c>
      <c r="J20" s="5">
        <v>408</v>
      </c>
      <c r="K20" s="5">
        <v>401</v>
      </c>
      <c r="L20" s="5">
        <v>399</v>
      </c>
      <c r="M20" s="5">
        <v>399</v>
      </c>
      <c r="N20" s="5"/>
      <c r="O20" s="5">
        <v>7068</v>
      </c>
      <c r="P20" s="5">
        <v>7050</v>
      </c>
      <c r="Q20" s="5">
        <v>6821</v>
      </c>
      <c r="R20" s="5">
        <v>6544</v>
      </c>
      <c r="S20" s="5">
        <v>6431</v>
      </c>
      <c r="T20" s="5"/>
      <c r="U20" s="34"/>
      <c r="V20" s="34"/>
      <c r="W20" s="34"/>
      <c r="X20" s="34"/>
      <c r="Y20" s="34"/>
      <c r="Z20" s="34"/>
      <c r="AA20" s="5">
        <v>1518</v>
      </c>
      <c r="AB20" s="5">
        <v>794</v>
      </c>
      <c r="AC20" s="5">
        <v>468</v>
      </c>
      <c r="AD20" s="5">
        <v>233</v>
      </c>
      <c r="AE20" s="5">
        <v>104</v>
      </c>
      <c r="AF20" s="5"/>
      <c r="AG20" s="5">
        <v>1175</v>
      </c>
      <c r="AH20" s="5">
        <v>1054</v>
      </c>
      <c r="AI20" s="5">
        <v>991</v>
      </c>
      <c r="AJ20" s="5">
        <v>703</v>
      </c>
      <c r="AK20" s="5">
        <v>284</v>
      </c>
      <c r="AL20" s="5"/>
      <c r="AM20" s="34"/>
      <c r="AN20" s="34"/>
      <c r="AO20" s="34"/>
      <c r="AP20" s="34"/>
      <c r="AR20" s="43" t="str">
        <f t="shared" si="4"/>
        <v/>
      </c>
      <c r="AS20" s="43" t="str">
        <f t="shared" si="5"/>
        <v/>
      </c>
      <c r="AT20" s="43" t="str">
        <f t="shared" si="6"/>
        <v/>
      </c>
      <c r="AU20" s="43" t="str">
        <f t="shared" si="7"/>
        <v/>
      </c>
      <c r="AV20" s="43" t="str">
        <f t="shared" si="8"/>
        <v/>
      </c>
      <c r="AW20" s="79"/>
      <c r="AX20" s="43">
        <f t="shared" si="0"/>
        <v>0</v>
      </c>
      <c r="AY20" s="43">
        <f t="shared" si="9"/>
        <v>0.13726280197816434</v>
      </c>
      <c r="AZ20" s="43">
        <f t="shared" si="1"/>
        <v>0.15920225198821905</v>
      </c>
      <c r="BA20" s="43">
        <f t="shared" si="2"/>
        <v>0.18564477361108397</v>
      </c>
      <c r="BB20" s="43">
        <f t="shared" si="3"/>
        <v>0.20324377057843179</v>
      </c>
    </row>
    <row r="21" spans="1:54">
      <c r="A21" s="5" t="s">
        <v>94</v>
      </c>
      <c r="B21" s="5"/>
      <c r="C21" s="5">
        <v>8273</v>
      </c>
      <c r="D21" s="5">
        <v>7862</v>
      </c>
      <c r="E21" s="5">
        <v>7401</v>
      </c>
      <c r="F21" s="5">
        <v>7124</v>
      </c>
      <c r="G21" s="5">
        <v>6745</v>
      </c>
      <c r="H21" s="5"/>
      <c r="I21" s="5">
        <v>3757</v>
      </c>
      <c r="J21" s="5">
        <v>3679</v>
      </c>
      <c r="K21" s="5">
        <v>3675</v>
      </c>
      <c r="L21" s="5">
        <v>3671</v>
      </c>
      <c r="M21" s="5">
        <v>3663</v>
      </c>
      <c r="N21" s="5"/>
      <c r="O21" s="5">
        <v>3316</v>
      </c>
      <c r="P21" s="5">
        <v>3157</v>
      </c>
      <c r="Q21" s="5">
        <v>2884</v>
      </c>
      <c r="R21" s="5">
        <v>2787</v>
      </c>
      <c r="S21" s="5">
        <v>2694</v>
      </c>
      <c r="T21" s="5"/>
      <c r="U21" s="34"/>
      <c r="V21" s="34"/>
      <c r="W21" s="34"/>
      <c r="X21" s="34"/>
      <c r="Y21" s="34"/>
      <c r="Z21" s="34"/>
      <c r="AA21" s="5">
        <v>502</v>
      </c>
      <c r="AB21" s="5">
        <v>405</v>
      </c>
      <c r="AC21" s="5">
        <v>331</v>
      </c>
      <c r="AD21" s="5">
        <v>253</v>
      </c>
      <c r="AE21" s="5">
        <v>201</v>
      </c>
      <c r="AF21" s="5"/>
      <c r="AG21" s="5">
        <v>698</v>
      </c>
      <c r="AH21" s="5">
        <v>621</v>
      </c>
      <c r="AI21" s="5">
        <v>510</v>
      </c>
      <c r="AJ21" s="5">
        <v>413</v>
      </c>
      <c r="AK21" s="5">
        <v>187</v>
      </c>
      <c r="AL21" s="5"/>
      <c r="AM21" s="34"/>
      <c r="AN21" s="34"/>
      <c r="AO21" s="34"/>
      <c r="AP21" s="34"/>
      <c r="AR21" s="43" t="str">
        <f t="shared" si="4"/>
        <v/>
      </c>
      <c r="AS21" s="43" t="str">
        <f t="shared" si="5"/>
        <v/>
      </c>
      <c r="AT21" s="43" t="str">
        <f t="shared" si="6"/>
        <v/>
      </c>
      <c r="AU21" s="43" t="str">
        <f t="shared" si="7"/>
        <v/>
      </c>
      <c r="AV21" s="43" t="str">
        <f t="shared" si="8"/>
        <v/>
      </c>
      <c r="AW21" s="79"/>
      <c r="AX21" s="43">
        <f t="shared" si="0"/>
        <v>0</v>
      </c>
      <c r="AY21" s="43">
        <f t="shared" si="9"/>
        <v>0.20641081794062416</v>
      </c>
      <c r="AZ21" s="43">
        <f t="shared" si="1"/>
        <v>0.22955132023029581</v>
      </c>
      <c r="BA21" s="43">
        <f t="shared" si="2"/>
        <v>0.25020329017326576</v>
      </c>
      <c r="BB21" s="43">
        <f t="shared" si="3"/>
        <v>0.24138555307464846</v>
      </c>
    </row>
    <row r="22" spans="1:54">
      <c r="A22" s="5" t="s">
        <v>95</v>
      </c>
      <c r="B22" s="5"/>
      <c r="C22" s="5">
        <v>4915</v>
      </c>
      <c r="D22" s="5">
        <v>4669</v>
      </c>
      <c r="E22" s="5">
        <v>4522</v>
      </c>
      <c r="F22" s="5">
        <v>4277</v>
      </c>
      <c r="G22" s="5">
        <v>4121</v>
      </c>
      <c r="H22" s="5"/>
      <c r="I22" s="5">
        <v>1581</v>
      </c>
      <c r="J22" s="5">
        <v>1612</v>
      </c>
      <c r="K22" s="5">
        <v>1598</v>
      </c>
      <c r="L22" s="5">
        <v>1570</v>
      </c>
      <c r="M22" s="5">
        <v>1553</v>
      </c>
      <c r="N22" s="5"/>
      <c r="O22" s="5">
        <v>2269</v>
      </c>
      <c r="P22" s="5">
        <v>2280</v>
      </c>
      <c r="Q22" s="5">
        <v>2284</v>
      </c>
      <c r="R22" s="5">
        <v>2267</v>
      </c>
      <c r="S22" s="5">
        <v>2322</v>
      </c>
      <c r="T22" s="5"/>
      <c r="U22" s="34"/>
      <c r="V22" s="34"/>
      <c r="W22" s="34"/>
      <c r="X22" s="34"/>
      <c r="Y22" s="34"/>
      <c r="Z22" s="34"/>
      <c r="AA22" s="5">
        <v>669</v>
      </c>
      <c r="AB22" s="5">
        <v>427</v>
      </c>
      <c r="AC22" s="5">
        <v>348</v>
      </c>
      <c r="AD22" s="5">
        <v>263</v>
      </c>
      <c r="AE22" s="5">
        <v>217</v>
      </c>
      <c r="AF22" s="5"/>
      <c r="AG22" s="5">
        <v>391</v>
      </c>
      <c r="AH22" s="5">
        <v>344</v>
      </c>
      <c r="AI22" s="5">
        <v>292</v>
      </c>
      <c r="AJ22" s="5">
        <v>176</v>
      </c>
      <c r="AK22" s="5">
        <v>30</v>
      </c>
      <c r="AL22" s="5"/>
      <c r="AM22" s="5">
        <v>6</v>
      </c>
      <c r="AN22" s="5">
        <v>6</v>
      </c>
      <c r="AO22" s="5"/>
      <c r="AP22" s="5"/>
      <c r="AR22" s="43" t="str">
        <f t="shared" si="4"/>
        <v/>
      </c>
      <c r="AS22" s="43" t="str">
        <f t="shared" si="5"/>
        <v/>
      </c>
      <c r="AT22" s="43" t="str">
        <f t="shared" si="6"/>
        <v/>
      </c>
      <c r="AU22" s="43" t="str">
        <f t="shared" si="7"/>
        <v/>
      </c>
      <c r="AV22" s="43" t="str">
        <f t="shared" si="8"/>
        <v/>
      </c>
      <c r="AW22" s="79"/>
      <c r="AX22" s="43">
        <f t="shared" si="0"/>
        <v>0</v>
      </c>
      <c r="AY22" s="43">
        <f t="shared" si="9"/>
        <v>0.20622937706229377</v>
      </c>
      <c r="AZ22" s="43">
        <f t="shared" si="1"/>
        <v>0.22094564737074679</v>
      </c>
      <c r="BA22" s="43">
        <f t="shared" si="2"/>
        <v>0.22420016590812278</v>
      </c>
      <c r="BB22" s="43">
        <f t="shared" si="3"/>
        <v>0.23782343987823443</v>
      </c>
    </row>
    <row r="23" spans="1:54">
      <c r="A23" s="5" t="s">
        <v>96</v>
      </c>
      <c r="B23" s="5"/>
      <c r="C23" s="5">
        <v>14224</v>
      </c>
      <c r="D23" s="5">
        <v>12870</v>
      </c>
      <c r="E23" s="5">
        <v>11929</v>
      </c>
      <c r="F23" s="5">
        <v>10968</v>
      </c>
      <c r="G23" s="5">
        <v>10457</v>
      </c>
      <c r="H23" s="5"/>
      <c r="I23" s="5">
        <v>1666</v>
      </c>
      <c r="J23" s="5">
        <v>1576</v>
      </c>
      <c r="K23" s="5">
        <v>1576</v>
      </c>
      <c r="L23" s="5">
        <v>1486</v>
      </c>
      <c r="M23" s="5">
        <v>1411</v>
      </c>
      <c r="N23" s="5"/>
      <c r="O23" s="5">
        <v>9582</v>
      </c>
      <c r="P23" s="5">
        <v>8628</v>
      </c>
      <c r="Q23" s="5">
        <v>8137</v>
      </c>
      <c r="R23" s="5">
        <v>7768</v>
      </c>
      <c r="S23" s="5">
        <v>7721</v>
      </c>
      <c r="T23" s="5"/>
      <c r="U23" s="5">
        <v>1614</v>
      </c>
      <c r="V23" s="5">
        <v>1614</v>
      </c>
      <c r="W23" s="5">
        <v>1330</v>
      </c>
      <c r="X23" s="5">
        <v>1046</v>
      </c>
      <c r="Y23" s="5">
        <v>938</v>
      </c>
      <c r="Z23" s="5"/>
      <c r="AA23" s="5">
        <v>565</v>
      </c>
      <c r="AB23" s="5">
        <v>441</v>
      </c>
      <c r="AC23" s="5">
        <v>357</v>
      </c>
      <c r="AD23" s="5">
        <v>335</v>
      </c>
      <c r="AE23" s="5">
        <v>268</v>
      </c>
      <c r="AF23" s="5"/>
      <c r="AG23" s="5">
        <v>797</v>
      </c>
      <c r="AH23" s="5">
        <v>610</v>
      </c>
      <c r="AI23" s="5">
        <v>527</v>
      </c>
      <c r="AJ23" s="5">
        <v>332</v>
      </c>
      <c r="AK23" s="5">
        <v>117</v>
      </c>
      <c r="AL23" s="5"/>
      <c r="AM23" s="5"/>
      <c r="AN23" s="5">
        <v>2</v>
      </c>
      <c r="AO23" s="5">
        <v>2</v>
      </c>
      <c r="AP23" s="5">
        <v>2</v>
      </c>
      <c r="AR23" s="43">
        <f t="shared" si="4"/>
        <v>0</v>
      </c>
      <c r="AS23" s="43">
        <f t="shared" si="5"/>
        <v>0.82115394408514542</v>
      </c>
      <c r="AT23" s="43">
        <f t="shared" si="6"/>
        <v>0.85771540599563245</v>
      </c>
      <c r="AU23" s="43">
        <f t="shared" si="7"/>
        <v>0.86096889749857786</v>
      </c>
      <c r="AV23" s="43">
        <f t="shared" si="8"/>
        <v>0.92060686404477832</v>
      </c>
      <c r="AW23" s="79"/>
      <c r="AX23" s="43">
        <f t="shared" si="0"/>
        <v>0</v>
      </c>
      <c r="AY23" s="43">
        <f t="shared" si="9"/>
        <v>0.23375727370934213</v>
      </c>
      <c r="AZ23" s="43">
        <f t="shared" si="1"/>
        <v>0.21171650587656354</v>
      </c>
      <c r="BA23" s="43">
        <f t="shared" si="2"/>
        <v>0.20785493704964764</v>
      </c>
      <c r="BB23" s="43">
        <f t="shared" si="3"/>
        <v>0.23474711677533189</v>
      </c>
    </row>
    <row r="24" spans="1:54">
      <c r="A24" s="5" t="s">
        <v>97</v>
      </c>
      <c r="B24" s="5"/>
      <c r="C24" s="34">
        <v>5178</v>
      </c>
      <c r="D24" s="34">
        <v>4615</v>
      </c>
      <c r="E24" s="34">
        <v>4513</v>
      </c>
      <c r="F24" s="34">
        <v>4332</v>
      </c>
      <c r="G24" s="34">
        <v>4152</v>
      </c>
      <c r="H24" s="34"/>
      <c r="I24" s="34">
        <v>1759</v>
      </c>
      <c r="J24" s="34">
        <v>1681</v>
      </c>
      <c r="K24" s="34">
        <v>1677</v>
      </c>
      <c r="L24" s="34">
        <v>1669</v>
      </c>
      <c r="M24" s="34">
        <v>1665</v>
      </c>
      <c r="N24" s="34"/>
      <c r="O24" s="34">
        <v>2344</v>
      </c>
      <c r="P24" s="34">
        <v>2294</v>
      </c>
      <c r="Q24" s="34">
        <v>2288</v>
      </c>
      <c r="R24" s="34">
        <v>2217</v>
      </c>
      <c r="S24" s="34">
        <v>2185</v>
      </c>
      <c r="T24" s="34"/>
      <c r="U24" s="5">
        <v>217</v>
      </c>
      <c r="V24" s="5">
        <v>217</v>
      </c>
      <c r="W24" s="5">
        <v>217</v>
      </c>
      <c r="X24" s="5">
        <v>217</v>
      </c>
      <c r="Y24" s="5">
        <v>217</v>
      </c>
      <c r="Z24" s="5"/>
      <c r="AA24" s="5">
        <v>653</v>
      </c>
      <c r="AB24" s="5">
        <v>287</v>
      </c>
      <c r="AC24" s="5">
        <v>208</v>
      </c>
      <c r="AD24" s="5">
        <v>150</v>
      </c>
      <c r="AE24" s="5">
        <v>70</v>
      </c>
      <c r="AF24" s="5"/>
      <c r="AG24" s="5">
        <v>205</v>
      </c>
      <c r="AH24" s="5">
        <v>135</v>
      </c>
      <c r="AI24" s="5">
        <v>124</v>
      </c>
      <c r="AJ24" s="5">
        <v>78</v>
      </c>
      <c r="AK24" s="5">
        <v>16</v>
      </c>
      <c r="AL24" s="5"/>
      <c r="AM24" s="34"/>
      <c r="AN24" s="34"/>
      <c r="AO24" s="34"/>
      <c r="AP24" s="34"/>
      <c r="AR24" s="43">
        <f t="shared" si="4"/>
        <v>0</v>
      </c>
      <c r="AS24" s="43">
        <f t="shared" si="5"/>
        <v>0.88378258948298716</v>
      </c>
      <c r="AT24" s="43">
        <f t="shared" si="6"/>
        <v>0.90482503208972498</v>
      </c>
      <c r="AU24" s="43">
        <f t="shared" si="7"/>
        <v>0.846958314921196</v>
      </c>
      <c r="AV24" s="43">
        <f t="shared" si="8"/>
        <v>0.66809755276392491</v>
      </c>
      <c r="AW24" s="79"/>
      <c r="AX24" s="43">
        <f t="shared" si="0"/>
        <v>0</v>
      </c>
      <c r="AY24" s="43">
        <f t="shared" si="9"/>
        <v>0.25745652385116097</v>
      </c>
      <c r="AZ24" s="43">
        <f t="shared" si="1"/>
        <v>0.28135233614685667</v>
      </c>
      <c r="BA24" s="43">
        <f t="shared" si="2"/>
        <v>0.26785030994107295</v>
      </c>
      <c r="BB24" s="43">
        <f t="shared" si="3"/>
        <v>0.25944375259443753</v>
      </c>
    </row>
    <row r="25" spans="1:54">
      <c r="A25" s="5" t="s">
        <v>98</v>
      </c>
      <c r="B25" s="5"/>
      <c r="C25" s="5">
        <v>999</v>
      </c>
      <c r="D25" s="5">
        <v>918</v>
      </c>
      <c r="E25" s="5">
        <v>919</v>
      </c>
      <c r="F25" s="5">
        <v>786</v>
      </c>
      <c r="G25" s="5">
        <v>745</v>
      </c>
      <c r="H25" s="5"/>
      <c r="I25" s="5">
        <v>151</v>
      </c>
      <c r="J25" s="5">
        <v>154</v>
      </c>
      <c r="K25" s="5">
        <v>154</v>
      </c>
      <c r="L25" s="5">
        <v>114</v>
      </c>
      <c r="M25" s="5">
        <v>91</v>
      </c>
      <c r="N25" s="5"/>
      <c r="O25" s="5">
        <v>546</v>
      </c>
      <c r="P25" s="5">
        <v>465</v>
      </c>
      <c r="Q25" s="5">
        <v>465</v>
      </c>
      <c r="R25" s="5">
        <v>465</v>
      </c>
      <c r="S25" s="5">
        <v>464</v>
      </c>
      <c r="T25" s="5"/>
      <c r="U25" s="5">
        <v>130</v>
      </c>
      <c r="V25" s="5">
        <v>130</v>
      </c>
      <c r="W25" s="5">
        <v>130</v>
      </c>
      <c r="X25" s="5">
        <v>130</v>
      </c>
      <c r="Y25" s="5">
        <v>130</v>
      </c>
      <c r="Z25" s="5"/>
      <c r="AA25" s="5">
        <v>29</v>
      </c>
      <c r="AB25" s="5">
        <v>29</v>
      </c>
      <c r="AC25" s="5">
        <v>34</v>
      </c>
      <c r="AD25" s="5">
        <v>34</v>
      </c>
      <c r="AE25" s="5">
        <v>31</v>
      </c>
      <c r="AF25" s="5"/>
      <c r="AG25" s="5">
        <v>143</v>
      </c>
      <c r="AH25" s="5">
        <v>140</v>
      </c>
      <c r="AI25" s="5">
        <v>136</v>
      </c>
      <c r="AJ25" s="5">
        <v>43</v>
      </c>
      <c r="AK25" s="5">
        <v>29</v>
      </c>
      <c r="AL25" s="5"/>
      <c r="AM25" s="5"/>
      <c r="AN25" s="5">
        <v>11</v>
      </c>
      <c r="AO25" s="5"/>
      <c r="AP25" s="5"/>
      <c r="AR25" s="43">
        <f t="shared" si="4"/>
        <v>0</v>
      </c>
      <c r="AS25" s="43">
        <f t="shared" si="5"/>
        <v>0.84299262381454165</v>
      </c>
      <c r="AT25" s="43">
        <f t="shared" si="6"/>
        <v>0.85177379697927647</v>
      </c>
      <c r="AU25" s="43">
        <f t="shared" si="7"/>
        <v>0.67615033368458022</v>
      </c>
      <c r="AV25" s="43">
        <f t="shared" si="8"/>
        <v>0.65858798735511059</v>
      </c>
      <c r="AW25" s="79"/>
      <c r="AX25" s="43">
        <f t="shared" si="0"/>
        <v>0</v>
      </c>
      <c r="AY25" s="43">
        <f t="shared" si="9"/>
        <v>0.23618327822390173</v>
      </c>
      <c r="AZ25" s="43">
        <f t="shared" si="1"/>
        <v>0.18119881133579763</v>
      </c>
      <c r="BA25" s="43">
        <f t="shared" si="2"/>
        <v>0.16787536932581254</v>
      </c>
      <c r="BB25" s="43">
        <f t="shared" si="3"/>
        <v>0.21074815595363541</v>
      </c>
    </row>
    <row r="26" spans="1:54">
      <c r="A26" s="5" t="s">
        <v>99</v>
      </c>
      <c r="B26" s="5"/>
      <c r="C26" s="5">
        <v>2488</v>
      </c>
      <c r="D26" s="5">
        <v>2448</v>
      </c>
      <c r="E26" s="5">
        <v>2386</v>
      </c>
      <c r="F26" s="5">
        <v>2326</v>
      </c>
      <c r="G26" s="5">
        <v>2178</v>
      </c>
      <c r="H26" s="5"/>
      <c r="I26" s="5">
        <v>779</v>
      </c>
      <c r="J26" s="5">
        <v>772</v>
      </c>
      <c r="K26" s="5">
        <v>756</v>
      </c>
      <c r="L26" s="5">
        <v>736</v>
      </c>
      <c r="M26" s="5">
        <v>688</v>
      </c>
      <c r="N26" s="5"/>
      <c r="O26" s="5">
        <v>1545</v>
      </c>
      <c r="P26" s="5">
        <v>1548</v>
      </c>
      <c r="Q26" s="5">
        <v>1537</v>
      </c>
      <c r="R26" s="5">
        <v>1544</v>
      </c>
      <c r="S26" s="5">
        <v>1462</v>
      </c>
      <c r="T26" s="5"/>
      <c r="U26" s="34"/>
      <c r="V26" s="34"/>
      <c r="W26" s="34"/>
      <c r="X26" s="34"/>
      <c r="Y26" s="34"/>
      <c r="Z26" s="34"/>
      <c r="AA26" s="5">
        <v>97</v>
      </c>
      <c r="AB26" s="5">
        <v>64</v>
      </c>
      <c r="AC26" s="5">
        <v>50</v>
      </c>
      <c r="AD26" s="5">
        <v>33</v>
      </c>
      <c r="AE26" s="5">
        <v>28</v>
      </c>
      <c r="AF26" s="5"/>
      <c r="AG26" s="5">
        <v>67</v>
      </c>
      <c r="AH26" s="5">
        <v>65</v>
      </c>
      <c r="AI26" s="5">
        <v>43</v>
      </c>
      <c r="AJ26" s="5">
        <v>12</v>
      </c>
      <c r="AK26" s="5" t="s">
        <v>188</v>
      </c>
      <c r="AL26" s="5"/>
      <c r="AM26" s="34"/>
      <c r="AN26" s="34"/>
      <c r="AO26" s="34"/>
      <c r="AP26" s="34"/>
      <c r="AR26" s="43" t="str">
        <f t="shared" si="4"/>
        <v/>
      </c>
      <c r="AS26" s="43" t="str">
        <f t="shared" si="5"/>
        <v/>
      </c>
      <c r="AT26" s="43" t="str">
        <f t="shared" si="6"/>
        <v/>
      </c>
      <c r="AU26" s="43" t="str">
        <f t="shared" si="7"/>
        <v/>
      </c>
      <c r="AV26" s="43" t="str">
        <f t="shared" si="8"/>
        <v/>
      </c>
      <c r="AW26" s="79"/>
      <c r="AX26" s="43">
        <f t="shared" si="0"/>
        <v>0</v>
      </c>
      <c r="AY26" s="43">
        <f t="shared" si="9"/>
        <v>0.19853087155052612</v>
      </c>
      <c r="AZ26" s="43">
        <f t="shared" si="1"/>
        <v>0.22029960746615396</v>
      </c>
      <c r="BA26" s="43">
        <f t="shared" si="2"/>
        <v>0.22005831545359522</v>
      </c>
      <c r="BB26" s="43">
        <f t="shared" si="3"/>
        <v>0.26199565835766148</v>
      </c>
    </row>
    <row r="27" spans="1:54">
      <c r="A27" s="5" t="s">
        <v>100</v>
      </c>
      <c r="B27" s="5"/>
      <c r="C27" s="5">
        <v>10105</v>
      </c>
      <c r="D27" s="5">
        <v>9929</v>
      </c>
      <c r="E27" s="5">
        <v>9833</v>
      </c>
      <c r="F27" s="5">
        <v>9721</v>
      </c>
      <c r="G27" s="5">
        <v>9108</v>
      </c>
      <c r="H27" s="5"/>
      <c r="I27" s="5">
        <v>7892</v>
      </c>
      <c r="J27" s="5">
        <v>7846</v>
      </c>
      <c r="K27" s="5">
        <v>7824</v>
      </c>
      <c r="L27" s="5">
        <v>7714</v>
      </c>
      <c r="M27" s="5">
        <v>7246</v>
      </c>
      <c r="N27" s="5"/>
      <c r="O27" s="5">
        <v>1596</v>
      </c>
      <c r="P27" s="5">
        <v>1570</v>
      </c>
      <c r="Q27" s="5">
        <v>1575</v>
      </c>
      <c r="R27" s="5">
        <v>1662</v>
      </c>
      <c r="S27" s="5">
        <v>1642</v>
      </c>
      <c r="T27" s="5"/>
      <c r="U27" s="34"/>
      <c r="V27" s="34"/>
      <c r="W27" s="34"/>
      <c r="X27" s="34"/>
      <c r="Y27" s="34"/>
      <c r="Z27" s="34"/>
      <c r="AA27" s="5">
        <v>426</v>
      </c>
      <c r="AB27" s="5">
        <v>325</v>
      </c>
      <c r="AC27" s="5">
        <v>253</v>
      </c>
      <c r="AD27" s="5">
        <v>210</v>
      </c>
      <c r="AE27" s="5">
        <v>125</v>
      </c>
      <c r="AF27" s="5"/>
      <c r="AG27" s="5">
        <v>191</v>
      </c>
      <c r="AH27" s="5">
        <v>188</v>
      </c>
      <c r="AI27" s="5">
        <v>181</v>
      </c>
      <c r="AJ27" s="5">
        <v>135</v>
      </c>
      <c r="AK27" s="5">
        <v>96</v>
      </c>
      <c r="AL27" s="5"/>
      <c r="AM27" s="34"/>
      <c r="AN27" s="34"/>
      <c r="AO27" s="34"/>
      <c r="AP27" s="34"/>
      <c r="AR27" s="43" t="str">
        <f t="shared" si="4"/>
        <v/>
      </c>
      <c r="AS27" s="43" t="str">
        <f t="shared" si="5"/>
        <v/>
      </c>
      <c r="AT27" s="43" t="str">
        <f t="shared" si="6"/>
        <v/>
      </c>
      <c r="AU27" s="43" t="str">
        <f t="shared" si="7"/>
        <v/>
      </c>
      <c r="AV27" s="43" t="str">
        <f t="shared" si="8"/>
        <v/>
      </c>
      <c r="AW27" s="79"/>
      <c r="AX27" s="43">
        <f t="shared" si="0"/>
        <v>0</v>
      </c>
      <c r="AY27" s="43">
        <f t="shared" si="9"/>
        <v>0.26144744602326275</v>
      </c>
      <c r="AZ27" s="43">
        <f t="shared" si="1"/>
        <v>0.28045061699135737</v>
      </c>
      <c r="BA27" s="43">
        <f t="shared" si="2"/>
        <v>0.27121117981794335</v>
      </c>
      <c r="BB27" s="43">
        <f t="shared" si="3"/>
        <v>0.23853336059428878</v>
      </c>
    </row>
    <row r="28" spans="1:54">
      <c r="A28" s="5" t="s">
        <v>101</v>
      </c>
      <c r="B28" s="5"/>
      <c r="C28" s="5">
        <v>7478</v>
      </c>
      <c r="D28" s="5">
        <v>6599</v>
      </c>
      <c r="E28" s="5">
        <v>6039</v>
      </c>
      <c r="F28" s="5">
        <v>5778</v>
      </c>
      <c r="G28" s="5">
        <v>5510</v>
      </c>
      <c r="H28" s="5"/>
      <c r="I28" s="5">
        <v>2281</v>
      </c>
      <c r="J28" s="5">
        <v>2223</v>
      </c>
      <c r="K28" s="5">
        <v>2212</v>
      </c>
      <c r="L28" s="5">
        <v>2119</v>
      </c>
      <c r="M28" s="5">
        <v>2089</v>
      </c>
      <c r="N28" s="5"/>
      <c r="O28" s="5">
        <v>3560</v>
      </c>
      <c r="P28" s="5">
        <v>3410</v>
      </c>
      <c r="Q28" s="5">
        <v>3263</v>
      </c>
      <c r="R28" s="5">
        <v>3160</v>
      </c>
      <c r="S28" s="5">
        <v>3014</v>
      </c>
      <c r="T28" s="5"/>
      <c r="U28" s="34"/>
      <c r="V28" s="34"/>
      <c r="W28" s="34"/>
      <c r="X28" s="34"/>
      <c r="Y28" s="34"/>
      <c r="Z28" s="34"/>
      <c r="AA28" s="5">
        <v>580</v>
      </c>
      <c r="AB28" s="5">
        <v>457</v>
      </c>
      <c r="AC28" s="5">
        <v>386</v>
      </c>
      <c r="AD28" s="5">
        <v>363</v>
      </c>
      <c r="AE28" s="5">
        <v>362</v>
      </c>
      <c r="AF28" s="5"/>
      <c r="AG28" s="5">
        <v>1057</v>
      </c>
      <c r="AH28" s="5">
        <v>510</v>
      </c>
      <c r="AI28" s="5">
        <v>178</v>
      </c>
      <c r="AJ28" s="5">
        <v>135</v>
      </c>
      <c r="AK28" s="5">
        <v>46</v>
      </c>
      <c r="AL28" s="5"/>
      <c r="AM28" s="34"/>
      <c r="AN28" s="34"/>
      <c r="AO28" s="34"/>
      <c r="AP28" s="34"/>
      <c r="AR28" s="43" t="str">
        <f t="shared" si="4"/>
        <v/>
      </c>
      <c r="AS28" s="43" t="str">
        <f t="shared" si="5"/>
        <v/>
      </c>
      <c r="AT28" s="43" t="str">
        <f t="shared" si="6"/>
        <v/>
      </c>
      <c r="AU28" s="43" t="str">
        <f t="shared" si="7"/>
        <v/>
      </c>
      <c r="AV28" s="43" t="str">
        <f t="shared" si="8"/>
        <v/>
      </c>
      <c r="AW28" s="79"/>
      <c r="AX28" s="43">
        <f t="shared" si="0"/>
        <v>0</v>
      </c>
      <c r="AY28" s="43">
        <f t="shared" si="9"/>
        <v>0.21355948622431231</v>
      </c>
      <c r="AZ28" s="43">
        <f t="shared" si="1"/>
        <v>0.21124815157867366</v>
      </c>
      <c r="BA28" s="43">
        <f t="shared" si="2"/>
        <v>0.20727789259347321</v>
      </c>
      <c r="BB28" s="43">
        <f t="shared" si="3"/>
        <v>0.19839395370807747</v>
      </c>
    </row>
    <row r="29" spans="1:54">
      <c r="A29" s="5" t="s">
        <v>102</v>
      </c>
      <c r="B29" s="5"/>
      <c r="C29" s="5">
        <v>10266</v>
      </c>
      <c r="D29" s="5">
        <v>9620</v>
      </c>
      <c r="E29" s="5">
        <v>9341</v>
      </c>
      <c r="F29" s="5">
        <v>8957</v>
      </c>
      <c r="G29" s="5">
        <v>8645</v>
      </c>
      <c r="H29" s="5"/>
      <c r="I29" s="5">
        <v>7480</v>
      </c>
      <c r="J29" s="5">
        <v>6873</v>
      </c>
      <c r="K29" s="5">
        <v>6649</v>
      </c>
      <c r="L29" s="5">
        <v>6281</v>
      </c>
      <c r="M29" s="5">
        <v>6088</v>
      </c>
      <c r="N29" s="5"/>
      <c r="O29" s="5">
        <v>1517</v>
      </c>
      <c r="P29" s="5">
        <v>1509</v>
      </c>
      <c r="Q29" s="5">
        <v>1508</v>
      </c>
      <c r="R29" s="5">
        <v>1613</v>
      </c>
      <c r="S29" s="5">
        <v>1612</v>
      </c>
      <c r="T29" s="5"/>
      <c r="U29" s="34"/>
      <c r="V29" s="34"/>
      <c r="W29" s="34"/>
      <c r="X29" s="34"/>
      <c r="Y29" s="34"/>
      <c r="Z29" s="34"/>
      <c r="AA29" s="5">
        <v>881</v>
      </c>
      <c r="AB29" s="5">
        <v>863</v>
      </c>
      <c r="AC29" s="5">
        <v>857</v>
      </c>
      <c r="AD29" s="5">
        <v>825</v>
      </c>
      <c r="AE29" s="5">
        <v>737</v>
      </c>
      <c r="AF29" s="5"/>
      <c r="AG29" s="5">
        <v>388</v>
      </c>
      <c r="AH29" s="5">
        <v>375</v>
      </c>
      <c r="AI29" s="5">
        <v>326</v>
      </c>
      <c r="AJ29" s="5">
        <v>238</v>
      </c>
      <c r="AK29" s="5">
        <v>208</v>
      </c>
      <c r="AL29" s="5"/>
      <c r="AM29" s="34">
        <v>0.2</v>
      </c>
      <c r="AN29" s="34"/>
      <c r="AO29" s="34"/>
      <c r="AP29" s="34"/>
      <c r="AR29" s="43" t="str">
        <f t="shared" si="4"/>
        <v/>
      </c>
      <c r="AS29" s="43" t="str">
        <f t="shared" si="5"/>
        <v/>
      </c>
      <c r="AT29" s="43" t="str">
        <f t="shared" si="6"/>
        <v/>
      </c>
      <c r="AU29" s="43" t="str">
        <f t="shared" si="7"/>
        <v/>
      </c>
      <c r="AV29" s="43" t="str">
        <f t="shared" si="8"/>
        <v/>
      </c>
      <c r="AW29" s="79"/>
      <c r="AX29" s="43">
        <f t="shared" si="0"/>
        <v>0</v>
      </c>
      <c r="AY29" s="43">
        <f t="shared" si="9"/>
        <v>0.32727996313518493</v>
      </c>
      <c r="AZ29" s="43">
        <f t="shared" si="1"/>
        <v>0.32122756716576406</v>
      </c>
      <c r="BA29" s="43">
        <f t="shared" si="2"/>
        <v>0.29862253568539304</v>
      </c>
      <c r="BB29" s="43">
        <f t="shared" si="3"/>
        <v>0.27479112950847467</v>
      </c>
    </row>
    <row r="30" spans="1:54">
      <c r="A30" s="5" t="s">
        <v>103</v>
      </c>
      <c r="B30" s="5"/>
      <c r="C30" s="5">
        <v>395</v>
      </c>
      <c r="D30" s="5">
        <v>327</v>
      </c>
      <c r="E30" s="5">
        <v>304</v>
      </c>
      <c r="F30" s="5">
        <v>281</v>
      </c>
      <c r="G30" s="5">
        <v>233</v>
      </c>
      <c r="H30" s="5"/>
      <c r="I30" s="5">
        <v>210</v>
      </c>
      <c r="J30" s="5">
        <v>170</v>
      </c>
      <c r="K30" s="5">
        <v>160</v>
      </c>
      <c r="L30" s="5">
        <v>158</v>
      </c>
      <c r="M30" s="5">
        <v>156</v>
      </c>
      <c r="N30" s="5"/>
      <c r="O30" s="5">
        <v>43</v>
      </c>
      <c r="P30" s="5">
        <v>42</v>
      </c>
      <c r="Q30" s="5">
        <v>42</v>
      </c>
      <c r="R30" s="5">
        <v>40</v>
      </c>
      <c r="S30" s="5">
        <v>41</v>
      </c>
      <c r="T30" s="5"/>
      <c r="U30" s="34"/>
      <c r="V30" s="34"/>
      <c r="W30" s="34"/>
      <c r="X30" s="34"/>
      <c r="Y30" s="34"/>
      <c r="Z30" s="34"/>
      <c r="AA30" s="5">
        <v>1</v>
      </c>
      <c r="AB30" s="5">
        <v>1</v>
      </c>
      <c r="AC30" s="5">
        <v>1</v>
      </c>
      <c r="AD30" s="5">
        <v>1</v>
      </c>
      <c r="AE30" s="5">
        <v>1</v>
      </c>
      <c r="AF30" s="5"/>
      <c r="AG30" s="5">
        <v>137</v>
      </c>
      <c r="AH30" s="5">
        <v>110</v>
      </c>
      <c r="AI30" s="5">
        <v>98</v>
      </c>
      <c r="AJ30" s="5">
        <v>79</v>
      </c>
      <c r="AK30" s="5">
        <v>33</v>
      </c>
      <c r="AL30" s="5"/>
      <c r="AM30" s="5">
        <v>4</v>
      </c>
      <c r="AN30" s="5">
        <v>4</v>
      </c>
      <c r="AO30" s="5">
        <v>4</v>
      </c>
      <c r="AP30" s="5">
        <v>3</v>
      </c>
      <c r="AR30" s="43" t="str">
        <f t="shared" si="4"/>
        <v/>
      </c>
      <c r="AS30" s="43" t="str">
        <f t="shared" si="5"/>
        <v/>
      </c>
      <c r="AT30" s="43" t="str">
        <f t="shared" si="6"/>
        <v/>
      </c>
      <c r="AU30" s="43" t="str">
        <f t="shared" si="7"/>
        <v/>
      </c>
      <c r="AV30" s="43" t="str">
        <f t="shared" si="8"/>
        <v/>
      </c>
      <c r="AW30" s="79"/>
      <c r="AX30" s="43">
        <f t="shared" si="0"/>
        <v>0</v>
      </c>
      <c r="AY30" s="43">
        <f t="shared" si="9"/>
        <v>0.15981735159817353</v>
      </c>
      <c r="AZ30" s="43">
        <f t="shared" si="1"/>
        <v>0.18264840182648401</v>
      </c>
      <c r="BA30" s="43">
        <f t="shared" si="2"/>
        <v>0.15981735159817353</v>
      </c>
      <c r="BB30" s="43">
        <f t="shared" si="3"/>
        <v>0.11415525114155251</v>
      </c>
    </row>
    <row r="31" spans="1:54">
      <c r="A31" s="5" t="s">
        <v>104</v>
      </c>
      <c r="B31" s="5"/>
      <c r="C31" s="5">
        <v>7366</v>
      </c>
      <c r="D31" s="5">
        <v>6242</v>
      </c>
      <c r="E31" s="5">
        <v>5443</v>
      </c>
      <c r="F31" s="5">
        <v>4935</v>
      </c>
      <c r="G31" s="5">
        <v>3740</v>
      </c>
      <c r="H31" s="5"/>
      <c r="I31" s="5">
        <v>392</v>
      </c>
      <c r="J31" s="5">
        <v>391</v>
      </c>
      <c r="K31" s="5">
        <v>385</v>
      </c>
      <c r="L31" s="5">
        <v>379</v>
      </c>
      <c r="M31" s="5">
        <v>272</v>
      </c>
      <c r="N31" s="5"/>
      <c r="O31" s="5">
        <v>4993</v>
      </c>
      <c r="P31" s="5">
        <v>4380</v>
      </c>
      <c r="Q31" s="5">
        <v>3937</v>
      </c>
      <c r="R31" s="5">
        <v>3658</v>
      </c>
      <c r="S31" s="5">
        <v>3043</v>
      </c>
      <c r="T31" s="5"/>
      <c r="U31" s="34"/>
      <c r="V31" s="34"/>
      <c r="W31" s="34"/>
      <c r="X31" s="34"/>
      <c r="Y31" s="34"/>
      <c r="Z31" s="34"/>
      <c r="AA31" s="5">
        <v>892</v>
      </c>
      <c r="AB31" s="5">
        <v>532</v>
      </c>
      <c r="AC31" s="5">
        <v>405</v>
      </c>
      <c r="AD31" s="5">
        <v>364</v>
      </c>
      <c r="AE31" s="5">
        <v>179</v>
      </c>
      <c r="AF31" s="5"/>
      <c r="AG31" s="5">
        <v>1089</v>
      </c>
      <c r="AH31" s="5">
        <v>939</v>
      </c>
      <c r="AI31" s="5">
        <v>716</v>
      </c>
      <c r="AJ31" s="5">
        <v>535</v>
      </c>
      <c r="AK31" s="5">
        <v>246</v>
      </c>
      <c r="AL31" s="5"/>
      <c r="AM31" s="34"/>
      <c r="AN31" s="34"/>
      <c r="AO31" s="34"/>
      <c r="AP31" s="34"/>
      <c r="AR31" s="43" t="str">
        <f t="shared" si="4"/>
        <v/>
      </c>
      <c r="AS31" s="43" t="str">
        <f t="shared" si="5"/>
        <v/>
      </c>
      <c r="AT31" s="43" t="str">
        <f t="shared" si="6"/>
        <v/>
      </c>
      <c r="AU31" s="43" t="str">
        <f t="shared" si="7"/>
        <v/>
      </c>
      <c r="AV31" s="43" t="str">
        <f t="shared" si="8"/>
        <v/>
      </c>
      <c r="AW31" s="79"/>
      <c r="AX31" s="43">
        <f t="shared" si="0"/>
        <v>0</v>
      </c>
      <c r="AY31" s="43">
        <f t="shared" si="9"/>
        <v>0.15231388846134114</v>
      </c>
      <c r="AZ31" s="43">
        <f t="shared" si="1"/>
        <v>0.20223875869261174</v>
      </c>
      <c r="BA31" s="43">
        <f t="shared" si="2"/>
        <v>0.2137627589646757</v>
      </c>
      <c r="BB31" s="43">
        <f t="shared" si="3"/>
        <v>0.22704911829259061</v>
      </c>
    </row>
    <row r="32" spans="1:54">
      <c r="A32" s="5" t="s">
        <v>105</v>
      </c>
      <c r="B32" s="5"/>
      <c r="C32" s="5">
        <v>5620</v>
      </c>
      <c r="D32" s="5">
        <v>5268</v>
      </c>
      <c r="E32" s="5">
        <v>5113</v>
      </c>
      <c r="F32" s="5">
        <v>4995</v>
      </c>
      <c r="G32" s="5">
        <v>4825</v>
      </c>
      <c r="H32" s="5"/>
      <c r="I32" s="5">
        <v>957</v>
      </c>
      <c r="J32" s="5">
        <v>943</v>
      </c>
      <c r="K32" s="5">
        <v>927</v>
      </c>
      <c r="L32" s="5">
        <v>868</v>
      </c>
      <c r="M32" s="5">
        <v>861</v>
      </c>
      <c r="N32" s="5"/>
      <c r="O32" s="5">
        <v>2308</v>
      </c>
      <c r="P32" s="5">
        <v>2104</v>
      </c>
      <c r="Q32" s="5">
        <v>2064</v>
      </c>
      <c r="R32" s="5">
        <v>2059</v>
      </c>
      <c r="S32" s="5">
        <v>2002</v>
      </c>
      <c r="T32" s="5"/>
      <c r="U32" s="34"/>
      <c r="V32" s="34"/>
      <c r="W32" s="34"/>
      <c r="X32" s="34"/>
      <c r="Y32" s="34"/>
      <c r="Z32" s="34"/>
      <c r="AA32" s="5">
        <v>1373</v>
      </c>
      <c r="AB32" s="5">
        <v>1297</v>
      </c>
      <c r="AC32" s="5">
        <v>1282</v>
      </c>
      <c r="AD32" s="5">
        <v>1282</v>
      </c>
      <c r="AE32" s="5">
        <v>1277</v>
      </c>
      <c r="AF32" s="5"/>
      <c r="AG32" s="5">
        <v>982</v>
      </c>
      <c r="AH32" s="5">
        <v>924</v>
      </c>
      <c r="AI32" s="5">
        <v>839</v>
      </c>
      <c r="AJ32" s="5">
        <v>786</v>
      </c>
      <c r="AK32" s="5">
        <v>686</v>
      </c>
      <c r="AL32" s="5"/>
      <c r="AM32" s="34"/>
      <c r="AN32" s="34"/>
      <c r="AO32" s="34"/>
      <c r="AP32" s="34"/>
      <c r="AR32" s="43" t="str">
        <f t="shared" si="4"/>
        <v/>
      </c>
      <c r="AS32" s="43" t="str">
        <f t="shared" si="5"/>
        <v/>
      </c>
      <c r="AT32" s="43" t="str">
        <f t="shared" si="6"/>
        <v/>
      </c>
      <c r="AU32" s="43" t="str">
        <f t="shared" si="7"/>
        <v/>
      </c>
      <c r="AV32" s="43" t="str">
        <f t="shared" si="8"/>
        <v/>
      </c>
      <c r="AW32" s="79"/>
      <c r="AX32" s="43">
        <f t="shared" si="0"/>
        <v>0</v>
      </c>
      <c r="AY32" s="43">
        <f t="shared" si="9"/>
        <v>0.21035349648555743</v>
      </c>
      <c r="AZ32" s="43">
        <f t="shared" si="1"/>
        <v>0.20184100240615721</v>
      </c>
      <c r="BA32" s="43">
        <f t="shared" si="2"/>
        <v>0.20480271265645147</v>
      </c>
      <c r="BB32" s="43">
        <f t="shared" si="3"/>
        <v>0.16773104505362932</v>
      </c>
    </row>
    <row r="33" spans="1:55">
      <c r="A33" s="5" t="s">
        <v>106</v>
      </c>
      <c r="B33" s="5"/>
      <c r="C33" s="5">
        <v>4030</v>
      </c>
      <c r="D33" s="5">
        <v>3168</v>
      </c>
      <c r="E33" s="5">
        <v>2800</v>
      </c>
      <c r="F33" s="5">
        <v>2543</v>
      </c>
      <c r="G33" s="5">
        <v>2345</v>
      </c>
      <c r="H33" s="5"/>
      <c r="I33" s="5">
        <v>1193</v>
      </c>
      <c r="J33" s="5">
        <v>1192</v>
      </c>
      <c r="K33" s="5">
        <v>1192</v>
      </c>
      <c r="L33" s="5">
        <v>1191</v>
      </c>
      <c r="M33" s="5">
        <v>1192</v>
      </c>
      <c r="N33" s="5"/>
      <c r="O33" s="5">
        <v>393</v>
      </c>
      <c r="P33" s="5">
        <v>393</v>
      </c>
      <c r="Q33" s="5">
        <v>379</v>
      </c>
      <c r="R33" s="5">
        <v>399</v>
      </c>
      <c r="S33" s="5">
        <v>402</v>
      </c>
      <c r="T33" s="5"/>
      <c r="U33" s="34"/>
      <c r="V33" s="34"/>
      <c r="W33" s="34"/>
      <c r="X33" s="34"/>
      <c r="Y33" s="34"/>
      <c r="Z33" s="34"/>
      <c r="AA33" s="5">
        <v>843</v>
      </c>
      <c r="AB33" s="5">
        <v>462</v>
      </c>
      <c r="AC33" s="5">
        <v>267</v>
      </c>
      <c r="AD33" s="5">
        <v>162</v>
      </c>
      <c r="AE33" s="5">
        <v>69</v>
      </c>
      <c r="AF33" s="5"/>
      <c r="AG33" s="5">
        <v>1601</v>
      </c>
      <c r="AH33" s="5">
        <v>1122</v>
      </c>
      <c r="AI33" s="5">
        <v>962</v>
      </c>
      <c r="AJ33" s="5">
        <v>791</v>
      </c>
      <c r="AK33" s="5">
        <v>682</v>
      </c>
      <c r="AL33" s="5"/>
      <c r="AM33" s="34"/>
      <c r="AN33" s="34"/>
      <c r="AO33" s="34"/>
      <c r="AP33" s="34"/>
      <c r="AR33" s="43" t="str">
        <f t="shared" si="4"/>
        <v/>
      </c>
      <c r="AS33" s="43" t="str">
        <f t="shared" si="5"/>
        <v/>
      </c>
      <c r="AT33" s="43" t="str">
        <f t="shared" si="6"/>
        <v/>
      </c>
      <c r="AU33" s="43" t="str">
        <f t="shared" si="7"/>
        <v/>
      </c>
      <c r="AV33" s="43" t="str">
        <f t="shared" si="8"/>
        <v/>
      </c>
      <c r="AW33" s="79"/>
      <c r="AX33" s="43">
        <f t="shared" si="0"/>
        <v>0</v>
      </c>
      <c r="AY33" s="43">
        <f t="shared" si="9"/>
        <v>0.14345947269896253</v>
      </c>
      <c r="AZ33" s="43">
        <f t="shared" si="1"/>
        <v>0.20670086626453954</v>
      </c>
      <c r="BA33" s="43">
        <f t="shared" si="2"/>
        <v>0.20223307894540771</v>
      </c>
      <c r="BB33" s="43">
        <f t="shared" si="3"/>
        <v>0.17790428749332857</v>
      </c>
    </row>
    <row r="34" spans="1:55">
      <c r="A34" s="5" t="s">
        <v>107</v>
      </c>
      <c r="B34" s="5"/>
      <c r="C34" s="5">
        <v>5943</v>
      </c>
      <c r="D34" s="5">
        <v>5296</v>
      </c>
      <c r="E34" s="5">
        <v>4715</v>
      </c>
      <c r="F34" s="5">
        <v>4188</v>
      </c>
      <c r="G34" s="5">
        <v>3675</v>
      </c>
      <c r="H34" s="5"/>
      <c r="I34" s="5">
        <v>43</v>
      </c>
      <c r="J34" s="5">
        <v>43</v>
      </c>
      <c r="K34" s="5">
        <v>43</v>
      </c>
      <c r="L34" s="5">
        <v>43</v>
      </c>
      <c r="M34" s="5">
        <v>43</v>
      </c>
      <c r="N34" s="5"/>
      <c r="O34" s="5">
        <v>3326</v>
      </c>
      <c r="P34" s="5">
        <v>3219</v>
      </c>
      <c r="Q34" s="5">
        <v>2845</v>
      </c>
      <c r="R34" s="5">
        <v>2583</v>
      </c>
      <c r="S34" s="5">
        <v>2165</v>
      </c>
      <c r="T34" s="5"/>
      <c r="U34" s="34"/>
      <c r="V34" s="34"/>
      <c r="W34" s="34"/>
      <c r="X34" s="34"/>
      <c r="Y34" s="34"/>
      <c r="Z34" s="34"/>
      <c r="AA34" s="5">
        <v>1377</v>
      </c>
      <c r="AB34" s="5">
        <v>1116</v>
      </c>
      <c r="AC34" s="5">
        <v>1011</v>
      </c>
      <c r="AD34" s="5">
        <v>942</v>
      </c>
      <c r="AE34" s="5">
        <v>942</v>
      </c>
      <c r="AF34" s="5"/>
      <c r="AG34" s="5">
        <v>1197</v>
      </c>
      <c r="AH34" s="5">
        <v>918</v>
      </c>
      <c r="AI34" s="5">
        <v>816</v>
      </c>
      <c r="AJ34" s="5">
        <v>620</v>
      </c>
      <c r="AK34" s="5">
        <v>526</v>
      </c>
      <c r="AL34" s="5"/>
      <c r="AM34" s="34"/>
      <c r="AN34" s="34"/>
      <c r="AO34" s="34"/>
      <c r="AP34" s="34"/>
      <c r="AR34" s="43" t="str">
        <f t="shared" si="4"/>
        <v/>
      </c>
      <c r="AS34" s="43" t="str">
        <f t="shared" si="5"/>
        <v/>
      </c>
      <c r="AT34" s="43" t="str">
        <f t="shared" si="6"/>
        <v/>
      </c>
      <c r="AU34" s="43" t="str">
        <f t="shared" si="7"/>
        <v/>
      </c>
      <c r="AV34" s="43" t="str">
        <f t="shared" si="8"/>
        <v/>
      </c>
      <c r="AW34" s="79"/>
      <c r="AX34" s="43">
        <f t="shared" si="0"/>
        <v>0</v>
      </c>
      <c r="AY34" s="43">
        <f t="shared" si="9"/>
        <v>0.17766641573574959</v>
      </c>
      <c r="AZ34" s="43">
        <f t="shared" si="1"/>
        <v>0.19965093288508479</v>
      </c>
      <c r="BA34" s="43">
        <f t="shared" si="2"/>
        <v>0.21860759819222036</v>
      </c>
      <c r="BB34" s="43">
        <f t="shared" si="3"/>
        <v>0.18783507353440168</v>
      </c>
    </row>
    <row r="35" spans="1:55">
      <c r="A35" s="5" t="s">
        <v>108</v>
      </c>
      <c r="B35" s="5"/>
      <c r="C35" s="5">
        <v>10763</v>
      </c>
      <c r="D35" s="5">
        <v>9614</v>
      </c>
      <c r="E35" s="5">
        <v>8978</v>
      </c>
      <c r="F35" s="5">
        <v>8679</v>
      </c>
      <c r="G35" s="5">
        <v>8109</v>
      </c>
      <c r="H35" s="5"/>
      <c r="I35" s="5">
        <v>800</v>
      </c>
      <c r="J35" s="5">
        <v>773</v>
      </c>
      <c r="K35" s="5">
        <v>702</v>
      </c>
      <c r="L35" s="5">
        <v>702</v>
      </c>
      <c r="M35" s="5">
        <v>665</v>
      </c>
      <c r="N35" s="5"/>
      <c r="O35" s="5">
        <v>6337</v>
      </c>
      <c r="P35" s="5">
        <v>5813</v>
      </c>
      <c r="Q35" s="5">
        <v>5377</v>
      </c>
      <c r="R35" s="5">
        <v>5207</v>
      </c>
      <c r="S35" s="5">
        <v>4775</v>
      </c>
      <c r="T35" s="5"/>
      <c r="U35" s="34"/>
      <c r="V35" s="34"/>
      <c r="W35" s="34"/>
      <c r="X35" s="34"/>
      <c r="Y35" s="34"/>
      <c r="Z35" s="34"/>
      <c r="AA35" s="5">
        <v>2361</v>
      </c>
      <c r="AB35" s="5">
        <v>1956</v>
      </c>
      <c r="AC35" s="5">
        <v>1921</v>
      </c>
      <c r="AD35" s="5">
        <v>1836</v>
      </c>
      <c r="AE35" s="5">
        <v>1776</v>
      </c>
      <c r="AF35" s="5"/>
      <c r="AG35" s="5">
        <v>1266</v>
      </c>
      <c r="AH35" s="5">
        <v>1072</v>
      </c>
      <c r="AI35" s="5">
        <v>978</v>
      </c>
      <c r="AJ35" s="5">
        <v>934</v>
      </c>
      <c r="AK35" s="5">
        <v>893</v>
      </c>
      <c r="AL35" s="5"/>
      <c r="AM35" s="34"/>
      <c r="AN35" s="34"/>
      <c r="AO35" s="34"/>
      <c r="AP35" s="34"/>
      <c r="AR35" s="43" t="str">
        <f t="shared" si="4"/>
        <v/>
      </c>
      <c r="AS35" s="43" t="str">
        <f t="shared" si="5"/>
        <v/>
      </c>
      <c r="AT35" s="43" t="str">
        <f t="shared" si="6"/>
        <v/>
      </c>
      <c r="AU35" s="43" t="str">
        <f t="shared" si="7"/>
        <v/>
      </c>
      <c r="AV35" s="43" t="str">
        <f t="shared" si="8"/>
        <v/>
      </c>
      <c r="AW35" s="79"/>
      <c r="AX35" s="43">
        <f t="shared" si="0"/>
        <v>0</v>
      </c>
      <c r="AY35" s="43">
        <f t="shared" si="9"/>
        <v>0.22952688902216256</v>
      </c>
      <c r="AZ35" s="43">
        <f t="shared" si="1"/>
        <v>0.23967597221878706</v>
      </c>
      <c r="BA35" s="43">
        <f t="shared" si="2"/>
        <v>0.21755432477336067</v>
      </c>
      <c r="BB35" s="43">
        <f t="shared" si="3"/>
        <v>0.20100426280738479</v>
      </c>
    </row>
    <row r="37" spans="1:55">
      <c r="A37" s="107" t="s">
        <v>172</v>
      </c>
      <c r="B37" s="111" t="s">
        <v>177</v>
      </c>
      <c r="C37" s="111"/>
      <c r="D37" s="111"/>
      <c r="E37" s="111"/>
      <c r="F37" s="111"/>
      <c r="G37" s="111"/>
      <c r="H37" s="111" t="s">
        <v>178</v>
      </c>
      <c r="I37" s="111"/>
      <c r="J37" s="111"/>
      <c r="K37" s="111"/>
      <c r="L37" s="111"/>
      <c r="M37" s="111"/>
      <c r="N37" s="111" t="s">
        <v>179</v>
      </c>
      <c r="O37" s="111"/>
      <c r="P37" s="111"/>
      <c r="Q37" s="111"/>
      <c r="R37" s="111"/>
      <c r="S37" s="111"/>
      <c r="T37" s="111" t="s">
        <v>180</v>
      </c>
      <c r="U37" s="111"/>
      <c r="V37" s="111"/>
      <c r="W37" s="111"/>
      <c r="X37" s="111"/>
      <c r="Y37" s="111"/>
      <c r="Z37" s="111" t="s">
        <v>181</v>
      </c>
      <c r="AA37" s="111"/>
      <c r="AB37" s="111"/>
      <c r="AC37" s="111"/>
      <c r="AD37" s="111"/>
      <c r="AE37" s="111"/>
      <c r="AF37" s="111" t="s">
        <v>182</v>
      </c>
      <c r="AG37" s="111"/>
      <c r="AH37" s="111"/>
      <c r="AI37" s="111"/>
      <c r="AJ37" s="111"/>
      <c r="AK37" s="111"/>
      <c r="AL37" s="111" t="s">
        <v>183</v>
      </c>
      <c r="AM37" s="111"/>
      <c r="AN37" s="111"/>
      <c r="AO37" s="111"/>
      <c r="AP37" s="111"/>
    </row>
    <row r="38" spans="1:55" ht="16.5">
      <c r="A38" s="108"/>
      <c r="B38" s="5" t="s">
        <v>190</v>
      </c>
      <c r="C38" s="83" t="s">
        <v>184</v>
      </c>
      <c r="D38" s="83" t="s">
        <v>185</v>
      </c>
      <c r="E38" s="83" t="s">
        <v>187</v>
      </c>
      <c r="F38" s="83" t="s">
        <v>173</v>
      </c>
      <c r="G38" s="83" t="s">
        <v>174</v>
      </c>
      <c r="H38" s="5" t="s">
        <v>190</v>
      </c>
      <c r="I38" s="83" t="s">
        <v>184</v>
      </c>
      <c r="J38" s="83" t="s">
        <v>185</v>
      </c>
      <c r="K38" s="83" t="s">
        <v>187</v>
      </c>
      <c r="L38" s="83" t="s">
        <v>173</v>
      </c>
      <c r="M38" s="83" t="s">
        <v>174</v>
      </c>
      <c r="N38" s="5" t="s">
        <v>190</v>
      </c>
      <c r="O38" s="83" t="s">
        <v>184</v>
      </c>
      <c r="P38" s="83" t="s">
        <v>185</v>
      </c>
      <c r="Q38" s="83" t="s">
        <v>187</v>
      </c>
      <c r="R38" s="83" t="s">
        <v>173</v>
      </c>
      <c r="S38" s="83" t="s">
        <v>174</v>
      </c>
      <c r="T38" s="5" t="s">
        <v>190</v>
      </c>
      <c r="U38" s="83" t="s">
        <v>184</v>
      </c>
      <c r="V38" s="83" t="s">
        <v>185</v>
      </c>
      <c r="W38" s="83" t="s">
        <v>187</v>
      </c>
      <c r="X38" s="83" t="s">
        <v>173</v>
      </c>
      <c r="Y38" s="83" t="s">
        <v>174</v>
      </c>
      <c r="Z38" s="5" t="s">
        <v>190</v>
      </c>
      <c r="AA38" s="83" t="s">
        <v>184</v>
      </c>
      <c r="AB38" s="83" t="s">
        <v>185</v>
      </c>
      <c r="AC38" s="83" t="s">
        <v>187</v>
      </c>
      <c r="AD38" s="83" t="s">
        <v>173</v>
      </c>
      <c r="AE38" s="83" t="s">
        <v>174</v>
      </c>
      <c r="AF38" s="5" t="s">
        <v>190</v>
      </c>
      <c r="AG38" s="83" t="s">
        <v>184</v>
      </c>
      <c r="AH38" s="83" t="s">
        <v>185</v>
      </c>
      <c r="AI38" s="83" t="s">
        <v>187</v>
      </c>
      <c r="AJ38" s="83" t="s">
        <v>173</v>
      </c>
      <c r="AK38" s="83" t="s">
        <v>174</v>
      </c>
      <c r="AL38" s="5" t="s">
        <v>190</v>
      </c>
      <c r="AM38" s="83" t="s">
        <v>184</v>
      </c>
      <c r="AN38" s="83" t="s">
        <v>186</v>
      </c>
      <c r="AO38" s="83" t="s">
        <v>176</v>
      </c>
      <c r="AP38" s="83" t="s">
        <v>175</v>
      </c>
      <c r="AV38" s="4"/>
      <c r="AW38" s="4"/>
      <c r="AX38" s="83" t="s">
        <v>191</v>
      </c>
      <c r="AY38" s="83" t="s">
        <v>184</v>
      </c>
      <c r="AZ38" s="83" t="s">
        <v>185</v>
      </c>
      <c r="BA38" s="83" t="s">
        <v>187</v>
      </c>
      <c r="BB38" s="83" t="s">
        <v>173</v>
      </c>
      <c r="BC38" s="83" t="s">
        <v>197</v>
      </c>
    </row>
    <row r="39" spans="1:55">
      <c r="A39" s="5" t="s">
        <v>77</v>
      </c>
      <c r="B39" s="5">
        <v>83959</v>
      </c>
      <c r="C39" s="24">
        <v>76264</v>
      </c>
      <c r="D39" s="24">
        <v>73269</v>
      </c>
      <c r="E39" s="24">
        <v>69947</v>
      </c>
      <c r="F39" s="1">
        <v>64529</v>
      </c>
      <c r="G39" s="1">
        <v>60228</v>
      </c>
      <c r="H39" s="1">
        <v>13399</v>
      </c>
      <c r="I39" s="24">
        <v>13553</v>
      </c>
      <c r="J39" s="24">
        <v>13021</v>
      </c>
      <c r="K39" s="24">
        <v>12321</v>
      </c>
      <c r="L39" s="1">
        <v>11947</v>
      </c>
      <c r="M39" s="1">
        <v>11748</v>
      </c>
      <c r="N39" s="1">
        <v>56655</v>
      </c>
      <c r="O39" s="24">
        <v>51770</v>
      </c>
      <c r="P39" s="24">
        <v>50465</v>
      </c>
      <c r="Q39" s="24">
        <v>49249</v>
      </c>
      <c r="R39" s="1">
        <v>45877</v>
      </c>
      <c r="S39" s="1">
        <v>43273</v>
      </c>
      <c r="T39" s="1">
        <v>4075</v>
      </c>
      <c r="U39" s="1">
        <v>3662</v>
      </c>
      <c r="V39" s="1">
        <v>3487</v>
      </c>
      <c r="W39" s="1">
        <v>2950</v>
      </c>
      <c r="X39" s="1">
        <v>2481</v>
      </c>
      <c r="Y39" s="1">
        <v>2132</v>
      </c>
      <c r="Z39" s="1">
        <v>6558</v>
      </c>
      <c r="AA39" s="1">
        <v>4665</v>
      </c>
      <c r="AB39" s="1">
        <v>4053</v>
      </c>
      <c r="AC39" s="1">
        <v>3658</v>
      </c>
      <c r="AD39" s="1">
        <v>3046</v>
      </c>
      <c r="AE39" s="1">
        <v>2409</v>
      </c>
      <c r="AF39" s="1">
        <v>3270</v>
      </c>
      <c r="AG39" s="1">
        <v>2611</v>
      </c>
      <c r="AH39" s="1">
        <v>2240</v>
      </c>
      <c r="AI39" s="1">
        <v>1769</v>
      </c>
      <c r="AJ39" s="1">
        <v>1178</v>
      </c>
      <c r="AK39" s="1">
        <v>665</v>
      </c>
      <c r="AL39" s="1">
        <v>2</v>
      </c>
      <c r="AM39" s="1">
        <v>3</v>
      </c>
      <c r="AN39" s="1">
        <v>3</v>
      </c>
      <c r="AO39" s="1">
        <v>1</v>
      </c>
      <c r="AP39" s="1">
        <v>1</v>
      </c>
      <c r="AV39" s="109" t="s">
        <v>199</v>
      </c>
      <c r="AW39" s="18" t="s">
        <v>64</v>
      </c>
      <c r="AX39" s="4">
        <v>13399</v>
      </c>
      <c r="AY39" s="4">
        <v>13553</v>
      </c>
      <c r="AZ39" s="100" t="s">
        <v>193</v>
      </c>
      <c r="BA39" s="4">
        <v>12321</v>
      </c>
      <c r="BB39" s="4">
        <v>11947</v>
      </c>
      <c r="BC39" s="4">
        <v>11748</v>
      </c>
    </row>
    <row r="40" spans="1:55">
      <c r="A40" s="5" t="s">
        <v>78</v>
      </c>
      <c r="B40" s="5"/>
      <c r="C40" s="24">
        <v>456</v>
      </c>
      <c r="D40" s="24">
        <v>461</v>
      </c>
      <c r="E40" s="24">
        <v>449</v>
      </c>
      <c r="F40" s="1">
        <v>394</v>
      </c>
      <c r="G40" s="1">
        <v>436</v>
      </c>
      <c r="H40" s="1"/>
      <c r="I40" s="24">
        <v>11</v>
      </c>
      <c r="J40" s="24">
        <v>10</v>
      </c>
      <c r="K40" s="24">
        <v>10</v>
      </c>
      <c r="L40" s="1">
        <v>11</v>
      </c>
      <c r="M40" s="1">
        <v>12</v>
      </c>
      <c r="N40" s="1"/>
      <c r="O40" s="24">
        <v>434</v>
      </c>
      <c r="P40" s="24">
        <v>443</v>
      </c>
      <c r="Q40" s="24">
        <v>433</v>
      </c>
      <c r="R40" s="1">
        <v>377</v>
      </c>
      <c r="S40" s="1">
        <v>419</v>
      </c>
      <c r="T40" s="1"/>
      <c r="U40" s="99"/>
      <c r="V40" s="99"/>
      <c r="W40" s="99"/>
      <c r="X40" s="99"/>
      <c r="Y40" s="99"/>
      <c r="Z40" s="99"/>
      <c r="AA40" s="1">
        <v>4</v>
      </c>
      <c r="AB40" s="1">
        <v>3</v>
      </c>
      <c r="AC40" s="1">
        <v>3</v>
      </c>
      <c r="AD40" s="1">
        <v>3</v>
      </c>
      <c r="AE40" s="1">
        <v>3</v>
      </c>
      <c r="AF40" s="1"/>
      <c r="AG40" s="1">
        <v>6</v>
      </c>
      <c r="AH40" s="1">
        <v>5</v>
      </c>
      <c r="AI40" s="1">
        <v>3</v>
      </c>
      <c r="AJ40" s="1">
        <v>2</v>
      </c>
      <c r="AK40" s="1">
        <v>1</v>
      </c>
      <c r="AL40" s="1"/>
      <c r="AM40" s="99"/>
      <c r="AN40" s="99"/>
      <c r="AO40" s="1"/>
      <c r="AP40" s="1"/>
      <c r="AV40" s="110"/>
      <c r="AW40" s="18" t="s">
        <v>192</v>
      </c>
      <c r="AX40" s="4">
        <v>390</v>
      </c>
      <c r="AY40" s="4">
        <v>335</v>
      </c>
      <c r="AZ40" s="100" t="s">
        <v>194</v>
      </c>
      <c r="BA40" s="4">
        <v>329</v>
      </c>
      <c r="BB40" s="4">
        <v>328</v>
      </c>
      <c r="BC40" s="4">
        <v>308</v>
      </c>
    </row>
    <row r="41" spans="1:55">
      <c r="A41" s="5" t="s">
        <v>79</v>
      </c>
      <c r="B41" s="5"/>
      <c r="C41" s="25">
        <v>699</v>
      </c>
      <c r="D41" s="25">
        <v>673</v>
      </c>
      <c r="E41" s="25">
        <v>670</v>
      </c>
      <c r="F41" s="1">
        <v>596</v>
      </c>
      <c r="G41" s="1">
        <v>600</v>
      </c>
      <c r="H41" s="1"/>
      <c r="I41" s="25">
        <v>0.1</v>
      </c>
      <c r="J41" s="25">
        <v>0.12</v>
      </c>
      <c r="K41" s="25">
        <v>0.15</v>
      </c>
      <c r="L41" s="1">
        <v>7.0000000000000007E-2</v>
      </c>
      <c r="M41" s="1">
        <v>0.03</v>
      </c>
      <c r="N41" s="1"/>
      <c r="O41" s="25">
        <v>668</v>
      </c>
      <c r="P41" s="25">
        <v>647</v>
      </c>
      <c r="Q41" s="25">
        <v>654</v>
      </c>
      <c r="R41" s="1">
        <v>584</v>
      </c>
      <c r="S41" s="1">
        <v>591</v>
      </c>
      <c r="T41" s="1"/>
      <c r="U41" s="99"/>
      <c r="V41" s="99"/>
      <c r="W41" s="99"/>
      <c r="X41" s="99"/>
      <c r="Y41" s="99"/>
      <c r="Z41" s="99"/>
      <c r="AA41" s="98">
        <v>12</v>
      </c>
      <c r="AB41" s="98">
        <v>11</v>
      </c>
      <c r="AC41" s="98">
        <v>8</v>
      </c>
      <c r="AD41" s="1">
        <v>6</v>
      </c>
      <c r="AE41" s="1">
        <v>6</v>
      </c>
      <c r="AF41" s="1"/>
      <c r="AG41" s="1">
        <v>19</v>
      </c>
      <c r="AH41" s="98">
        <v>15</v>
      </c>
      <c r="AI41" s="98">
        <v>8</v>
      </c>
      <c r="AJ41" s="1">
        <v>6.2</v>
      </c>
      <c r="AK41" s="1">
        <v>3</v>
      </c>
      <c r="AL41" s="1"/>
      <c r="AM41" s="99"/>
      <c r="AN41" s="99"/>
      <c r="AO41" s="1"/>
      <c r="AP41" s="1"/>
      <c r="AV41" s="109" t="s">
        <v>200</v>
      </c>
      <c r="AW41" s="18" t="s">
        <v>64</v>
      </c>
      <c r="AX41" s="4">
        <v>39094</v>
      </c>
      <c r="AY41" s="4">
        <v>37028</v>
      </c>
      <c r="AZ41" s="100" t="s">
        <v>195</v>
      </c>
      <c r="BA41" s="4">
        <v>35259</v>
      </c>
      <c r="BB41" s="4">
        <v>34411</v>
      </c>
      <c r="BC41" s="4">
        <v>33207</v>
      </c>
    </row>
    <row r="42" spans="1:55">
      <c r="A42" s="5" t="s">
        <v>80</v>
      </c>
      <c r="B42" s="5"/>
      <c r="C42" s="24">
        <v>2945</v>
      </c>
      <c r="D42" s="24">
        <v>2887</v>
      </c>
      <c r="E42" s="24">
        <v>2787</v>
      </c>
      <c r="F42" s="1">
        <v>2657</v>
      </c>
      <c r="G42" s="1">
        <v>2476</v>
      </c>
      <c r="H42" s="1"/>
      <c r="I42" s="24">
        <v>15</v>
      </c>
      <c r="J42" s="24">
        <v>16</v>
      </c>
      <c r="K42" s="24">
        <v>17</v>
      </c>
      <c r="L42" s="1">
        <v>20</v>
      </c>
      <c r="M42" s="1">
        <v>24</v>
      </c>
      <c r="N42" s="1"/>
      <c r="O42" s="24">
        <v>2352</v>
      </c>
      <c r="P42" s="24">
        <v>2377</v>
      </c>
      <c r="Q42" s="24">
        <v>2361</v>
      </c>
      <c r="R42" s="1">
        <v>2296</v>
      </c>
      <c r="S42" s="1">
        <v>2196</v>
      </c>
      <c r="T42" s="1"/>
      <c r="U42" s="99"/>
      <c r="V42" s="99"/>
      <c r="W42" s="99"/>
      <c r="X42" s="99"/>
      <c r="Y42" s="99"/>
      <c r="Z42" s="99"/>
      <c r="AA42" s="1">
        <v>368</v>
      </c>
      <c r="AB42" s="1">
        <v>318</v>
      </c>
      <c r="AC42" s="1">
        <v>283</v>
      </c>
      <c r="AD42" s="1">
        <v>263</v>
      </c>
      <c r="AE42" s="1">
        <v>216</v>
      </c>
      <c r="AF42" s="1"/>
      <c r="AG42" s="1">
        <v>211</v>
      </c>
      <c r="AH42" s="1">
        <v>176</v>
      </c>
      <c r="AI42" s="1">
        <v>126</v>
      </c>
      <c r="AJ42" s="1">
        <v>77</v>
      </c>
      <c r="AK42" s="1">
        <v>40</v>
      </c>
      <c r="AL42" s="1"/>
      <c r="AM42" s="99"/>
      <c r="AN42" s="99"/>
      <c r="AO42" s="1"/>
      <c r="AP42" s="1"/>
      <c r="AV42" s="110"/>
      <c r="AW42" s="18" t="s">
        <v>192</v>
      </c>
      <c r="AX42" s="4">
        <v>3639</v>
      </c>
      <c r="AY42" s="4">
        <v>3149</v>
      </c>
      <c r="AZ42" s="100" t="s">
        <v>196</v>
      </c>
      <c r="BA42" s="4">
        <v>2999</v>
      </c>
      <c r="BB42" s="4">
        <v>2869</v>
      </c>
      <c r="BC42" s="4">
        <v>2669</v>
      </c>
    </row>
    <row r="43" spans="1:55">
      <c r="A43" s="5" t="s">
        <v>81</v>
      </c>
      <c r="B43" s="5"/>
      <c r="C43" s="24">
        <v>3395</v>
      </c>
      <c r="D43" s="24">
        <v>3253</v>
      </c>
      <c r="E43" s="24">
        <v>3088</v>
      </c>
      <c r="F43" s="1">
        <v>2766</v>
      </c>
      <c r="G43" s="1">
        <v>2511</v>
      </c>
      <c r="H43" s="1"/>
      <c r="I43" s="24">
        <v>47</v>
      </c>
      <c r="J43" s="24">
        <v>49</v>
      </c>
      <c r="K43" s="24">
        <v>43</v>
      </c>
      <c r="L43" s="1">
        <v>42</v>
      </c>
      <c r="M43" s="1">
        <v>39</v>
      </c>
      <c r="N43" s="1"/>
      <c r="O43" s="24">
        <v>2924</v>
      </c>
      <c r="P43" s="24">
        <v>2852</v>
      </c>
      <c r="Q43" s="24">
        <v>2739</v>
      </c>
      <c r="R43" s="1">
        <v>2503</v>
      </c>
      <c r="S43" s="1">
        <v>2309</v>
      </c>
      <c r="T43" s="1"/>
      <c r="U43" s="99"/>
      <c r="V43" s="99"/>
      <c r="W43" s="99"/>
      <c r="X43" s="99"/>
      <c r="Y43" s="99"/>
      <c r="Z43" s="99"/>
      <c r="AA43" s="1">
        <v>266</v>
      </c>
      <c r="AB43" s="1">
        <v>224</v>
      </c>
      <c r="AC43" s="1">
        <v>212</v>
      </c>
      <c r="AD43" s="1">
        <v>165</v>
      </c>
      <c r="AE43" s="1">
        <v>135</v>
      </c>
      <c r="AF43" s="1"/>
      <c r="AG43" s="1">
        <v>159</v>
      </c>
      <c r="AH43" s="1">
        <v>128</v>
      </c>
      <c r="AI43" s="1">
        <v>94</v>
      </c>
      <c r="AJ43" s="1">
        <v>56</v>
      </c>
      <c r="AK43" s="1">
        <v>27</v>
      </c>
      <c r="AL43" s="1"/>
      <c r="AM43" s="99"/>
      <c r="AN43" s="99"/>
      <c r="AO43" s="1"/>
      <c r="AP43" s="1"/>
      <c r="AV43" s="4"/>
      <c r="AW43" s="4"/>
      <c r="AX43" s="4"/>
      <c r="AY43" s="4"/>
      <c r="AZ43" s="4"/>
      <c r="BA43" s="4"/>
      <c r="BB43" s="4"/>
      <c r="BC43" s="4"/>
    </row>
    <row r="44" spans="1:55">
      <c r="A44" s="5" t="s">
        <v>82</v>
      </c>
      <c r="B44" s="5"/>
      <c r="C44" s="24">
        <v>5703</v>
      </c>
      <c r="D44" s="24">
        <v>5451</v>
      </c>
      <c r="E44" s="24">
        <v>5005</v>
      </c>
      <c r="F44" s="1">
        <v>4424</v>
      </c>
      <c r="G44" s="1">
        <v>3950</v>
      </c>
      <c r="H44" s="1"/>
      <c r="I44" s="24">
        <v>57</v>
      </c>
      <c r="J44" s="24">
        <v>58</v>
      </c>
      <c r="K44" s="24">
        <v>45</v>
      </c>
      <c r="L44" s="1">
        <v>24</v>
      </c>
      <c r="M44" s="1">
        <v>27</v>
      </c>
      <c r="N44" s="1"/>
      <c r="O44" s="24">
        <v>4731</v>
      </c>
      <c r="P44" s="24">
        <v>4564</v>
      </c>
      <c r="Q44" s="24">
        <v>4198</v>
      </c>
      <c r="R44" s="1">
        <v>3736</v>
      </c>
      <c r="S44" s="1">
        <v>3375</v>
      </c>
      <c r="T44" s="1"/>
      <c r="U44" s="99"/>
      <c r="V44" s="99"/>
      <c r="W44" s="99"/>
      <c r="X44" s="99"/>
      <c r="Y44" s="99"/>
      <c r="Z44" s="99"/>
      <c r="AA44" s="1">
        <v>726</v>
      </c>
      <c r="AB44" s="1">
        <v>666</v>
      </c>
      <c r="AC44" s="1">
        <v>632</v>
      </c>
      <c r="AD44" s="1">
        <v>551</v>
      </c>
      <c r="AE44" s="1">
        <v>464</v>
      </c>
      <c r="AF44" s="1"/>
      <c r="AG44" s="1">
        <v>188</v>
      </c>
      <c r="AH44" s="1">
        <v>163</v>
      </c>
      <c r="AI44" s="1">
        <v>130</v>
      </c>
      <c r="AJ44" s="1">
        <v>113</v>
      </c>
      <c r="AK44" s="1">
        <v>83</v>
      </c>
      <c r="AL44" s="1"/>
      <c r="AM44" s="99"/>
      <c r="AN44" s="99"/>
      <c r="AO44" s="1"/>
      <c r="AP44" s="1"/>
      <c r="AV44" s="18" t="s">
        <v>199</v>
      </c>
      <c r="AW44" s="18" t="s">
        <v>198</v>
      </c>
      <c r="AX44" s="4">
        <f>AX39-AX40</f>
        <v>13009</v>
      </c>
      <c r="AY44" s="4">
        <f t="shared" ref="AY44:BC44" si="10">AY39-AY40</f>
        <v>13218</v>
      </c>
      <c r="AZ44" s="4">
        <f t="shared" si="10"/>
        <v>12702</v>
      </c>
      <c r="BA44" s="4">
        <f t="shared" si="10"/>
        <v>11992</v>
      </c>
      <c r="BB44" s="4">
        <f t="shared" si="10"/>
        <v>11619</v>
      </c>
      <c r="BC44" s="4">
        <f t="shared" si="10"/>
        <v>11440</v>
      </c>
    </row>
    <row r="45" spans="1:55">
      <c r="A45" s="5" t="s">
        <v>83</v>
      </c>
      <c r="B45" s="5"/>
      <c r="C45" s="24">
        <v>2039</v>
      </c>
      <c r="D45" s="24">
        <v>1992</v>
      </c>
      <c r="E45" s="24">
        <v>1926</v>
      </c>
      <c r="F45" s="1">
        <v>1791</v>
      </c>
      <c r="G45" s="1">
        <v>1733</v>
      </c>
      <c r="H45" s="1"/>
      <c r="I45" s="24">
        <v>57</v>
      </c>
      <c r="J45" s="24">
        <v>44</v>
      </c>
      <c r="K45" s="24">
        <v>46</v>
      </c>
      <c r="L45" s="1">
        <v>45</v>
      </c>
      <c r="M45" s="1">
        <v>56</v>
      </c>
      <c r="N45" s="1"/>
      <c r="O45" s="24">
        <v>1410</v>
      </c>
      <c r="P45" s="24">
        <v>1395</v>
      </c>
      <c r="Q45" s="24">
        <v>1381</v>
      </c>
      <c r="R45" s="1">
        <v>1349</v>
      </c>
      <c r="S45" s="1">
        <v>1344</v>
      </c>
      <c r="T45" s="1"/>
      <c r="U45" s="1">
        <v>327</v>
      </c>
      <c r="V45" s="1">
        <v>327</v>
      </c>
      <c r="W45" s="1">
        <v>302</v>
      </c>
      <c r="X45" s="1">
        <v>236</v>
      </c>
      <c r="Y45" s="1">
        <v>200</v>
      </c>
      <c r="Z45" s="1"/>
      <c r="AA45" s="1">
        <v>194</v>
      </c>
      <c r="AB45" s="1">
        <v>183</v>
      </c>
      <c r="AC45" s="1">
        <v>165</v>
      </c>
      <c r="AD45" s="1">
        <v>150</v>
      </c>
      <c r="AE45" s="1">
        <v>129</v>
      </c>
      <c r="AF45" s="1"/>
      <c r="AG45" s="1">
        <v>51</v>
      </c>
      <c r="AH45" s="1">
        <v>42</v>
      </c>
      <c r="AI45" s="1">
        <v>32</v>
      </c>
      <c r="AJ45" s="1">
        <v>12</v>
      </c>
      <c r="AK45" s="1">
        <v>4</v>
      </c>
      <c r="AL45" s="1"/>
      <c r="AM45" s="99"/>
      <c r="AN45" s="99"/>
      <c r="AO45" s="1"/>
      <c r="AP45" s="1"/>
      <c r="AV45" s="18" t="s">
        <v>200</v>
      </c>
      <c r="AW45" s="18" t="s">
        <v>198</v>
      </c>
      <c r="AX45" s="4">
        <f>AX41-AX42</f>
        <v>35455</v>
      </c>
      <c r="AY45" s="4">
        <f t="shared" ref="AY45:BC45" si="11">AY41-AY42</f>
        <v>33879</v>
      </c>
      <c r="AZ45" s="4">
        <f t="shared" si="11"/>
        <v>32775</v>
      </c>
      <c r="BA45" s="4">
        <f t="shared" si="11"/>
        <v>32260</v>
      </c>
      <c r="BB45" s="4">
        <f t="shared" si="11"/>
        <v>31542</v>
      </c>
      <c r="BC45" s="4">
        <f t="shared" si="11"/>
        <v>30538</v>
      </c>
    </row>
    <row r="46" spans="1:55">
      <c r="A46" s="5" t="s">
        <v>84</v>
      </c>
      <c r="B46" s="5"/>
      <c r="C46" s="24">
        <v>990</v>
      </c>
      <c r="D46" s="24">
        <v>926</v>
      </c>
      <c r="E46" s="24">
        <v>871</v>
      </c>
      <c r="F46" s="1">
        <v>783</v>
      </c>
      <c r="G46" s="1">
        <v>743</v>
      </c>
      <c r="H46" s="1"/>
      <c r="I46" s="24">
        <v>94</v>
      </c>
      <c r="J46" s="24">
        <v>67</v>
      </c>
      <c r="K46" s="24">
        <v>79</v>
      </c>
      <c r="L46" s="1">
        <v>77</v>
      </c>
      <c r="M46" s="1">
        <v>85</v>
      </c>
      <c r="N46" s="1"/>
      <c r="O46" s="24">
        <v>721</v>
      </c>
      <c r="P46" s="24">
        <v>705</v>
      </c>
      <c r="Q46" s="24">
        <v>664</v>
      </c>
      <c r="R46" s="1">
        <v>606</v>
      </c>
      <c r="S46" s="1">
        <v>588</v>
      </c>
      <c r="T46" s="1"/>
      <c r="U46" s="99"/>
      <c r="V46" s="99"/>
      <c r="W46" s="99"/>
      <c r="X46" s="99"/>
      <c r="Y46" s="99"/>
      <c r="Z46" s="99"/>
      <c r="AA46" s="1">
        <v>130</v>
      </c>
      <c r="AB46" s="1">
        <v>115</v>
      </c>
      <c r="AC46" s="1">
        <v>105</v>
      </c>
      <c r="AD46" s="1">
        <v>87</v>
      </c>
      <c r="AE46" s="1">
        <v>67</v>
      </c>
      <c r="AF46" s="1"/>
      <c r="AG46" s="1">
        <v>45</v>
      </c>
      <c r="AH46" s="1">
        <v>40</v>
      </c>
      <c r="AI46" s="1">
        <v>24</v>
      </c>
      <c r="AJ46" s="1">
        <v>13</v>
      </c>
      <c r="AK46" s="1">
        <v>3</v>
      </c>
      <c r="AL46" s="1"/>
      <c r="AM46" s="99"/>
      <c r="AN46" s="99"/>
      <c r="AO46" s="1"/>
      <c r="AP46" s="1"/>
      <c r="AV46" s="18" t="s">
        <v>111</v>
      </c>
      <c r="AW46" s="18" t="s">
        <v>198</v>
      </c>
      <c r="AX46" s="43">
        <f>AX44/AVERAGE(AX45:AY45)*10000/8760</f>
        <v>0.42837443739015679</v>
      </c>
      <c r="AY46" s="43">
        <f t="shared" ref="AY46:BB46" si="12">AY44/AVERAGE(AY45:AZ45)*10000/8760</f>
        <v>0.45275725675549588</v>
      </c>
      <c r="AZ46" s="43">
        <f t="shared" si="12"/>
        <v>0.44591373875605445</v>
      </c>
      <c r="BA46" s="43">
        <f t="shared" si="12"/>
        <v>0.42912440728801532</v>
      </c>
      <c r="BB46" s="43">
        <f t="shared" si="12"/>
        <v>0.42730987854822766</v>
      </c>
      <c r="BC46" s="4"/>
    </row>
    <row r="47" spans="1:55">
      <c r="A47" s="5" t="s">
        <v>85</v>
      </c>
      <c r="B47" s="5"/>
      <c r="C47" s="24">
        <v>1111</v>
      </c>
      <c r="D47" s="24">
        <v>1088</v>
      </c>
      <c r="E47" s="24">
        <v>1029</v>
      </c>
      <c r="F47" s="1">
        <v>954</v>
      </c>
      <c r="G47" s="1">
        <v>919</v>
      </c>
      <c r="H47" s="1"/>
      <c r="I47" s="24">
        <v>32</v>
      </c>
      <c r="J47" s="24">
        <v>28</v>
      </c>
      <c r="K47" s="24">
        <v>26</v>
      </c>
      <c r="L47" s="1">
        <v>25</v>
      </c>
      <c r="M47" s="1">
        <v>23</v>
      </c>
      <c r="N47" s="1"/>
      <c r="O47" s="24">
        <v>895</v>
      </c>
      <c r="P47" s="24">
        <v>887</v>
      </c>
      <c r="Q47" s="24">
        <v>859</v>
      </c>
      <c r="R47" s="1">
        <v>816</v>
      </c>
      <c r="S47" s="1">
        <v>808</v>
      </c>
      <c r="T47" s="1"/>
      <c r="U47" s="99"/>
      <c r="V47" s="99"/>
      <c r="W47" s="99"/>
      <c r="X47" s="99"/>
      <c r="Y47" s="99"/>
      <c r="Z47" s="99"/>
      <c r="AA47" s="1">
        <v>141</v>
      </c>
      <c r="AB47" s="1">
        <v>140</v>
      </c>
      <c r="AC47" s="1">
        <v>125</v>
      </c>
      <c r="AD47" s="1">
        <v>108</v>
      </c>
      <c r="AE47" s="1">
        <v>88</v>
      </c>
      <c r="AF47" s="1"/>
      <c r="AG47" s="1">
        <v>43</v>
      </c>
      <c r="AH47" s="98">
        <v>32</v>
      </c>
      <c r="AI47" s="98">
        <v>20</v>
      </c>
      <c r="AJ47" s="1">
        <v>6</v>
      </c>
      <c r="AK47" s="1">
        <v>1</v>
      </c>
      <c r="AL47" s="1"/>
      <c r="AM47" s="99"/>
      <c r="AN47" s="99"/>
      <c r="AO47" s="1"/>
      <c r="AP47" s="1"/>
    </row>
    <row r="48" spans="1:55">
      <c r="A48" s="5" t="s">
        <v>86</v>
      </c>
      <c r="B48" s="5"/>
      <c r="C48" s="25">
        <v>864</v>
      </c>
      <c r="D48" s="25">
        <v>837</v>
      </c>
      <c r="E48" s="25">
        <v>857</v>
      </c>
      <c r="F48" s="1">
        <v>866</v>
      </c>
      <c r="G48" s="1">
        <v>832</v>
      </c>
      <c r="H48" s="1"/>
      <c r="I48" s="25"/>
      <c r="J48" s="25"/>
      <c r="K48" s="25"/>
      <c r="L48" s="99"/>
      <c r="M48" s="99"/>
      <c r="N48" s="99"/>
      <c r="O48" s="25">
        <v>835</v>
      </c>
      <c r="P48" s="25">
        <v>812</v>
      </c>
      <c r="Q48" s="25">
        <v>833</v>
      </c>
      <c r="R48" s="1">
        <v>846</v>
      </c>
      <c r="S48" s="1">
        <v>818</v>
      </c>
      <c r="T48" s="1"/>
      <c r="U48" s="99"/>
      <c r="V48" s="99"/>
      <c r="W48" s="99"/>
      <c r="X48" s="99"/>
      <c r="Y48" s="99"/>
      <c r="Z48" s="99"/>
      <c r="AA48" s="1">
        <v>19</v>
      </c>
      <c r="AB48" s="98">
        <v>17</v>
      </c>
      <c r="AC48" s="98">
        <v>18</v>
      </c>
      <c r="AD48" s="1">
        <v>17</v>
      </c>
      <c r="AE48" s="1">
        <v>14</v>
      </c>
      <c r="AF48" s="1"/>
      <c r="AG48" s="98">
        <v>10</v>
      </c>
      <c r="AH48" s="98">
        <v>8</v>
      </c>
      <c r="AI48" s="98">
        <v>6</v>
      </c>
      <c r="AJ48" s="1">
        <v>3</v>
      </c>
      <c r="AK48" s="1">
        <v>1</v>
      </c>
      <c r="AL48" s="1"/>
      <c r="AM48" s="99"/>
      <c r="AN48" s="99"/>
      <c r="AO48" s="1"/>
      <c r="AP48" s="1"/>
    </row>
    <row r="49" spans="1:42">
      <c r="A49" s="5" t="s">
        <v>87</v>
      </c>
      <c r="B49" s="5"/>
      <c r="C49" s="26">
        <v>5074</v>
      </c>
      <c r="D49" s="26">
        <v>5062</v>
      </c>
      <c r="E49" s="26">
        <v>5031</v>
      </c>
      <c r="F49" s="1">
        <v>4885</v>
      </c>
      <c r="G49" s="1">
        <v>4754</v>
      </c>
      <c r="H49" s="1"/>
      <c r="I49" s="26">
        <v>32</v>
      </c>
      <c r="J49" s="26">
        <v>31</v>
      </c>
      <c r="K49" s="26">
        <v>34</v>
      </c>
      <c r="L49" s="1">
        <v>29</v>
      </c>
      <c r="M49" s="1">
        <v>17</v>
      </c>
      <c r="N49" s="1"/>
      <c r="O49" s="26">
        <v>4290</v>
      </c>
      <c r="P49" s="26">
        <v>4364</v>
      </c>
      <c r="Q49" s="26">
        <v>4462</v>
      </c>
      <c r="R49" s="1">
        <v>4481</v>
      </c>
      <c r="S49" s="1">
        <v>4438</v>
      </c>
      <c r="T49" s="1"/>
      <c r="U49" s="1">
        <v>355</v>
      </c>
      <c r="V49" s="1">
        <v>329</v>
      </c>
      <c r="W49" s="1">
        <v>242</v>
      </c>
      <c r="X49" s="1">
        <v>173</v>
      </c>
      <c r="Y49" s="1">
        <v>153</v>
      </c>
      <c r="Z49" s="1"/>
      <c r="AA49" s="1">
        <v>229</v>
      </c>
      <c r="AB49" s="1">
        <v>184</v>
      </c>
      <c r="AC49" s="1">
        <v>173</v>
      </c>
      <c r="AD49" s="1">
        <v>120</v>
      </c>
      <c r="AE49" s="1">
        <v>98</v>
      </c>
      <c r="AF49" s="1"/>
      <c r="AG49" s="1">
        <v>167</v>
      </c>
      <c r="AH49" s="1">
        <v>154</v>
      </c>
      <c r="AI49" s="1">
        <v>120</v>
      </c>
      <c r="AJ49" s="1">
        <v>81</v>
      </c>
      <c r="AK49" s="1">
        <v>47</v>
      </c>
      <c r="AL49" s="1"/>
      <c r="AM49" s="1">
        <v>1</v>
      </c>
      <c r="AN49" s="1">
        <v>1</v>
      </c>
      <c r="AO49" s="1">
        <v>0.4</v>
      </c>
      <c r="AP49" s="1"/>
    </row>
    <row r="50" spans="1:42">
      <c r="A50" s="5" t="s">
        <v>88</v>
      </c>
      <c r="B50" s="5"/>
      <c r="C50" s="24">
        <v>3521</v>
      </c>
      <c r="D50" s="24">
        <v>3544</v>
      </c>
      <c r="E50" s="24">
        <v>3508</v>
      </c>
      <c r="F50" s="1">
        <v>3348</v>
      </c>
      <c r="G50" s="1">
        <v>3190</v>
      </c>
      <c r="H50" s="1"/>
      <c r="I50" s="24">
        <v>209</v>
      </c>
      <c r="J50" s="24">
        <v>257</v>
      </c>
      <c r="K50" s="24">
        <v>192</v>
      </c>
      <c r="L50" s="1">
        <v>212</v>
      </c>
      <c r="M50" s="1">
        <v>274</v>
      </c>
      <c r="N50" s="1"/>
      <c r="O50" s="24">
        <v>2432</v>
      </c>
      <c r="P50" s="24">
        <v>2507</v>
      </c>
      <c r="Q50" s="24">
        <v>2598</v>
      </c>
      <c r="R50" s="1">
        <v>2544</v>
      </c>
      <c r="S50" s="1">
        <v>2366</v>
      </c>
      <c r="T50" s="1"/>
      <c r="U50" s="1">
        <v>712</v>
      </c>
      <c r="V50" s="1">
        <v>629</v>
      </c>
      <c r="W50" s="1">
        <v>587</v>
      </c>
      <c r="X50" s="1">
        <v>511</v>
      </c>
      <c r="Y50" s="1">
        <v>504</v>
      </c>
      <c r="Z50" s="1"/>
      <c r="AA50" s="1">
        <v>36</v>
      </c>
      <c r="AB50" s="1">
        <v>33</v>
      </c>
      <c r="AC50" s="1">
        <v>31</v>
      </c>
      <c r="AD50" s="1">
        <v>25</v>
      </c>
      <c r="AE50" s="1">
        <v>23</v>
      </c>
      <c r="AF50" s="1"/>
      <c r="AG50" s="1">
        <v>131</v>
      </c>
      <c r="AH50" s="1">
        <v>119</v>
      </c>
      <c r="AI50" s="1">
        <v>100</v>
      </c>
      <c r="AJ50" s="1">
        <v>56</v>
      </c>
      <c r="AK50" s="1">
        <v>22</v>
      </c>
      <c r="AL50" s="1"/>
      <c r="AM50" s="1">
        <v>0.1</v>
      </c>
      <c r="AN50" s="1">
        <v>0.1</v>
      </c>
      <c r="AO50" s="1">
        <v>0.1</v>
      </c>
      <c r="AP50" s="1">
        <v>0</v>
      </c>
    </row>
    <row r="51" spans="1:42">
      <c r="A51" s="5" t="s">
        <v>89</v>
      </c>
      <c r="B51" s="5"/>
      <c r="C51" s="24">
        <v>2785</v>
      </c>
      <c r="D51" s="24">
        <v>2880</v>
      </c>
      <c r="E51" s="24">
        <v>2726</v>
      </c>
      <c r="F51" s="1">
        <v>2470</v>
      </c>
      <c r="G51" s="1">
        <v>2253</v>
      </c>
      <c r="H51" s="1"/>
      <c r="I51" s="24">
        <v>66</v>
      </c>
      <c r="J51" s="24">
        <v>51</v>
      </c>
      <c r="K51" s="24">
        <v>53</v>
      </c>
      <c r="L51" s="1">
        <v>57</v>
      </c>
      <c r="M51" s="1">
        <v>63</v>
      </c>
      <c r="N51" s="1"/>
      <c r="O51" s="24">
        <v>2531</v>
      </c>
      <c r="P51" s="24">
        <v>2657</v>
      </c>
      <c r="Q51" s="24">
        <v>2519</v>
      </c>
      <c r="R51" s="1">
        <v>2311</v>
      </c>
      <c r="S51" s="1">
        <v>2135</v>
      </c>
      <c r="T51" s="1"/>
      <c r="U51" s="99"/>
      <c r="V51" s="99"/>
      <c r="W51" s="99"/>
      <c r="X51" s="99"/>
      <c r="Y51" s="99"/>
      <c r="Z51" s="99"/>
      <c r="AA51" s="1">
        <v>57</v>
      </c>
      <c r="AB51" s="1">
        <v>47</v>
      </c>
      <c r="AC51" s="1">
        <v>50</v>
      </c>
      <c r="AD51" s="1">
        <v>41</v>
      </c>
      <c r="AE51" s="1">
        <v>34</v>
      </c>
      <c r="AF51" s="1"/>
      <c r="AG51" s="1">
        <v>130</v>
      </c>
      <c r="AH51" s="1">
        <v>125</v>
      </c>
      <c r="AI51" s="1">
        <v>104</v>
      </c>
      <c r="AJ51" s="1">
        <v>62</v>
      </c>
      <c r="AK51" s="1">
        <v>21</v>
      </c>
      <c r="AL51" s="1"/>
      <c r="AM51" s="99"/>
      <c r="AN51" s="99"/>
      <c r="AO51" s="1"/>
      <c r="AP51" s="1"/>
    </row>
    <row r="52" spans="1:42">
      <c r="A52" s="5" t="s">
        <v>90</v>
      </c>
      <c r="B52" s="5"/>
      <c r="C52" s="24">
        <v>2636</v>
      </c>
      <c r="D52" s="24">
        <v>2573</v>
      </c>
      <c r="E52" s="24">
        <v>2462</v>
      </c>
      <c r="F52" s="1">
        <v>2186</v>
      </c>
      <c r="G52" s="1">
        <v>2005</v>
      </c>
      <c r="H52" s="1"/>
      <c r="I52" s="24">
        <v>292</v>
      </c>
      <c r="J52" s="24">
        <v>442</v>
      </c>
      <c r="K52" s="24">
        <v>325</v>
      </c>
      <c r="L52" s="1">
        <v>416</v>
      </c>
      <c r="M52" s="1">
        <v>631</v>
      </c>
      <c r="N52" s="1"/>
      <c r="O52" s="24">
        <v>1551</v>
      </c>
      <c r="P52" s="24">
        <v>1406</v>
      </c>
      <c r="Q52" s="24">
        <v>1405</v>
      </c>
      <c r="R52" s="1">
        <v>1139</v>
      </c>
      <c r="S52" s="1">
        <v>915</v>
      </c>
      <c r="T52" s="1"/>
      <c r="U52" s="1">
        <v>652</v>
      </c>
      <c r="V52" s="1">
        <v>621</v>
      </c>
      <c r="W52" s="1">
        <v>646</v>
      </c>
      <c r="X52" s="1">
        <v>560</v>
      </c>
      <c r="Y52" s="1">
        <v>407</v>
      </c>
      <c r="Z52" s="1"/>
      <c r="AA52" s="1">
        <v>122</v>
      </c>
      <c r="AB52" s="1">
        <v>87</v>
      </c>
      <c r="AC52" s="1">
        <v>72</v>
      </c>
      <c r="AD52" s="1">
        <v>65</v>
      </c>
      <c r="AE52" s="1">
        <v>50</v>
      </c>
      <c r="AF52" s="1"/>
      <c r="AG52" s="1">
        <v>19</v>
      </c>
      <c r="AH52" s="1">
        <v>16</v>
      </c>
      <c r="AI52" s="1">
        <v>14</v>
      </c>
      <c r="AJ52" s="1">
        <v>6</v>
      </c>
      <c r="AK52" s="1">
        <v>1</v>
      </c>
      <c r="AL52" s="1"/>
      <c r="AM52" s="99">
        <v>0.2</v>
      </c>
      <c r="AN52" s="99"/>
      <c r="AO52" s="1"/>
      <c r="AP52" s="1"/>
    </row>
    <row r="53" spans="1:42">
      <c r="A53" s="5" t="s">
        <v>91</v>
      </c>
      <c r="B53" s="5"/>
      <c r="C53" s="24">
        <v>1477</v>
      </c>
      <c r="D53" s="24">
        <v>1403</v>
      </c>
      <c r="E53" s="24">
        <v>1301</v>
      </c>
      <c r="F53" s="1">
        <v>1186</v>
      </c>
      <c r="G53" s="1">
        <v>1085</v>
      </c>
      <c r="H53" s="1"/>
      <c r="I53" s="24">
        <v>145</v>
      </c>
      <c r="J53" s="24">
        <v>168</v>
      </c>
      <c r="K53" s="24">
        <v>116</v>
      </c>
      <c r="L53" s="1">
        <v>157</v>
      </c>
      <c r="M53" s="1">
        <v>199</v>
      </c>
      <c r="N53" s="1"/>
      <c r="O53" s="24">
        <v>1199</v>
      </c>
      <c r="P53" s="24">
        <v>1128</v>
      </c>
      <c r="Q53" s="24">
        <v>1093</v>
      </c>
      <c r="R53" s="1">
        <v>967</v>
      </c>
      <c r="S53" s="1">
        <v>857</v>
      </c>
      <c r="T53" s="1"/>
      <c r="U53" s="99"/>
      <c r="V53" s="99"/>
      <c r="W53" s="99"/>
      <c r="X53" s="99"/>
      <c r="Y53" s="99"/>
      <c r="Z53" s="99"/>
      <c r="AA53" s="1">
        <v>71</v>
      </c>
      <c r="AB53" s="1">
        <v>51</v>
      </c>
      <c r="AC53" s="1">
        <v>41</v>
      </c>
      <c r="AD53" s="1">
        <v>31</v>
      </c>
      <c r="AE53" s="1">
        <v>19</v>
      </c>
      <c r="AF53" s="1"/>
      <c r="AG53" s="1">
        <v>62</v>
      </c>
      <c r="AH53" s="1">
        <v>56</v>
      </c>
      <c r="AI53" s="1">
        <v>52</v>
      </c>
      <c r="AJ53" s="1">
        <v>30</v>
      </c>
      <c r="AK53" s="1">
        <v>11</v>
      </c>
      <c r="AL53" s="1"/>
      <c r="AM53" s="99"/>
      <c r="AN53" s="99"/>
      <c r="AO53" s="1"/>
      <c r="AP53" s="1"/>
    </row>
    <row r="54" spans="1:42">
      <c r="A54" s="5" t="s">
        <v>92</v>
      </c>
      <c r="B54" s="5"/>
      <c r="C54" s="25">
        <v>5781</v>
      </c>
      <c r="D54" s="25">
        <v>5285</v>
      </c>
      <c r="E54" s="25">
        <v>5218</v>
      </c>
      <c r="F54" s="1">
        <v>4860</v>
      </c>
      <c r="G54" s="1">
        <v>4863</v>
      </c>
      <c r="H54" s="1"/>
      <c r="I54" s="25">
        <v>9</v>
      </c>
      <c r="J54" s="25">
        <v>5</v>
      </c>
      <c r="K54" s="25">
        <v>5</v>
      </c>
      <c r="L54" s="1">
        <v>7</v>
      </c>
      <c r="M54" s="1">
        <v>14</v>
      </c>
      <c r="N54" s="1"/>
      <c r="O54" s="25">
        <v>5116</v>
      </c>
      <c r="P54" s="25">
        <v>4680</v>
      </c>
      <c r="Q54" s="25">
        <v>4824</v>
      </c>
      <c r="R54" s="1">
        <v>4615</v>
      </c>
      <c r="S54" s="1">
        <v>4671</v>
      </c>
      <c r="T54" s="1"/>
      <c r="U54" s="1">
        <v>191</v>
      </c>
      <c r="V54" s="1">
        <v>207</v>
      </c>
      <c r="W54" s="1">
        <v>39</v>
      </c>
      <c r="X54" s="1"/>
      <c r="Y54" s="1"/>
      <c r="Z54" s="1"/>
      <c r="AA54" s="1">
        <v>259</v>
      </c>
      <c r="AB54" s="1">
        <v>225</v>
      </c>
      <c r="AC54" s="1">
        <v>214</v>
      </c>
      <c r="AD54" s="1">
        <v>166</v>
      </c>
      <c r="AE54" s="1">
        <v>147</v>
      </c>
      <c r="AF54" s="1"/>
      <c r="AG54" s="1">
        <v>206</v>
      </c>
      <c r="AH54" s="1">
        <v>167</v>
      </c>
      <c r="AI54" s="1">
        <v>137</v>
      </c>
      <c r="AJ54" s="1">
        <v>73</v>
      </c>
      <c r="AK54" s="1">
        <v>31</v>
      </c>
      <c r="AL54" s="1"/>
      <c r="AM54" s="99"/>
      <c r="AN54" s="99"/>
      <c r="AO54" s="1"/>
      <c r="AP54" s="1"/>
    </row>
    <row r="55" spans="1:42">
      <c r="A55" s="5" t="s">
        <v>93</v>
      </c>
      <c r="B55" s="5"/>
      <c r="C55" s="24">
        <v>2791</v>
      </c>
      <c r="D55" s="24">
        <v>2816</v>
      </c>
      <c r="E55" s="24">
        <v>2974</v>
      </c>
      <c r="F55" s="1">
        <v>2703</v>
      </c>
      <c r="G55" s="1">
        <v>2596</v>
      </c>
      <c r="H55" s="1"/>
      <c r="I55" s="24">
        <v>140</v>
      </c>
      <c r="J55" s="24">
        <v>145</v>
      </c>
      <c r="K55" s="24">
        <v>144</v>
      </c>
      <c r="L55" s="1">
        <v>100</v>
      </c>
      <c r="M55" s="1">
        <v>93</v>
      </c>
      <c r="N55" s="1"/>
      <c r="O55" s="24">
        <v>2400</v>
      </c>
      <c r="P55" s="24">
        <v>2481</v>
      </c>
      <c r="Q55" s="24">
        <v>2689</v>
      </c>
      <c r="R55" s="1">
        <v>2528</v>
      </c>
      <c r="S55" s="1">
        <v>2474</v>
      </c>
      <c r="T55" s="1"/>
      <c r="U55" s="99"/>
      <c r="V55" s="99"/>
      <c r="W55" s="99"/>
      <c r="X55" s="99"/>
      <c r="Y55" s="99"/>
      <c r="Z55" s="99"/>
      <c r="AA55" s="1">
        <v>139</v>
      </c>
      <c r="AB55" s="1">
        <v>88</v>
      </c>
      <c r="AC55" s="1">
        <v>57</v>
      </c>
      <c r="AD55" s="1">
        <v>30</v>
      </c>
      <c r="AE55" s="1">
        <v>18</v>
      </c>
      <c r="AF55" s="1"/>
      <c r="AG55" s="1">
        <v>112</v>
      </c>
      <c r="AH55" s="1">
        <v>102</v>
      </c>
      <c r="AI55" s="1">
        <v>84</v>
      </c>
      <c r="AJ55" s="1">
        <v>44</v>
      </c>
      <c r="AK55" s="1">
        <v>12</v>
      </c>
      <c r="AL55" s="1"/>
      <c r="AM55" s="99"/>
      <c r="AN55" s="99"/>
      <c r="AO55" s="1"/>
      <c r="AP55" s="1"/>
    </row>
    <row r="56" spans="1:42">
      <c r="A56" s="5" t="s">
        <v>94</v>
      </c>
      <c r="B56" s="5"/>
      <c r="C56" s="24">
        <v>3037</v>
      </c>
      <c r="D56" s="24">
        <v>2973</v>
      </c>
      <c r="E56" s="24">
        <v>2851</v>
      </c>
      <c r="F56" s="1">
        <v>2646</v>
      </c>
      <c r="G56" s="1">
        <v>2494</v>
      </c>
      <c r="H56" s="1"/>
      <c r="I56" s="24">
        <v>1647</v>
      </c>
      <c r="J56" s="24">
        <v>1357</v>
      </c>
      <c r="K56" s="24">
        <v>1471</v>
      </c>
      <c r="L56" s="1">
        <v>1494</v>
      </c>
      <c r="M56" s="1">
        <v>1399</v>
      </c>
      <c r="N56" s="1"/>
      <c r="O56" s="24">
        <v>1243</v>
      </c>
      <c r="P56" s="24">
        <v>1485</v>
      </c>
      <c r="Q56" s="24">
        <v>1267</v>
      </c>
      <c r="R56" s="1">
        <v>1075</v>
      </c>
      <c r="S56" s="1">
        <v>1048</v>
      </c>
      <c r="T56" s="1"/>
      <c r="U56" s="99"/>
      <c r="V56" s="99"/>
      <c r="W56" s="99"/>
      <c r="X56" s="99"/>
      <c r="Y56" s="99"/>
      <c r="Z56" s="99"/>
      <c r="AA56" s="1">
        <v>82</v>
      </c>
      <c r="AB56" s="1">
        <v>74</v>
      </c>
      <c r="AC56" s="1">
        <v>64</v>
      </c>
      <c r="AD56" s="1">
        <v>48</v>
      </c>
      <c r="AE56" s="1">
        <v>35</v>
      </c>
      <c r="AF56" s="1"/>
      <c r="AG56" s="1">
        <v>65</v>
      </c>
      <c r="AH56" s="1">
        <v>57</v>
      </c>
      <c r="AI56" s="1">
        <v>49</v>
      </c>
      <c r="AJ56" s="1">
        <v>28</v>
      </c>
      <c r="AK56" s="1">
        <v>11</v>
      </c>
      <c r="AL56" s="1"/>
      <c r="AM56" s="99"/>
      <c r="AN56" s="99"/>
      <c r="AO56" s="1"/>
      <c r="AP56" s="1"/>
    </row>
    <row r="57" spans="1:42">
      <c r="A57" s="5" t="s">
        <v>95</v>
      </c>
      <c r="B57" s="5"/>
      <c r="C57" s="24">
        <v>1552</v>
      </c>
      <c r="D57" s="24">
        <v>1551</v>
      </c>
      <c r="E57" s="24">
        <v>1432</v>
      </c>
      <c r="F57" s="1">
        <v>1340</v>
      </c>
      <c r="G57" s="1">
        <v>1334</v>
      </c>
      <c r="H57" s="1"/>
      <c r="I57" s="24">
        <v>574</v>
      </c>
      <c r="J57" s="24">
        <v>544</v>
      </c>
      <c r="K57" s="24">
        <v>432</v>
      </c>
      <c r="L57" s="1">
        <v>498</v>
      </c>
      <c r="M57" s="1">
        <v>560</v>
      </c>
      <c r="N57" s="1"/>
      <c r="O57" s="24">
        <v>849</v>
      </c>
      <c r="P57" s="24">
        <v>906</v>
      </c>
      <c r="Q57" s="24">
        <v>919</v>
      </c>
      <c r="R57" s="1">
        <v>786</v>
      </c>
      <c r="S57" s="1">
        <v>732</v>
      </c>
      <c r="T57" s="1"/>
      <c r="U57" s="99"/>
      <c r="V57" s="99"/>
      <c r="W57" s="99"/>
      <c r="X57" s="99"/>
      <c r="Y57" s="99"/>
      <c r="Z57" s="99"/>
      <c r="AA57" s="1">
        <v>99</v>
      </c>
      <c r="AB57" s="98">
        <v>75</v>
      </c>
      <c r="AC57" s="98">
        <v>60</v>
      </c>
      <c r="AD57" s="1">
        <v>50</v>
      </c>
      <c r="AE57" s="1">
        <v>39</v>
      </c>
      <c r="AF57" s="1"/>
      <c r="AG57" s="98">
        <v>30</v>
      </c>
      <c r="AH57" s="98">
        <v>26</v>
      </c>
      <c r="AI57" s="98">
        <v>20</v>
      </c>
      <c r="AJ57" s="1">
        <v>6</v>
      </c>
      <c r="AK57" s="1">
        <v>2</v>
      </c>
      <c r="AL57" s="1"/>
      <c r="AM57" s="99">
        <v>0.5</v>
      </c>
      <c r="AN57" s="99"/>
      <c r="AO57" s="1"/>
      <c r="AP57" s="1"/>
    </row>
    <row r="58" spans="1:42">
      <c r="A58" s="5" t="s">
        <v>96</v>
      </c>
      <c r="B58" s="5"/>
      <c r="C58" s="26">
        <v>5048</v>
      </c>
      <c r="D58" s="26">
        <v>4852</v>
      </c>
      <c r="E58" s="26">
        <v>4572</v>
      </c>
      <c r="F58" s="1">
        <v>4348</v>
      </c>
      <c r="G58" s="1">
        <v>4036</v>
      </c>
      <c r="H58" s="1"/>
      <c r="I58" s="26">
        <v>286</v>
      </c>
      <c r="J58" s="26">
        <v>397</v>
      </c>
      <c r="K58" s="26">
        <v>292</v>
      </c>
      <c r="L58" s="1">
        <v>301</v>
      </c>
      <c r="M58" s="1">
        <v>423</v>
      </c>
      <c r="N58" s="1"/>
      <c r="O58" s="26">
        <v>3425</v>
      </c>
      <c r="P58" s="26">
        <v>3222</v>
      </c>
      <c r="Q58" s="26">
        <v>3283</v>
      </c>
      <c r="R58" s="1">
        <v>3165</v>
      </c>
      <c r="S58" s="1">
        <v>2850</v>
      </c>
      <c r="T58" s="1"/>
      <c r="U58" s="1">
        <v>1161</v>
      </c>
      <c r="V58" s="1">
        <v>1106</v>
      </c>
      <c r="W58" s="1">
        <v>896</v>
      </c>
      <c r="X58" s="1">
        <v>800</v>
      </c>
      <c r="Y58" s="1">
        <v>705</v>
      </c>
      <c r="Z58" s="1"/>
      <c r="AA58" s="1">
        <v>103</v>
      </c>
      <c r="AB58" s="1">
        <v>74</v>
      </c>
      <c r="AC58" s="1">
        <v>63</v>
      </c>
      <c r="AD58" s="1">
        <v>62</v>
      </c>
      <c r="AE58" s="1">
        <v>50</v>
      </c>
      <c r="AF58" s="1"/>
      <c r="AG58" s="1">
        <v>74</v>
      </c>
      <c r="AH58" s="1">
        <v>53</v>
      </c>
      <c r="AI58" s="1">
        <v>38</v>
      </c>
      <c r="AJ58" s="1">
        <v>20</v>
      </c>
      <c r="AK58" s="1">
        <v>8</v>
      </c>
      <c r="AL58" s="1"/>
      <c r="AM58" s="1"/>
      <c r="AN58" s="1">
        <v>0.2</v>
      </c>
      <c r="AO58" s="1">
        <v>0.2</v>
      </c>
      <c r="AP58" s="1">
        <v>0</v>
      </c>
    </row>
    <row r="59" spans="1:42">
      <c r="A59" s="5" t="s">
        <v>97</v>
      </c>
      <c r="B59" s="5"/>
      <c r="C59" s="24">
        <v>1939</v>
      </c>
      <c r="D59" s="24">
        <v>1827</v>
      </c>
      <c r="E59" s="24">
        <v>1617</v>
      </c>
      <c r="F59" s="1">
        <v>1345</v>
      </c>
      <c r="G59" s="1">
        <v>1276</v>
      </c>
      <c r="H59" s="1"/>
      <c r="I59" s="24">
        <v>615</v>
      </c>
      <c r="J59" s="24">
        <v>593</v>
      </c>
      <c r="K59" s="24">
        <v>609</v>
      </c>
      <c r="L59" s="1">
        <v>614</v>
      </c>
      <c r="M59" s="1">
        <v>600</v>
      </c>
      <c r="N59" s="1"/>
      <c r="O59" s="24">
        <v>1032</v>
      </c>
      <c r="P59" s="24">
        <v>988</v>
      </c>
      <c r="Q59" s="24">
        <v>796</v>
      </c>
      <c r="R59" s="1">
        <v>575</v>
      </c>
      <c r="S59" s="1">
        <v>559</v>
      </c>
      <c r="T59" s="1"/>
      <c r="U59" s="1">
        <v>168</v>
      </c>
      <c r="V59" s="1">
        <v>172</v>
      </c>
      <c r="W59" s="1">
        <v>161</v>
      </c>
      <c r="X59" s="1">
        <v>127</v>
      </c>
      <c r="Y59" s="1">
        <v>103</v>
      </c>
      <c r="Z59" s="1"/>
      <c r="AA59" s="1">
        <v>106</v>
      </c>
      <c r="AB59" s="1">
        <v>61</v>
      </c>
      <c r="AC59" s="1">
        <v>42</v>
      </c>
      <c r="AD59" s="1">
        <v>25</v>
      </c>
      <c r="AE59" s="1">
        <v>13</v>
      </c>
      <c r="AF59" s="1"/>
      <c r="AG59" s="1">
        <v>19</v>
      </c>
      <c r="AH59" s="1">
        <v>14</v>
      </c>
      <c r="AI59" s="1">
        <v>9</v>
      </c>
      <c r="AJ59" s="1">
        <v>4</v>
      </c>
      <c r="AK59" s="1">
        <v>1</v>
      </c>
      <c r="AL59" s="1"/>
      <c r="AM59" s="99"/>
      <c r="AN59" s="99"/>
      <c r="AO59" s="1"/>
      <c r="AP59" s="1"/>
    </row>
    <row r="60" spans="1:42">
      <c r="A60" s="5" t="s">
        <v>98</v>
      </c>
      <c r="B60" s="5"/>
      <c r="C60" s="24">
        <v>348</v>
      </c>
      <c r="D60" s="24">
        <v>345</v>
      </c>
      <c r="E60" s="24">
        <v>327</v>
      </c>
      <c r="F60" s="1">
        <v>305</v>
      </c>
      <c r="G60" s="1">
        <v>288</v>
      </c>
      <c r="H60" s="1"/>
      <c r="I60" s="24">
        <v>17</v>
      </c>
      <c r="J60" s="24">
        <v>17</v>
      </c>
      <c r="K60" s="24">
        <v>27</v>
      </c>
      <c r="L60" s="1">
        <v>26</v>
      </c>
      <c r="M60" s="1">
        <v>23</v>
      </c>
      <c r="N60" s="1"/>
      <c r="O60" s="24">
        <v>215</v>
      </c>
      <c r="P60" s="24">
        <v>212</v>
      </c>
      <c r="Q60" s="24">
        <v>211</v>
      </c>
      <c r="R60" s="1">
        <v>195</v>
      </c>
      <c r="S60" s="1">
        <v>197</v>
      </c>
      <c r="T60" s="1"/>
      <c r="U60" s="1">
        <v>96</v>
      </c>
      <c r="V60" s="1">
        <v>97</v>
      </c>
      <c r="W60" s="1">
        <v>77</v>
      </c>
      <c r="X60" s="1">
        <v>75</v>
      </c>
      <c r="Y60" s="1">
        <v>60</v>
      </c>
      <c r="Z60" s="1"/>
      <c r="AA60" s="1">
        <v>6</v>
      </c>
      <c r="AB60" s="1">
        <v>5</v>
      </c>
      <c r="AC60" s="1">
        <v>5</v>
      </c>
      <c r="AD60" s="1">
        <v>6</v>
      </c>
      <c r="AE60" s="1">
        <v>6</v>
      </c>
      <c r="AF60" s="1"/>
      <c r="AG60" s="1">
        <v>15</v>
      </c>
      <c r="AH60" s="1">
        <v>14</v>
      </c>
      <c r="AI60" s="1">
        <v>6</v>
      </c>
      <c r="AJ60" s="1">
        <v>3</v>
      </c>
      <c r="AK60" s="1">
        <v>3</v>
      </c>
      <c r="AL60" s="1"/>
      <c r="AM60" s="1"/>
      <c r="AN60" s="1">
        <v>1</v>
      </c>
      <c r="AO60" s="1"/>
      <c r="AP60" s="1"/>
    </row>
    <row r="61" spans="1:42">
      <c r="A61" s="5" t="s">
        <v>99</v>
      </c>
      <c r="B61" s="5"/>
      <c r="C61" s="26">
        <v>837</v>
      </c>
      <c r="D61" s="26">
        <v>812</v>
      </c>
      <c r="E61" s="26">
        <v>799</v>
      </c>
      <c r="F61" s="1">
        <v>727</v>
      </c>
      <c r="G61" s="1">
        <v>683</v>
      </c>
      <c r="H61" s="1"/>
      <c r="I61" s="26">
        <v>281</v>
      </c>
      <c r="J61" s="26">
        <v>243</v>
      </c>
      <c r="K61" s="26">
        <v>242</v>
      </c>
      <c r="L61" s="1">
        <v>253</v>
      </c>
      <c r="M61" s="1">
        <v>247</v>
      </c>
      <c r="N61" s="1"/>
      <c r="O61" s="26">
        <v>538</v>
      </c>
      <c r="P61" s="26">
        <v>554</v>
      </c>
      <c r="Q61" s="26">
        <v>547</v>
      </c>
      <c r="R61" s="1">
        <v>467</v>
      </c>
      <c r="S61" s="1">
        <v>431</v>
      </c>
      <c r="T61" s="1"/>
      <c r="U61" s="99"/>
      <c r="V61" s="99"/>
      <c r="W61" s="99"/>
      <c r="X61" s="99"/>
      <c r="Y61" s="99"/>
      <c r="Z61" s="99"/>
      <c r="AA61" s="98">
        <v>14</v>
      </c>
      <c r="AB61" s="98">
        <v>11</v>
      </c>
      <c r="AC61" s="98">
        <v>8</v>
      </c>
      <c r="AD61" s="1">
        <v>7</v>
      </c>
      <c r="AE61" s="1">
        <v>5</v>
      </c>
      <c r="AF61" s="1"/>
      <c r="AG61" s="1">
        <v>4</v>
      </c>
      <c r="AH61" s="98">
        <v>3</v>
      </c>
      <c r="AI61" s="98">
        <v>2</v>
      </c>
      <c r="AJ61" s="1">
        <v>0.2</v>
      </c>
      <c r="AK61" s="1">
        <v>0.02</v>
      </c>
      <c r="AL61" s="1"/>
      <c r="AM61" s="99"/>
      <c r="AN61" s="99"/>
      <c r="AO61" s="1"/>
      <c r="AP61" s="1"/>
    </row>
    <row r="62" spans="1:42">
      <c r="A62" s="5" t="s">
        <v>100</v>
      </c>
      <c r="B62" s="5"/>
      <c r="C62" s="24">
        <v>4167</v>
      </c>
      <c r="D62" s="24">
        <v>3903</v>
      </c>
      <c r="E62" s="24">
        <v>3761</v>
      </c>
      <c r="F62" s="1">
        <v>3569</v>
      </c>
      <c r="G62" s="1">
        <v>3370</v>
      </c>
      <c r="H62" s="1"/>
      <c r="I62" s="24">
        <v>3541</v>
      </c>
      <c r="J62" s="24">
        <v>3316</v>
      </c>
      <c r="K62" s="24">
        <v>3249</v>
      </c>
      <c r="L62" s="1">
        <v>3164</v>
      </c>
      <c r="M62" s="1">
        <v>2989</v>
      </c>
      <c r="N62" s="1"/>
      <c r="O62" s="24">
        <v>513</v>
      </c>
      <c r="P62" s="24">
        <v>488</v>
      </c>
      <c r="Q62" s="24">
        <v>435</v>
      </c>
      <c r="R62" s="1">
        <v>354</v>
      </c>
      <c r="S62" s="1">
        <v>349</v>
      </c>
      <c r="T62" s="1"/>
      <c r="U62" s="99"/>
      <c r="V62" s="99"/>
      <c r="W62" s="99"/>
      <c r="X62" s="99"/>
      <c r="Y62" s="99"/>
      <c r="Z62" s="99"/>
      <c r="AA62" s="1">
        <v>86</v>
      </c>
      <c r="AB62" s="1">
        <v>71</v>
      </c>
      <c r="AC62" s="1">
        <v>55</v>
      </c>
      <c r="AD62" s="1">
        <v>35</v>
      </c>
      <c r="AE62" s="1">
        <v>21</v>
      </c>
      <c r="AF62" s="1"/>
      <c r="AG62" s="98">
        <v>27</v>
      </c>
      <c r="AH62" s="98">
        <v>28</v>
      </c>
      <c r="AI62" s="98">
        <v>22</v>
      </c>
      <c r="AJ62" s="1">
        <v>16</v>
      </c>
      <c r="AK62" s="1">
        <v>11</v>
      </c>
      <c r="AL62" s="1"/>
      <c r="AM62" s="99"/>
      <c r="AN62" s="99"/>
      <c r="AO62" s="1"/>
      <c r="AP62" s="1"/>
    </row>
    <row r="63" spans="1:42">
      <c r="A63" s="5" t="s">
        <v>101</v>
      </c>
      <c r="B63" s="5"/>
      <c r="C63" s="26">
        <v>2327</v>
      </c>
      <c r="D63" s="26">
        <v>2257</v>
      </c>
      <c r="E63" s="26">
        <v>2117</v>
      </c>
      <c r="F63" s="1">
        <v>2012</v>
      </c>
      <c r="G63" s="1">
        <v>1955</v>
      </c>
      <c r="H63" s="1"/>
      <c r="I63" s="26">
        <v>831</v>
      </c>
      <c r="J63" s="26">
        <v>769</v>
      </c>
      <c r="K63" s="26">
        <v>770</v>
      </c>
      <c r="L63" s="1">
        <v>733</v>
      </c>
      <c r="M63" s="1">
        <v>727</v>
      </c>
      <c r="N63" s="1"/>
      <c r="O63" s="26">
        <v>1354</v>
      </c>
      <c r="P63" s="26">
        <v>1390</v>
      </c>
      <c r="Q63" s="26">
        <v>1263</v>
      </c>
      <c r="R63" s="1">
        <v>1210</v>
      </c>
      <c r="S63" s="1">
        <v>1171</v>
      </c>
      <c r="T63" s="1"/>
      <c r="U63" s="99"/>
      <c r="V63" s="99"/>
      <c r="W63" s="99"/>
      <c r="X63" s="99"/>
      <c r="Y63" s="99"/>
      <c r="Z63" s="99"/>
      <c r="AA63" s="1">
        <v>97</v>
      </c>
      <c r="AB63" s="98">
        <v>78</v>
      </c>
      <c r="AC63" s="98">
        <v>68</v>
      </c>
      <c r="AD63" s="1">
        <v>63</v>
      </c>
      <c r="AE63" s="1">
        <v>55</v>
      </c>
      <c r="AF63" s="1"/>
      <c r="AG63" s="98">
        <v>45</v>
      </c>
      <c r="AH63" s="98">
        <v>20</v>
      </c>
      <c r="AI63" s="98">
        <v>16</v>
      </c>
      <c r="AJ63" s="1">
        <v>6</v>
      </c>
      <c r="AK63" s="1">
        <v>1</v>
      </c>
      <c r="AL63" s="1"/>
      <c r="AM63" s="99"/>
      <c r="AN63" s="99"/>
      <c r="AO63" s="1"/>
      <c r="AP63" s="1"/>
    </row>
    <row r="64" spans="1:42">
      <c r="A64" s="5" t="s">
        <v>102</v>
      </c>
      <c r="B64" s="5"/>
      <c r="C64" s="24">
        <v>3674</v>
      </c>
      <c r="D64" s="24">
        <v>3462</v>
      </c>
      <c r="E64" s="24">
        <v>3244</v>
      </c>
      <c r="F64" s="1">
        <v>2958</v>
      </c>
      <c r="G64" s="1">
        <v>2693</v>
      </c>
      <c r="H64" s="1"/>
      <c r="I64" s="24">
        <v>2960</v>
      </c>
      <c r="J64" s="24">
        <v>2854</v>
      </c>
      <c r="K64" s="24">
        <v>2699</v>
      </c>
      <c r="L64" s="1">
        <v>2502</v>
      </c>
      <c r="M64" s="1">
        <v>2268</v>
      </c>
      <c r="N64" s="1"/>
      <c r="O64" s="24">
        <v>415</v>
      </c>
      <c r="P64" s="24">
        <v>318</v>
      </c>
      <c r="Q64" s="24">
        <v>290</v>
      </c>
      <c r="R64" s="1">
        <v>240</v>
      </c>
      <c r="S64" s="1">
        <v>253</v>
      </c>
      <c r="T64" s="1"/>
      <c r="U64" s="99"/>
      <c r="V64" s="99"/>
      <c r="W64" s="99"/>
      <c r="X64" s="99"/>
      <c r="Y64" s="99"/>
      <c r="Z64" s="99"/>
      <c r="AA64" s="1">
        <v>250</v>
      </c>
      <c r="AB64" s="1">
        <v>242</v>
      </c>
      <c r="AC64" s="1">
        <v>220</v>
      </c>
      <c r="AD64" s="1">
        <v>188</v>
      </c>
      <c r="AE64" s="1">
        <v>149</v>
      </c>
      <c r="AF64" s="1"/>
      <c r="AG64" s="1">
        <v>50</v>
      </c>
      <c r="AH64" s="1">
        <v>48</v>
      </c>
      <c r="AI64" s="1">
        <v>34</v>
      </c>
      <c r="AJ64" s="1">
        <v>28</v>
      </c>
      <c r="AK64" s="1">
        <v>23</v>
      </c>
      <c r="AL64" s="1"/>
      <c r="AM64" s="99">
        <v>0.01</v>
      </c>
      <c r="AN64" s="99"/>
      <c r="AO64" s="1"/>
      <c r="AP64" s="1"/>
    </row>
    <row r="65" spans="1:42">
      <c r="A65" s="5" t="s">
        <v>103</v>
      </c>
      <c r="B65" s="5"/>
      <c r="C65" s="24">
        <v>87</v>
      </c>
      <c r="D65" s="24">
        <v>84</v>
      </c>
      <c r="E65" s="24">
        <v>67</v>
      </c>
      <c r="F65" s="1">
        <v>58</v>
      </c>
      <c r="G65" s="1">
        <v>51</v>
      </c>
      <c r="H65" s="1"/>
      <c r="I65" s="24">
        <v>70</v>
      </c>
      <c r="J65" s="24">
        <v>68</v>
      </c>
      <c r="K65" s="24">
        <v>57</v>
      </c>
      <c r="L65" s="1">
        <v>51</v>
      </c>
      <c r="M65" s="1">
        <v>46</v>
      </c>
      <c r="N65" s="1"/>
      <c r="O65" s="24">
        <v>1</v>
      </c>
      <c r="P65" s="24">
        <v>1</v>
      </c>
      <c r="Q65" s="24">
        <v>1</v>
      </c>
      <c r="R65" s="1">
        <v>0.4</v>
      </c>
      <c r="S65" s="1">
        <v>0.3</v>
      </c>
      <c r="T65" s="1"/>
      <c r="U65" s="99"/>
      <c r="V65" s="99"/>
      <c r="W65" s="99"/>
      <c r="X65" s="99"/>
      <c r="Y65" s="99"/>
      <c r="Z65" s="99"/>
      <c r="AA65" s="98">
        <v>0.14000000000000001</v>
      </c>
      <c r="AB65" s="1">
        <v>0.16</v>
      </c>
      <c r="AC65" s="1">
        <v>0.14000000000000001</v>
      </c>
      <c r="AD65" s="1">
        <v>0.1</v>
      </c>
      <c r="AE65" s="1">
        <v>0.14000000000000001</v>
      </c>
      <c r="AF65" s="1"/>
      <c r="AG65" s="1">
        <v>14</v>
      </c>
      <c r="AH65" s="98">
        <v>13</v>
      </c>
      <c r="AI65" s="98">
        <v>8</v>
      </c>
      <c r="AJ65" s="1">
        <v>6</v>
      </c>
      <c r="AK65" s="1">
        <v>4</v>
      </c>
      <c r="AL65" s="1"/>
      <c r="AM65" s="98">
        <v>1</v>
      </c>
      <c r="AN65" s="98">
        <v>1</v>
      </c>
      <c r="AO65" s="1">
        <v>1</v>
      </c>
      <c r="AP65" s="1">
        <v>1</v>
      </c>
    </row>
    <row r="66" spans="1:42">
      <c r="A66" s="5" t="s">
        <v>104</v>
      </c>
      <c r="B66" s="5"/>
      <c r="C66" s="24">
        <v>2426</v>
      </c>
      <c r="D66" s="24">
        <v>2223</v>
      </c>
      <c r="E66" s="24">
        <v>2005</v>
      </c>
      <c r="F66" s="1">
        <v>1962</v>
      </c>
      <c r="G66" s="1">
        <v>1464</v>
      </c>
      <c r="H66" s="1"/>
      <c r="I66" s="24">
        <v>128</v>
      </c>
      <c r="J66" s="24">
        <v>129</v>
      </c>
      <c r="K66" s="24">
        <v>102</v>
      </c>
      <c r="L66" s="1">
        <v>109</v>
      </c>
      <c r="M66" s="1">
        <v>69</v>
      </c>
      <c r="N66" s="1"/>
      <c r="O66" s="24">
        <v>2084</v>
      </c>
      <c r="P66" s="24">
        <v>1917</v>
      </c>
      <c r="Q66" s="24">
        <v>1761</v>
      </c>
      <c r="R66" s="1">
        <v>1747</v>
      </c>
      <c r="S66" s="1">
        <v>1346</v>
      </c>
      <c r="T66" s="1"/>
      <c r="U66" s="99"/>
      <c r="V66" s="99"/>
      <c r="W66" s="99"/>
      <c r="X66" s="99"/>
      <c r="Y66" s="99"/>
      <c r="Z66" s="99"/>
      <c r="AA66" s="1">
        <v>95</v>
      </c>
      <c r="AB66" s="1">
        <v>83</v>
      </c>
      <c r="AC66" s="1">
        <v>72</v>
      </c>
      <c r="AD66" s="1">
        <v>54</v>
      </c>
      <c r="AE66" s="1">
        <v>28</v>
      </c>
      <c r="AF66" s="1"/>
      <c r="AG66" s="1">
        <v>119</v>
      </c>
      <c r="AH66" s="1">
        <v>94</v>
      </c>
      <c r="AI66" s="1">
        <v>71</v>
      </c>
      <c r="AJ66" s="1">
        <v>52</v>
      </c>
      <c r="AK66" s="1">
        <v>20</v>
      </c>
      <c r="AL66" s="1"/>
      <c r="AM66" s="99"/>
      <c r="AN66" s="99"/>
      <c r="AO66" s="1"/>
      <c r="AP66" s="1"/>
    </row>
    <row r="67" spans="1:42">
      <c r="A67" s="5" t="s">
        <v>105</v>
      </c>
      <c r="B67" s="5"/>
      <c r="C67" s="25">
        <v>1787</v>
      </c>
      <c r="D67" s="25">
        <v>1659</v>
      </c>
      <c r="E67" s="25">
        <v>1599</v>
      </c>
      <c r="F67" s="1">
        <v>1342</v>
      </c>
      <c r="G67" s="1">
        <v>1209</v>
      </c>
      <c r="H67" s="1"/>
      <c r="I67" s="25">
        <v>507</v>
      </c>
      <c r="J67" s="25">
        <v>496</v>
      </c>
      <c r="K67" s="25">
        <v>444</v>
      </c>
      <c r="L67" s="1">
        <v>374</v>
      </c>
      <c r="M67" s="1">
        <v>314</v>
      </c>
      <c r="N67" s="1"/>
      <c r="O67" s="25">
        <v>901</v>
      </c>
      <c r="P67" s="25">
        <v>817</v>
      </c>
      <c r="Q67" s="25">
        <v>830</v>
      </c>
      <c r="R67" s="1">
        <v>707</v>
      </c>
      <c r="S67" s="1">
        <v>699</v>
      </c>
      <c r="T67" s="1"/>
      <c r="U67" s="99"/>
      <c r="V67" s="99"/>
      <c r="W67" s="99"/>
      <c r="X67" s="99"/>
      <c r="Y67" s="99"/>
      <c r="Z67" s="99"/>
      <c r="AA67" s="98">
        <v>246</v>
      </c>
      <c r="AB67" s="1">
        <v>228</v>
      </c>
      <c r="AC67" s="1">
        <v>230</v>
      </c>
      <c r="AD67" s="1">
        <v>188</v>
      </c>
      <c r="AE67" s="1">
        <v>136</v>
      </c>
      <c r="AF67" s="1"/>
      <c r="AG67" s="98">
        <v>133</v>
      </c>
      <c r="AH67" s="1">
        <v>118</v>
      </c>
      <c r="AI67" s="1">
        <v>95</v>
      </c>
      <c r="AJ67" s="1">
        <v>73</v>
      </c>
      <c r="AK67" s="1">
        <v>60</v>
      </c>
      <c r="AL67" s="1"/>
      <c r="AM67" s="99"/>
      <c r="AN67" s="99"/>
      <c r="AO67" s="1"/>
      <c r="AP67" s="1"/>
    </row>
    <row r="68" spans="1:42">
      <c r="A68" s="5" t="s">
        <v>106</v>
      </c>
      <c r="B68" s="5"/>
      <c r="C68" s="26">
        <v>948</v>
      </c>
      <c r="D68" s="26">
        <v>883</v>
      </c>
      <c r="E68" s="26">
        <v>805</v>
      </c>
      <c r="F68" s="1">
        <v>616</v>
      </c>
      <c r="G68" s="1">
        <v>553</v>
      </c>
      <c r="H68" s="1"/>
      <c r="I68" s="26">
        <v>599</v>
      </c>
      <c r="J68" s="26">
        <v>554</v>
      </c>
      <c r="K68" s="26">
        <v>517</v>
      </c>
      <c r="L68" s="1">
        <v>332</v>
      </c>
      <c r="M68" s="1">
        <v>302</v>
      </c>
      <c r="N68" s="1"/>
      <c r="O68" s="26">
        <v>101</v>
      </c>
      <c r="P68" s="26">
        <v>104</v>
      </c>
      <c r="Q68" s="26">
        <v>120</v>
      </c>
      <c r="R68" s="1">
        <v>153</v>
      </c>
      <c r="S68" s="1">
        <v>151</v>
      </c>
      <c r="T68" s="1"/>
      <c r="U68" s="99"/>
      <c r="V68" s="99"/>
      <c r="W68" s="99"/>
      <c r="X68" s="99"/>
      <c r="Y68" s="99"/>
      <c r="Z68" s="99"/>
      <c r="AA68" s="1">
        <v>82</v>
      </c>
      <c r="AB68" s="1">
        <v>66</v>
      </c>
      <c r="AC68" s="1">
        <v>38</v>
      </c>
      <c r="AD68" s="1">
        <v>18</v>
      </c>
      <c r="AE68" s="1">
        <v>10</v>
      </c>
      <c r="AF68" s="1"/>
      <c r="AG68" s="1">
        <v>167</v>
      </c>
      <c r="AH68" s="1">
        <v>158</v>
      </c>
      <c r="AI68" s="1">
        <v>131</v>
      </c>
      <c r="AJ68" s="1">
        <v>113</v>
      </c>
      <c r="AK68" s="1">
        <v>90</v>
      </c>
      <c r="AL68" s="1"/>
      <c r="AM68" s="99"/>
      <c r="AN68" s="99"/>
      <c r="AO68" s="1"/>
      <c r="AP68" s="1"/>
    </row>
    <row r="69" spans="1:42">
      <c r="A69" s="5" t="s">
        <v>107</v>
      </c>
      <c r="B69" s="5"/>
      <c r="C69" s="24">
        <v>1768</v>
      </c>
      <c r="D69" s="24">
        <v>1703</v>
      </c>
      <c r="E69" s="24">
        <v>1614</v>
      </c>
      <c r="F69" s="1">
        <v>1404</v>
      </c>
      <c r="G69" s="1">
        <v>1187</v>
      </c>
      <c r="H69" s="1"/>
      <c r="I69" s="24">
        <v>22</v>
      </c>
      <c r="J69" s="24">
        <v>22</v>
      </c>
      <c r="K69" s="24">
        <v>20</v>
      </c>
      <c r="L69" s="1">
        <v>16</v>
      </c>
      <c r="M69" s="1">
        <v>14</v>
      </c>
      <c r="N69" s="1"/>
      <c r="O69" s="24">
        <v>1415</v>
      </c>
      <c r="P69" s="24">
        <v>1381</v>
      </c>
      <c r="Q69" s="24">
        <v>1310</v>
      </c>
      <c r="R69" s="1">
        <v>1158</v>
      </c>
      <c r="S69" s="1">
        <v>989</v>
      </c>
      <c r="T69" s="1"/>
      <c r="U69" s="99"/>
      <c r="V69" s="99"/>
      <c r="W69" s="99"/>
      <c r="X69" s="99"/>
      <c r="Y69" s="99"/>
      <c r="Z69" s="99"/>
      <c r="AA69" s="1">
        <v>194</v>
      </c>
      <c r="AB69" s="1">
        <v>186</v>
      </c>
      <c r="AC69" s="1">
        <v>187</v>
      </c>
      <c r="AD69" s="1">
        <v>155</v>
      </c>
      <c r="AE69" s="1">
        <v>129</v>
      </c>
      <c r="AF69" s="1"/>
      <c r="AG69" s="1">
        <v>136</v>
      </c>
      <c r="AH69" s="1">
        <v>115</v>
      </c>
      <c r="AI69" s="1">
        <v>97</v>
      </c>
      <c r="AJ69" s="1">
        <v>76</v>
      </c>
      <c r="AK69" s="1">
        <v>55</v>
      </c>
      <c r="AL69" s="1"/>
      <c r="AM69" s="99"/>
      <c r="AN69" s="99"/>
      <c r="AO69" s="1"/>
      <c r="AP69" s="1"/>
    </row>
    <row r="70" spans="1:42">
      <c r="A70" s="5" t="s">
        <v>108</v>
      </c>
      <c r="B70" s="5"/>
      <c r="C70" s="26">
        <v>4052</v>
      </c>
      <c r="D70" s="26">
        <v>3606</v>
      </c>
      <c r="E70" s="26">
        <v>3235</v>
      </c>
      <c r="F70" s="1">
        <v>3030</v>
      </c>
      <c r="G70" s="1">
        <v>2693</v>
      </c>
      <c r="H70" s="1"/>
      <c r="I70" s="26">
        <v>268</v>
      </c>
      <c r="J70" s="26">
        <v>290</v>
      </c>
      <c r="K70" s="26">
        <v>254</v>
      </c>
      <c r="L70" s="1">
        <v>256</v>
      </c>
      <c r="M70" s="1">
        <v>211</v>
      </c>
      <c r="N70" s="1"/>
      <c r="O70" s="26">
        <v>3193</v>
      </c>
      <c r="P70" s="26">
        <v>2777</v>
      </c>
      <c r="Q70" s="26">
        <v>2506</v>
      </c>
      <c r="R70" s="1">
        <v>2349</v>
      </c>
      <c r="S70" s="1">
        <v>2195</v>
      </c>
      <c r="T70" s="1"/>
      <c r="U70" s="99"/>
      <c r="V70" s="99"/>
      <c r="W70" s="99"/>
      <c r="X70" s="99"/>
      <c r="Y70" s="99"/>
      <c r="Z70" s="99"/>
      <c r="AA70" s="1">
        <v>434</v>
      </c>
      <c r="AB70" s="1">
        <v>407</v>
      </c>
      <c r="AC70" s="1">
        <v>358</v>
      </c>
      <c r="AD70" s="1">
        <v>318</v>
      </c>
      <c r="AE70" s="1">
        <v>220</v>
      </c>
      <c r="AF70" s="1"/>
      <c r="AG70" s="1">
        <v>157</v>
      </c>
      <c r="AH70" s="1">
        <v>132</v>
      </c>
      <c r="AI70" s="1">
        <v>116</v>
      </c>
      <c r="AJ70" s="1">
        <v>107</v>
      </c>
      <c r="AK70" s="1">
        <v>67</v>
      </c>
      <c r="AL70" s="1"/>
      <c r="AM70" s="99"/>
      <c r="AN70" s="99"/>
      <c r="AO70" s="1"/>
      <c r="AP70" s="1"/>
    </row>
  </sheetData>
  <mergeCells count="20">
    <mergeCell ref="AV41:AV42"/>
    <mergeCell ref="AF2:AK2"/>
    <mergeCell ref="AL2:AP2"/>
    <mergeCell ref="B37:G37"/>
    <mergeCell ref="H37:M37"/>
    <mergeCell ref="N37:S37"/>
    <mergeCell ref="T37:Y37"/>
    <mergeCell ref="Z37:AE37"/>
    <mergeCell ref="AF37:AK37"/>
    <mergeCell ref="AL37:AP37"/>
    <mergeCell ref="B2:G2"/>
    <mergeCell ref="H2:M2"/>
    <mergeCell ref="N2:S2"/>
    <mergeCell ref="T2:Y2"/>
    <mergeCell ref="Z2:AE2"/>
    <mergeCell ref="AR2:AV2"/>
    <mergeCell ref="AX2:BB2"/>
    <mergeCell ref="A37:A38"/>
    <mergeCell ref="A2:A3"/>
    <mergeCell ref="AV39:AV40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8"/>
  <sheetViews>
    <sheetView topLeftCell="B1" workbookViewId="0">
      <selection activeCell="K31" sqref="K31"/>
    </sheetView>
  </sheetViews>
  <sheetFormatPr defaultRowHeight="12.75"/>
  <cols>
    <col min="1" max="22" width="7.5703125" customWidth="1"/>
  </cols>
  <sheetData>
    <row r="1" spans="1:34" ht="12.75" customHeight="1">
      <c r="A1" s="118" t="s">
        <v>45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</row>
    <row r="2" spans="1:34" ht="12.75" customHeight="1">
      <c r="A2" s="109" t="s">
        <v>34</v>
      </c>
      <c r="B2" s="109" t="s">
        <v>35</v>
      </c>
      <c r="C2" s="119" t="s">
        <v>36</v>
      </c>
      <c r="D2" s="119"/>
      <c r="E2" s="112" t="s">
        <v>37</v>
      </c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4"/>
      <c r="S2" s="109" t="s">
        <v>38</v>
      </c>
      <c r="T2" s="109" t="s">
        <v>39</v>
      </c>
      <c r="U2" s="120" t="s">
        <v>1</v>
      </c>
      <c r="V2" s="109" t="s">
        <v>40</v>
      </c>
    </row>
    <row r="3" spans="1:34">
      <c r="A3" s="110"/>
      <c r="B3" s="109"/>
      <c r="C3" s="109" t="s">
        <v>35</v>
      </c>
      <c r="D3" s="109" t="s">
        <v>41</v>
      </c>
      <c r="E3" s="109" t="s">
        <v>35</v>
      </c>
      <c r="F3" s="109" t="s">
        <v>42</v>
      </c>
      <c r="G3" s="109"/>
      <c r="H3" s="109"/>
      <c r="I3" s="115" t="s">
        <v>43</v>
      </c>
      <c r="J3" s="116"/>
      <c r="K3" s="117"/>
      <c r="L3" s="109" t="s">
        <v>44</v>
      </c>
      <c r="M3" s="115" t="s">
        <v>40</v>
      </c>
      <c r="N3" s="116"/>
      <c r="O3" s="116"/>
      <c r="P3" s="116"/>
      <c r="Q3" s="116"/>
      <c r="R3" s="117"/>
      <c r="S3" s="109"/>
      <c r="T3" s="109"/>
      <c r="U3" s="120"/>
      <c r="V3" s="109"/>
      <c r="AB3" s="22" t="s">
        <v>55</v>
      </c>
      <c r="AC3" s="18" t="s">
        <v>56</v>
      </c>
      <c r="AD3" s="18" t="s">
        <v>51</v>
      </c>
      <c r="AE3" s="18" t="s">
        <v>52</v>
      </c>
      <c r="AF3" s="18" t="s">
        <v>53</v>
      </c>
      <c r="AG3" s="18" t="s">
        <v>54</v>
      </c>
    </row>
    <row r="4" spans="1:34" ht="48">
      <c r="A4" s="110"/>
      <c r="B4" s="109"/>
      <c r="C4" s="109"/>
      <c r="D4" s="109"/>
      <c r="E4" s="109"/>
      <c r="F4" s="2" t="s">
        <v>35</v>
      </c>
      <c r="G4" s="2" t="s">
        <v>61</v>
      </c>
      <c r="H4" s="2" t="s">
        <v>0</v>
      </c>
      <c r="I4" s="2" t="s">
        <v>35</v>
      </c>
      <c r="J4" s="2" t="s">
        <v>60</v>
      </c>
      <c r="K4" s="2" t="s">
        <v>46</v>
      </c>
      <c r="L4" s="109"/>
      <c r="M4" s="2" t="s">
        <v>35</v>
      </c>
      <c r="N4" s="2" t="s">
        <v>58</v>
      </c>
      <c r="O4" s="2" t="s">
        <v>57</v>
      </c>
      <c r="P4" s="2" t="s">
        <v>59</v>
      </c>
      <c r="Q4" s="6" t="s">
        <v>47</v>
      </c>
      <c r="R4" s="6" t="s">
        <v>48</v>
      </c>
      <c r="S4" s="109"/>
      <c r="T4" s="109"/>
      <c r="U4" s="120"/>
      <c r="V4" s="109"/>
      <c r="AB4" s="2" t="s">
        <v>50</v>
      </c>
      <c r="AC4" s="6" t="s">
        <v>49</v>
      </c>
      <c r="AD4" s="6" t="s">
        <v>49</v>
      </c>
      <c r="AE4" s="6" t="s">
        <v>49</v>
      </c>
      <c r="AF4" s="6" t="s">
        <v>49</v>
      </c>
      <c r="AG4" s="6" t="s">
        <v>49</v>
      </c>
    </row>
    <row r="5" spans="1:34">
      <c r="A5" s="3" t="s">
        <v>5</v>
      </c>
      <c r="B5" s="24">
        <v>160522</v>
      </c>
      <c r="C5" s="24">
        <v>30010</v>
      </c>
      <c r="D5" s="24"/>
      <c r="E5" s="24">
        <v>105580</v>
      </c>
      <c r="F5" s="24">
        <v>94654</v>
      </c>
      <c r="G5" s="24"/>
      <c r="H5" s="24"/>
      <c r="I5" s="24">
        <v>7011</v>
      </c>
      <c r="J5" s="24"/>
      <c r="K5" s="24"/>
      <c r="L5" s="24">
        <v>210</v>
      </c>
      <c r="M5" s="24">
        <v>4220</v>
      </c>
      <c r="N5" s="24"/>
      <c r="O5" s="24">
        <v>576</v>
      </c>
      <c r="P5" s="24">
        <v>776</v>
      </c>
      <c r="Q5" s="24">
        <v>45</v>
      </c>
      <c r="R5" s="24"/>
      <c r="S5" s="24">
        <v>3364</v>
      </c>
      <c r="T5" s="24">
        <v>14744</v>
      </c>
      <c r="U5" s="24">
        <v>6819</v>
      </c>
      <c r="V5" s="24">
        <v>5</v>
      </c>
      <c r="X5">
        <f>B5-C5-E5-S5-T5-U5-V5</f>
        <v>0</v>
      </c>
      <c r="Y5">
        <f>E5-F5-I5-L5-M5</f>
        <v>-515</v>
      </c>
      <c r="Z5">
        <f>M5-N5-O5-P5</f>
        <v>2868</v>
      </c>
      <c r="AB5" s="19" t="s">
        <v>5</v>
      </c>
      <c r="AC5" s="9">
        <v>12143</v>
      </c>
      <c r="AD5" s="10">
        <v>1179</v>
      </c>
      <c r="AE5" s="10">
        <v>5048</v>
      </c>
      <c r="AF5" s="10">
        <v>2024</v>
      </c>
      <c r="AG5" s="11">
        <v>3171</v>
      </c>
      <c r="AH5">
        <f>AC5-AD5-AE5-AF5-AG5</f>
        <v>721</v>
      </c>
    </row>
    <row r="6" spans="1:34">
      <c r="A6" s="2" t="s">
        <v>6</v>
      </c>
      <c r="B6" s="25">
        <v>1092</v>
      </c>
      <c r="C6" s="24">
        <v>98</v>
      </c>
      <c r="D6" s="24"/>
      <c r="E6" s="25">
        <v>970</v>
      </c>
      <c r="F6" s="25">
        <v>85</v>
      </c>
      <c r="G6" s="24"/>
      <c r="H6" s="24"/>
      <c r="I6" s="25">
        <v>850</v>
      </c>
      <c r="J6" s="25"/>
      <c r="K6" s="24"/>
      <c r="L6" s="24">
        <v>22</v>
      </c>
      <c r="M6" s="25">
        <v>15</v>
      </c>
      <c r="N6" s="25"/>
      <c r="O6" s="24">
        <v>13</v>
      </c>
      <c r="P6" s="24"/>
      <c r="Q6" s="25">
        <v>1</v>
      </c>
      <c r="R6" s="25"/>
      <c r="S6" s="25"/>
      <c r="T6" s="24">
        <v>19</v>
      </c>
      <c r="U6" s="24">
        <v>5</v>
      </c>
      <c r="V6" s="25"/>
      <c r="X6">
        <f t="shared" ref="X6:X36" si="0">B6-C6-E6-S6-T6-U6-V6</f>
        <v>0</v>
      </c>
      <c r="Y6">
        <f t="shared" ref="Y6:Y36" si="1">E6-F6-I6-L6-M6</f>
        <v>-2</v>
      </c>
      <c r="Z6">
        <f>M6-N6-O6-P6</f>
        <v>2</v>
      </c>
      <c r="AB6" s="20" t="s">
        <v>6</v>
      </c>
      <c r="AC6" s="12">
        <v>32</v>
      </c>
      <c r="AD6" s="13"/>
      <c r="AE6" s="14">
        <v>6</v>
      </c>
      <c r="AF6" s="14">
        <v>7</v>
      </c>
      <c r="AG6" s="15">
        <v>18</v>
      </c>
      <c r="AH6">
        <f t="shared" ref="AH6:AH36" si="2">AC6-AD6-AE6-AF6-AG6</f>
        <v>1</v>
      </c>
    </row>
    <row r="7" spans="1:34">
      <c r="A7" s="2" t="s">
        <v>7</v>
      </c>
      <c r="B7" s="25">
        <v>1458</v>
      </c>
      <c r="C7" s="24"/>
      <c r="D7" s="24"/>
      <c r="E7" s="25">
        <v>1377</v>
      </c>
      <c r="F7" s="25">
        <v>1076</v>
      </c>
      <c r="G7" s="24"/>
      <c r="H7" s="24"/>
      <c r="I7" s="25">
        <v>277</v>
      </c>
      <c r="J7" s="25"/>
      <c r="K7" s="24"/>
      <c r="L7" s="24"/>
      <c r="M7" s="25">
        <v>25</v>
      </c>
      <c r="N7" s="25"/>
      <c r="O7" s="24">
        <v>10</v>
      </c>
      <c r="P7" s="24"/>
      <c r="Q7" s="25"/>
      <c r="R7" s="25"/>
      <c r="S7" s="25"/>
      <c r="T7" s="24">
        <v>28</v>
      </c>
      <c r="U7" s="24">
        <v>54</v>
      </c>
      <c r="V7" s="25"/>
      <c r="X7">
        <f t="shared" si="0"/>
        <v>-1</v>
      </c>
      <c r="Y7">
        <f t="shared" si="1"/>
        <v>-1</v>
      </c>
      <c r="Z7">
        <f t="shared" ref="Z7:Z36" si="3">M7-N7-O7-P7</f>
        <v>15</v>
      </c>
      <c r="AB7" s="20" t="s">
        <v>7</v>
      </c>
      <c r="AC7" s="12">
        <v>143</v>
      </c>
      <c r="AD7" s="13"/>
      <c r="AE7" s="14">
        <v>95</v>
      </c>
      <c r="AF7" s="13"/>
      <c r="AG7" s="15">
        <v>48</v>
      </c>
      <c r="AH7">
        <f t="shared" si="2"/>
        <v>0</v>
      </c>
    </row>
    <row r="8" spans="1:34">
      <c r="A8" s="2" t="s">
        <v>8</v>
      </c>
      <c r="B8" s="25">
        <v>6211</v>
      </c>
      <c r="C8" s="24">
        <v>165</v>
      </c>
      <c r="D8" s="24"/>
      <c r="E8" s="24">
        <v>4503</v>
      </c>
      <c r="F8" s="25">
        <v>4251</v>
      </c>
      <c r="G8" s="24"/>
      <c r="H8" s="24"/>
      <c r="I8" s="24">
        <v>3</v>
      </c>
      <c r="J8" s="25"/>
      <c r="K8" s="24"/>
      <c r="L8" s="24"/>
      <c r="M8" s="24">
        <v>257</v>
      </c>
      <c r="N8" s="25"/>
      <c r="O8" s="24">
        <v>16</v>
      </c>
      <c r="P8" s="24">
        <v>38</v>
      </c>
      <c r="Q8" s="24">
        <v>1</v>
      </c>
      <c r="R8" s="25"/>
      <c r="S8" s="25"/>
      <c r="T8" s="24">
        <v>1138</v>
      </c>
      <c r="U8" s="24">
        <v>404</v>
      </c>
      <c r="V8" s="24">
        <v>2</v>
      </c>
      <c r="X8">
        <f t="shared" si="0"/>
        <v>-1</v>
      </c>
      <c r="Y8">
        <f t="shared" si="1"/>
        <v>-8</v>
      </c>
      <c r="Z8">
        <f t="shared" si="3"/>
        <v>203</v>
      </c>
      <c r="AB8" s="20" t="s">
        <v>8</v>
      </c>
      <c r="AC8" s="12">
        <v>631</v>
      </c>
      <c r="AD8" s="13"/>
      <c r="AE8" s="14">
        <v>170</v>
      </c>
      <c r="AF8" s="14">
        <v>228</v>
      </c>
      <c r="AG8" s="15">
        <v>232</v>
      </c>
      <c r="AH8">
        <f t="shared" si="2"/>
        <v>1</v>
      </c>
    </row>
    <row r="9" spans="1:34">
      <c r="A9" s="2" t="s">
        <v>9</v>
      </c>
      <c r="B9" s="25">
        <v>7599</v>
      </c>
      <c r="C9" s="24">
        <v>235</v>
      </c>
      <c r="D9" s="24"/>
      <c r="E9" s="25">
        <v>6309</v>
      </c>
      <c r="F9" s="25">
        <v>6003</v>
      </c>
      <c r="G9" s="24"/>
      <c r="H9" s="24"/>
      <c r="I9" s="25">
        <v>279</v>
      </c>
      <c r="J9" s="25"/>
      <c r="K9" s="24"/>
      <c r="L9" s="24"/>
      <c r="M9" s="25">
        <v>46</v>
      </c>
      <c r="N9" s="25"/>
      <c r="O9" s="24">
        <v>11</v>
      </c>
      <c r="P9" s="24">
        <v>19</v>
      </c>
      <c r="Q9" s="25">
        <v>15</v>
      </c>
      <c r="R9" s="25"/>
      <c r="S9" s="25"/>
      <c r="T9" s="24">
        <v>771</v>
      </c>
      <c r="U9" s="24">
        <v>284</v>
      </c>
      <c r="V9" s="25"/>
      <c r="X9">
        <f t="shared" si="0"/>
        <v>0</v>
      </c>
      <c r="Y9">
        <f t="shared" si="1"/>
        <v>-19</v>
      </c>
      <c r="Z9">
        <f t="shared" si="3"/>
        <v>16</v>
      </c>
      <c r="AB9" s="20" t="s">
        <v>9</v>
      </c>
      <c r="AC9" s="12">
        <v>793</v>
      </c>
      <c r="AD9" s="13"/>
      <c r="AE9" s="14">
        <v>374</v>
      </c>
      <c r="AF9" s="14">
        <v>173</v>
      </c>
      <c r="AG9" s="15">
        <v>246</v>
      </c>
      <c r="AH9">
        <f t="shared" si="2"/>
        <v>0</v>
      </c>
    </row>
    <row r="10" spans="1:34">
      <c r="A10" s="2" t="s">
        <v>2</v>
      </c>
      <c r="B10" s="25">
        <v>11030</v>
      </c>
      <c r="C10" s="24">
        <v>238</v>
      </c>
      <c r="D10" s="24"/>
      <c r="E10" s="25">
        <v>7601</v>
      </c>
      <c r="F10" s="25">
        <v>7542</v>
      </c>
      <c r="G10" s="24"/>
      <c r="H10" s="24"/>
      <c r="I10" s="25">
        <v>42</v>
      </c>
      <c r="J10" s="25"/>
      <c r="K10" s="24"/>
      <c r="L10" s="24"/>
      <c r="M10" s="25">
        <v>25</v>
      </c>
      <c r="N10" s="25"/>
      <c r="O10" s="24">
        <v>4</v>
      </c>
      <c r="P10" s="24">
        <v>12</v>
      </c>
      <c r="Q10" s="25"/>
      <c r="R10" s="25"/>
      <c r="S10" s="25"/>
      <c r="T10" s="24">
        <v>2556</v>
      </c>
      <c r="U10" s="24">
        <v>636</v>
      </c>
      <c r="V10" s="25"/>
      <c r="X10">
        <f t="shared" si="0"/>
        <v>-1</v>
      </c>
      <c r="Y10">
        <f t="shared" si="1"/>
        <v>-8</v>
      </c>
      <c r="Z10">
        <f t="shared" si="3"/>
        <v>9</v>
      </c>
      <c r="AB10" s="20" t="s">
        <v>2</v>
      </c>
      <c r="AC10" s="12">
        <v>473</v>
      </c>
      <c r="AD10" s="13"/>
      <c r="AE10" s="14">
        <v>366</v>
      </c>
      <c r="AF10" s="14">
        <v>81</v>
      </c>
      <c r="AG10" s="15">
        <v>26</v>
      </c>
      <c r="AH10">
        <f t="shared" si="2"/>
        <v>0</v>
      </c>
    </row>
    <row r="11" spans="1:34">
      <c r="A11" s="2" t="s">
        <v>10</v>
      </c>
      <c r="B11" s="24">
        <v>4572</v>
      </c>
      <c r="C11" s="24">
        <v>277</v>
      </c>
      <c r="D11" s="24"/>
      <c r="E11" s="25">
        <v>3109</v>
      </c>
      <c r="F11" s="24">
        <v>3024</v>
      </c>
      <c r="G11" s="24"/>
      <c r="H11" s="24"/>
      <c r="I11" s="25">
        <v>4</v>
      </c>
      <c r="J11" s="24"/>
      <c r="K11" s="24"/>
      <c r="L11" s="24">
        <v>15</v>
      </c>
      <c r="M11" s="25">
        <v>72</v>
      </c>
      <c r="N11" s="24"/>
      <c r="O11" s="24">
        <v>3</v>
      </c>
      <c r="P11" s="24">
        <v>5</v>
      </c>
      <c r="Q11" s="25"/>
      <c r="R11" s="24"/>
      <c r="S11" s="24">
        <v>448</v>
      </c>
      <c r="T11" s="24">
        <v>694</v>
      </c>
      <c r="U11" s="24">
        <v>45</v>
      </c>
      <c r="V11" s="25"/>
      <c r="X11">
        <f t="shared" si="0"/>
        <v>-1</v>
      </c>
      <c r="Y11">
        <f t="shared" si="1"/>
        <v>-6</v>
      </c>
      <c r="Z11">
        <f t="shared" si="3"/>
        <v>64</v>
      </c>
      <c r="AB11" s="20" t="s">
        <v>10</v>
      </c>
      <c r="AC11" s="12">
        <v>147</v>
      </c>
      <c r="AD11" s="13"/>
      <c r="AE11" s="14">
        <v>1</v>
      </c>
      <c r="AF11" s="14">
        <v>14</v>
      </c>
      <c r="AG11" s="15">
        <v>21</v>
      </c>
      <c r="AH11">
        <f t="shared" si="2"/>
        <v>111</v>
      </c>
    </row>
    <row r="12" spans="1:34">
      <c r="A12" s="2" t="s">
        <v>3</v>
      </c>
      <c r="B12" s="25">
        <v>2684</v>
      </c>
      <c r="C12" s="24">
        <v>353</v>
      </c>
      <c r="D12" s="24"/>
      <c r="E12" s="25">
        <v>1775</v>
      </c>
      <c r="F12" s="25">
        <v>1688</v>
      </c>
      <c r="G12" s="24"/>
      <c r="H12" s="24"/>
      <c r="I12" s="25">
        <v>0</v>
      </c>
      <c r="J12" s="25"/>
      <c r="K12" s="24"/>
      <c r="L12" s="24"/>
      <c r="M12" s="25">
        <v>88</v>
      </c>
      <c r="N12" s="25"/>
      <c r="O12" s="24">
        <v>12</v>
      </c>
      <c r="P12" s="24">
        <v>40</v>
      </c>
      <c r="Q12" s="25">
        <v>0</v>
      </c>
      <c r="R12" s="25"/>
      <c r="S12" s="25"/>
      <c r="T12" s="24">
        <v>505</v>
      </c>
      <c r="U12" s="24">
        <v>52</v>
      </c>
      <c r="V12" s="25"/>
      <c r="X12">
        <f t="shared" si="0"/>
        <v>-1</v>
      </c>
      <c r="Y12">
        <f t="shared" si="1"/>
        <v>-1</v>
      </c>
      <c r="Z12">
        <f t="shared" si="3"/>
        <v>36</v>
      </c>
      <c r="AB12" s="20" t="s">
        <v>3</v>
      </c>
      <c r="AC12" s="12">
        <v>84</v>
      </c>
      <c r="AD12" s="13"/>
      <c r="AE12" s="14">
        <v>11</v>
      </c>
      <c r="AF12" s="14">
        <v>22</v>
      </c>
      <c r="AG12" s="15">
        <v>52</v>
      </c>
      <c r="AH12">
        <f t="shared" si="2"/>
        <v>-1</v>
      </c>
    </row>
    <row r="13" spans="1:34">
      <c r="A13" s="2" t="s">
        <v>4</v>
      </c>
      <c r="B13" s="25">
        <v>2767</v>
      </c>
      <c r="C13" s="24">
        <v>95</v>
      </c>
      <c r="D13" s="24"/>
      <c r="E13" s="25">
        <v>2099</v>
      </c>
      <c r="F13" s="25">
        <v>1991</v>
      </c>
      <c r="G13" s="24"/>
      <c r="H13" s="24"/>
      <c r="I13" s="25">
        <v>12</v>
      </c>
      <c r="J13" s="25"/>
      <c r="K13" s="24"/>
      <c r="L13" s="24">
        <v>2</v>
      </c>
      <c r="M13" s="25">
        <v>99</v>
      </c>
      <c r="N13" s="25"/>
      <c r="O13" s="24">
        <v>7</v>
      </c>
      <c r="P13" s="24">
        <v>73</v>
      </c>
      <c r="Q13" s="25">
        <v>0</v>
      </c>
      <c r="R13" s="25"/>
      <c r="S13" s="25"/>
      <c r="T13" s="24">
        <v>561</v>
      </c>
      <c r="U13" s="24">
        <v>12</v>
      </c>
      <c r="V13" s="25"/>
      <c r="X13">
        <f t="shared" si="0"/>
        <v>0</v>
      </c>
      <c r="Y13">
        <f t="shared" si="1"/>
        <v>-5</v>
      </c>
      <c r="Z13">
        <f t="shared" si="3"/>
        <v>19</v>
      </c>
      <c r="AB13" s="20" t="s">
        <v>4</v>
      </c>
      <c r="AC13" s="12">
        <v>139</v>
      </c>
      <c r="AD13" s="13"/>
      <c r="AE13" s="14">
        <v>59</v>
      </c>
      <c r="AF13" s="14">
        <v>66</v>
      </c>
      <c r="AG13" s="15">
        <v>14</v>
      </c>
      <c r="AH13">
        <f t="shared" si="2"/>
        <v>0</v>
      </c>
    </row>
    <row r="14" spans="1:34">
      <c r="A14" s="2" t="s">
        <v>11</v>
      </c>
      <c r="B14" s="25">
        <v>2341</v>
      </c>
      <c r="C14" s="24"/>
      <c r="D14" s="24"/>
      <c r="E14" s="25">
        <v>2263</v>
      </c>
      <c r="F14" s="25">
        <v>1509</v>
      </c>
      <c r="G14" s="24"/>
      <c r="H14" s="24"/>
      <c r="I14" s="25">
        <v>570</v>
      </c>
      <c r="J14" s="25"/>
      <c r="K14" s="24"/>
      <c r="L14" s="24">
        <v>86</v>
      </c>
      <c r="M14" s="25">
        <v>98</v>
      </c>
      <c r="N14" s="25"/>
      <c r="O14" s="24">
        <v>22</v>
      </c>
      <c r="P14" s="24"/>
      <c r="Q14" s="25">
        <v>2</v>
      </c>
      <c r="R14" s="25"/>
      <c r="S14" s="25"/>
      <c r="T14" s="24">
        <v>71</v>
      </c>
      <c r="U14" s="24">
        <v>7</v>
      </c>
      <c r="V14" s="25"/>
      <c r="X14">
        <f t="shared" si="0"/>
        <v>0</v>
      </c>
      <c r="Y14">
        <f t="shared" si="1"/>
        <v>0</v>
      </c>
      <c r="Z14">
        <f t="shared" si="3"/>
        <v>76</v>
      </c>
      <c r="AB14" s="20" t="s">
        <v>11</v>
      </c>
      <c r="AC14" s="12">
        <v>45</v>
      </c>
      <c r="AD14" s="13"/>
      <c r="AE14" s="14">
        <v>11</v>
      </c>
      <c r="AF14" s="14">
        <v>20</v>
      </c>
      <c r="AG14" s="15">
        <v>15</v>
      </c>
      <c r="AH14">
        <f t="shared" si="2"/>
        <v>-1</v>
      </c>
    </row>
    <row r="15" spans="1:34">
      <c r="A15" s="2" t="s">
        <v>12</v>
      </c>
      <c r="B15" s="24">
        <v>9987</v>
      </c>
      <c r="C15" s="24">
        <v>110</v>
      </c>
      <c r="D15" s="24"/>
      <c r="E15" s="24">
        <v>8711</v>
      </c>
      <c r="F15" s="24">
        <v>7448</v>
      </c>
      <c r="G15" s="24"/>
      <c r="H15" s="24"/>
      <c r="I15" s="24">
        <v>957</v>
      </c>
      <c r="J15" s="24"/>
      <c r="K15" s="24"/>
      <c r="L15" s="24"/>
      <c r="M15" s="24">
        <v>322</v>
      </c>
      <c r="N15" s="24"/>
      <c r="O15" s="24">
        <v>79</v>
      </c>
      <c r="P15" s="24">
        <v>44</v>
      </c>
      <c r="Q15" s="24">
        <v>2</v>
      </c>
      <c r="R15" s="24"/>
      <c r="S15" s="24">
        <v>212</v>
      </c>
      <c r="T15" s="24">
        <v>561</v>
      </c>
      <c r="U15" s="24">
        <v>394</v>
      </c>
      <c r="V15" s="24"/>
      <c r="X15">
        <f t="shared" si="0"/>
        <v>-1</v>
      </c>
      <c r="Y15">
        <f t="shared" si="1"/>
        <v>-16</v>
      </c>
      <c r="Z15">
        <f t="shared" si="3"/>
        <v>199</v>
      </c>
      <c r="AB15" s="20" t="s">
        <v>12</v>
      </c>
      <c r="AC15" s="12">
        <v>645</v>
      </c>
      <c r="AD15" s="13"/>
      <c r="AE15" s="14">
        <v>380</v>
      </c>
      <c r="AF15" s="14">
        <v>95</v>
      </c>
      <c r="AG15" s="15">
        <v>170</v>
      </c>
      <c r="AH15">
        <f t="shared" si="2"/>
        <v>0</v>
      </c>
    </row>
    <row r="16" spans="1:34">
      <c r="A16" s="2" t="s">
        <v>13</v>
      </c>
      <c r="B16" s="24">
        <v>7927</v>
      </c>
      <c r="C16" s="24">
        <v>939</v>
      </c>
      <c r="D16" s="24"/>
      <c r="E16" s="25">
        <v>6044</v>
      </c>
      <c r="F16" s="24">
        <v>4629</v>
      </c>
      <c r="G16" s="24"/>
      <c r="H16" s="24"/>
      <c r="I16" s="25">
        <v>1228</v>
      </c>
      <c r="J16" s="24"/>
      <c r="K16" s="24"/>
      <c r="L16" s="24">
        <v>6</v>
      </c>
      <c r="M16" s="25">
        <v>200</v>
      </c>
      <c r="N16" s="24"/>
      <c r="O16" s="24">
        <v>102</v>
      </c>
      <c r="P16" s="24">
        <v>19</v>
      </c>
      <c r="Q16" s="25">
        <v>1</v>
      </c>
      <c r="R16" s="24"/>
      <c r="S16" s="24">
        <v>657</v>
      </c>
      <c r="T16" s="24">
        <v>118</v>
      </c>
      <c r="U16" s="24">
        <v>169</v>
      </c>
      <c r="V16" s="25"/>
      <c r="X16">
        <f t="shared" si="0"/>
        <v>0</v>
      </c>
      <c r="Y16">
        <f t="shared" si="1"/>
        <v>-19</v>
      </c>
      <c r="Z16">
        <f t="shared" si="3"/>
        <v>79</v>
      </c>
      <c r="AB16" s="20" t="s">
        <v>13</v>
      </c>
      <c r="AC16" s="12">
        <v>496</v>
      </c>
      <c r="AD16" s="14">
        <v>177</v>
      </c>
      <c r="AE16" s="14">
        <v>64</v>
      </c>
      <c r="AF16" s="14">
        <v>27</v>
      </c>
      <c r="AG16" s="15">
        <v>228</v>
      </c>
      <c r="AH16">
        <f t="shared" si="2"/>
        <v>0</v>
      </c>
    </row>
    <row r="17" spans="1:34">
      <c r="A17" s="2" t="s">
        <v>14</v>
      </c>
      <c r="B17" s="25">
        <v>5598</v>
      </c>
      <c r="C17" s="24">
        <v>241</v>
      </c>
      <c r="D17" s="24"/>
      <c r="E17" s="25">
        <v>4894</v>
      </c>
      <c r="F17" s="25">
        <v>4669</v>
      </c>
      <c r="G17" s="24"/>
      <c r="H17" s="24"/>
      <c r="I17" s="25">
        <v>11</v>
      </c>
      <c r="J17" s="25"/>
      <c r="K17" s="24"/>
      <c r="L17" s="24"/>
      <c r="M17" s="25">
        <v>236</v>
      </c>
      <c r="N17" s="25"/>
      <c r="O17" s="24">
        <v>29</v>
      </c>
      <c r="P17" s="24">
        <v>66</v>
      </c>
      <c r="Q17" s="25">
        <v>1</v>
      </c>
      <c r="R17" s="25"/>
      <c r="S17" s="25"/>
      <c r="T17" s="24">
        <v>177</v>
      </c>
      <c r="U17" s="24">
        <v>287</v>
      </c>
      <c r="V17" s="25"/>
      <c r="X17">
        <f t="shared" si="0"/>
        <v>-1</v>
      </c>
      <c r="Y17">
        <f t="shared" si="1"/>
        <v>-22</v>
      </c>
      <c r="Z17">
        <f t="shared" si="3"/>
        <v>141</v>
      </c>
      <c r="AB17" s="20" t="s">
        <v>14</v>
      </c>
      <c r="AC17" s="12">
        <v>503</v>
      </c>
      <c r="AD17" s="14">
        <v>5</v>
      </c>
      <c r="AE17" s="14">
        <v>301</v>
      </c>
      <c r="AF17" s="14">
        <v>45</v>
      </c>
      <c r="AG17" s="15">
        <v>153</v>
      </c>
      <c r="AH17">
        <f t="shared" si="2"/>
        <v>-1</v>
      </c>
    </row>
    <row r="18" spans="1:34">
      <c r="A18" s="2" t="s">
        <v>15</v>
      </c>
      <c r="B18" s="24">
        <v>4807</v>
      </c>
      <c r="C18" s="24">
        <v>918</v>
      </c>
      <c r="D18" s="24"/>
      <c r="E18" s="25">
        <v>2893</v>
      </c>
      <c r="F18" s="24">
        <v>2394</v>
      </c>
      <c r="G18" s="24"/>
      <c r="H18" s="24"/>
      <c r="I18" s="25">
        <v>387</v>
      </c>
      <c r="J18" s="24"/>
      <c r="K18" s="24"/>
      <c r="L18" s="24"/>
      <c r="M18" s="25">
        <v>121</v>
      </c>
      <c r="N18" s="24"/>
      <c r="O18" s="24">
        <v>30</v>
      </c>
      <c r="P18" s="24">
        <v>5</v>
      </c>
      <c r="Q18" s="25">
        <v>1</v>
      </c>
      <c r="R18" s="24"/>
      <c r="S18" s="24">
        <v>762</v>
      </c>
      <c r="T18" s="24">
        <v>214</v>
      </c>
      <c r="U18" s="24">
        <v>20</v>
      </c>
      <c r="V18" s="25"/>
      <c r="X18">
        <f t="shared" si="0"/>
        <v>0</v>
      </c>
      <c r="Y18">
        <f t="shared" si="1"/>
        <v>-9</v>
      </c>
      <c r="Z18">
        <f t="shared" si="3"/>
        <v>86</v>
      </c>
      <c r="AB18" s="20" t="s">
        <v>15</v>
      </c>
      <c r="AC18" s="12">
        <v>338</v>
      </c>
      <c r="AD18" s="14">
        <v>6</v>
      </c>
      <c r="AE18" s="14">
        <v>33</v>
      </c>
      <c r="AF18" s="14">
        <v>62</v>
      </c>
      <c r="AG18" s="15">
        <v>20</v>
      </c>
      <c r="AH18">
        <f t="shared" si="2"/>
        <v>217</v>
      </c>
    </row>
    <row r="19" spans="1:34">
      <c r="A19" s="2" t="s">
        <v>16</v>
      </c>
      <c r="B19" s="25">
        <v>2610</v>
      </c>
      <c r="C19" s="24">
        <v>412</v>
      </c>
      <c r="D19" s="24"/>
      <c r="E19" s="25">
        <v>1913</v>
      </c>
      <c r="F19" s="25">
        <v>1721</v>
      </c>
      <c r="G19" s="24"/>
      <c r="H19" s="24"/>
      <c r="I19" s="25">
        <v>10</v>
      </c>
      <c r="J19" s="25"/>
      <c r="K19" s="24"/>
      <c r="L19" s="24"/>
      <c r="M19" s="25">
        <v>187</v>
      </c>
      <c r="N19" s="25"/>
      <c r="O19" s="24">
        <v>7</v>
      </c>
      <c r="P19" s="24">
        <v>20</v>
      </c>
      <c r="Q19" s="25">
        <v>0</v>
      </c>
      <c r="R19" s="25"/>
      <c r="S19" s="25"/>
      <c r="T19" s="24">
        <v>108</v>
      </c>
      <c r="U19" s="24">
        <v>178</v>
      </c>
      <c r="V19" s="25"/>
      <c r="X19">
        <f t="shared" si="0"/>
        <v>-1</v>
      </c>
      <c r="Y19">
        <f t="shared" si="1"/>
        <v>-5</v>
      </c>
      <c r="Z19">
        <f t="shared" si="3"/>
        <v>160</v>
      </c>
      <c r="AB19" s="20" t="s">
        <v>16</v>
      </c>
      <c r="AC19" s="12">
        <v>400</v>
      </c>
      <c r="AD19" s="14">
        <v>121</v>
      </c>
      <c r="AE19" s="14">
        <v>115</v>
      </c>
      <c r="AF19" s="14">
        <v>27</v>
      </c>
      <c r="AG19" s="15">
        <v>137</v>
      </c>
      <c r="AH19">
        <f t="shared" si="2"/>
        <v>0</v>
      </c>
    </row>
    <row r="20" spans="1:34">
      <c r="A20" s="2" t="s">
        <v>17</v>
      </c>
      <c r="B20" s="25">
        <v>10817</v>
      </c>
      <c r="C20" s="25">
        <v>101</v>
      </c>
      <c r="D20" s="25"/>
      <c r="E20" s="25">
        <v>9521</v>
      </c>
      <c r="F20" s="25">
        <v>9015</v>
      </c>
      <c r="G20" s="25"/>
      <c r="H20" s="25"/>
      <c r="I20" s="25">
        <v>6</v>
      </c>
      <c r="J20" s="25"/>
      <c r="K20" s="25"/>
      <c r="L20" s="25"/>
      <c r="M20" s="25">
        <v>519</v>
      </c>
      <c r="N20" s="25"/>
      <c r="O20" s="25">
        <v>56</v>
      </c>
      <c r="P20" s="25">
        <v>117</v>
      </c>
      <c r="Q20" s="25">
        <v>6</v>
      </c>
      <c r="R20" s="25"/>
      <c r="S20" s="25"/>
      <c r="T20" s="25">
        <v>839</v>
      </c>
      <c r="U20" s="25">
        <v>356</v>
      </c>
      <c r="V20" s="25"/>
      <c r="X20">
        <f t="shared" si="0"/>
        <v>0</v>
      </c>
      <c r="Y20">
        <f t="shared" si="1"/>
        <v>-19</v>
      </c>
      <c r="Z20">
        <f t="shared" si="3"/>
        <v>346</v>
      </c>
      <c r="AB20" s="20" t="s">
        <v>17</v>
      </c>
      <c r="AC20" s="12">
        <v>1281</v>
      </c>
      <c r="AD20" s="13"/>
      <c r="AE20" s="14">
        <v>883</v>
      </c>
      <c r="AF20" s="14">
        <v>111</v>
      </c>
      <c r="AG20" s="15">
        <v>286</v>
      </c>
      <c r="AH20">
        <f t="shared" si="2"/>
        <v>1</v>
      </c>
    </row>
    <row r="21" spans="1:34">
      <c r="A21" s="2" t="s">
        <v>18</v>
      </c>
      <c r="B21" s="25">
        <v>7165</v>
      </c>
      <c r="C21" s="24">
        <v>389</v>
      </c>
      <c r="D21" s="24"/>
      <c r="E21" s="25">
        <v>6422</v>
      </c>
      <c r="F21" s="25">
        <v>6164</v>
      </c>
      <c r="G21" s="24"/>
      <c r="H21" s="24"/>
      <c r="I21" s="25">
        <v>161</v>
      </c>
      <c r="J21" s="25"/>
      <c r="K21" s="24"/>
      <c r="L21" s="24"/>
      <c r="M21" s="25">
        <v>106</v>
      </c>
      <c r="N21" s="25"/>
      <c r="O21" s="24">
        <v>8</v>
      </c>
      <c r="P21" s="24">
        <v>39</v>
      </c>
      <c r="Q21" s="25"/>
      <c r="R21" s="25"/>
      <c r="S21" s="25"/>
      <c r="T21" s="24">
        <v>104</v>
      </c>
      <c r="U21" s="24">
        <v>250</v>
      </c>
      <c r="V21" s="25"/>
      <c r="X21">
        <f t="shared" si="0"/>
        <v>0</v>
      </c>
      <c r="Y21">
        <f t="shared" si="1"/>
        <v>-9</v>
      </c>
      <c r="Z21">
        <f t="shared" si="3"/>
        <v>59</v>
      </c>
      <c r="AB21" s="20" t="s">
        <v>18</v>
      </c>
      <c r="AC21" s="12">
        <v>387</v>
      </c>
      <c r="AD21" s="13"/>
      <c r="AE21" s="14">
        <v>102</v>
      </c>
      <c r="AF21" s="14">
        <v>34</v>
      </c>
      <c r="AG21" s="15">
        <v>250</v>
      </c>
      <c r="AH21">
        <f t="shared" si="2"/>
        <v>1</v>
      </c>
    </row>
    <row r="22" spans="1:34">
      <c r="A22" s="2" t="s">
        <v>19</v>
      </c>
      <c r="B22" s="25">
        <v>6604</v>
      </c>
      <c r="C22" s="24">
        <v>3552</v>
      </c>
      <c r="D22" s="24"/>
      <c r="E22" s="25">
        <v>2685</v>
      </c>
      <c r="F22" s="25">
        <v>2405</v>
      </c>
      <c r="G22" s="24"/>
      <c r="H22" s="24"/>
      <c r="I22" s="25">
        <v>76</v>
      </c>
      <c r="J22" s="25"/>
      <c r="K22" s="24"/>
      <c r="L22" s="24"/>
      <c r="M22" s="25">
        <v>213</v>
      </c>
      <c r="N22" s="25"/>
      <c r="O22" s="24">
        <v>21</v>
      </c>
      <c r="P22" s="24">
        <v>43</v>
      </c>
      <c r="Q22" s="25">
        <v>1</v>
      </c>
      <c r="R22" s="25"/>
      <c r="S22" s="25"/>
      <c r="T22" s="24">
        <v>201</v>
      </c>
      <c r="U22" s="24">
        <v>166</v>
      </c>
      <c r="V22" s="25"/>
      <c r="X22">
        <f t="shared" si="0"/>
        <v>0</v>
      </c>
      <c r="Y22">
        <f t="shared" si="1"/>
        <v>-9</v>
      </c>
      <c r="Z22">
        <f t="shared" si="3"/>
        <v>149</v>
      </c>
      <c r="AB22" s="20" t="s">
        <v>19</v>
      </c>
      <c r="AC22" s="12">
        <v>376</v>
      </c>
      <c r="AD22" s="14">
        <v>13</v>
      </c>
      <c r="AE22" s="14">
        <v>122</v>
      </c>
      <c r="AF22" s="14">
        <v>83</v>
      </c>
      <c r="AG22" s="15">
        <v>158</v>
      </c>
      <c r="AH22">
        <f t="shared" si="2"/>
        <v>0</v>
      </c>
    </row>
    <row r="23" spans="1:34">
      <c r="A23" s="2" t="s">
        <v>20</v>
      </c>
      <c r="B23" s="25">
        <v>3774</v>
      </c>
      <c r="C23" s="24">
        <v>1236</v>
      </c>
      <c r="D23" s="24"/>
      <c r="E23" s="24">
        <v>2311</v>
      </c>
      <c r="F23" s="25">
        <v>2113</v>
      </c>
      <c r="G23" s="24"/>
      <c r="H23" s="24"/>
      <c r="I23" s="24">
        <v>10</v>
      </c>
      <c r="J23" s="25"/>
      <c r="K23" s="24"/>
      <c r="L23" s="24">
        <v>7</v>
      </c>
      <c r="M23" s="24">
        <v>191</v>
      </c>
      <c r="N23" s="25"/>
      <c r="O23" s="24">
        <v>10</v>
      </c>
      <c r="P23" s="24">
        <v>21</v>
      </c>
      <c r="Q23" s="24">
        <v>9</v>
      </c>
      <c r="R23" s="25"/>
      <c r="S23" s="25"/>
      <c r="T23" s="24">
        <v>217</v>
      </c>
      <c r="U23" s="24">
        <v>10</v>
      </c>
      <c r="V23" s="24"/>
      <c r="X23">
        <f t="shared" si="0"/>
        <v>0</v>
      </c>
      <c r="Y23">
        <f t="shared" si="1"/>
        <v>-10</v>
      </c>
      <c r="Z23">
        <f t="shared" si="3"/>
        <v>160</v>
      </c>
      <c r="AB23" s="20" t="s">
        <v>20</v>
      </c>
      <c r="AC23" s="12">
        <v>135</v>
      </c>
      <c r="AD23" s="14">
        <v>27</v>
      </c>
      <c r="AE23" s="14">
        <v>9</v>
      </c>
      <c r="AF23" s="14">
        <v>86</v>
      </c>
      <c r="AG23" s="15">
        <v>13</v>
      </c>
      <c r="AH23">
        <f t="shared" si="2"/>
        <v>0</v>
      </c>
    </row>
    <row r="24" spans="1:34">
      <c r="A24" s="2" t="s">
        <v>21</v>
      </c>
      <c r="B24" s="24">
        <v>9933</v>
      </c>
      <c r="C24" s="24">
        <v>954</v>
      </c>
      <c r="D24" s="24"/>
      <c r="E24" s="24">
        <v>7709</v>
      </c>
      <c r="F24" s="24">
        <v>5992</v>
      </c>
      <c r="G24" s="24"/>
      <c r="H24" s="24"/>
      <c r="I24" s="24">
        <v>1569</v>
      </c>
      <c r="J24" s="24"/>
      <c r="K24" s="24"/>
      <c r="L24" s="24">
        <v>33</v>
      </c>
      <c r="M24" s="24">
        <v>128</v>
      </c>
      <c r="N24" s="24"/>
      <c r="O24" s="24">
        <v>62</v>
      </c>
      <c r="P24" s="24">
        <v>16</v>
      </c>
      <c r="Q24" s="24">
        <v>4</v>
      </c>
      <c r="R24" s="24"/>
      <c r="S24" s="24">
        <v>938</v>
      </c>
      <c r="T24" s="24">
        <v>268</v>
      </c>
      <c r="U24" s="24">
        <v>63</v>
      </c>
      <c r="V24" s="24">
        <v>1</v>
      </c>
      <c r="X24">
        <f t="shared" si="0"/>
        <v>0</v>
      </c>
      <c r="Y24">
        <f t="shared" si="1"/>
        <v>-13</v>
      </c>
      <c r="Z24">
        <f t="shared" si="3"/>
        <v>50</v>
      </c>
      <c r="AB24" s="20" t="s">
        <v>21</v>
      </c>
      <c r="AC24" s="12">
        <v>300</v>
      </c>
      <c r="AD24" s="14">
        <v>96</v>
      </c>
      <c r="AE24" s="14">
        <v>60</v>
      </c>
      <c r="AF24" s="14">
        <v>16</v>
      </c>
      <c r="AG24" s="15">
        <v>19</v>
      </c>
      <c r="AH24">
        <f t="shared" si="2"/>
        <v>109</v>
      </c>
    </row>
    <row r="25" spans="1:34">
      <c r="A25" s="2" t="s">
        <v>22</v>
      </c>
      <c r="B25" s="25">
        <v>3931</v>
      </c>
      <c r="C25" s="25">
        <v>1493</v>
      </c>
      <c r="D25" s="25"/>
      <c r="E25" s="25">
        <v>2140</v>
      </c>
      <c r="F25" s="25">
        <v>1615</v>
      </c>
      <c r="G25" s="25"/>
      <c r="H25" s="25"/>
      <c r="I25" s="25">
        <v>12</v>
      </c>
      <c r="J25" s="25"/>
      <c r="K25" s="25"/>
      <c r="L25" s="25"/>
      <c r="M25" s="25">
        <v>558</v>
      </c>
      <c r="N25" s="25"/>
      <c r="O25" s="25">
        <v>8</v>
      </c>
      <c r="P25" s="25">
        <v>155</v>
      </c>
      <c r="Q25" s="25"/>
      <c r="R25" s="25"/>
      <c r="S25" s="25">
        <v>217</v>
      </c>
      <c r="T25" s="25">
        <v>70</v>
      </c>
      <c r="U25" s="25">
        <v>12</v>
      </c>
      <c r="V25" s="25"/>
      <c r="X25">
        <f t="shared" si="0"/>
        <v>-1</v>
      </c>
      <c r="Y25">
        <f>E25-F25-I25-L25-M25</f>
        <v>-45</v>
      </c>
      <c r="Z25">
        <f t="shared" si="3"/>
        <v>395</v>
      </c>
      <c r="AB25" s="20" t="s">
        <v>22</v>
      </c>
      <c r="AC25" s="12">
        <v>798</v>
      </c>
      <c r="AD25" s="14">
        <v>14</v>
      </c>
      <c r="AE25" s="14">
        <v>528</v>
      </c>
      <c r="AF25" s="14">
        <v>35</v>
      </c>
      <c r="AG25" s="15">
        <v>4</v>
      </c>
      <c r="AH25">
        <f t="shared" si="2"/>
        <v>217</v>
      </c>
    </row>
    <row r="26" spans="1:34">
      <c r="A26" s="2" t="s">
        <v>23</v>
      </c>
      <c r="B26" s="24">
        <v>711</v>
      </c>
      <c r="C26" s="24">
        <v>62</v>
      </c>
      <c r="D26" s="24"/>
      <c r="E26" s="25">
        <v>463</v>
      </c>
      <c r="F26" s="24">
        <v>376</v>
      </c>
      <c r="G26" s="24"/>
      <c r="H26" s="24"/>
      <c r="I26" s="25">
        <v>72</v>
      </c>
      <c r="J26" s="24"/>
      <c r="K26" s="24"/>
      <c r="L26" s="24"/>
      <c r="M26" s="25">
        <v>16</v>
      </c>
      <c r="N26" s="24"/>
      <c r="O26" s="24">
        <v>7</v>
      </c>
      <c r="P26" s="24"/>
      <c r="Q26" s="25">
        <v>0</v>
      </c>
      <c r="R26" s="24"/>
      <c r="S26" s="24">
        <v>130</v>
      </c>
      <c r="T26" s="24">
        <v>31</v>
      </c>
      <c r="U26" s="24">
        <v>24</v>
      </c>
      <c r="V26" s="25"/>
      <c r="X26">
        <f t="shared" si="0"/>
        <v>1</v>
      </c>
      <c r="Y26">
        <f t="shared" si="1"/>
        <v>-1</v>
      </c>
      <c r="Z26">
        <f t="shared" si="3"/>
        <v>9</v>
      </c>
      <c r="AB26" s="20" t="s">
        <v>23</v>
      </c>
      <c r="AC26" s="12">
        <v>66</v>
      </c>
      <c r="AD26" s="13"/>
      <c r="AE26" s="13"/>
      <c r="AF26" s="13"/>
      <c r="AG26" s="15">
        <v>1</v>
      </c>
      <c r="AH26">
        <f t="shared" si="2"/>
        <v>65</v>
      </c>
    </row>
    <row r="27" spans="1:34">
      <c r="A27" s="2" t="s">
        <v>24</v>
      </c>
      <c r="B27" s="25">
        <v>2066</v>
      </c>
      <c r="C27" s="24">
        <v>581</v>
      </c>
      <c r="D27" s="24"/>
      <c r="E27" s="25">
        <v>1457</v>
      </c>
      <c r="F27" s="25">
        <v>1256</v>
      </c>
      <c r="G27" s="24"/>
      <c r="H27" s="24"/>
      <c r="I27" s="25">
        <v>162</v>
      </c>
      <c r="J27" s="25"/>
      <c r="K27" s="24"/>
      <c r="L27" s="24"/>
      <c r="M27" s="25">
        <v>44</v>
      </c>
      <c r="N27" s="25"/>
      <c r="O27" s="24">
        <v>10</v>
      </c>
      <c r="P27" s="24">
        <v>4</v>
      </c>
      <c r="Q27" s="25">
        <v>0</v>
      </c>
      <c r="R27" s="25"/>
      <c r="S27" s="25"/>
      <c r="T27" s="24">
        <v>28</v>
      </c>
      <c r="U27" s="24"/>
      <c r="V27" s="25"/>
      <c r="X27">
        <f t="shared" si="0"/>
        <v>0</v>
      </c>
      <c r="Y27">
        <f t="shared" si="1"/>
        <v>-5</v>
      </c>
      <c r="Z27">
        <f t="shared" si="3"/>
        <v>30</v>
      </c>
      <c r="AB27" s="20" t="s">
        <v>24</v>
      </c>
      <c r="AC27" s="12">
        <v>154</v>
      </c>
      <c r="AD27" s="14">
        <v>11</v>
      </c>
      <c r="AE27" s="14">
        <v>132</v>
      </c>
      <c r="AF27" s="14">
        <v>10</v>
      </c>
      <c r="AG27" s="15">
        <v>1</v>
      </c>
      <c r="AH27">
        <f t="shared" si="2"/>
        <v>0</v>
      </c>
    </row>
    <row r="28" spans="1:34">
      <c r="A28" s="2" t="s">
        <v>25</v>
      </c>
      <c r="B28" s="25">
        <v>8661</v>
      </c>
      <c r="C28" s="24">
        <v>6834</v>
      </c>
      <c r="D28" s="24"/>
      <c r="E28" s="25">
        <v>1608</v>
      </c>
      <c r="F28" s="25">
        <v>1399</v>
      </c>
      <c r="G28" s="24"/>
      <c r="H28" s="24"/>
      <c r="I28" s="25">
        <v>122</v>
      </c>
      <c r="J28" s="25"/>
      <c r="K28" s="24"/>
      <c r="L28" s="24"/>
      <c r="M28" s="25">
        <v>121</v>
      </c>
      <c r="N28" s="25"/>
      <c r="O28" s="24">
        <v>27</v>
      </c>
      <c r="P28" s="24">
        <v>3</v>
      </c>
      <c r="Q28" s="25"/>
      <c r="R28" s="25"/>
      <c r="S28" s="25"/>
      <c r="T28" s="24">
        <v>125</v>
      </c>
      <c r="U28" s="24">
        <v>94</v>
      </c>
      <c r="V28" s="25"/>
      <c r="X28">
        <f t="shared" si="0"/>
        <v>0</v>
      </c>
      <c r="Y28">
        <f t="shared" si="1"/>
        <v>-34</v>
      </c>
      <c r="Z28">
        <f t="shared" si="3"/>
        <v>91</v>
      </c>
      <c r="AB28" s="20" t="s">
        <v>25</v>
      </c>
      <c r="AC28" s="12">
        <v>489</v>
      </c>
      <c r="AD28" s="14">
        <v>308</v>
      </c>
      <c r="AE28" s="14">
        <v>30</v>
      </c>
      <c r="AF28" s="14">
        <v>68</v>
      </c>
      <c r="AG28" s="15">
        <v>83</v>
      </c>
      <c r="AH28">
        <f t="shared" si="2"/>
        <v>0</v>
      </c>
    </row>
    <row r="29" spans="1:34">
      <c r="A29" s="2" t="s">
        <v>26</v>
      </c>
      <c r="B29" s="25">
        <v>5272</v>
      </c>
      <c r="C29" s="24">
        <v>1850</v>
      </c>
      <c r="D29" s="24"/>
      <c r="E29" s="25">
        <v>3014</v>
      </c>
      <c r="F29" s="25">
        <v>3005</v>
      </c>
      <c r="G29" s="24"/>
      <c r="H29" s="24"/>
      <c r="I29" s="25"/>
      <c r="J29" s="25"/>
      <c r="K29" s="24"/>
      <c r="L29" s="24"/>
      <c r="M29" s="25">
        <v>8</v>
      </c>
      <c r="N29" s="25"/>
      <c r="O29" s="24">
        <v>2</v>
      </c>
      <c r="P29" s="24">
        <v>6</v>
      </c>
      <c r="Q29" s="25"/>
      <c r="R29" s="25"/>
      <c r="S29" s="25"/>
      <c r="T29" s="24">
        <v>362</v>
      </c>
      <c r="U29" s="24">
        <v>46</v>
      </c>
      <c r="V29" s="25"/>
      <c r="X29">
        <f t="shared" si="0"/>
        <v>0</v>
      </c>
      <c r="Y29">
        <f t="shared" si="1"/>
        <v>1</v>
      </c>
      <c r="Z29">
        <f t="shared" si="3"/>
        <v>0</v>
      </c>
      <c r="AB29" s="20" t="s">
        <v>26</v>
      </c>
      <c r="AC29" s="12">
        <v>359</v>
      </c>
      <c r="AD29" s="14">
        <v>9</v>
      </c>
      <c r="AE29" s="14">
        <v>318</v>
      </c>
      <c r="AF29" s="14">
        <v>32</v>
      </c>
      <c r="AG29" s="17"/>
      <c r="AH29">
        <f t="shared" si="2"/>
        <v>0</v>
      </c>
    </row>
    <row r="30" spans="1:34">
      <c r="A30" s="2" t="s">
        <v>27</v>
      </c>
      <c r="B30" s="25">
        <v>8236</v>
      </c>
      <c r="C30" s="25">
        <v>5895</v>
      </c>
      <c r="D30" s="25"/>
      <c r="E30" s="25">
        <v>1396</v>
      </c>
      <c r="F30" s="25">
        <v>1301</v>
      </c>
      <c r="G30" s="25"/>
      <c r="H30" s="25"/>
      <c r="I30" s="25">
        <v>2</v>
      </c>
      <c r="J30" s="25"/>
      <c r="K30" s="25"/>
      <c r="L30" s="25"/>
      <c r="M30" s="25">
        <v>309</v>
      </c>
      <c r="N30" s="25"/>
      <c r="O30" s="25">
        <v>10</v>
      </c>
      <c r="P30" s="25">
        <v>20</v>
      </c>
      <c r="Q30" s="25"/>
      <c r="R30" s="25"/>
      <c r="S30" s="25"/>
      <c r="T30" s="25">
        <v>737</v>
      </c>
      <c r="U30" s="25">
        <v>208</v>
      </c>
      <c r="V30" s="25"/>
      <c r="X30">
        <f t="shared" si="0"/>
        <v>0</v>
      </c>
      <c r="Y30">
        <f t="shared" si="1"/>
        <v>-216</v>
      </c>
      <c r="Z30">
        <f t="shared" si="3"/>
        <v>279</v>
      </c>
      <c r="AB30" s="20" t="s">
        <v>27</v>
      </c>
      <c r="AC30" s="12">
        <v>289</v>
      </c>
      <c r="AD30" s="14">
        <v>180</v>
      </c>
      <c r="AE30" s="13"/>
      <c r="AF30" s="14">
        <v>97</v>
      </c>
      <c r="AG30" s="15">
        <v>12</v>
      </c>
      <c r="AH30">
        <f t="shared" si="2"/>
        <v>0</v>
      </c>
    </row>
    <row r="31" spans="1:34">
      <c r="A31" s="2" t="s">
        <v>28</v>
      </c>
      <c r="B31" s="25">
        <v>229</v>
      </c>
      <c r="C31" s="24">
        <v>153</v>
      </c>
      <c r="D31" s="24"/>
      <c r="E31" s="24">
        <v>40</v>
      </c>
      <c r="F31" s="25"/>
      <c r="G31" s="24"/>
      <c r="H31" s="24"/>
      <c r="I31" s="24"/>
      <c r="J31" s="25"/>
      <c r="K31" s="24"/>
      <c r="L31" s="24">
        <v>39</v>
      </c>
      <c r="M31" s="24">
        <v>2</v>
      </c>
      <c r="N31" s="25"/>
      <c r="O31" s="24"/>
      <c r="P31" s="24"/>
      <c r="Q31" s="24"/>
      <c r="R31" s="25"/>
      <c r="S31" s="25"/>
      <c r="T31" s="24">
        <v>1</v>
      </c>
      <c r="U31" s="24">
        <v>33</v>
      </c>
      <c r="V31" s="24">
        <v>2</v>
      </c>
      <c r="X31">
        <f t="shared" si="0"/>
        <v>0</v>
      </c>
      <c r="Y31">
        <f t="shared" si="1"/>
        <v>-1</v>
      </c>
      <c r="Z31">
        <f t="shared" si="3"/>
        <v>2</v>
      </c>
      <c r="AB31" s="20" t="s">
        <v>28</v>
      </c>
      <c r="AC31" s="12">
        <v>60</v>
      </c>
      <c r="AD31" s="14">
        <v>41</v>
      </c>
      <c r="AE31" s="14">
        <v>3</v>
      </c>
      <c r="AF31" s="13"/>
      <c r="AG31" s="15">
        <v>16</v>
      </c>
      <c r="AH31">
        <f t="shared" si="2"/>
        <v>0</v>
      </c>
    </row>
    <row r="32" spans="1:34">
      <c r="A32" s="2" t="s">
        <v>29</v>
      </c>
      <c r="B32" s="25">
        <v>3686</v>
      </c>
      <c r="C32" s="24">
        <v>232</v>
      </c>
      <c r="D32" s="24"/>
      <c r="E32" s="25">
        <v>3036</v>
      </c>
      <c r="F32" s="25">
        <v>2997</v>
      </c>
      <c r="G32" s="24"/>
      <c r="H32" s="24"/>
      <c r="I32" s="25"/>
      <c r="J32" s="25"/>
      <c r="K32" s="24"/>
      <c r="L32" s="24"/>
      <c r="M32" s="25">
        <v>46</v>
      </c>
      <c r="N32" s="25"/>
      <c r="O32" s="24">
        <v>2</v>
      </c>
      <c r="P32" s="24"/>
      <c r="Q32" s="25"/>
      <c r="R32" s="25"/>
      <c r="S32" s="25"/>
      <c r="T32" s="24">
        <v>179</v>
      </c>
      <c r="U32" s="24">
        <v>239</v>
      </c>
      <c r="V32" s="25"/>
      <c r="X32">
        <f t="shared" si="0"/>
        <v>0</v>
      </c>
      <c r="Y32">
        <f t="shared" si="1"/>
        <v>-7</v>
      </c>
      <c r="Z32">
        <f t="shared" si="3"/>
        <v>44</v>
      </c>
      <c r="AB32" s="20" t="s">
        <v>29</v>
      </c>
      <c r="AC32" s="12">
        <v>450</v>
      </c>
      <c r="AD32" s="14">
        <v>15</v>
      </c>
      <c r="AE32" s="14">
        <v>149</v>
      </c>
      <c r="AF32" s="14">
        <v>91</v>
      </c>
      <c r="AG32" s="15">
        <v>194</v>
      </c>
      <c r="AH32">
        <f t="shared" si="2"/>
        <v>1</v>
      </c>
    </row>
    <row r="33" spans="1:34">
      <c r="A33" s="2" t="s">
        <v>30</v>
      </c>
      <c r="B33" s="25">
        <v>4703</v>
      </c>
      <c r="C33" s="26">
        <v>743</v>
      </c>
      <c r="D33" s="26"/>
      <c r="E33" s="25">
        <v>2002</v>
      </c>
      <c r="F33" s="25">
        <v>1966</v>
      </c>
      <c r="G33" s="26"/>
      <c r="H33" s="26"/>
      <c r="I33" s="25">
        <v>7</v>
      </c>
      <c r="J33" s="25"/>
      <c r="K33" s="26"/>
      <c r="L33" s="26"/>
      <c r="M33" s="25">
        <v>29</v>
      </c>
      <c r="N33" s="25"/>
      <c r="O33" s="26">
        <v>5</v>
      </c>
      <c r="P33" s="26">
        <v>3</v>
      </c>
      <c r="Q33" s="25"/>
      <c r="R33" s="25"/>
      <c r="S33" s="25"/>
      <c r="T33" s="26">
        <v>1277</v>
      </c>
      <c r="U33" s="26">
        <v>681</v>
      </c>
      <c r="V33" s="25"/>
      <c r="X33">
        <f t="shared" si="0"/>
        <v>0</v>
      </c>
      <c r="Y33">
        <f t="shared" si="1"/>
        <v>0</v>
      </c>
      <c r="Z33">
        <f t="shared" si="3"/>
        <v>21</v>
      </c>
      <c r="AB33" s="20" t="s">
        <v>30</v>
      </c>
      <c r="AC33" s="12">
        <v>152</v>
      </c>
      <c r="AD33" s="14">
        <v>9</v>
      </c>
      <c r="AE33" s="14">
        <v>40</v>
      </c>
      <c r="AF33" s="14">
        <v>25</v>
      </c>
      <c r="AG33" s="15">
        <v>78</v>
      </c>
      <c r="AH33">
        <f t="shared" si="2"/>
        <v>0</v>
      </c>
    </row>
    <row r="34" spans="1:34">
      <c r="A34" s="2" t="s">
        <v>31</v>
      </c>
      <c r="B34" s="25">
        <v>2297</v>
      </c>
      <c r="C34" s="25">
        <v>1168</v>
      </c>
      <c r="D34" s="25"/>
      <c r="E34" s="25">
        <v>381</v>
      </c>
      <c r="F34" s="25">
        <v>370</v>
      </c>
      <c r="G34" s="25"/>
      <c r="H34" s="25"/>
      <c r="I34" s="25">
        <v>33</v>
      </c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>
        <v>69</v>
      </c>
      <c r="U34" s="25">
        <v>680</v>
      </c>
      <c r="V34" s="25"/>
      <c r="X34">
        <f t="shared" si="0"/>
        <v>-1</v>
      </c>
      <c r="Y34">
        <f t="shared" si="1"/>
        <v>-22</v>
      </c>
      <c r="Z34">
        <f t="shared" si="3"/>
        <v>0</v>
      </c>
      <c r="AB34" s="20" t="s">
        <v>31</v>
      </c>
      <c r="AC34" s="12">
        <v>319</v>
      </c>
      <c r="AD34" s="14">
        <v>46</v>
      </c>
      <c r="AE34" s="14">
        <v>113</v>
      </c>
      <c r="AF34" s="14">
        <v>30</v>
      </c>
      <c r="AG34" s="15">
        <v>131</v>
      </c>
      <c r="AH34">
        <f t="shared" si="2"/>
        <v>-1</v>
      </c>
    </row>
    <row r="35" spans="1:34">
      <c r="A35" s="2" t="s">
        <v>32</v>
      </c>
      <c r="B35" s="25">
        <v>3670</v>
      </c>
      <c r="C35" s="24">
        <v>42</v>
      </c>
      <c r="D35" s="24"/>
      <c r="E35" s="25">
        <v>2164</v>
      </c>
      <c r="F35" s="25">
        <v>2008</v>
      </c>
      <c r="G35" s="24"/>
      <c r="H35" s="24"/>
      <c r="I35" s="25">
        <v>81</v>
      </c>
      <c r="J35" s="25"/>
      <c r="K35" s="24"/>
      <c r="L35" s="24"/>
      <c r="M35" s="25">
        <v>75</v>
      </c>
      <c r="N35" s="25"/>
      <c r="O35" s="24">
        <v>2</v>
      </c>
      <c r="P35" s="24">
        <v>5</v>
      </c>
      <c r="Q35" s="25"/>
      <c r="R35" s="25"/>
      <c r="S35" s="25"/>
      <c r="T35" s="24">
        <v>942</v>
      </c>
      <c r="U35" s="24">
        <v>522</v>
      </c>
      <c r="V35" s="25"/>
      <c r="X35">
        <f t="shared" si="0"/>
        <v>0</v>
      </c>
      <c r="Y35">
        <f t="shared" si="1"/>
        <v>0</v>
      </c>
      <c r="Z35">
        <f t="shared" si="3"/>
        <v>68</v>
      </c>
      <c r="AB35" s="20" t="s">
        <v>32</v>
      </c>
      <c r="AC35" s="12">
        <v>574</v>
      </c>
      <c r="AD35" s="13"/>
      <c r="AE35" s="14">
        <v>180</v>
      </c>
      <c r="AF35" s="14">
        <v>177</v>
      </c>
      <c r="AG35" s="15">
        <v>217</v>
      </c>
      <c r="AH35">
        <f t="shared" si="2"/>
        <v>0</v>
      </c>
    </row>
    <row r="36" spans="1:34" ht="13.5" customHeight="1">
      <c r="A36" s="2" t="s">
        <v>33</v>
      </c>
      <c r="B36" s="25">
        <v>8083</v>
      </c>
      <c r="C36" s="24">
        <v>644</v>
      </c>
      <c r="D36" s="24"/>
      <c r="E36" s="25">
        <v>4771</v>
      </c>
      <c r="F36" s="25">
        <v>4642</v>
      </c>
      <c r="G36" s="24"/>
      <c r="H36" s="24"/>
      <c r="I36" s="25">
        <v>68</v>
      </c>
      <c r="J36" s="25"/>
      <c r="K36" s="24"/>
      <c r="L36" s="24"/>
      <c r="M36" s="25">
        <v>65</v>
      </c>
      <c r="N36" s="25"/>
      <c r="O36" s="24"/>
      <c r="P36" s="24">
        <v>3</v>
      </c>
      <c r="Q36" s="25"/>
      <c r="R36" s="25"/>
      <c r="S36" s="25"/>
      <c r="T36" s="24">
        <v>1776</v>
      </c>
      <c r="U36" s="24">
        <v>892</v>
      </c>
      <c r="V36" s="25"/>
      <c r="X36">
        <f t="shared" si="0"/>
        <v>0</v>
      </c>
      <c r="Y36">
        <f t="shared" si="1"/>
        <v>-4</v>
      </c>
      <c r="Z36">
        <f t="shared" si="3"/>
        <v>62</v>
      </c>
      <c r="AB36" s="21" t="s">
        <v>33</v>
      </c>
      <c r="AC36" s="7">
        <v>1085</v>
      </c>
      <c r="AD36" s="8">
        <v>98</v>
      </c>
      <c r="AE36" s="8">
        <v>394</v>
      </c>
      <c r="AF36" s="8">
        <v>262</v>
      </c>
      <c r="AG36" s="16">
        <v>330</v>
      </c>
      <c r="AH36">
        <f t="shared" si="2"/>
        <v>1</v>
      </c>
    </row>
    <row r="38" spans="1:34">
      <c r="B38">
        <f>B5-SUM(B6:B36)</f>
        <v>1</v>
      </c>
      <c r="C38">
        <f t="shared" ref="C38:V38" si="4">C5-SUM(C6:C36)</f>
        <v>0</v>
      </c>
      <c r="D38">
        <f t="shared" si="4"/>
        <v>0</v>
      </c>
      <c r="E38">
        <f t="shared" si="4"/>
        <v>-1</v>
      </c>
      <c r="F38">
        <f t="shared" si="4"/>
        <v>0</v>
      </c>
      <c r="H38">
        <f t="shared" si="4"/>
        <v>0</v>
      </c>
      <c r="I38">
        <f t="shared" si="4"/>
        <v>0</v>
      </c>
      <c r="J38">
        <f t="shared" si="4"/>
        <v>0</v>
      </c>
      <c r="L38">
        <f t="shared" si="4"/>
        <v>0</v>
      </c>
      <c r="M38">
        <f t="shared" si="4"/>
        <v>-1</v>
      </c>
      <c r="N38">
        <f t="shared" si="4"/>
        <v>0</v>
      </c>
      <c r="O38">
        <f t="shared" si="4"/>
        <v>1</v>
      </c>
      <c r="P38">
        <f t="shared" si="4"/>
        <v>0</v>
      </c>
      <c r="S38">
        <f t="shared" si="4"/>
        <v>0</v>
      </c>
      <c r="T38">
        <f t="shared" si="4"/>
        <v>-3</v>
      </c>
      <c r="U38">
        <f t="shared" si="4"/>
        <v>-4</v>
      </c>
      <c r="V38">
        <f t="shared" si="4"/>
        <v>0</v>
      </c>
    </row>
  </sheetData>
  <mergeCells count="16">
    <mergeCell ref="E2:R2"/>
    <mergeCell ref="I3:K3"/>
    <mergeCell ref="M3:R3"/>
    <mergeCell ref="A1:V1"/>
    <mergeCell ref="A2:A4"/>
    <mergeCell ref="B2:B4"/>
    <mergeCell ref="C2:D2"/>
    <mergeCell ref="S2:S4"/>
    <mergeCell ref="T2:T4"/>
    <mergeCell ref="U2:U4"/>
    <mergeCell ref="V2:V4"/>
    <mergeCell ref="C3:C4"/>
    <mergeCell ref="D3:D4"/>
    <mergeCell ref="E3:E4"/>
    <mergeCell ref="F3:H3"/>
    <mergeCell ref="L3:L4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0AC60-E4A1-4B8F-A1CE-6D5CA2BFAEE8}">
  <dimension ref="A1:AE38"/>
  <sheetViews>
    <sheetView topLeftCell="A22" workbookViewId="0">
      <selection activeCell="D63" sqref="D63"/>
    </sheetView>
  </sheetViews>
  <sheetFormatPr defaultRowHeight="12.75"/>
  <cols>
    <col min="1" max="22" width="7.5703125" customWidth="1"/>
    <col min="31" max="31" width="7.5703125" customWidth="1"/>
  </cols>
  <sheetData>
    <row r="1" spans="1:31" ht="12.75" customHeight="1">
      <c r="A1" s="118" t="s">
        <v>62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X1" s="121" t="s">
        <v>67</v>
      </c>
      <c r="Y1" s="110"/>
      <c r="Z1" s="110"/>
      <c r="AA1" s="110"/>
      <c r="AB1" s="110"/>
      <c r="AC1" s="110"/>
      <c r="AD1" s="110"/>
      <c r="AE1" s="110"/>
    </row>
    <row r="2" spans="1:31" ht="12.75" customHeight="1">
      <c r="A2" s="109" t="s">
        <v>34</v>
      </c>
      <c r="B2" s="109" t="s">
        <v>35</v>
      </c>
      <c r="C2" s="119" t="s">
        <v>36</v>
      </c>
      <c r="D2" s="119"/>
      <c r="E2" s="112" t="s">
        <v>37</v>
      </c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4"/>
      <c r="S2" s="109" t="s">
        <v>38</v>
      </c>
      <c r="T2" s="109" t="s">
        <v>39</v>
      </c>
      <c r="U2" s="120" t="s">
        <v>1</v>
      </c>
      <c r="V2" s="109" t="s">
        <v>40</v>
      </c>
      <c r="X2" s="109" t="s">
        <v>35</v>
      </c>
      <c r="Y2" s="109" t="s">
        <v>64</v>
      </c>
      <c r="Z2" s="109" t="s">
        <v>65</v>
      </c>
      <c r="AA2" s="109" t="s">
        <v>38</v>
      </c>
      <c r="AB2" s="109" t="s">
        <v>39</v>
      </c>
      <c r="AC2" s="120" t="s">
        <v>1</v>
      </c>
      <c r="AD2" s="109" t="s">
        <v>40</v>
      </c>
      <c r="AE2" s="120" t="s">
        <v>63</v>
      </c>
    </row>
    <row r="3" spans="1:31">
      <c r="A3" s="110"/>
      <c r="B3" s="109"/>
      <c r="C3" s="109" t="s">
        <v>35</v>
      </c>
      <c r="D3" s="109" t="s">
        <v>41</v>
      </c>
      <c r="E3" s="109" t="s">
        <v>35</v>
      </c>
      <c r="F3" s="109" t="s">
        <v>42</v>
      </c>
      <c r="G3" s="109"/>
      <c r="H3" s="109"/>
      <c r="I3" s="115" t="s">
        <v>43</v>
      </c>
      <c r="J3" s="116"/>
      <c r="K3" s="117"/>
      <c r="L3" s="109" t="s">
        <v>44</v>
      </c>
      <c r="M3" s="115" t="s">
        <v>40</v>
      </c>
      <c r="N3" s="116"/>
      <c r="O3" s="116"/>
      <c r="P3" s="116"/>
      <c r="Q3" s="116"/>
      <c r="R3" s="117"/>
      <c r="S3" s="109"/>
      <c r="T3" s="109"/>
      <c r="U3" s="120"/>
      <c r="V3" s="109"/>
      <c r="X3" s="109"/>
      <c r="Y3" s="110"/>
      <c r="Z3" s="110"/>
      <c r="AA3" s="109"/>
      <c r="AB3" s="109"/>
      <c r="AC3" s="120"/>
      <c r="AD3" s="109"/>
      <c r="AE3" s="120"/>
    </row>
    <row r="4" spans="1:31" ht="48">
      <c r="A4" s="110"/>
      <c r="B4" s="109"/>
      <c r="C4" s="109"/>
      <c r="D4" s="109"/>
      <c r="E4" s="109"/>
      <c r="F4" s="2" t="s">
        <v>35</v>
      </c>
      <c r="G4" s="2" t="s">
        <v>61</v>
      </c>
      <c r="H4" s="2" t="s">
        <v>0</v>
      </c>
      <c r="I4" s="2" t="s">
        <v>35</v>
      </c>
      <c r="J4" s="2" t="s">
        <v>60</v>
      </c>
      <c r="K4" s="2" t="s">
        <v>46</v>
      </c>
      <c r="L4" s="109"/>
      <c r="M4" s="2" t="s">
        <v>35</v>
      </c>
      <c r="N4" s="2" t="s">
        <v>58</v>
      </c>
      <c r="O4" s="2" t="s">
        <v>57</v>
      </c>
      <c r="P4" s="2" t="s">
        <v>59</v>
      </c>
      <c r="Q4" s="6" t="s">
        <v>47</v>
      </c>
      <c r="R4" s="6" t="s">
        <v>48</v>
      </c>
      <c r="S4" s="109"/>
      <c r="T4" s="109"/>
      <c r="U4" s="120"/>
      <c r="V4" s="109"/>
      <c r="X4" s="109"/>
      <c r="Y4" s="110"/>
      <c r="Z4" s="110"/>
      <c r="AA4" s="109"/>
      <c r="AB4" s="109"/>
      <c r="AC4" s="120"/>
      <c r="AD4" s="109"/>
      <c r="AE4" s="120"/>
    </row>
    <row r="5" spans="1:31">
      <c r="A5" s="3" t="s">
        <v>5</v>
      </c>
      <c r="B5" s="24">
        <v>171249</v>
      </c>
      <c r="C5" s="24">
        <v>31071</v>
      </c>
      <c r="D5" s="1"/>
      <c r="E5" s="24">
        <v>109992</v>
      </c>
      <c r="F5" s="36">
        <v>98130</v>
      </c>
      <c r="G5" s="1"/>
      <c r="H5" s="1"/>
      <c r="I5" s="36">
        <v>7570</v>
      </c>
      <c r="J5" s="1"/>
      <c r="K5" s="1"/>
      <c r="L5" s="36">
        <v>197</v>
      </c>
      <c r="M5" s="36">
        <v>4598</v>
      </c>
      <c r="N5" s="1"/>
      <c r="O5" s="36">
        <v>731</v>
      </c>
      <c r="P5" s="36">
        <v>872</v>
      </c>
      <c r="Q5" s="36">
        <v>47</v>
      </c>
      <c r="R5" s="1"/>
      <c r="S5" s="24">
        <v>3582</v>
      </c>
      <c r="T5" s="24">
        <v>16322</v>
      </c>
      <c r="U5" s="24">
        <v>10277</v>
      </c>
      <c r="V5" s="24">
        <v>5</v>
      </c>
      <c r="X5" s="5">
        <v>177708</v>
      </c>
      <c r="Y5" s="5">
        <v>34359</v>
      </c>
      <c r="Z5" s="5">
        <v>110495</v>
      </c>
      <c r="AA5" s="5">
        <v>3582</v>
      </c>
      <c r="AB5" s="5">
        <v>16325</v>
      </c>
      <c r="AC5" s="5">
        <v>12942</v>
      </c>
      <c r="AD5" s="5">
        <v>7</v>
      </c>
      <c r="AE5" s="36">
        <v>3658</v>
      </c>
    </row>
    <row r="6" spans="1:31">
      <c r="A6" s="2" t="s">
        <v>6</v>
      </c>
      <c r="B6" s="24">
        <v>1198</v>
      </c>
      <c r="C6" s="24">
        <v>98</v>
      </c>
      <c r="D6" s="1"/>
      <c r="E6" s="24">
        <v>1076</v>
      </c>
      <c r="F6" s="36">
        <v>85</v>
      </c>
      <c r="G6" s="1"/>
      <c r="H6" s="1"/>
      <c r="I6" s="36">
        <v>950</v>
      </c>
      <c r="J6" s="1"/>
      <c r="K6" s="1"/>
      <c r="L6" s="36">
        <v>22</v>
      </c>
      <c r="M6" s="36">
        <v>20</v>
      </c>
      <c r="N6" s="1"/>
      <c r="O6" s="36">
        <v>20</v>
      </c>
      <c r="P6" s="27"/>
      <c r="Q6" s="36">
        <v>1</v>
      </c>
      <c r="R6" s="1"/>
      <c r="S6" s="25"/>
      <c r="T6" s="24">
        <v>19</v>
      </c>
      <c r="U6" s="24">
        <v>5</v>
      </c>
      <c r="V6" s="25"/>
      <c r="X6" s="5">
        <v>1219</v>
      </c>
      <c r="Y6" s="5">
        <v>98</v>
      </c>
      <c r="Z6" s="5">
        <v>1077</v>
      </c>
      <c r="AA6" s="34"/>
      <c r="AB6" s="5">
        <v>19</v>
      </c>
      <c r="AC6" s="5">
        <v>25</v>
      </c>
      <c r="AD6" s="34"/>
      <c r="AE6" s="36">
        <v>22</v>
      </c>
    </row>
    <row r="7" spans="1:31">
      <c r="A7" s="2" t="s">
        <v>7</v>
      </c>
      <c r="B7" s="24">
        <v>1483</v>
      </c>
      <c r="C7" s="25"/>
      <c r="D7" s="1"/>
      <c r="E7" s="24">
        <v>1400</v>
      </c>
      <c r="F7" s="36">
        <v>1072</v>
      </c>
      <c r="G7" s="1"/>
      <c r="H7" s="1"/>
      <c r="I7" s="36">
        <v>304</v>
      </c>
      <c r="J7" s="1"/>
      <c r="K7" s="1"/>
      <c r="L7" s="28"/>
      <c r="M7" s="36">
        <v>27</v>
      </c>
      <c r="N7" s="1"/>
      <c r="O7" s="36">
        <v>10</v>
      </c>
      <c r="P7" s="28"/>
      <c r="Q7" s="31"/>
      <c r="R7" s="1"/>
      <c r="S7" s="25"/>
      <c r="T7" s="24">
        <v>28</v>
      </c>
      <c r="U7" s="24">
        <v>55</v>
      </c>
      <c r="V7" s="25"/>
      <c r="X7" s="5">
        <v>1499</v>
      </c>
      <c r="Y7" s="5">
        <v>1</v>
      </c>
      <c r="Z7" s="5">
        <v>1402</v>
      </c>
      <c r="AA7" s="34"/>
      <c r="AB7" s="5">
        <v>29</v>
      </c>
      <c r="AC7" s="5">
        <v>68</v>
      </c>
      <c r="AD7" s="34"/>
      <c r="AE7" s="36">
        <v>15</v>
      </c>
    </row>
    <row r="8" spans="1:31">
      <c r="A8" s="2" t="s">
        <v>8</v>
      </c>
      <c r="B8" s="24">
        <v>6576</v>
      </c>
      <c r="C8" s="24">
        <v>165</v>
      </c>
      <c r="D8" s="1"/>
      <c r="E8" s="24">
        <v>4566</v>
      </c>
      <c r="F8" s="36">
        <v>4282</v>
      </c>
      <c r="G8" s="1"/>
      <c r="H8" s="1"/>
      <c r="I8" s="36">
        <v>3</v>
      </c>
      <c r="J8" s="1"/>
      <c r="K8" s="1"/>
      <c r="L8" s="28"/>
      <c r="M8" s="36">
        <v>289</v>
      </c>
      <c r="N8" s="1"/>
      <c r="O8" s="36">
        <v>24</v>
      </c>
      <c r="P8" s="28">
        <v>44</v>
      </c>
      <c r="Q8" s="36">
        <v>1</v>
      </c>
      <c r="R8" s="1"/>
      <c r="S8" s="25"/>
      <c r="T8" s="24">
        <v>1181</v>
      </c>
      <c r="U8" s="24">
        <v>662</v>
      </c>
      <c r="V8" s="24">
        <v>2</v>
      </c>
      <c r="X8" s="5">
        <v>6807</v>
      </c>
      <c r="Y8" s="5">
        <v>182</v>
      </c>
      <c r="Z8" s="5">
        <v>4574</v>
      </c>
      <c r="AA8" s="34"/>
      <c r="AB8" s="5">
        <v>1181</v>
      </c>
      <c r="AC8" s="5">
        <v>868</v>
      </c>
      <c r="AD8" s="5">
        <v>2</v>
      </c>
      <c r="AE8" s="36">
        <v>351</v>
      </c>
    </row>
    <row r="9" spans="1:31">
      <c r="A9" s="2" t="s">
        <v>9</v>
      </c>
      <c r="B9" s="24">
        <v>7992</v>
      </c>
      <c r="C9" s="24">
        <v>235</v>
      </c>
      <c r="D9" s="1"/>
      <c r="E9" s="24">
        <v>6352</v>
      </c>
      <c r="F9" s="36">
        <v>5887</v>
      </c>
      <c r="G9" s="1"/>
      <c r="H9" s="1"/>
      <c r="I9" s="36">
        <v>291</v>
      </c>
      <c r="J9" s="1"/>
      <c r="K9" s="1"/>
      <c r="L9" s="28"/>
      <c r="M9" s="36">
        <v>189</v>
      </c>
      <c r="N9" s="1"/>
      <c r="O9" s="36">
        <v>11</v>
      </c>
      <c r="P9" s="28">
        <v>30</v>
      </c>
      <c r="Q9" s="36">
        <v>9</v>
      </c>
      <c r="R9" s="1"/>
      <c r="S9" s="25"/>
      <c r="T9" s="24">
        <v>872</v>
      </c>
      <c r="U9" s="24">
        <v>534</v>
      </c>
      <c r="V9" s="25"/>
      <c r="X9" s="5">
        <v>8073</v>
      </c>
      <c r="Y9" s="5">
        <v>244</v>
      </c>
      <c r="Z9" s="5">
        <v>6366</v>
      </c>
      <c r="AA9" s="34"/>
      <c r="AB9" s="5">
        <v>872</v>
      </c>
      <c r="AC9" s="5">
        <v>590</v>
      </c>
      <c r="AD9" s="34"/>
      <c r="AE9" s="36">
        <v>60</v>
      </c>
    </row>
    <row r="10" spans="1:31">
      <c r="A10" s="2" t="s">
        <v>2</v>
      </c>
      <c r="B10" s="24">
        <v>11810</v>
      </c>
      <c r="C10" s="24">
        <v>238</v>
      </c>
      <c r="D10" s="1"/>
      <c r="E10" s="24">
        <v>8162</v>
      </c>
      <c r="F10" s="36">
        <v>8103</v>
      </c>
      <c r="G10" s="1"/>
      <c r="H10" s="1"/>
      <c r="I10" s="36">
        <v>42</v>
      </c>
      <c r="J10" s="1"/>
      <c r="K10" s="1"/>
      <c r="L10" s="28"/>
      <c r="M10" s="36">
        <v>25</v>
      </c>
      <c r="N10" s="1"/>
      <c r="O10" s="36">
        <v>4</v>
      </c>
      <c r="P10" s="28">
        <v>12</v>
      </c>
      <c r="Q10" s="31"/>
      <c r="R10" s="1"/>
      <c r="S10" s="25"/>
      <c r="T10" s="24">
        <v>2669</v>
      </c>
      <c r="U10" s="24">
        <v>740</v>
      </c>
      <c r="V10" s="25"/>
      <c r="X10" s="5">
        <v>11826</v>
      </c>
      <c r="Y10" s="5">
        <v>242</v>
      </c>
      <c r="Z10" s="5">
        <v>8170</v>
      </c>
      <c r="AA10" s="34"/>
      <c r="AB10" s="5">
        <v>2670</v>
      </c>
      <c r="AC10" s="5">
        <v>743</v>
      </c>
      <c r="AD10" s="34"/>
      <c r="AE10" s="36">
        <v>2</v>
      </c>
    </row>
    <row r="11" spans="1:31">
      <c r="A11" s="2" t="s">
        <v>10</v>
      </c>
      <c r="B11" s="24">
        <v>4824</v>
      </c>
      <c r="C11" s="24">
        <v>279</v>
      </c>
      <c r="D11" s="1"/>
      <c r="E11" s="24">
        <v>3188</v>
      </c>
      <c r="F11" s="36">
        <v>3093</v>
      </c>
      <c r="G11" s="1"/>
      <c r="H11" s="1"/>
      <c r="I11" s="36">
        <v>5</v>
      </c>
      <c r="J11" s="1"/>
      <c r="K11" s="1"/>
      <c r="L11" s="36">
        <v>15</v>
      </c>
      <c r="M11" s="36">
        <v>80</v>
      </c>
      <c r="N11" s="1"/>
      <c r="O11" s="36">
        <v>8</v>
      </c>
      <c r="P11" s="36">
        <v>7</v>
      </c>
      <c r="Q11" s="31"/>
      <c r="R11" s="1"/>
      <c r="S11" s="24">
        <v>448</v>
      </c>
      <c r="T11" s="24">
        <v>710</v>
      </c>
      <c r="U11" s="24">
        <v>200</v>
      </c>
      <c r="V11" s="25"/>
      <c r="X11" s="5">
        <v>4869</v>
      </c>
      <c r="Y11" s="5">
        <v>295</v>
      </c>
      <c r="Z11" s="5">
        <v>3193</v>
      </c>
      <c r="AA11" s="5">
        <v>448</v>
      </c>
      <c r="AB11" s="5">
        <v>711</v>
      </c>
      <c r="AC11" s="5">
        <v>223</v>
      </c>
      <c r="AD11" s="34"/>
      <c r="AE11" s="36">
        <v>38</v>
      </c>
    </row>
    <row r="12" spans="1:31">
      <c r="A12" s="2" t="s">
        <v>3</v>
      </c>
      <c r="B12" s="24">
        <v>2804</v>
      </c>
      <c r="C12" s="24">
        <v>353</v>
      </c>
      <c r="D12" s="1"/>
      <c r="E12" s="24">
        <v>1817</v>
      </c>
      <c r="F12" s="36">
        <v>1728</v>
      </c>
      <c r="G12" s="1"/>
      <c r="H12" s="1"/>
      <c r="I12" s="36">
        <v>0.5</v>
      </c>
      <c r="J12" s="1"/>
      <c r="K12" s="1"/>
      <c r="L12" s="28"/>
      <c r="M12" s="36">
        <v>91</v>
      </c>
      <c r="N12" s="1"/>
      <c r="O12" s="36">
        <v>13</v>
      </c>
      <c r="P12" s="28">
        <v>40</v>
      </c>
      <c r="Q12" s="36">
        <v>0.3</v>
      </c>
      <c r="R12" s="1"/>
      <c r="S12" s="25"/>
      <c r="T12" s="24">
        <v>505</v>
      </c>
      <c r="U12" s="24">
        <v>130</v>
      </c>
      <c r="V12" s="25"/>
      <c r="X12" s="5">
        <v>2864</v>
      </c>
      <c r="Y12" s="5">
        <v>380</v>
      </c>
      <c r="Z12" s="5">
        <v>1820</v>
      </c>
      <c r="AA12" s="34"/>
      <c r="AB12" s="5">
        <v>505</v>
      </c>
      <c r="AC12" s="5">
        <v>159</v>
      </c>
      <c r="AD12" s="34"/>
      <c r="AE12" s="36">
        <v>52</v>
      </c>
    </row>
    <row r="13" spans="1:31">
      <c r="A13" s="2" t="s">
        <v>4</v>
      </c>
      <c r="B13" s="24">
        <v>2936</v>
      </c>
      <c r="C13" s="24">
        <v>97</v>
      </c>
      <c r="D13" s="1"/>
      <c r="E13" s="24">
        <v>2197</v>
      </c>
      <c r="F13" s="36">
        <v>2078</v>
      </c>
      <c r="G13" s="1"/>
      <c r="H13" s="1"/>
      <c r="I13" s="36">
        <v>12</v>
      </c>
      <c r="J13" s="1"/>
      <c r="K13" s="1"/>
      <c r="L13" s="36">
        <v>2</v>
      </c>
      <c r="M13" s="36">
        <v>110</v>
      </c>
      <c r="N13" s="1"/>
      <c r="O13" s="36">
        <v>8</v>
      </c>
      <c r="P13" s="36">
        <v>82</v>
      </c>
      <c r="Q13" s="36">
        <v>0.4</v>
      </c>
      <c r="R13" s="1"/>
      <c r="S13" s="25"/>
      <c r="T13" s="24">
        <v>570</v>
      </c>
      <c r="U13" s="24">
        <v>73</v>
      </c>
      <c r="V13" s="25"/>
      <c r="X13" s="5">
        <v>2969</v>
      </c>
      <c r="Y13" s="5">
        <v>103</v>
      </c>
      <c r="Z13" s="5">
        <v>2201</v>
      </c>
      <c r="AA13" s="34"/>
      <c r="AB13" s="5">
        <v>570</v>
      </c>
      <c r="AC13" s="5">
        <v>94</v>
      </c>
      <c r="AD13" s="34"/>
      <c r="AE13" s="36">
        <v>30</v>
      </c>
    </row>
    <row r="14" spans="1:31">
      <c r="A14" s="2" t="s">
        <v>11</v>
      </c>
      <c r="B14" s="24">
        <v>2348</v>
      </c>
      <c r="C14" s="25"/>
      <c r="D14" s="1"/>
      <c r="E14" s="24">
        <v>2270</v>
      </c>
      <c r="F14" s="36">
        <v>1509</v>
      </c>
      <c r="G14" s="1"/>
      <c r="H14" s="1"/>
      <c r="I14" s="36">
        <v>573</v>
      </c>
      <c r="J14" s="1"/>
      <c r="K14" s="1"/>
      <c r="L14" s="36">
        <v>86</v>
      </c>
      <c r="M14" s="36">
        <v>102</v>
      </c>
      <c r="N14" s="1"/>
      <c r="O14" s="36">
        <v>26</v>
      </c>
      <c r="P14" s="27"/>
      <c r="Q14" s="36">
        <v>2</v>
      </c>
      <c r="R14" s="1"/>
      <c r="S14" s="25"/>
      <c r="T14" s="24">
        <v>71</v>
      </c>
      <c r="U14" s="24">
        <v>7</v>
      </c>
      <c r="V14" s="25"/>
      <c r="X14" s="5">
        <v>2400</v>
      </c>
      <c r="Y14" s="34"/>
      <c r="Z14" s="5">
        <v>2271</v>
      </c>
      <c r="AA14" s="34"/>
      <c r="AB14" s="5">
        <v>71</v>
      </c>
      <c r="AC14" s="5">
        <v>58</v>
      </c>
      <c r="AD14" s="34"/>
      <c r="AE14" s="36">
        <v>59</v>
      </c>
    </row>
    <row r="15" spans="1:31">
      <c r="A15" s="2" t="s">
        <v>12</v>
      </c>
      <c r="B15" s="24">
        <v>11112</v>
      </c>
      <c r="C15" s="24">
        <v>260</v>
      </c>
      <c r="D15" s="1"/>
      <c r="E15" s="24">
        <v>9414</v>
      </c>
      <c r="F15" s="36">
        <v>7741</v>
      </c>
      <c r="G15" s="1"/>
      <c r="H15" s="1"/>
      <c r="I15" s="36">
        <v>1348</v>
      </c>
      <c r="J15" s="1"/>
      <c r="K15" s="1"/>
      <c r="L15" s="28"/>
      <c r="M15" s="36">
        <v>340</v>
      </c>
      <c r="N15" s="1"/>
      <c r="O15" s="36">
        <v>91</v>
      </c>
      <c r="P15" s="28">
        <v>50</v>
      </c>
      <c r="Q15" s="36">
        <v>4</v>
      </c>
      <c r="R15" s="1"/>
      <c r="S15" s="24">
        <v>212</v>
      </c>
      <c r="T15" s="24">
        <v>655</v>
      </c>
      <c r="U15" s="24">
        <v>571</v>
      </c>
      <c r="V15" s="24"/>
      <c r="X15" s="5">
        <v>11469</v>
      </c>
      <c r="Y15" s="5">
        <v>265</v>
      </c>
      <c r="Z15" s="5">
        <v>9430</v>
      </c>
      <c r="AA15" s="5">
        <v>212</v>
      </c>
      <c r="AB15" s="5">
        <v>656</v>
      </c>
      <c r="AC15" s="5">
        <v>907</v>
      </c>
      <c r="AD15" s="5"/>
      <c r="AE15" s="36">
        <v>327</v>
      </c>
    </row>
    <row r="16" spans="1:31">
      <c r="A16" s="2" t="s">
        <v>13</v>
      </c>
      <c r="B16" s="24">
        <v>8175</v>
      </c>
      <c r="C16" s="24">
        <v>941</v>
      </c>
      <c r="D16" s="1"/>
      <c r="E16" s="24">
        <v>6117</v>
      </c>
      <c r="F16" s="36">
        <v>4663</v>
      </c>
      <c r="G16" s="1"/>
      <c r="H16" s="1"/>
      <c r="I16" s="36">
        <v>1230</v>
      </c>
      <c r="J16" s="1"/>
      <c r="K16" s="1"/>
      <c r="L16" s="36">
        <v>6</v>
      </c>
      <c r="M16" s="36">
        <v>235</v>
      </c>
      <c r="N16" s="1"/>
      <c r="O16" s="36">
        <v>133</v>
      </c>
      <c r="P16" s="36">
        <v>21</v>
      </c>
      <c r="Q16" s="36">
        <v>4</v>
      </c>
      <c r="R16" s="1"/>
      <c r="S16" s="24">
        <v>657</v>
      </c>
      <c r="T16" s="24">
        <v>132</v>
      </c>
      <c r="U16" s="24">
        <v>328</v>
      </c>
      <c r="V16" s="25"/>
      <c r="X16" s="5">
        <v>8899</v>
      </c>
      <c r="Y16" s="5">
        <v>1160</v>
      </c>
      <c r="Z16" s="5">
        <v>6134</v>
      </c>
      <c r="AA16" s="5">
        <v>657</v>
      </c>
      <c r="AB16" s="5">
        <v>133</v>
      </c>
      <c r="AC16" s="5">
        <v>814</v>
      </c>
      <c r="AD16" s="5">
        <v>0.4</v>
      </c>
      <c r="AE16" s="36">
        <v>499</v>
      </c>
    </row>
    <row r="17" spans="1:31">
      <c r="A17" s="2" t="s">
        <v>14</v>
      </c>
      <c r="B17" s="24">
        <v>6099</v>
      </c>
      <c r="C17" s="24">
        <v>242</v>
      </c>
      <c r="D17" s="1"/>
      <c r="E17" s="24">
        <v>5031</v>
      </c>
      <c r="F17" s="36">
        <v>4760</v>
      </c>
      <c r="G17" s="1"/>
      <c r="H17" s="1"/>
      <c r="I17" s="36">
        <v>12</v>
      </c>
      <c r="J17" s="1"/>
      <c r="K17" s="1"/>
      <c r="L17" s="28"/>
      <c r="M17" s="36">
        <v>281</v>
      </c>
      <c r="N17" s="1"/>
      <c r="O17" s="36">
        <v>43</v>
      </c>
      <c r="P17" s="28">
        <v>75</v>
      </c>
      <c r="Q17" s="36">
        <v>1</v>
      </c>
      <c r="R17" s="1"/>
      <c r="S17" s="25"/>
      <c r="T17" s="24">
        <v>217</v>
      </c>
      <c r="U17" s="24">
        <v>608</v>
      </c>
      <c r="V17" s="25"/>
      <c r="X17" s="5">
        <v>6468</v>
      </c>
      <c r="Y17" s="5">
        <v>310</v>
      </c>
      <c r="Z17" s="5">
        <v>5053</v>
      </c>
      <c r="AA17" s="34"/>
      <c r="AB17" s="5">
        <v>217</v>
      </c>
      <c r="AC17" s="5">
        <v>888</v>
      </c>
      <c r="AD17" s="34"/>
      <c r="AE17" s="36">
        <v>323</v>
      </c>
    </row>
    <row r="18" spans="1:31">
      <c r="A18" s="2" t="s">
        <v>15</v>
      </c>
      <c r="B18" s="24">
        <v>5164</v>
      </c>
      <c r="C18" s="24">
        <v>917</v>
      </c>
      <c r="D18" s="1"/>
      <c r="E18" s="24">
        <v>3064</v>
      </c>
      <c r="F18" s="36">
        <v>2545</v>
      </c>
      <c r="G18" s="1"/>
      <c r="H18" s="1"/>
      <c r="I18" s="36">
        <v>390</v>
      </c>
      <c r="J18" s="1"/>
      <c r="K18" s="1"/>
      <c r="L18" s="36">
        <v>1</v>
      </c>
      <c r="M18" s="36">
        <v>138</v>
      </c>
      <c r="N18" s="1"/>
      <c r="O18" s="36">
        <v>39</v>
      </c>
      <c r="P18" s="36">
        <v>5</v>
      </c>
      <c r="Q18" s="36">
        <v>0.4</v>
      </c>
      <c r="R18" s="1"/>
      <c r="S18" s="24">
        <v>871</v>
      </c>
      <c r="T18" s="24">
        <v>252</v>
      </c>
      <c r="U18" s="24">
        <v>60</v>
      </c>
      <c r="V18" s="25"/>
      <c r="X18" s="5">
        <v>5597</v>
      </c>
      <c r="Y18" s="5">
        <v>1307</v>
      </c>
      <c r="Z18" s="5">
        <v>3074</v>
      </c>
      <c r="AA18" s="5">
        <v>871</v>
      </c>
      <c r="AB18" s="5">
        <v>252</v>
      </c>
      <c r="AC18" s="5">
        <v>92</v>
      </c>
      <c r="AD18" s="34"/>
      <c r="AE18" s="35">
        <v>109</v>
      </c>
    </row>
    <row r="19" spans="1:31">
      <c r="A19" s="2" t="s">
        <v>16</v>
      </c>
      <c r="B19" s="24">
        <v>2796</v>
      </c>
      <c r="C19" s="24">
        <v>412</v>
      </c>
      <c r="D19" s="1"/>
      <c r="E19" s="24">
        <v>1928</v>
      </c>
      <c r="F19" s="36">
        <v>1721</v>
      </c>
      <c r="G19" s="1"/>
      <c r="H19" s="1"/>
      <c r="I19" s="36">
        <v>10</v>
      </c>
      <c r="J19" s="1"/>
      <c r="K19" s="1"/>
      <c r="L19" s="28"/>
      <c r="M19" s="36">
        <v>202</v>
      </c>
      <c r="N19" s="1"/>
      <c r="O19" s="36">
        <v>9</v>
      </c>
      <c r="P19" s="28">
        <v>20</v>
      </c>
      <c r="Q19" s="36">
        <v>1</v>
      </c>
      <c r="R19" s="1"/>
      <c r="S19" s="25"/>
      <c r="T19" s="24">
        <v>169</v>
      </c>
      <c r="U19" s="24">
        <v>287</v>
      </c>
      <c r="V19" s="25"/>
      <c r="X19" s="5">
        <v>3167</v>
      </c>
      <c r="Y19" s="5">
        <v>615</v>
      </c>
      <c r="Z19" s="5">
        <v>1934</v>
      </c>
      <c r="AA19" s="34"/>
      <c r="AB19" s="5">
        <v>169</v>
      </c>
      <c r="AC19" s="5">
        <v>449</v>
      </c>
      <c r="AD19" s="34"/>
      <c r="AE19" s="36">
        <v>172</v>
      </c>
    </row>
    <row r="20" spans="1:31">
      <c r="A20" s="2" t="s">
        <v>17</v>
      </c>
      <c r="B20" s="25">
        <v>12117</v>
      </c>
      <c r="C20" s="25">
        <v>101</v>
      </c>
      <c r="D20" s="1"/>
      <c r="E20" s="25">
        <v>10314</v>
      </c>
      <c r="F20" s="36">
        <v>9762</v>
      </c>
      <c r="G20" s="1"/>
      <c r="H20" s="1"/>
      <c r="I20" s="36">
        <v>5</v>
      </c>
      <c r="J20" s="1"/>
      <c r="K20" s="1"/>
      <c r="L20" s="28"/>
      <c r="M20" s="36">
        <v>567</v>
      </c>
      <c r="N20" s="1"/>
      <c r="O20" s="36">
        <v>80</v>
      </c>
      <c r="P20" s="28">
        <v>131</v>
      </c>
      <c r="Q20" s="36">
        <v>5</v>
      </c>
      <c r="R20" s="1"/>
      <c r="S20" s="25"/>
      <c r="T20" s="25">
        <v>1061</v>
      </c>
      <c r="U20" s="25">
        <v>640</v>
      </c>
      <c r="V20" s="25"/>
      <c r="X20" s="5">
        <v>12556</v>
      </c>
      <c r="Y20" s="5">
        <v>108</v>
      </c>
      <c r="Z20" s="5">
        <v>10335</v>
      </c>
      <c r="AA20" s="5"/>
      <c r="AB20" s="5">
        <v>1061</v>
      </c>
      <c r="AC20" s="5">
        <v>1052</v>
      </c>
      <c r="AD20" s="34"/>
      <c r="AE20" s="36">
        <v>474</v>
      </c>
    </row>
    <row r="21" spans="1:31">
      <c r="A21" s="2" t="s">
        <v>18</v>
      </c>
      <c r="B21" s="24">
        <v>7687</v>
      </c>
      <c r="C21" s="24">
        <v>389</v>
      </c>
      <c r="D21" s="1"/>
      <c r="E21" s="24">
        <v>6533</v>
      </c>
      <c r="F21" s="36">
        <v>6239</v>
      </c>
      <c r="G21" s="1"/>
      <c r="H21" s="1"/>
      <c r="I21" s="36">
        <v>164</v>
      </c>
      <c r="J21" s="1"/>
      <c r="K21" s="1"/>
      <c r="L21" s="28"/>
      <c r="M21" s="36">
        <v>141</v>
      </c>
      <c r="N21" s="1"/>
      <c r="O21" s="36">
        <v>6</v>
      </c>
      <c r="P21" s="28">
        <v>43</v>
      </c>
      <c r="Q21" s="36">
        <v>4</v>
      </c>
      <c r="R21" s="1"/>
      <c r="S21" s="25"/>
      <c r="T21" s="24">
        <v>233</v>
      </c>
      <c r="U21" s="24">
        <v>532</v>
      </c>
      <c r="V21" s="25"/>
      <c r="X21" s="5">
        <v>7880</v>
      </c>
      <c r="Y21" s="5">
        <v>399</v>
      </c>
      <c r="Z21" s="5">
        <v>6544</v>
      </c>
      <c r="AA21" s="34"/>
      <c r="AB21" s="5">
        <v>233</v>
      </c>
      <c r="AC21" s="5">
        <v>703</v>
      </c>
      <c r="AD21" s="34"/>
      <c r="AE21" s="36">
        <v>211</v>
      </c>
    </row>
    <row r="22" spans="1:31">
      <c r="A22" s="2" t="s">
        <v>19</v>
      </c>
      <c r="B22" s="24">
        <v>6890</v>
      </c>
      <c r="C22" s="24">
        <v>3558</v>
      </c>
      <c r="D22" s="1"/>
      <c r="E22" s="24">
        <v>2777</v>
      </c>
      <c r="F22" s="36">
        <v>2450</v>
      </c>
      <c r="G22" s="1"/>
      <c r="H22" s="1"/>
      <c r="I22" s="36">
        <v>96</v>
      </c>
      <c r="J22" s="1"/>
      <c r="K22" s="1"/>
      <c r="L22" s="28"/>
      <c r="M22" s="36">
        <v>241</v>
      </c>
      <c r="N22" s="1"/>
      <c r="O22" s="36">
        <v>24</v>
      </c>
      <c r="P22" s="28">
        <v>48</v>
      </c>
      <c r="Q22" s="36">
        <v>1</v>
      </c>
      <c r="R22" s="1"/>
      <c r="S22" s="25"/>
      <c r="T22" s="24">
        <v>253</v>
      </c>
      <c r="U22" s="24">
        <v>301</v>
      </c>
      <c r="V22" s="25"/>
      <c r="X22" s="5">
        <v>7124</v>
      </c>
      <c r="Y22" s="5">
        <v>3671</v>
      </c>
      <c r="Z22" s="5">
        <v>2787</v>
      </c>
      <c r="AA22" s="34"/>
      <c r="AB22" s="5">
        <v>253</v>
      </c>
      <c r="AC22" s="5">
        <v>413</v>
      </c>
      <c r="AD22" s="34"/>
      <c r="AE22" s="36">
        <v>177</v>
      </c>
    </row>
    <row r="23" spans="1:31">
      <c r="A23" s="2" t="s">
        <v>20</v>
      </c>
      <c r="B23" s="24">
        <v>3879</v>
      </c>
      <c r="C23" s="24">
        <v>1247</v>
      </c>
      <c r="D23" s="1"/>
      <c r="E23" s="24">
        <v>2255</v>
      </c>
      <c r="F23" s="36">
        <v>2053</v>
      </c>
      <c r="G23" s="1"/>
      <c r="H23" s="1"/>
      <c r="I23" s="36">
        <v>3</v>
      </c>
      <c r="J23" s="1"/>
      <c r="K23" s="1"/>
      <c r="L23" s="36">
        <v>7</v>
      </c>
      <c r="M23" s="36">
        <v>204</v>
      </c>
      <c r="N23" s="1"/>
      <c r="O23" s="36">
        <v>9</v>
      </c>
      <c r="P23" s="36">
        <v>36</v>
      </c>
      <c r="Q23" s="36">
        <v>1</v>
      </c>
      <c r="R23" s="1"/>
      <c r="S23" s="25"/>
      <c r="T23" s="24">
        <v>263</v>
      </c>
      <c r="U23" s="24">
        <v>113</v>
      </c>
      <c r="V23" s="24"/>
      <c r="X23" s="5">
        <v>4277</v>
      </c>
      <c r="Y23" s="5">
        <v>1570</v>
      </c>
      <c r="Z23" s="5">
        <v>2267</v>
      </c>
      <c r="AA23" s="34"/>
      <c r="AB23" s="5">
        <v>263</v>
      </c>
      <c r="AC23" s="5">
        <v>176</v>
      </c>
      <c r="AD23" s="5"/>
      <c r="AE23" s="36">
        <v>90</v>
      </c>
    </row>
    <row r="24" spans="1:31">
      <c r="A24" s="2" t="s">
        <v>21</v>
      </c>
      <c r="B24" s="24">
        <v>10356</v>
      </c>
      <c r="C24" s="24">
        <v>989</v>
      </c>
      <c r="D24" s="1"/>
      <c r="E24" s="24">
        <v>7755</v>
      </c>
      <c r="F24" s="36">
        <v>6035</v>
      </c>
      <c r="G24" s="1"/>
      <c r="H24" s="1"/>
      <c r="I24" s="36">
        <v>1571</v>
      </c>
      <c r="J24" s="1"/>
      <c r="K24" s="1"/>
      <c r="L24" s="28">
        <v>21</v>
      </c>
      <c r="M24" s="36">
        <v>141</v>
      </c>
      <c r="N24" s="1"/>
      <c r="O24" s="36">
        <v>77</v>
      </c>
      <c r="P24" s="28">
        <v>22</v>
      </c>
      <c r="Q24" s="36">
        <v>7</v>
      </c>
      <c r="R24" s="1"/>
      <c r="S24" s="24">
        <v>1046</v>
      </c>
      <c r="T24" s="24">
        <v>335</v>
      </c>
      <c r="U24" s="24">
        <v>229</v>
      </c>
      <c r="V24" s="24">
        <v>1</v>
      </c>
      <c r="X24" s="5">
        <v>10968</v>
      </c>
      <c r="Y24" s="5">
        <v>1486</v>
      </c>
      <c r="Z24" s="5">
        <v>7768</v>
      </c>
      <c r="AA24" s="5">
        <v>1046</v>
      </c>
      <c r="AB24" s="5">
        <v>335</v>
      </c>
      <c r="AC24" s="5">
        <v>332</v>
      </c>
      <c r="AD24" s="5">
        <v>2</v>
      </c>
      <c r="AE24" s="36">
        <v>122</v>
      </c>
    </row>
    <row r="25" spans="1:31">
      <c r="A25" s="2" t="s">
        <v>22</v>
      </c>
      <c r="B25" s="25">
        <v>4114</v>
      </c>
      <c r="C25" s="25">
        <v>1497</v>
      </c>
      <c r="D25" s="1"/>
      <c r="E25" s="25">
        <v>2181</v>
      </c>
      <c r="F25" s="36">
        <v>1797</v>
      </c>
      <c r="G25" s="1"/>
      <c r="H25" s="1"/>
      <c r="I25" s="36">
        <v>35</v>
      </c>
      <c r="J25" s="1"/>
      <c r="K25" s="1"/>
      <c r="L25" s="28"/>
      <c r="M25" s="36">
        <v>386</v>
      </c>
      <c r="N25" s="1"/>
      <c r="O25" s="36">
        <v>9</v>
      </c>
      <c r="P25" s="28">
        <v>155</v>
      </c>
      <c r="Q25" s="36">
        <v>2</v>
      </c>
      <c r="R25" s="1"/>
      <c r="S25" s="25">
        <v>217</v>
      </c>
      <c r="T25" s="25">
        <v>150</v>
      </c>
      <c r="U25" s="25">
        <v>69</v>
      </c>
      <c r="V25" s="25"/>
      <c r="X25" s="34">
        <v>4332</v>
      </c>
      <c r="Y25" s="34">
        <v>1669</v>
      </c>
      <c r="Z25" s="34">
        <v>2217</v>
      </c>
      <c r="AA25" s="5">
        <v>217</v>
      </c>
      <c r="AB25" s="5">
        <v>150</v>
      </c>
      <c r="AC25" s="5">
        <v>78</v>
      </c>
      <c r="AD25" s="34"/>
      <c r="AE25" s="36">
        <v>373</v>
      </c>
    </row>
    <row r="26" spans="1:31">
      <c r="A26" s="2" t="s">
        <v>23</v>
      </c>
      <c r="B26" s="24">
        <v>745</v>
      </c>
      <c r="C26" s="24">
        <v>84</v>
      </c>
      <c r="D26" s="1"/>
      <c r="E26" s="24">
        <v>464</v>
      </c>
      <c r="F26" s="36">
        <v>376</v>
      </c>
      <c r="G26" s="1"/>
      <c r="H26" s="1"/>
      <c r="I26" s="36">
        <v>73</v>
      </c>
      <c r="J26" s="1"/>
      <c r="K26" s="1"/>
      <c r="L26" s="28"/>
      <c r="M26" s="36">
        <v>17</v>
      </c>
      <c r="N26" s="1"/>
      <c r="O26" s="36">
        <v>8</v>
      </c>
      <c r="P26" s="28"/>
      <c r="Q26" s="36">
        <v>0.3</v>
      </c>
      <c r="R26" s="1"/>
      <c r="S26" s="24">
        <v>130</v>
      </c>
      <c r="T26" s="24">
        <v>34</v>
      </c>
      <c r="U26" s="24">
        <v>33</v>
      </c>
      <c r="V26" s="25"/>
      <c r="X26" s="5">
        <v>786</v>
      </c>
      <c r="Y26" s="5">
        <v>114</v>
      </c>
      <c r="Z26" s="5">
        <v>465</v>
      </c>
      <c r="AA26" s="5">
        <v>130</v>
      </c>
      <c r="AB26" s="5">
        <v>34</v>
      </c>
      <c r="AC26" s="5">
        <v>43</v>
      </c>
      <c r="AD26" s="5"/>
      <c r="AE26" s="36">
        <v>11</v>
      </c>
    </row>
    <row r="27" spans="1:31">
      <c r="A27" s="2" t="s">
        <v>24</v>
      </c>
      <c r="B27" s="24">
        <v>2209</v>
      </c>
      <c r="C27" s="24">
        <v>626</v>
      </c>
      <c r="D27" s="1"/>
      <c r="E27" s="24">
        <v>1540</v>
      </c>
      <c r="F27" s="36">
        <v>1332</v>
      </c>
      <c r="G27" s="1"/>
      <c r="H27" s="1"/>
      <c r="I27" s="36">
        <v>168</v>
      </c>
      <c r="J27" s="1"/>
      <c r="K27" s="1"/>
      <c r="L27" s="28"/>
      <c r="M27" s="36">
        <v>45</v>
      </c>
      <c r="N27" s="1"/>
      <c r="O27" s="36">
        <v>10</v>
      </c>
      <c r="P27" s="28">
        <v>7</v>
      </c>
      <c r="Q27" s="36">
        <v>1</v>
      </c>
      <c r="R27" s="1"/>
      <c r="S27" s="25"/>
      <c r="T27" s="24">
        <v>33</v>
      </c>
      <c r="U27" s="24">
        <v>10</v>
      </c>
      <c r="V27" s="25"/>
      <c r="X27" s="5">
        <v>2326</v>
      </c>
      <c r="Y27" s="5">
        <v>736</v>
      </c>
      <c r="Z27" s="5">
        <v>1544</v>
      </c>
      <c r="AA27" s="34"/>
      <c r="AB27" s="5">
        <v>33</v>
      </c>
      <c r="AC27" s="5">
        <v>12</v>
      </c>
      <c r="AD27" s="34"/>
      <c r="AE27" s="36">
        <v>12</v>
      </c>
    </row>
    <row r="28" spans="1:31">
      <c r="A28" s="2" t="s">
        <v>25</v>
      </c>
      <c r="B28" s="24">
        <v>9264</v>
      </c>
      <c r="C28" s="24">
        <v>7291</v>
      </c>
      <c r="D28" s="1"/>
      <c r="E28" s="24">
        <v>1630</v>
      </c>
      <c r="F28" s="36">
        <v>1336</v>
      </c>
      <c r="G28" s="1"/>
      <c r="H28" s="1"/>
      <c r="I28" s="36">
        <v>126</v>
      </c>
      <c r="J28" s="1"/>
      <c r="K28" s="1"/>
      <c r="L28" s="28"/>
      <c r="M28" s="36">
        <v>200</v>
      </c>
      <c r="N28" s="1"/>
      <c r="O28" s="36">
        <v>39</v>
      </c>
      <c r="P28" s="28">
        <v>3</v>
      </c>
      <c r="Q28" s="36">
        <v>2</v>
      </c>
      <c r="R28" s="1"/>
      <c r="S28" s="25"/>
      <c r="T28" s="24">
        <v>210</v>
      </c>
      <c r="U28" s="24">
        <v>132</v>
      </c>
      <c r="V28" s="25"/>
      <c r="X28" s="5">
        <v>9721</v>
      </c>
      <c r="Y28" s="5">
        <v>7714</v>
      </c>
      <c r="Z28" s="5">
        <v>1662</v>
      </c>
      <c r="AA28" s="34"/>
      <c r="AB28" s="5">
        <v>210</v>
      </c>
      <c r="AC28" s="5">
        <v>135</v>
      </c>
      <c r="AD28" s="34"/>
      <c r="AE28" s="36">
        <v>19</v>
      </c>
    </row>
    <row r="29" spans="1:31">
      <c r="A29" s="2" t="s">
        <v>26</v>
      </c>
      <c r="B29" s="24">
        <v>5539</v>
      </c>
      <c r="C29" s="24">
        <v>1880</v>
      </c>
      <c r="D29" s="1"/>
      <c r="E29" s="24">
        <v>3160</v>
      </c>
      <c r="F29" s="36">
        <v>3146</v>
      </c>
      <c r="G29" s="1"/>
      <c r="H29" s="1"/>
      <c r="I29" s="28"/>
      <c r="J29" s="1"/>
      <c r="K29" s="1"/>
      <c r="L29" s="28"/>
      <c r="M29" s="36">
        <v>15</v>
      </c>
      <c r="N29" s="1"/>
      <c r="O29" s="28">
        <v>9</v>
      </c>
      <c r="P29" s="28">
        <v>6</v>
      </c>
      <c r="Q29" s="31"/>
      <c r="R29" s="1"/>
      <c r="S29" s="25"/>
      <c r="T29" s="24">
        <v>363</v>
      </c>
      <c r="U29" s="24">
        <v>135</v>
      </c>
      <c r="V29" s="25"/>
      <c r="X29" s="5">
        <v>5778</v>
      </c>
      <c r="Y29" s="5">
        <v>2119</v>
      </c>
      <c r="Z29" s="5">
        <v>3160</v>
      </c>
      <c r="AA29" s="34"/>
      <c r="AB29" s="5">
        <v>363</v>
      </c>
      <c r="AC29" s="5">
        <v>135</v>
      </c>
      <c r="AD29" s="34"/>
      <c r="AE29" s="27"/>
    </row>
    <row r="30" spans="1:31">
      <c r="A30" s="2" t="s">
        <v>27</v>
      </c>
      <c r="B30" s="25">
        <v>8545</v>
      </c>
      <c r="C30" s="25">
        <v>6084</v>
      </c>
      <c r="D30" s="1"/>
      <c r="E30" s="25">
        <v>1398</v>
      </c>
      <c r="F30" s="36">
        <v>1301</v>
      </c>
      <c r="G30" s="1"/>
      <c r="H30" s="1"/>
      <c r="I30" s="36">
        <v>2</v>
      </c>
      <c r="J30" s="1"/>
      <c r="K30" s="1"/>
      <c r="L30" s="28"/>
      <c r="M30" s="36">
        <v>310</v>
      </c>
      <c r="N30" s="1"/>
      <c r="O30" s="36">
        <v>12</v>
      </c>
      <c r="P30" s="28">
        <v>20</v>
      </c>
      <c r="Q30" s="31"/>
      <c r="R30" s="1"/>
      <c r="S30" s="25"/>
      <c r="T30" s="25">
        <v>825</v>
      </c>
      <c r="U30" s="25">
        <v>238</v>
      </c>
      <c r="V30" s="25"/>
      <c r="X30" s="5">
        <v>8957</v>
      </c>
      <c r="Y30" s="5">
        <v>6281</v>
      </c>
      <c r="Z30" s="5">
        <v>1613</v>
      </c>
      <c r="AA30" s="34"/>
      <c r="AB30" s="5">
        <v>825</v>
      </c>
      <c r="AC30" s="5">
        <v>238</v>
      </c>
      <c r="AD30" s="34"/>
      <c r="AE30" s="36">
        <v>0.5</v>
      </c>
    </row>
    <row r="31" spans="1:31">
      <c r="A31" s="2" t="s">
        <v>28</v>
      </c>
      <c r="B31" s="24">
        <v>276</v>
      </c>
      <c r="C31" s="24">
        <v>155</v>
      </c>
      <c r="D31" s="1"/>
      <c r="E31" s="24">
        <v>39</v>
      </c>
      <c r="F31" s="28"/>
      <c r="G31" s="1"/>
      <c r="H31" s="1"/>
      <c r="I31" s="28"/>
      <c r="J31" s="1"/>
      <c r="K31" s="1"/>
      <c r="L31" s="36">
        <v>38</v>
      </c>
      <c r="M31" s="36">
        <v>2</v>
      </c>
      <c r="N31" s="1"/>
      <c r="O31" s="28"/>
      <c r="P31" s="27"/>
      <c r="Q31" s="32"/>
      <c r="R31" s="1"/>
      <c r="S31" s="25"/>
      <c r="T31" s="24">
        <v>1</v>
      </c>
      <c r="U31" s="24">
        <v>79</v>
      </c>
      <c r="V31" s="24">
        <v>2</v>
      </c>
      <c r="X31" s="5">
        <v>281</v>
      </c>
      <c r="Y31" s="5">
        <v>158</v>
      </c>
      <c r="Z31" s="5">
        <v>40</v>
      </c>
      <c r="AA31" s="34"/>
      <c r="AB31" s="5">
        <v>1</v>
      </c>
      <c r="AC31" s="5">
        <v>79</v>
      </c>
      <c r="AD31" s="5">
        <v>3</v>
      </c>
      <c r="AE31" s="33"/>
    </row>
    <row r="32" spans="1:31">
      <c r="A32" s="2" t="s">
        <v>29</v>
      </c>
      <c r="B32" s="24">
        <v>4100</v>
      </c>
      <c r="C32" s="24">
        <v>269</v>
      </c>
      <c r="D32" s="1"/>
      <c r="E32" s="24">
        <v>3137</v>
      </c>
      <c r="F32" s="36">
        <v>3087</v>
      </c>
      <c r="G32" s="1"/>
      <c r="H32" s="1"/>
      <c r="I32" s="36"/>
      <c r="J32" s="1"/>
      <c r="K32" s="1"/>
      <c r="L32" s="28"/>
      <c r="M32" s="36">
        <v>56</v>
      </c>
      <c r="N32" s="1"/>
      <c r="O32" s="36">
        <v>3</v>
      </c>
      <c r="P32" s="28">
        <v>3</v>
      </c>
      <c r="Q32" s="31"/>
      <c r="R32" s="1"/>
      <c r="S32" s="25"/>
      <c r="T32" s="24">
        <v>288</v>
      </c>
      <c r="U32" s="24">
        <v>406</v>
      </c>
      <c r="V32" s="25"/>
      <c r="X32" s="5">
        <v>4192</v>
      </c>
      <c r="Y32" s="5">
        <v>326</v>
      </c>
      <c r="Z32" s="5">
        <v>3144</v>
      </c>
      <c r="AA32" s="34"/>
      <c r="AB32" s="5">
        <v>288</v>
      </c>
      <c r="AC32" s="5">
        <v>434</v>
      </c>
      <c r="AD32" s="34"/>
      <c r="AE32" s="36">
        <v>51</v>
      </c>
    </row>
    <row r="33" spans="1:31">
      <c r="A33" s="2" t="s">
        <v>30</v>
      </c>
      <c r="B33" s="26">
        <v>4861</v>
      </c>
      <c r="C33" s="26">
        <v>751</v>
      </c>
      <c r="D33" s="1"/>
      <c r="E33" s="26">
        <v>2059</v>
      </c>
      <c r="F33" s="36">
        <v>2020</v>
      </c>
      <c r="G33" s="1"/>
      <c r="H33" s="1"/>
      <c r="I33" s="36">
        <v>6</v>
      </c>
      <c r="J33" s="1"/>
      <c r="K33" s="1"/>
      <c r="L33" s="28"/>
      <c r="M33" s="36">
        <v>33</v>
      </c>
      <c r="N33" s="1"/>
      <c r="O33" s="36">
        <v>6</v>
      </c>
      <c r="P33" s="28">
        <v>3</v>
      </c>
      <c r="Q33" s="31"/>
      <c r="R33" s="1"/>
      <c r="S33" s="25"/>
      <c r="T33" s="26">
        <v>1282</v>
      </c>
      <c r="U33" s="26">
        <v>769</v>
      </c>
      <c r="V33" s="25"/>
      <c r="X33" s="5">
        <v>4995</v>
      </c>
      <c r="Y33" s="5">
        <v>868</v>
      </c>
      <c r="Z33" s="5">
        <v>2059</v>
      </c>
      <c r="AA33" s="34"/>
      <c r="AB33" s="5">
        <v>1282</v>
      </c>
      <c r="AC33" s="5">
        <v>786</v>
      </c>
      <c r="AD33" s="34"/>
      <c r="AE33" s="36">
        <v>18</v>
      </c>
    </row>
    <row r="34" spans="1:31">
      <c r="A34" s="2" t="s">
        <v>31</v>
      </c>
      <c r="B34" s="25">
        <v>2493</v>
      </c>
      <c r="C34" s="25">
        <v>1168</v>
      </c>
      <c r="D34" s="1"/>
      <c r="E34" s="25">
        <v>378</v>
      </c>
      <c r="F34" s="36">
        <v>375</v>
      </c>
      <c r="G34" s="1"/>
      <c r="H34" s="1"/>
      <c r="I34" s="36"/>
      <c r="J34" s="1"/>
      <c r="K34" s="1"/>
      <c r="L34" s="28"/>
      <c r="M34" s="36">
        <v>24</v>
      </c>
      <c r="N34" s="1"/>
      <c r="O34" s="36">
        <v>0.4</v>
      </c>
      <c r="P34" s="28"/>
      <c r="Q34" s="36"/>
      <c r="R34" s="1"/>
      <c r="S34" s="25"/>
      <c r="T34" s="25">
        <v>162</v>
      </c>
      <c r="U34" s="25">
        <v>785</v>
      </c>
      <c r="V34" s="25"/>
      <c r="X34" s="5">
        <v>2543</v>
      </c>
      <c r="Y34" s="5">
        <v>1191</v>
      </c>
      <c r="Z34" s="5">
        <v>399</v>
      </c>
      <c r="AA34" s="34"/>
      <c r="AB34" s="5">
        <v>162</v>
      </c>
      <c r="AC34" s="5">
        <v>791</v>
      </c>
      <c r="AD34" s="34"/>
      <c r="AE34" s="36">
        <v>5</v>
      </c>
    </row>
    <row r="35" spans="1:31">
      <c r="A35" s="2" t="s">
        <v>32</v>
      </c>
      <c r="B35" s="24">
        <v>4178</v>
      </c>
      <c r="C35" s="24">
        <v>42</v>
      </c>
      <c r="D35" s="1"/>
      <c r="E35" s="24">
        <v>2582</v>
      </c>
      <c r="F35" s="36">
        <v>2432</v>
      </c>
      <c r="G35" s="1"/>
      <c r="H35" s="1"/>
      <c r="I35" s="36">
        <v>70</v>
      </c>
      <c r="J35" s="1"/>
      <c r="K35" s="1"/>
      <c r="L35" s="28"/>
      <c r="M35" s="36">
        <v>82</v>
      </c>
      <c r="N35" s="1"/>
      <c r="O35" s="36">
        <v>2</v>
      </c>
      <c r="P35" s="28">
        <v>6</v>
      </c>
      <c r="Q35" s="31"/>
      <c r="R35" s="1"/>
      <c r="S35" s="25"/>
      <c r="T35" s="24">
        <v>942</v>
      </c>
      <c r="U35" s="24">
        <v>612</v>
      </c>
      <c r="V35" s="25"/>
      <c r="X35" s="5">
        <v>4188</v>
      </c>
      <c r="Y35" s="5">
        <v>43</v>
      </c>
      <c r="Z35" s="5">
        <v>2583</v>
      </c>
      <c r="AA35" s="34"/>
      <c r="AB35" s="5">
        <v>942</v>
      </c>
      <c r="AC35" s="5">
        <v>620</v>
      </c>
      <c r="AD35" s="34"/>
      <c r="AE35" s="36">
        <v>33</v>
      </c>
    </row>
    <row r="36" spans="1:31" ht="13.5" customHeight="1">
      <c r="A36" s="2" t="s">
        <v>33</v>
      </c>
      <c r="B36" s="24">
        <v>8679</v>
      </c>
      <c r="C36" s="24">
        <v>702</v>
      </c>
      <c r="D36" s="1"/>
      <c r="E36" s="24">
        <v>5207</v>
      </c>
      <c r="F36" s="36">
        <v>5122</v>
      </c>
      <c r="G36" s="1"/>
      <c r="H36" s="1"/>
      <c r="I36" s="36">
        <v>83</v>
      </c>
      <c r="J36" s="1"/>
      <c r="K36" s="1"/>
      <c r="L36" s="30"/>
      <c r="M36" s="36">
        <v>2</v>
      </c>
      <c r="N36" s="1"/>
      <c r="O36" s="27"/>
      <c r="P36" s="30">
        <v>2</v>
      </c>
      <c r="Q36" s="36">
        <v>0.2</v>
      </c>
      <c r="R36" s="1"/>
      <c r="S36" s="25"/>
      <c r="T36" s="24">
        <v>1836</v>
      </c>
      <c r="U36" s="24">
        <v>934</v>
      </c>
      <c r="V36" s="25"/>
      <c r="X36" s="5">
        <v>8679</v>
      </c>
      <c r="Y36" s="5">
        <v>702</v>
      </c>
      <c r="Z36" s="5">
        <v>5207</v>
      </c>
      <c r="AA36" s="34"/>
      <c r="AB36" s="5">
        <v>1836</v>
      </c>
      <c r="AC36" s="5">
        <v>934</v>
      </c>
      <c r="AD36" s="34"/>
      <c r="AE36" s="36">
        <v>1</v>
      </c>
    </row>
    <row r="38" spans="1:31">
      <c r="B38">
        <f>B5-SUM(B6:B36)</f>
        <v>0</v>
      </c>
      <c r="C38">
        <f t="shared" ref="C38:V38" si="0">C5-SUM(C6:C36)</f>
        <v>1</v>
      </c>
      <c r="D38">
        <f t="shared" si="0"/>
        <v>0</v>
      </c>
      <c r="E38">
        <f t="shared" si="0"/>
        <v>1</v>
      </c>
      <c r="F38">
        <f t="shared" si="0"/>
        <v>0</v>
      </c>
      <c r="H38">
        <f t="shared" si="0"/>
        <v>0</v>
      </c>
      <c r="I38">
        <f t="shared" si="0"/>
        <v>-2.5</v>
      </c>
      <c r="J38">
        <f t="shared" si="0"/>
        <v>0</v>
      </c>
      <c r="L38">
        <f t="shared" si="0"/>
        <v>-1</v>
      </c>
      <c r="M38">
        <f t="shared" si="0"/>
        <v>3</v>
      </c>
      <c r="N38">
        <f t="shared" si="0"/>
        <v>0</v>
      </c>
      <c r="O38">
        <f t="shared" si="0"/>
        <v>-2.3999999999999773</v>
      </c>
      <c r="P38">
        <f t="shared" si="0"/>
        <v>1</v>
      </c>
      <c r="S38">
        <f t="shared" si="0"/>
        <v>1</v>
      </c>
      <c r="T38">
        <f t="shared" si="0"/>
        <v>1</v>
      </c>
      <c r="U38">
        <f t="shared" si="0"/>
        <v>0</v>
      </c>
      <c r="V38">
        <f t="shared" si="0"/>
        <v>0</v>
      </c>
    </row>
  </sheetData>
  <mergeCells count="25">
    <mergeCell ref="A1:V1"/>
    <mergeCell ref="X1:AE1"/>
    <mergeCell ref="A2:A4"/>
    <mergeCell ref="B2:B4"/>
    <mergeCell ref="C2:D2"/>
    <mergeCell ref="E2:R2"/>
    <mergeCell ref="S2:S4"/>
    <mergeCell ref="T2:T4"/>
    <mergeCell ref="U2:U4"/>
    <mergeCell ref="V2:V4"/>
    <mergeCell ref="AD2:AD4"/>
    <mergeCell ref="AE2:AE4"/>
    <mergeCell ref="C3:C4"/>
    <mergeCell ref="D3:D4"/>
    <mergeCell ref="E3:E4"/>
    <mergeCell ref="F3:H3"/>
    <mergeCell ref="Z2:Z4"/>
    <mergeCell ref="AA2:AA4"/>
    <mergeCell ref="AB2:AB4"/>
    <mergeCell ref="AC2:AC4"/>
    <mergeCell ref="I3:K3"/>
    <mergeCell ref="L3:L4"/>
    <mergeCell ref="M3:R3"/>
    <mergeCell ref="X2:X4"/>
    <mergeCell ref="Y2:Y4"/>
  </mergeCells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AB5A2-B9C3-4DE7-8168-9FF3324DBF3B}">
  <dimension ref="A1:AE38"/>
  <sheetViews>
    <sheetView topLeftCell="A10" workbookViewId="0">
      <selection activeCell="A38" sqref="A38:T71"/>
    </sheetView>
  </sheetViews>
  <sheetFormatPr defaultRowHeight="12.75"/>
  <cols>
    <col min="1" max="22" width="7.5703125" customWidth="1"/>
    <col min="31" max="31" width="7.5703125" customWidth="1"/>
  </cols>
  <sheetData>
    <row r="1" spans="1:31" ht="12.75" customHeight="1">
      <c r="A1" s="118" t="s">
        <v>62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X1" s="121" t="s">
        <v>67</v>
      </c>
      <c r="Y1" s="110"/>
      <c r="Z1" s="110"/>
      <c r="AA1" s="110"/>
      <c r="AB1" s="110"/>
      <c r="AC1" s="110"/>
      <c r="AD1" s="110"/>
      <c r="AE1" s="110"/>
    </row>
    <row r="2" spans="1:31" ht="12.75" customHeight="1">
      <c r="A2" s="109" t="s">
        <v>34</v>
      </c>
      <c r="B2" s="109" t="s">
        <v>35</v>
      </c>
      <c r="C2" s="119" t="s">
        <v>36</v>
      </c>
      <c r="D2" s="119"/>
      <c r="E2" s="112" t="s">
        <v>37</v>
      </c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4"/>
      <c r="S2" s="109" t="s">
        <v>38</v>
      </c>
      <c r="T2" s="109" t="s">
        <v>39</v>
      </c>
      <c r="U2" s="120" t="s">
        <v>1</v>
      </c>
      <c r="V2" s="109" t="s">
        <v>40</v>
      </c>
      <c r="X2" s="109" t="s">
        <v>35</v>
      </c>
      <c r="Y2" s="109" t="s">
        <v>64</v>
      </c>
      <c r="Z2" s="109" t="s">
        <v>65</v>
      </c>
      <c r="AA2" s="109" t="s">
        <v>38</v>
      </c>
      <c r="AB2" s="109" t="s">
        <v>39</v>
      </c>
      <c r="AC2" s="120" t="s">
        <v>1</v>
      </c>
      <c r="AD2" s="109" t="s">
        <v>40</v>
      </c>
      <c r="AE2" s="120" t="s">
        <v>63</v>
      </c>
    </row>
    <row r="3" spans="1:31">
      <c r="A3" s="110"/>
      <c r="B3" s="109"/>
      <c r="C3" s="109" t="s">
        <v>35</v>
      </c>
      <c r="D3" s="109" t="s">
        <v>41</v>
      </c>
      <c r="E3" s="109" t="s">
        <v>35</v>
      </c>
      <c r="F3" s="109" t="s">
        <v>42</v>
      </c>
      <c r="G3" s="109"/>
      <c r="H3" s="109"/>
      <c r="I3" s="115" t="s">
        <v>43</v>
      </c>
      <c r="J3" s="116"/>
      <c r="K3" s="117"/>
      <c r="L3" s="109" t="s">
        <v>44</v>
      </c>
      <c r="M3" s="115" t="s">
        <v>40</v>
      </c>
      <c r="N3" s="116"/>
      <c r="O3" s="116"/>
      <c r="P3" s="116"/>
      <c r="Q3" s="116"/>
      <c r="R3" s="117"/>
      <c r="S3" s="109"/>
      <c r="T3" s="109"/>
      <c r="U3" s="120"/>
      <c r="V3" s="109"/>
      <c r="X3" s="109"/>
      <c r="Y3" s="110"/>
      <c r="Z3" s="110"/>
      <c r="AA3" s="109"/>
      <c r="AB3" s="109"/>
      <c r="AC3" s="120"/>
      <c r="AD3" s="109"/>
      <c r="AE3" s="120"/>
    </row>
    <row r="4" spans="1:31" ht="48">
      <c r="A4" s="110"/>
      <c r="B4" s="109"/>
      <c r="C4" s="109"/>
      <c r="D4" s="109"/>
      <c r="E4" s="109"/>
      <c r="F4" s="2" t="s">
        <v>35</v>
      </c>
      <c r="G4" s="2" t="s">
        <v>61</v>
      </c>
      <c r="H4" s="2" t="s">
        <v>0</v>
      </c>
      <c r="I4" s="2" t="s">
        <v>35</v>
      </c>
      <c r="J4" s="2" t="s">
        <v>60</v>
      </c>
      <c r="K4" s="2" t="s">
        <v>46</v>
      </c>
      <c r="L4" s="109"/>
      <c r="M4" s="2" t="s">
        <v>35</v>
      </c>
      <c r="N4" s="2" t="s">
        <v>58</v>
      </c>
      <c r="O4" s="2" t="s">
        <v>57</v>
      </c>
      <c r="P4" s="2" t="s">
        <v>59</v>
      </c>
      <c r="Q4" s="6" t="s">
        <v>47</v>
      </c>
      <c r="R4" s="6" t="s">
        <v>48</v>
      </c>
      <c r="S4" s="109"/>
      <c r="T4" s="109"/>
      <c r="U4" s="120"/>
      <c r="V4" s="109"/>
      <c r="X4" s="109"/>
      <c r="Y4" s="110"/>
      <c r="Z4" s="110"/>
      <c r="AA4" s="109"/>
      <c r="AB4" s="109"/>
      <c r="AC4" s="120"/>
      <c r="AD4" s="109"/>
      <c r="AE4" s="120"/>
    </row>
    <row r="5" spans="1:31">
      <c r="A5" s="3" t="s">
        <v>5</v>
      </c>
      <c r="B5" s="24">
        <v>181753</v>
      </c>
      <c r="C5" s="24">
        <v>31861</v>
      </c>
      <c r="D5" s="1"/>
      <c r="E5" s="36">
        <v>114408</v>
      </c>
      <c r="F5" s="36">
        <v>100835</v>
      </c>
      <c r="G5" s="1"/>
      <c r="H5" s="1"/>
      <c r="I5" s="36">
        <v>8375</v>
      </c>
      <c r="J5" s="1"/>
      <c r="K5" s="1"/>
      <c r="L5" s="36">
        <v>173</v>
      </c>
      <c r="M5" s="36">
        <v>5024</v>
      </c>
      <c r="N5" s="1"/>
      <c r="O5" s="36">
        <v>58</v>
      </c>
      <c r="P5" s="36">
        <v>898</v>
      </c>
      <c r="Q5" s="36">
        <v>991</v>
      </c>
      <c r="R5" s="1"/>
      <c r="S5" s="24">
        <v>4466</v>
      </c>
      <c r="T5" s="24">
        <v>18423</v>
      </c>
      <c r="U5" s="24">
        <v>12885</v>
      </c>
      <c r="V5" s="24">
        <v>19</v>
      </c>
      <c r="X5" s="5">
        <v>190012</v>
      </c>
      <c r="Y5" s="5">
        <v>35259</v>
      </c>
      <c r="Z5" s="5">
        <v>114408</v>
      </c>
      <c r="AA5" s="5">
        <v>4466</v>
      </c>
      <c r="AB5" s="5">
        <v>18427</v>
      </c>
      <c r="AC5" s="5">
        <v>17433</v>
      </c>
      <c r="AD5" s="5">
        <v>37</v>
      </c>
      <c r="AE5" s="27">
        <v>5027</v>
      </c>
    </row>
    <row r="6" spans="1:31">
      <c r="A6" s="2" t="s">
        <v>6</v>
      </c>
      <c r="B6" s="24">
        <v>1242</v>
      </c>
      <c r="C6" s="24">
        <v>98</v>
      </c>
      <c r="D6" s="1"/>
      <c r="E6" s="36">
        <v>1119</v>
      </c>
      <c r="F6" s="36">
        <v>85</v>
      </c>
      <c r="G6" s="1"/>
      <c r="H6" s="1"/>
      <c r="I6" s="36">
        <v>985</v>
      </c>
      <c r="J6" s="1"/>
      <c r="K6" s="1"/>
      <c r="L6" s="36">
        <v>22</v>
      </c>
      <c r="M6" s="36">
        <v>27</v>
      </c>
      <c r="N6" s="1"/>
      <c r="O6" s="31"/>
      <c r="P6" s="36">
        <v>27</v>
      </c>
      <c r="Q6" s="27"/>
      <c r="R6" s="1"/>
      <c r="S6" s="25"/>
      <c r="T6" s="24">
        <v>19</v>
      </c>
      <c r="U6" s="24">
        <v>8</v>
      </c>
      <c r="V6" s="25"/>
      <c r="X6" s="5">
        <v>1276</v>
      </c>
      <c r="Y6" s="5">
        <v>98</v>
      </c>
      <c r="Z6" s="5">
        <v>1119</v>
      </c>
      <c r="AA6" s="34"/>
      <c r="AB6" s="5">
        <v>19</v>
      </c>
      <c r="AC6" s="5">
        <v>40</v>
      </c>
      <c r="AD6" s="34"/>
      <c r="AE6" s="27">
        <v>35</v>
      </c>
    </row>
    <row r="7" spans="1:31">
      <c r="A7" s="2" t="s">
        <v>7</v>
      </c>
      <c r="B7" s="24">
        <v>1686</v>
      </c>
      <c r="C7" s="25"/>
      <c r="D7" s="1"/>
      <c r="E7" s="36">
        <v>1529</v>
      </c>
      <c r="F7" s="36">
        <v>1187</v>
      </c>
      <c r="G7" s="1"/>
      <c r="H7" s="1"/>
      <c r="I7" s="36">
        <v>317</v>
      </c>
      <c r="J7" s="1"/>
      <c r="K7" s="1"/>
      <c r="L7" s="28"/>
      <c r="M7" s="36">
        <v>25</v>
      </c>
      <c r="N7" s="1"/>
      <c r="O7" s="31"/>
      <c r="P7" s="36">
        <v>10</v>
      </c>
      <c r="Q7" s="28"/>
      <c r="R7" s="1"/>
      <c r="S7" s="25"/>
      <c r="T7" s="24">
        <v>52</v>
      </c>
      <c r="U7" s="24">
        <v>108</v>
      </c>
      <c r="V7" s="25"/>
      <c r="X7" s="5">
        <v>1709</v>
      </c>
      <c r="Y7" s="5">
        <v>1</v>
      </c>
      <c r="Z7" s="5">
        <v>1529</v>
      </c>
      <c r="AA7" s="34"/>
      <c r="AB7" s="5">
        <v>52</v>
      </c>
      <c r="AC7" s="5">
        <v>128</v>
      </c>
      <c r="AD7" s="34"/>
      <c r="AE7" s="27">
        <v>31</v>
      </c>
    </row>
    <row r="8" spans="1:31">
      <c r="A8" s="2" t="s">
        <v>8</v>
      </c>
      <c r="B8" s="24">
        <v>7027</v>
      </c>
      <c r="C8" s="24">
        <v>165</v>
      </c>
      <c r="D8" s="1"/>
      <c r="E8" s="36">
        <v>4617</v>
      </c>
      <c r="F8" s="36">
        <v>4308</v>
      </c>
      <c r="G8" s="1"/>
      <c r="H8" s="1"/>
      <c r="I8" s="36">
        <v>3</v>
      </c>
      <c r="J8" s="1"/>
      <c r="K8" s="1"/>
      <c r="L8" s="28"/>
      <c r="M8" s="36">
        <v>306</v>
      </c>
      <c r="N8" s="1"/>
      <c r="O8" s="36">
        <v>1</v>
      </c>
      <c r="P8" s="36">
        <v>27</v>
      </c>
      <c r="Q8" s="28">
        <v>47</v>
      </c>
      <c r="R8" s="1"/>
      <c r="S8" s="25"/>
      <c r="T8" s="24">
        <v>1391</v>
      </c>
      <c r="U8" s="24">
        <v>859</v>
      </c>
      <c r="V8" s="24">
        <v>3</v>
      </c>
      <c r="X8" s="5">
        <v>7427</v>
      </c>
      <c r="Y8" s="5">
        <v>182</v>
      </c>
      <c r="Z8" s="5">
        <v>4617</v>
      </c>
      <c r="AA8" s="34"/>
      <c r="AB8" s="5">
        <v>1391</v>
      </c>
      <c r="AC8" s="5">
        <v>1234</v>
      </c>
      <c r="AD8" s="5">
        <v>3</v>
      </c>
      <c r="AE8" s="27">
        <v>378</v>
      </c>
    </row>
    <row r="9" spans="1:31">
      <c r="A9" s="2" t="s">
        <v>9</v>
      </c>
      <c r="B9" s="24">
        <v>8555</v>
      </c>
      <c r="C9" s="24">
        <v>214</v>
      </c>
      <c r="D9" s="1"/>
      <c r="E9" s="36">
        <v>6628</v>
      </c>
      <c r="F9" s="36">
        <v>6108</v>
      </c>
      <c r="G9" s="1"/>
      <c r="H9" s="1"/>
      <c r="I9" s="36">
        <v>301</v>
      </c>
      <c r="J9" s="1"/>
      <c r="K9" s="1"/>
      <c r="L9" s="28"/>
      <c r="M9" s="36">
        <v>218</v>
      </c>
      <c r="N9" s="1"/>
      <c r="O9" s="36">
        <v>10</v>
      </c>
      <c r="P9" s="36">
        <v>11</v>
      </c>
      <c r="Q9" s="28">
        <v>30</v>
      </c>
      <c r="R9" s="1"/>
      <c r="S9" s="25"/>
      <c r="T9" s="24">
        <v>1043</v>
      </c>
      <c r="U9" s="24">
        <v>686</v>
      </c>
      <c r="V9" s="25"/>
      <c r="X9" s="5">
        <v>8758</v>
      </c>
      <c r="Y9" s="5">
        <v>223</v>
      </c>
      <c r="Z9" s="5">
        <v>6628</v>
      </c>
      <c r="AA9" s="34"/>
      <c r="AB9" s="5">
        <v>1043</v>
      </c>
      <c r="AC9" s="5">
        <v>864</v>
      </c>
      <c r="AD9" s="34"/>
      <c r="AE9" s="27">
        <v>183</v>
      </c>
    </row>
    <row r="10" spans="1:31">
      <c r="A10" s="2" t="s">
        <v>2</v>
      </c>
      <c r="B10" s="24">
        <v>12264</v>
      </c>
      <c r="C10" s="24">
        <v>238</v>
      </c>
      <c r="D10" s="1"/>
      <c r="E10" s="36">
        <v>8229</v>
      </c>
      <c r="F10" s="36">
        <v>8158</v>
      </c>
      <c r="G10" s="1"/>
      <c r="H10" s="1"/>
      <c r="I10" s="36">
        <v>42</v>
      </c>
      <c r="J10" s="1"/>
      <c r="K10" s="1"/>
      <c r="L10" s="28"/>
      <c r="M10" s="36">
        <v>29</v>
      </c>
      <c r="N10" s="1"/>
      <c r="O10" s="31"/>
      <c r="P10" s="36">
        <v>7</v>
      </c>
      <c r="Q10" s="28">
        <v>12</v>
      </c>
      <c r="R10" s="1"/>
      <c r="S10" s="25"/>
      <c r="T10" s="24">
        <v>2868</v>
      </c>
      <c r="U10" s="24">
        <v>933</v>
      </c>
      <c r="V10" s="25"/>
      <c r="X10" s="5">
        <v>12285</v>
      </c>
      <c r="Y10" s="5">
        <v>242</v>
      </c>
      <c r="Z10" s="5">
        <v>8229</v>
      </c>
      <c r="AA10" s="34"/>
      <c r="AB10" s="5">
        <v>2868</v>
      </c>
      <c r="AC10" s="5">
        <v>946</v>
      </c>
      <c r="AD10" s="34"/>
      <c r="AE10" s="27">
        <v>13</v>
      </c>
    </row>
    <row r="11" spans="1:31">
      <c r="A11" s="2" t="s">
        <v>10</v>
      </c>
      <c r="B11" s="24">
        <v>5116</v>
      </c>
      <c r="C11" s="24">
        <v>283</v>
      </c>
      <c r="D11" s="1"/>
      <c r="E11" s="36">
        <v>3383</v>
      </c>
      <c r="F11" s="36">
        <v>3283</v>
      </c>
      <c r="G11" s="1"/>
      <c r="H11" s="1"/>
      <c r="I11" s="36">
        <v>5</v>
      </c>
      <c r="J11" s="1"/>
      <c r="K11" s="1"/>
      <c r="L11" s="36">
        <v>15</v>
      </c>
      <c r="M11" s="36">
        <v>81</v>
      </c>
      <c r="N11" s="1"/>
      <c r="O11" s="31"/>
      <c r="P11" s="27">
        <v>8</v>
      </c>
      <c r="Q11" s="36">
        <v>7</v>
      </c>
      <c r="R11" s="1"/>
      <c r="S11" s="24">
        <v>448</v>
      </c>
      <c r="T11" s="24">
        <v>760</v>
      </c>
      <c r="U11" s="24">
        <v>248</v>
      </c>
      <c r="V11" s="25"/>
      <c r="X11" s="5">
        <v>5192</v>
      </c>
      <c r="Y11" s="5">
        <v>299</v>
      </c>
      <c r="Z11" s="5">
        <v>3383</v>
      </c>
      <c r="AA11" s="5">
        <v>448</v>
      </c>
      <c r="AB11" s="5">
        <v>761</v>
      </c>
      <c r="AC11" s="5">
        <v>302</v>
      </c>
      <c r="AD11" s="34"/>
      <c r="AE11" s="27">
        <v>83</v>
      </c>
    </row>
    <row r="12" spans="1:31">
      <c r="A12" s="2" t="s">
        <v>3</v>
      </c>
      <c r="B12" s="24">
        <v>2986</v>
      </c>
      <c r="C12" s="24">
        <v>357</v>
      </c>
      <c r="D12" s="1"/>
      <c r="E12" s="36">
        <v>1892</v>
      </c>
      <c r="F12" s="36">
        <v>1788</v>
      </c>
      <c r="G12" s="1"/>
      <c r="H12" s="1"/>
      <c r="I12" s="36">
        <v>0.5</v>
      </c>
      <c r="J12" s="1"/>
      <c r="K12" s="1"/>
      <c r="L12" s="28"/>
      <c r="M12" s="36">
        <v>103</v>
      </c>
      <c r="N12" s="1"/>
      <c r="O12" s="36">
        <v>0.3</v>
      </c>
      <c r="P12" s="36">
        <v>16</v>
      </c>
      <c r="Q12" s="28">
        <v>49</v>
      </c>
      <c r="R12" s="1"/>
      <c r="S12" s="25"/>
      <c r="T12" s="24">
        <v>514</v>
      </c>
      <c r="U12" s="24">
        <v>226</v>
      </c>
      <c r="V12" s="25"/>
      <c r="X12" s="5">
        <v>3055</v>
      </c>
      <c r="Y12" s="5">
        <v>385</v>
      </c>
      <c r="Z12" s="5">
        <v>1892</v>
      </c>
      <c r="AA12" s="34"/>
      <c r="AB12" s="5">
        <v>514</v>
      </c>
      <c r="AC12" s="5">
        <v>265</v>
      </c>
      <c r="AD12" s="34"/>
      <c r="AE12" s="27">
        <v>62</v>
      </c>
    </row>
    <row r="13" spans="1:31">
      <c r="A13" s="2" t="s">
        <v>4</v>
      </c>
      <c r="B13" s="24">
        <v>3046</v>
      </c>
      <c r="C13" s="24">
        <v>97</v>
      </c>
      <c r="D13" s="1"/>
      <c r="E13" s="36">
        <v>2212</v>
      </c>
      <c r="F13" s="36">
        <v>2082</v>
      </c>
      <c r="G13" s="1"/>
      <c r="H13" s="1"/>
      <c r="I13" s="36">
        <v>12</v>
      </c>
      <c r="J13" s="1"/>
      <c r="K13" s="1"/>
      <c r="L13" s="36">
        <v>2</v>
      </c>
      <c r="M13" s="36">
        <v>116</v>
      </c>
      <c r="N13" s="1"/>
      <c r="O13" s="36">
        <v>0.4</v>
      </c>
      <c r="P13" s="36">
        <v>11</v>
      </c>
      <c r="Q13" s="36">
        <v>85</v>
      </c>
      <c r="R13" s="1"/>
      <c r="S13" s="25"/>
      <c r="T13" s="24">
        <v>598</v>
      </c>
      <c r="U13" s="24">
        <v>144</v>
      </c>
      <c r="V13" s="25"/>
      <c r="X13" s="5">
        <v>3129</v>
      </c>
      <c r="Y13" s="5">
        <v>104</v>
      </c>
      <c r="Z13" s="5">
        <v>2212</v>
      </c>
      <c r="AA13" s="34"/>
      <c r="AB13" s="5">
        <v>598</v>
      </c>
      <c r="AC13" s="5">
        <v>215</v>
      </c>
      <c r="AD13" s="34"/>
      <c r="AE13" s="27">
        <v>74</v>
      </c>
    </row>
    <row r="14" spans="1:31">
      <c r="A14" s="2" t="s">
        <v>11</v>
      </c>
      <c r="B14" s="24">
        <v>2447</v>
      </c>
      <c r="C14" s="25"/>
      <c r="D14" s="1"/>
      <c r="E14" s="36">
        <v>2365</v>
      </c>
      <c r="F14" s="36">
        <v>1511</v>
      </c>
      <c r="G14" s="1"/>
      <c r="H14" s="1"/>
      <c r="I14" s="36">
        <v>662</v>
      </c>
      <c r="J14" s="1"/>
      <c r="K14" s="1"/>
      <c r="L14" s="36">
        <v>86</v>
      </c>
      <c r="M14" s="36">
        <v>106</v>
      </c>
      <c r="N14" s="1"/>
      <c r="O14" s="36">
        <v>2</v>
      </c>
      <c r="P14" s="36">
        <v>26</v>
      </c>
      <c r="Q14" s="27"/>
      <c r="R14" s="1"/>
      <c r="S14" s="25"/>
      <c r="T14" s="24">
        <v>71</v>
      </c>
      <c r="U14" s="24">
        <v>13</v>
      </c>
      <c r="V14" s="25"/>
      <c r="X14" s="5">
        <v>2525</v>
      </c>
      <c r="Y14" s="34"/>
      <c r="Z14" s="5">
        <v>2365</v>
      </c>
      <c r="AA14" s="34"/>
      <c r="AB14" s="5">
        <v>71</v>
      </c>
      <c r="AC14" s="5">
        <v>89</v>
      </c>
      <c r="AD14" s="34"/>
      <c r="AE14" s="27">
        <v>82</v>
      </c>
    </row>
    <row r="15" spans="1:31">
      <c r="A15" s="2" t="s">
        <v>12</v>
      </c>
      <c r="B15" s="24">
        <v>12079</v>
      </c>
      <c r="C15" s="24">
        <v>260</v>
      </c>
      <c r="D15" s="1"/>
      <c r="E15" s="36">
        <v>9749</v>
      </c>
      <c r="F15" s="36">
        <v>7885</v>
      </c>
      <c r="G15" s="1"/>
      <c r="H15" s="1"/>
      <c r="I15" s="36">
        <v>1502</v>
      </c>
      <c r="J15" s="1"/>
      <c r="K15" s="1"/>
      <c r="L15" s="28"/>
      <c r="M15" s="36">
        <v>362</v>
      </c>
      <c r="N15" s="1"/>
      <c r="O15" s="36">
        <v>7</v>
      </c>
      <c r="P15" s="36">
        <v>103</v>
      </c>
      <c r="Q15" s="28">
        <v>52</v>
      </c>
      <c r="R15" s="1"/>
      <c r="S15" s="24">
        <v>437</v>
      </c>
      <c r="T15" s="24">
        <v>864</v>
      </c>
      <c r="U15" s="24">
        <v>776</v>
      </c>
      <c r="V15" s="24">
        <v>10</v>
      </c>
      <c r="X15" s="5">
        <v>12657</v>
      </c>
      <c r="Y15" s="5">
        <v>265</v>
      </c>
      <c r="Z15" s="5">
        <v>9749</v>
      </c>
      <c r="AA15" s="5">
        <v>437</v>
      </c>
      <c r="AB15" s="5">
        <v>865</v>
      </c>
      <c r="AC15" s="5">
        <v>1332</v>
      </c>
      <c r="AD15" s="5">
        <v>10</v>
      </c>
      <c r="AE15" s="27">
        <v>540</v>
      </c>
    </row>
    <row r="16" spans="1:31">
      <c r="A16" s="2" t="s">
        <v>13</v>
      </c>
      <c r="B16" s="24">
        <v>8564</v>
      </c>
      <c r="C16" s="24">
        <v>943</v>
      </c>
      <c r="D16" s="1"/>
      <c r="E16" s="36">
        <v>6209</v>
      </c>
      <c r="F16" s="36">
        <v>4680</v>
      </c>
      <c r="G16" s="1"/>
      <c r="H16" s="1"/>
      <c r="I16" s="36">
        <v>1259</v>
      </c>
      <c r="J16" s="1"/>
      <c r="K16" s="1"/>
      <c r="L16" s="36">
        <v>2</v>
      </c>
      <c r="M16" s="36">
        <v>267</v>
      </c>
      <c r="N16" s="1"/>
      <c r="O16" s="36">
        <v>5</v>
      </c>
      <c r="P16" s="36">
        <v>141</v>
      </c>
      <c r="Q16" s="36">
        <v>22</v>
      </c>
      <c r="R16" s="1"/>
      <c r="S16" s="24">
        <v>908</v>
      </c>
      <c r="T16" s="24">
        <v>148</v>
      </c>
      <c r="U16" s="24">
        <v>376</v>
      </c>
      <c r="V16" s="25"/>
      <c r="X16" s="5">
        <v>9565</v>
      </c>
      <c r="Y16" s="5">
        <v>1161</v>
      </c>
      <c r="Z16" s="5">
        <v>6209</v>
      </c>
      <c r="AA16" s="5">
        <v>908</v>
      </c>
      <c r="AB16" s="5">
        <v>148</v>
      </c>
      <c r="AC16" s="5">
        <v>1138</v>
      </c>
      <c r="AD16" s="5">
        <v>1</v>
      </c>
      <c r="AE16" s="27">
        <v>777</v>
      </c>
    </row>
    <row r="17" spans="1:31">
      <c r="A17" s="2" t="s">
        <v>14</v>
      </c>
      <c r="B17" s="24">
        <v>6623</v>
      </c>
      <c r="C17" s="24">
        <v>243</v>
      </c>
      <c r="D17" s="1"/>
      <c r="E17" s="36">
        <v>5413</v>
      </c>
      <c r="F17" s="36">
        <v>5071</v>
      </c>
      <c r="G17" s="1"/>
      <c r="H17" s="1"/>
      <c r="I17" s="36">
        <v>14</v>
      </c>
      <c r="J17" s="1"/>
      <c r="K17" s="1"/>
      <c r="L17" s="28"/>
      <c r="M17" s="36">
        <v>329</v>
      </c>
      <c r="N17" s="1"/>
      <c r="O17" s="36">
        <v>1</v>
      </c>
      <c r="P17" s="36">
        <v>51</v>
      </c>
      <c r="Q17" s="28">
        <v>111</v>
      </c>
      <c r="R17" s="1"/>
      <c r="S17" s="25"/>
      <c r="T17" s="24">
        <v>246</v>
      </c>
      <c r="U17" s="24">
        <v>743</v>
      </c>
      <c r="V17" s="25"/>
      <c r="X17" s="5">
        <v>7089</v>
      </c>
      <c r="Y17" s="5">
        <v>312</v>
      </c>
      <c r="Z17" s="5">
        <v>5413</v>
      </c>
      <c r="AA17" s="34"/>
      <c r="AB17" s="5">
        <v>246</v>
      </c>
      <c r="AC17" s="5">
        <v>1118</v>
      </c>
      <c r="AD17" s="34"/>
      <c r="AE17" s="27">
        <v>441</v>
      </c>
    </row>
    <row r="18" spans="1:31">
      <c r="A18" s="2" t="s">
        <v>15</v>
      </c>
      <c r="B18" s="24">
        <v>5281</v>
      </c>
      <c r="C18" s="24">
        <v>926</v>
      </c>
      <c r="D18" s="1"/>
      <c r="E18" s="36">
        <v>3128</v>
      </c>
      <c r="F18" s="36">
        <v>2574</v>
      </c>
      <c r="G18" s="1"/>
      <c r="H18" s="1"/>
      <c r="I18" s="36">
        <v>391</v>
      </c>
      <c r="J18" s="1"/>
      <c r="K18" s="1"/>
      <c r="L18" s="36">
        <v>1</v>
      </c>
      <c r="M18" s="36">
        <v>163</v>
      </c>
      <c r="N18" s="1"/>
      <c r="O18" s="36">
        <v>0.6</v>
      </c>
      <c r="P18" s="36">
        <v>44</v>
      </c>
      <c r="Q18" s="36">
        <v>5</v>
      </c>
      <c r="R18" s="1"/>
      <c r="S18" s="24">
        <v>871</v>
      </c>
      <c r="T18" s="24">
        <v>300</v>
      </c>
      <c r="U18" s="24">
        <v>67</v>
      </c>
      <c r="V18" s="25"/>
      <c r="X18" s="5">
        <v>5770</v>
      </c>
      <c r="Y18" s="5">
        <v>1322</v>
      </c>
      <c r="Z18" s="5">
        <v>3128</v>
      </c>
      <c r="AA18" s="5">
        <v>871</v>
      </c>
      <c r="AB18" s="5">
        <v>300</v>
      </c>
      <c r="AC18" s="5">
        <v>148</v>
      </c>
      <c r="AD18" s="34"/>
      <c r="AE18" s="35">
        <v>111</v>
      </c>
    </row>
    <row r="19" spans="1:31">
      <c r="A19" s="2" t="s">
        <v>16</v>
      </c>
      <c r="B19" s="24">
        <v>3112</v>
      </c>
      <c r="C19" s="24">
        <v>419</v>
      </c>
      <c r="D19" s="1"/>
      <c r="E19" s="36">
        <v>2165</v>
      </c>
      <c r="F19" s="36">
        <v>1925</v>
      </c>
      <c r="G19" s="1"/>
      <c r="H19" s="1"/>
      <c r="I19" s="36">
        <v>10</v>
      </c>
      <c r="J19" s="1"/>
      <c r="K19" s="1"/>
      <c r="L19" s="28"/>
      <c r="M19" s="36">
        <v>230</v>
      </c>
      <c r="N19" s="1"/>
      <c r="O19" s="36">
        <v>1</v>
      </c>
      <c r="P19" s="36">
        <v>12</v>
      </c>
      <c r="Q19" s="28">
        <v>21</v>
      </c>
      <c r="R19" s="1"/>
      <c r="S19" s="25"/>
      <c r="T19" s="24">
        <v>225</v>
      </c>
      <c r="U19" s="24">
        <v>309</v>
      </c>
      <c r="V19" s="25"/>
      <c r="X19" s="5">
        <v>3554</v>
      </c>
      <c r="Y19" s="5">
        <v>627</v>
      </c>
      <c r="Z19" s="5">
        <v>2165</v>
      </c>
      <c r="AA19" s="34"/>
      <c r="AB19" s="5">
        <v>225</v>
      </c>
      <c r="AC19" s="5">
        <v>536</v>
      </c>
      <c r="AD19" s="34"/>
      <c r="AE19" s="27">
        <v>242</v>
      </c>
    </row>
    <row r="20" spans="1:31">
      <c r="A20" s="2" t="s">
        <v>17</v>
      </c>
      <c r="B20" s="25">
        <v>12422</v>
      </c>
      <c r="C20" s="25">
        <v>102</v>
      </c>
      <c r="D20" s="1"/>
      <c r="E20" s="36">
        <v>10367</v>
      </c>
      <c r="F20" s="36">
        <v>9723</v>
      </c>
      <c r="G20" s="1"/>
      <c r="H20" s="1"/>
      <c r="I20" s="36">
        <v>8</v>
      </c>
      <c r="J20" s="1"/>
      <c r="K20" s="1"/>
      <c r="L20" s="28"/>
      <c r="M20" s="36">
        <v>636</v>
      </c>
      <c r="N20" s="1"/>
      <c r="O20" s="36">
        <v>8</v>
      </c>
      <c r="P20" s="36">
        <v>108</v>
      </c>
      <c r="Q20" s="28">
        <v>148</v>
      </c>
      <c r="R20" s="1"/>
      <c r="S20" s="25">
        <v>125</v>
      </c>
      <c r="T20" s="25">
        <v>1146</v>
      </c>
      <c r="U20" s="25">
        <v>708</v>
      </c>
      <c r="V20" s="25"/>
      <c r="X20" s="5">
        <v>13107</v>
      </c>
      <c r="Y20" s="5">
        <v>108</v>
      </c>
      <c r="Z20" s="5">
        <v>10367</v>
      </c>
      <c r="AA20" s="5">
        <v>125</v>
      </c>
      <c r="AB20" s="5">
        <v>1146</v>
      </c>
      <c r="AC20" s="5">
        <v>1361</v>
      </c>
      <c r="AD20" s="34"/>
      <c r="AE20" s="27">
        <v>713</v>
      </c>
    </row>
    <row r="21" spans="1:31">
      <c r="A21" s="2" t="s">
        <v>18</v>
      </c>
      <c r="B21" s="24">
        <v>8271</v>
      </c>
      <c r="C21" s="24">
        <v>391</v>
      </c>
      <c r="D21" s="1"/>
      <c r="E21" s="36">
        <v>6821</v>
      </c>
      <c r="F21" s="36">
        <v>6446</v>
      </c>
      <c r="G21" s="1"/>
      <c r="H21" s="1"/>
      <c r="I21" s="36">
        <v>229</v>
      </c>
      <c r="J21" s="1"/>
      <c r="K21" s="1"/>
      <c r="L21" s="28"/>
      <c r="M21" s="36">
        <v>146</v>
      </c>
      <c r="N21" s="1"/>
      <c r="O21" s="36">
        <v>4</v>
      </c>
      <c r="P21" s="36">
        <v>13</v>
      </c>
      <c r="Q21" s="28">
        <v>44</v>
      </c>
      <c r="R21" s="1"/>
      <c r="S21" s="25"/>
      <c r="T21" s="24">
        <v>468</v>
      </c>
      <c r="U21" s="24">
        <v>602</v>
      </c>
      <c r="V21" s="25"/>
      <c r="X21" s="5">
        <v>8680</v>
      </c>
      <c r="Y21" s="5">
        <v>401</v>
      </c>
      <c r="Z21" s="5">
        <v>6821</v>
      </c>
      <c r="AA21" s="34"/>
      <c r="AB21" s="5">
        <v>468</v>
      </c>
      <c r="AC21" s="5">
        <v>991</v>
      </c>
      <c r="AD21" s="34"/>
      <c r="AE21" s="27">
        <v>391</v>
      </c>
    </row>
    <row r="22" spans="1:31">
      <c r="A22" s="2" t="s">
        <v>19</v>
      </c>
      <c r="B22" s="24">
        <v>7106</v>
      </c>
      <c r="C22" s="24">
        <v>3563</v>
      </c>
      <c r="D22" s="1"/>
      <c r="E22" s="36">
        <v>2884</v>
      </c>
      <c r="F22" s="36">
        <v>2546</v>
      </c>
      <c r="G22" s="1"/>
      <c r="H22" s="1"/>
      <c r="I22" s="36">
        <v>94</v>
      </c>
      <c r="J22" s="1"/>
      <c r="K22" s="1"/>
      <c r="L22" s="28"/>
      <c r="M22" s="36">
        <v>244</v>
      </c>
      <c r="N22" s="1"/>
      <c r="O22" s="36">
        <v>2</v>
      </c>
      <c r="P22" s="36">
        <v>24</v>
      </c>
      <c r="Q22" s="28">
        <v>48</v>
      </c>
      <c r="R22" s="1"/>
      <c r="S22" s="25"/>
      <c r="T22" s="24">
        <v>331</v>
      </c>
      <c r="U22" s="24">
        <v>338</v>
      </c>
      <c r="V22" s="25"/>
      <c r="X22" s="5">
        <v>7401</v>
      </c>
      <c r="Y22" s="5">
        <v>3675</v>
      </c>
      <c r="Z22" s="5">
        <v>2884</v>
      </c>
      <c r="AA22" s="34"/>
      <c r="AB22" s="5">
        <v>331</v>
      </c>
      <c r="AC22" s="5">
        <v>510</v>
      </c>
      <c r="AD22" s="34"/>
      <c r="AE22" s="27">
        <v>175</v>
      </c>
    </row>
    <row r="23" spans="1:31">
      <c r="A23" s="2" t="s">
        <v>20</v>
      </c>
      <c r="B23" s="24">
        <v>4040</v>
      </c>
      <c r="C23" s="24">
        <v>1264</v>
      </c>
      <c r="D23" s="1"/>
      <c r="E23" s="36">
        <v>2284</v>
      </c>
      <c r="F23" s="36">
        <v>2046</v>
      </c>
      <c r="G23" s="1"/>
      <c r="H23" s="1"/>
      <c r="I23" s="36">
        <v>7</v>
      </c>
      <c r="J23" s="1"/>
      <c r="K23" s="1"/>
      <c r="L23" s="36">
        <v>7</v>
      </c>
      <c r="M23" s="36">
        <v>224</v>
      </c>
      <c r="N23" s="1"/>
      <c r="O23" s="36">
        <v>3</v>
      </c>
      <c r="P23" s="36">
        <v>24</v>
      </c>
      <c r="Q23" s="36">
        <v>41</v>
      </c>
      <c r="R23" s="1"/>
      <c r="S23" s="25"/>
      <c r="T23" s="24">
        <v>348</v>
      </c>
      <c r="U23" s="24">
        <v>160</v>
      </c>
      <c r="V23" s="24"/>
      <c r="X23" s="5">
        <v>4522</v>
      </c>
      <c r="Y23" s="5">
        <v>1598</v>
      </c>
      <c r="Z23" s="5">
        <v>2284</v>
      </c>
      <c r="AA23" s="34"/>
      <c r="AB23" s="5">
        <v>348</v>
      </c>
      <c r="AC23" s="5">
        <v>292</v>
      </c>
      <c r="AD23" s="5">
        <v>6</v>
      </c>
      <c r="AE23" s="27">
        <v>166</v>
      </c>
    </row>
    <row r="24" spans="1:31">
      <c r="A24" s="2" t="s">
        <v>21</v>
      </c>
      <c r="B24" s="24">
        <v>11266</v>
      </c>
      <c r="C24" s="24">
        <v>1079</v>
      </c>
      <c r="D24" s="1"/>
      <c r="E24" s="36">
        <v>8137</v>
      </c>
      <c r="F24" s="36">
        <v>5994</v>
      </c>
      <c r="G24" s="1"/>
      <c r="H24" s="1"/>
      <c r="I24" s="36">
        <v>1963</v>
      </c>
      <c r="J24" s="1"/>
      <c r="K24" s="1"/>
      <c r="L24" s="28"/>
      <c r="M24" s="36">
        <v>180</v>
      </c>
      <c r="N24" s="1"/>
      <c r="O24" s="36">
        <v>9</v>
      </c>
      <c r="P24" s="36">
        <v>110</v>
      </c>
      <c r="Q24" s="28">
        <v>22</v>
      </c>
      <c r="R24" s="1"/>
      <c r="S24" s="24">
        <v>1330</v>
      </c>
      <c r="T24" s="24">
        <v>357</v>
      </c>
      <c r="U24" s="24">
        <v>370</v>
      </c>
      <c r="V24" s="24">
        <v>1</v>
      </c>
      <c r="X24" s="5">
        <v>11929</v>
      </c>
      <c r="Y24" s="5">
        <v>1576</v>
      </c>
      <c r="Z24" s="5">
        <v>8137</v>
      </c>
      <c r="AA24" s="5">
        <v>1330</v>
      </c>
      <c r="AB24" s="5">
        <v>357</v>
      </c>
      <c r="AC24" s="5">
        <v>527</v>
      </c>
      <c r="AD24" s="5">
        <v>2</v>
      </c>
      <c r="AE24" s="27">
        <v>209</v>
      </c>
    </row>
    <row r="25" spans="1:31">
      <c r="A25" s="2" t="s">
        <v>22</v>
      </c>
      <c r="B25" s="25">
        <v>4279</v>
      </c>
      <c r="C25" s="25">
        <v>1503</v>
      </c>
      <c r="D25" s="1"/>
      <c r="E25" s="36">
        <v>2288</v>
      </c>
      <c r="F25" s="36">
        <v>1858</v>
      </c>
      <c r="G25" s="1"/>
      <c r="H25" s="1"/>
      <c r="I25" s="36">
        <v>35</v>
      </c>
      <c r="J25" s="1"/>
      <c r="K25" s="1"/>
      <c r="L25" s="28"/>
      <c r="M25" s="36">
        <v>395</v>
      </c>
      <c r="N25" s="1"/>
      <c r="O25" s="36">
        <v>2</v>
      </c>
      <c r="P25" s="36">
        <v>12</v>
      </c>
      <c r="Q25" s="28">
        <v>162</v>
      </c>
      <c r="R25" s="1"/>
      <c r="S25" s="25">
        <v>217</v>
      </c>
      <c r="T25" s="25">
        <v>208</v>
      </c>
      <c r="U25" s="25">
        <v>99</v>
      </c>
      <c r="V25" s="25"/>
      <c r="X25" s="34">
        <v>4513</v>
      </c>
      <c r="Y25" s="34">
        <v>1677</v>
      </c>
      <c r="Z25" s="34">
        <v>2288</v>
      </c>
      <c r="AA25" s="5">
        <v>217</v>
      </c>
      <c r="AB25" s="5">
        <v>208</v>
      </c>
      <c r="AC25" s="5">
        <v>124</v>
      </c>
      <c r="AD25" s="34"/>
      <c r="AE25" s="27">
        <v>29</v>
      </c>
    </row>
    <row r="26" spans="1:31">
      <c r="A26" s="2" t="s">
        <v>23</v>
      </c>
      <c r="B26" s="24">
        <v>878</v>
      </c>
      <c r="C26" s="24">
        <v>125</v>
      </c>
      <c r="D26" s="1"/>
      <c r="E26" s="36">
        <v>465</v>
      </c>
      <c r="F26" s="36">
        <v>352</v>
      </c>
      <c r="G26" s="1"/>
      <c r="H26" s="1"/>
      <c r="I26" s="36">
        <v>73</v>
      </c>
      <c r="J26" s="1"/>
      <c r="K26" s="1"/>
      <c r="L26" s="28"/>
      <c r="M26" s="36">
        <v>41</v>
      </c>
      <c r="N26" s="1"/>
      <c r="O26" s="36">
        <v>0.3</v>
      </c>
      <c r="P26" s="36">
        <v>8</v>
      </c>
      <c r="Q26" s="28">
        <v>24</v>
      </c>
      <c r="R26" s="1"/>
      <c r="S26" s="24">
        <v>130</v>
      </c>
      <c r="T26" s="24">
        <v>34</v>
      </c>
      <c r="U26" s="24">
        <v>125</v>
      </c>
      <c r="V26" s="25"/>
      <c r="X26" s="5">
        <v>919</v>
      </c>
      <c r="Y26" s="5">
        <v>154</v>
      </c>
      <c r="Z26" s="5">
        <v>465</v>
      </c>
      <c r="AA26" s="5">
        <v>130</v>
      </c>
      <c r="AB26" s="5">
        <v>34</v>
      </c>
      <c r="AC26" s="5">
        <v>136</v>
      </c>
      <c r="AD26" s="5">
        <v>11</v>
      </c>
      <c r="AE26" s="27">
        <v>13</v>
      </c>
    </row>
    <row r="27" spans="1:31">
      <c r="A27" s="2" t="s">
        <v>24</v>
      </c>
      <c r="B27" s="24">
        <v>2255</v>
      </c>
      <c r="C27" s="24">
        <v>635</v>
      </c>
      <c r="D27" s="1"/>
      <c r="E27" s="36">
        <v>1537</v>
      </c>
      <c r="F27" s="36">
        <v>1312</v>
      </c>
      <c r="G27" s="1"/>
      <c r="H27" s="1"/>
      <c r="I27" s="36">
        <v>168</v>
      </c>
      <c r="J27" s="1"/>
      <c r="K27" s="1"/>
      <c r="L27" s="28"/>
      <c r="M27" s="36">
        <v>57</v>
      </c>
      <c r="N27" s="1"/>
      <c r="O27" s="36">
        <v>1</v>
      </c>
      <c r="P27" s="36">
        <v>22</v>
      </c>
      <c r="Q27" s="28">
        <v>7</v>
      </c>
      <c r="R27" s="1"/>
      <c r="S27" s="25"/>
      <c r="T27" s="24">
        <v>50</v>
      </c>
      <c r="U27" s="24">
        <v>38</v>
      </c>
      <c r="V27" s="25"/>
      <c r="X27" s="5">
        <v>2386</v>
      </c>
      <c r="Y27" s="5">
        <v>756</v>
      </c>
      <c r="Z27" s="5">
        <v>1537</v>
      </c>
      <c r="AA27" s="34"/>
      <c r="AB27" s="5">
        <v>50</v>
      </c>
      <c r="AC27" s="5">
        <v>43</v>
      </c>
      <c r="AD27" s="34"/>
      <c r="AE27" s="27">
        <v>43</v>
      </c>
    </row>
    <row r="28" spans="1:31">
      <c r="A28" s="2" t="s">
        <v>25</v>
      </c>
      <c r="B28" s="24">
        <v>9365</v>
      </c>
      <c r="C28" s="24">
        <v>7395</v>
      </c>
      <c r="D28" s="1"/>
      <c r="E28" s="36">
        <v>1575</v>
      </c>
      <c r="F28" s="36">
        <v>1240</v>
      </c>
      <c r="G28" s="1"/>
      <c r="H28" s="1"/>
      <c r="I28" s="36">
        <v>126</v>
      </c>
      <c r="J28" s="1"/>
      <c r="K28" s="1"/>
      <c r="L28" s="28"/>
      <c r="M28" s="36">
        <v>209</v>
      </c>
      <c r="N28" s="1"/>
      <c r="O28" s="36">
        <v>3</v>
      </c>
      <c r="P28" s="36">
        <v>36</v>
      </c>
      <c r="Q28" s="28">
        <v>9</v>
      </c>
      <c r="R28" s="1"/>
      <c r="S28" s="25"/>
      <c r="T28" s="24">
        <v>253</v>
      </c>
      <c r="U28" s="24">
        <v>175</v>
      </c>
      <c r="V28" s="25"/>
      <c r="X28" s="5">
        <v>9833</v>
      </c>
      <c r="Y28" s="5">
        <v>7824</v>
      </c>
      <c r="Z28" s="5">
        <v>1575</v>
      </c>
      <c r="AA28" s="34"/>
      <c r="AB28" s="5">
        <v>253</v>
      </c>
      <c r="AC28" s="5">
        <v>181</v>
      </c>
      <c r="AD28" s="34"/>
      <c r="AE28" s="27">
        <v>13</v>
      </c>
    </row>
    <row r="29" spans="1:31">
      <c r="A29" s="2" t="s">
        <v>26</v>
      </c>
      <c r="B29" s="24">
        <v>5754</v>
      </c>
      <c r="C29" s="24">
        <v>1927</v>
      </c>
      <c r="D29" s="1"/>
      <c r="E29" s="36">
        <v>3263</v>
      </c>
      <c r="F29" s="36">
        <v>3242</v>
      </c>
      <c r="G29" s="1"/>
      <c r="H29" s="1"/>
      <c r="I29" s="28"/>
      <c r="J29" s="1"/>
      <c r="K29" s="1"/>
      <c r="L29" s="28"/>
      <c r="M29" s="36">
        <v>21</v>
      </c>
      <c r="N29" s="1"/>
      <c r="O29" s="31"/>
      <c r="P29" s="28">
        <v>12</v>
      </c>
      <c r="Q29" s="28">
        <v>9</v>
      </c>
      <c r="R29" s="1"/>
      <c r="S29" s="25"/>
      <c r="T29" s="24">
        <v>386</v>
      </c>
      <c r="U29" s="24">
        <v>178</v>
      </c>
      <c r="V29" s="25"/>
      <c r="X29" s="5">
        <v>6039</v>
      </c>
      <c r="Y29" s="5">
        <v>2212</v>
      </c>
      <c r="Z29" s="5">
        <v>3263</v>
      </c>
      <c r="AA29" s="34"/>
      <c r="AB29" s="5">
        <v>386</v>
      </c>
      <c r="AC29" s="5">
        <v>178</v>
      </c>
      <c r="AD29" s="34"/>
      <c r="AE29" s="27">
        <v>17</v>
      </c>
    </row>
    <row r="30" spans="1:31">
      <c r="A30" s="2" t="s">
        <v>27</v>
      </c>
      <c r="B30" s="25">
        <v>9113</v>
      </c>
      <c r="C30" s="25">
        <v>6448</v>
      </c>
      <c r="D30" s="1"/>
      <c r="E30" s="36">
        <v>1508</v>
      </c>
      <c r="F30" s="36">
        <v>1298</v>
      </c>
      <c r="G30" s="1"/>
      <c r="H30" s="1"/>
      <c r="I30" s="36">
        <v>3</v>
      </c>
      <c r="J30" s="1"/>
      <c r="K30" s="1"/>
      <c r="L30" s="28"/>
      <c r="M30" s="36">
        <v>207</v>
      </c>
      <c r="N30" s="1"/>
      <c r="O30" s="31"/>
      <c r="P30" s="36">
        <v>17</v>
      </c>
      <c r="Q30" s="28">
        <v>26</v>
      </c>
      <c r="R30" s="1"/>
      <c r="S30" s="25"/>
      <c r="T30" s="25">
        <v>857</v>
      </c>
      <c r="U30" s="25">
        <v>326</v>
      </c>
      <c r="V30" s="25"/>
      <c r="X30" s="5">
        <v>9341</v>
      </c>
      <c r="Y30" s="5">
        <v>6649</v>
      </c>
      <c r="Z30" s="5">
        <v>1508</v>
      </c>
      <c r="AA30" s="34"/>
      <c r="AB30" s="5">
        <v>857</v>
      </c>
      <c r="AC30" s="5">
        <v>326</v>
      </c>
      <c r="AD30" s="34"/>
      <c r="AE30" s="27">
        <v>14</v>
      </c>
    </row>
    <row r="31" spans="1:31">
      <c r="A31" s="2" t="s">
        <v>28</v>
      </c>
      <c r="B31" s="24">
        <v>300</v>
      </c>
      <c r="C31" s="24">
        <v>156</v>
      </c>
      <c r="D31" s="1"/>
      <c r="E31" s="36">
        <v>42</v>
      </c>
      <c r="F31" s="28"/>
      <c r="G31" s="1"/>
      <c r="H31" s="1"/>
      <c r="I31" s="28"/>
      <c r="J31" s="1"/>
      <c r="K31" s="1"/>
      <c r="L31" s="36">
        <v>38</v>
      </c>
      <c r="M31" s="36">
        <v>4</v>
      </c>
      <c r="N31" s="1"/>
      <c r="O31" s="32"/>
      <c r="P31" s="28">
        <v>2</v>
      </c>
      <c r="Q31" s="27"/>
      <c r="R31" s="1"/>
      <c r="S31" s="25"/>
      <c r="T31" s="24">
        <v>1</v>
      </c>
      <c r="U31" s="24">
        <v>98</v>
      </c>
      <c r="V31" s="24">
        <v>4</v>
      </c>
      <c r="X31" s="5">
        <v>304</v>
      </c>
      <c r="Y31" s="5">
        <v>160</v>
      </c>
      <c r="Z31" s="5">
        <v>42</v>
      </c>
      <c r="AA31" s="34"/>
      <c r="AB31" s="5">
        <v>1</v>
      </c>
      <c r="AC31" s="5">
        <v>98</v>
      </c>
      <c r="AD31" s="5">
        <v>4</v>
      </c>
      <c r="AE31" s="33"/>
    </row>
    <row r="32" spans="1:31">
      <c r="A32" s="2" t="s">
        <v>29</v>
      </c>
      <c r="B32" s="24">
        <v>5317</v>
      </c>
      <c r="C32" s="24">
        <v>325</v>
      </c>
      <c r="D32" s="1"/>
      <c r="E32" s="36">
        <v>3937</v>
      </c>
      <c r="F32" s="36">
        <v>3789</v>
      </c>
      <c r="G32" s="1"/>
      <c r="H32" s="1"/>
      <c r="I32" s="36">
        <v>11</v>
      </c>
      <c r="J32" s="1"/>
      <c r="K32" s="1"/>
      <c r="L32" s="28"/>
      <c r="M32" s="36">
        <v>137</v>
      </c>
      <c r="N32" s="1"/>
      <c r="O32" s="31"/>
      <c r="P32" s="36">
        <v>6</v>
      </c>
      <c r="Q32" s="28"/>
      <c r="R32" s="1"/>
      <c r="S32" s="25"/>
      <c r="T32" s="24">
        <v>405</v>
      </c>
      <c r="U32" s="24">
        <v>659</v>
      </c>
      <c r="V32" s="25"/>
      <c r="X32" s="5">
        <v>5443</v>
      </c>
      <c r="Y32" s="5">
        <v>385</v>
      </c>
      <c r="Z32" s="5">
        <v>3937</v>
      </c>
      <c r="AA32" s="34"/>
      <c r="AB32" s="5">
        <v>405</v>
      </c>
      <c r="AC32" s="5">
        <v>716</v>
      </c>
      <c r="AD32" s="34"/>
      <c r="AE32" s="27">
        <v>76</v>
      </c>
    </row>
    <row r="33" spans="1:31">
      <c r="A33" s="2" t="s">
        <v>30</v>
      </c>
      <c r="B33" s="26">
        <v>4926</v>
      </c>
      <c r="C33" s="26">
        <v>790</v>
      </c>
      <c r="D33" s="1"/>
      <c r="E33" s="36">
        <v>2064</v>
      </c>
      <c r="F33" s="36">
        <v>2021</v>
      </c>
      <c r="G33" s="1"/>
      <c r="H33" s="1"/>
      <c r="I33" s="36">
        <v>6</v>
      </c>
      <c r="J33" s="1"/>
      <c r="K33" s="1"/>
      <c r="L33" s="28"/>
      <c r="M33" s="36">
        <v>36</v>
      </c>
      <c r="N33" s="1"/>
      <c r="O33" s="31"/>
      <c r="P33" s="36">
        <v>7</v>
      </c>
      <c r="Q33" s="28">
        <v>3</v>
      </c>
      <c r="R33" s="1"/>
      <c r="S33" s="25"/>
      <c r="T33" s="26">
        <v>1282</v>
      </c>
      <c r="U33" s="26">
        <v>790</v>
      </c>
      <c r="V33" s="25"/>
      <c r="X33" s="5">
        <v>5113</v>
      </c>
      <c r="Y33" s="5">
        <v>927</v>
      </c>
      <c r="Z33" s="5">
        <v>2064</v>
      </c>
      <c r="AA33" s="34"/>
      <c r="AB33" s="5">
        <v>1282</v>
      </c>
      <c r="AC33" s="5">
        <v>839</v>
      </c>
      <c r="AD33" s="34"/>
      <c r="AE33" s="27">
        <v>49</v>
      </c>
    </row>
    <row r="34" spans="1:31">
      <c r="A34" s="2" t="s">
        <v>31</v>
      </c>
      <c r="B34" s="25">
        <v>2760</v>
      </c>
      <c r="C34" s="25">
        <v>1169</v>
      </c>
      <c r="D34" s="1"/>
      <c r="E34" s="36">
        <v>379</v>
      </c>
      <c r="F34" s="36">
        <v>375</v>
      </c>
      <c r="G34" s="1"/>
      <c r="H34" s="1"/>
      <c r="I34" s="36">
        <v>0.4</v>
      </c>
      <c r="J34" s="1"/>
      <c r="K34" s="1"/>
      <c r="L34" s="28"/>
      <c r="M34" s="36">
        <v>3</v>
      </c>
      <c r="N34" s="1"/>
      <c r="O34" s="36">
        <v>0.4</v>
      </c>
      <c r="P34" s="29"/>
      <c r="Q34" s="28"/>
      <c r="R34" s="1"/>
      <c r="S34" s="25"/>
      <c r="T34" s="25">
        <v>267</v>
      </c>
      <c r="U34" s="25">
        <v>946</v>
      </c>
      <c r="V34" s="25"/>
      <c r="X34" s="5">
        <v>2800</v>
      </c>
      <c r="Y34" s="5">
        <v>1192</v>
      </c>
      <c r="Z34" s="5">
        <v>379</v>
      </c>
      <c r="AA34" s="34"/>
      <c r="AB34" s="5">
        <v>267</v>
      </c>
      <c r="AC34" s="5">
        <v>962</v>
      </c>
      <c r="AD34" s="34"/>
      <c r="AE34" s="27">
        <v>10</v>
      </c>
    </row>
    <row r="35" spans="1:31">
      <c r="A35" s="2" t="s">
        <v>32</v>
      </c>
      <c r="B35" s="24">
        <v>4696</v>
      </c>
      <c r="C35" s="24">
        <v>42</v>
      </c>
      <c r="D35" s="1"/>
      <c r="E35" s="36">
        <v>2845</v>
      </c>
      <c r="F35" s="36">
        <v>2658</v>
      </c>
      <c r="G35" s="1"/>
      <c r="H35" s="1"/>
      <c r="I35" s="36">
        <v>70</v>
      </c>
      <c r="J35" s="1"/>
      <c r="K35" s="1"/>
      <c r="L35" s="28"/>
      <c r="M35" s="36">
        <v>117</v>
      </c>
      <c r="N35" s="1"/>
      <c r="O35" s="31"/>
      <c r="P35" s="36">
        <v>5</v>
      </c>
      <c r="Q35" s="28">
        <v>5</v>
      </c>
      <c r="R35" s="1"/>
      <c r="S35" s="25"/>
      <c r="T35" s="24">
        <v>1011</v>
      </c>
      <c r="U35" s="24">
        <v>799</v>
      </c>
      <c r="V35" s="25"/>
      <c r="X35" s="5">
        <v>4715</v>
      </c>
      <c r="Y35" s="5">
        <v>43</v>
      </c>
      <c r="Z35" s="5">
        <v>2845</v>
      </c>
      <c r="AA35" s="34"/>
      <c r="AB35" s="5">
        <v>1011</v>
      </c>
      <c r="AC35" s="5">
        <v>816</v>
      </c>
      <c r="AD35" s="34"/>
      <c r="AE35" s="27">
        <v>55</v>
      </c>
    </row>
    <row r="36" spans="1:31" ht="13.5" customHeight="1">
      <c r="A36" s="2" t="s">
        <v>33</v>
      </c>
      <c r="B36" s="24">
        <v>8978</v>
      </c>
      <c r="C36" s="24">
        <v>702</v>
      </c>
      <c r="D36" s="1"/>
      <c r="E36" s="36">
        <v>5377</v>
      </c>
      <c r="F36" s="36">
        <v>5292</v>
      </c>
      <c r="G36" s="1"/>
      <c r="H36" s="1"/>
      <c r="I36" s="36">
        <v>83</v>
      </c>
      <c r="J36" s="1"/>
      <c r="K36" s="1"/>
      <c r="L36" s="30"/>
      <c r="M36" s="36">
        <v>2</v>
      </c>
      <c r="N36" s="1"/>
      <c r="O36" s="31"/>
      <c r="P36" s="27"/>
      <c r="Q36" s="30">
        <v>2</v>
      </c>
      <c r="R36" s="1"/>
      <c r="S36" s="25"/>
      <c r="T36" s="24">
        <v>1921</v>
      </c>
      <c r="U36" s="24">
        <v>978</v>
      </c>
      <c r="V36" s="25"/>
      <c r="X36" s="5">
        <v>8978</v>
      </c>
      <c r="Y36" s="5">
        <v>702</v>
      </c>
      <c r="Z36" s="5">
        <v>5377</v>
      </c>
      <c r="AA36" s="34"/>
      <c r="AB36" s="5">
        <v>1921</v>
      </c>
      <c r="AC36" s="5">
        <v>978</v>
      </c>
      <c r="AD36" s="34"/>
      <c r="AE36" s="27">
        <v>2</v>
      </c>
    </row>
    <row r="38" spans="1:31">
      <c r="B38">
        <f>B5-SUM(B6:B36)</f>
        <v>-1</v>
      </c>
      <c r="C38">
        <f t="shared" ref="C38:V38" si="0">C5-SUM(C6:C36)</f>
        <v>2</v>
      </c>
      <c r="D38">
        <f t="shared" si="0"/>
        <v>0</v>
      </c>
      <c r="E38">
        <f t="shared" si="0"/>
        <v>-3</v>
      </c>
      <c r="F38">
        <f t="shared" si="0"/>
        <v>-2</v>
      </c>
      <c r="H38">
        <f t="shared" si="0"/>
        <v>0</v>
      </c>
      <c r="I38">
        <f t="shared" si="0"/>
        <v>-4.8999999999996362</v>
      </c>
      <c r="J38">
        <f t="shared" si="0"/>
        <v>0</v>
      </c>
      <c r="L38">
        <f t="shared" si="0"/>
        <v>0</v>
      </c>
      <c r="M38">
        <f t="shared" si="0"/>
        <v>3</v>
      </c>
      <c r="N38">
        <f t="shared" si="0"/>
        <v>0</v>
      </c>
      <c r="O38">
        <f t="shared" si="0"/>
        <v>-3</v>
      </c>
      <c r="P38">
        <f t="shared" si="0"/>
        <v>-2</v>
      </c>
      <c r="S38">
        <f t="shared" si="0"/>
        <v>0</v>
      </c>
      <c r="T38">
        <f t="shared" si="0"/>
        <v>-1</v>
      </c>
      <c r="U38">
        <f t="shared" si="0"/>
        <v>0</v>
      </c>
      <c r="V38">
        <f t="shared" si="0"/>
        <v>1</v>
      </c>
    </row>
  </sheetData>
  <mergeCells count="25">
    <mergeCell ref="A1:V1"/>
    <mergeCell ref="A2:A4"/>
    <mergeCell ref="B2:B4"/>
    <mergeCell ref="C2:D2"/>
    <mergeCell ref="S2:S4"/>
    <mergeCell ref="T2:T4"/>
    <mergeCell ref="U2:U4"/>
    <mergeCell ref="V2:V4"/>
    <mergeCell ref="C3:C4"/>
    <mergeCell ref="I3:K3"/>
    <mergeCell ref="M3:R3"/>
    <mergeCell ref="E2:R2"/>
    <mergeCell ref="D3:D4"/>
    <mergeCell ref="E3:E4"/>
    <mergeCell ref="F3:H3"/>
    <mergeCell ref="L3:L4"/>
    <mergeCell ref="X1:AE1"/>
    <mergeCell ref="X2:X4"/>
    <mergeCell ref="Y2:Y4"/>
    <mergeCell ref="Z2:Z4"/>
    <mergeCell ref="AA2:AA4"/>
    <mergeCell ref="AB2:AB4"/>
    <mergeCell ref="AC2:AC4"/>
    <mergeCell ref="AD2:AD4"/>
    <mergeCell ref="AE2:AE4"/>
  </mergeCells>
  <phoneticPr fontId="3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85D99-3A26-416C-B726-A24D763B127F}">
  <dimension ref="A1:AE38"/>
  <sheetViews>
    <sheetView topLeftCell="A10" workbookViewId="0">
      <selection activeCell="G31" sqref="G31"/>
    </sheetView>
  </sheetViews>
  <sheetFormatPr defaultRowHeight="12.75"/>
  <cols>
    <col min="1" max="22" width="7.5703125" customWidth="1"/>
    <col min="31" max="31" width="7.5703125" customWidth="1"/>
  </cols>
  <sheetData>
    <row r="1" spans="1:31" ht="12.75" customHeight="1">
      <c r="A1" s="122" t="s">
        <v>66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4"/>
      <c r="X1" s="121" t="s">
        <v>67</v>
      </c>
      <c r="Y1" s="110"/>
      <c r="Z1" s="110"/>
      <c r="AA1" s="110"/>
      <c r="AB1" s="110"/>
      <c r="AC1" s="110"/>
      <c r="AD1" s="110"/>
      <c r="AE1" s="110"/>
    </row>
    <row r="2" spans="1:31" ht="12.75" customHeight="1">
      <c r="A2" s="109" t="s">
        <v>34</v>
      </c>
      <c r="B2" s="109" t="s">
        <v>35</v>
      </c>
      <c r="C2" s="119" t="s">
        <v>36</v>
      </c>
      <c r="D2" s="119"/>
      <c r="E2" s="112" t="s">
        <v>37</v>
      </c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4"/>
      <c r="S2" s="109" t="s">
        <v>38</v>
      </c>
      <c r="T2" s="109" t="s">
        <v>39</v>
      </c>
      <c r="U2" s="120" t="s">
        <v>1</v>
      </c>
      <c r="V2" s="109" t="s">
        <v>40</v>
      </c>
      <c r="X2" s="109" t="s">
        <v>35</v>
      </c>
      <c r="Y2" s="109" t="s">
        <v>64</v>
      </c>
      <c r="Z2" s="109" t="s">
        <v>65</v>
      </c>
      <c r="AA2" s="109" t="s">
        <v>38</v>
      </c>
      <c r="AB2" s="109" t="s">
        <v>39</v>
      </c>
      <c r="AC2" s="120" t="s">
        <v>1</v>
      </c>
      <c r="AD2" s="109" t="s">
        <v>40</v>
      </c>
      <c r="AE2" s="120" t="s">
        <v>63</v>
      </c>
    </row>
    <row r="3" spans="1:31" ht="12.75" customHeight="1">
      <c r="A3" s="110"/>
      <c r="B3" s="109"/>
      <c r="C3" s="109" t="s">
        <v>35</v>
      </c>
      <c r="D3" s="109" t="s">
        <v>41</v>
      </c>
      <c r="E3" s="109" t="s">
        <v>35</v>
      </c>
      <c r="F3" s="109" t="s">
        <v>42</v>
      </c>
      <c r="G3" s="109"/>
      <c r="H3" s="109"/>
      <c r="I3" s="115" t="s">
        <v>43</v>
      </c>
      <c r="J3" s="116"/>
      <c r="K3" s="117"/>
      <c r="L3" s="109" t="s">
        <v>44</v>
      </c>
      <c r="M3" s="115" t="s">
        <v>40</v>
      </c>
      <c r="N3" s="116"/>
      <c r="O3" s="116"/>
      <c r="P3" s="116"/>
      <c r="Q3" s="116"/>
      <c r="R3" s="117"/>
      <c r="S3" s="109"/>
      <c r="T3" s="109"/>
      <c r="U3" s="120"/>
      <c r="V3" s="109"/>
      <c r="X3" s="109"/>
      <c r="Y3" s="110"/>
      <c r="Z3" s="110"/>
      <c r="AA3" s="109"/>
      <c r="AB3" s="109"/>
      <c r="AC3" s="120"/>
      <c r="AD3" s="109"/>
      <c r="AE3" s="120"/>
    </row>
    <row r="4" spans="1:31" s="23" customFormat="1" ht="48">
      <c r="A4" s="110"/>
      <c r="B4" s="109"/>
      <c r="C4" s="109"/>
      <c r="D4" s="109"/>
      <c r="E4" s="109"/>
      <c r="F4" s="2" t="s">
        <v>35</v>
      </c>
      <c r="G4" s="2" t="s">
        <v>61</v>
      </c>
      <c r="H4" s="2" t="s">
        <v>0</v>
      </c>
      <c r="I4" s="2" t="s">
        <v>35</v>
      </c>
      <c r="J4" s="2" t="s">
        <v>60</v>
      </c>
      <c r="K4" s="2" t="s">
        <v>46</v>
      </c>
      <c r="L4" s="109"/>
      <c r="M4" s="2" t="s">
        <v>35</v>
      </c>
      <c r="N4" s="2" t="s">
        <v>58</v>
      </c>
      <c r="O4" s="2" t="s">
        <v>57</v>
      </c>
      <c r="P4" s="2" t="s">
        <v>59</v>
      </c>
      <c r="Q4" s="6" t="s">
        <v>47</v>
      </c>
      <c r="R4" s="6" t="s">
        <v>48</v>
      </c>
      <c r="S4" s="109"/>
      <c r="T4" s="109"/>
      <c r="U4" s="120"/>
      <c r="V4" s="109"/>
      <c r="X4" s="109"/>
      <c r="Y4" s="110"/>
      <c r="Z4" s="110"/>
      <c r="AA4" s="109"/>
      <c r="AB4" s="109"/>
      <c r="AC4" s="120"/>
      <c r="AD4" s="109"/>
      <c r="AE4" s="120"/>
    </row>
    <row r="5" spans="1:31">
      <c r="A5" s="3" t="s">
        <v>5</v>
      </c>
      <c r="B5" s="24">
        <v>191499</v>
      </c>
      <c r="C5" s="1"/>
      <c r="D5" s="1"/>
      <c r="E5" s="27">
        <v>118957</v>
      </c>
      <c r="F5" s="27">
        <v>104063</v>
      </c>
      <c r="G5" s="1"/>
      <c r="H5" s="1"/>
      <c r="I5" s="27">
        <v>9024</v>
      </c>
      <c r="J5" s="1"/>
      <c r="K5" s="1"/>
      <c r="L5" s="27">
        <v>175</v>
      </c>
      <c r="M5" s="27">
        <v>5696</v>
      </c>
      <c r="N5" s="1"/>
      <c r="O5" s="27">
        <v>1173</v>
      </c>
      <c r="P5" s="27">
        <v>1117</v>
      </c>
      <c r="Q5" s="31">
        <v>71.2</v>
      </c>
      <c r="R5" s="1"/>
      <c r="S5" s="24">
        <v>4874</v>
      </c>
      <c r="T5" s="24">
        <v>20905</v>
      </c>
      <c r="U5" s="24">
        <v>14709</v>
      </c>
      <c r="V5" s="1"/>
      <c r="X5" s="5">
        <v>201006</v>
      </c>
      <c r="Y5" s="5">
        <v>35804</v>
      </c>
      <c r="Z5" s="5">
        <v>118957</v>
      </c>
      <c r="AA5" s="5">
        <v>4874</v>
      </c>
      <c r="AB5" s="5">
        <v>20915</v>
      </c>
      <c r="AC5" s="5">
        <v>20418</v>
      </c>
      <c r="AD5" s="5">
        <v>37</v>
      </c>
      <c r="AE5" s="27">
        <v>6180</v>
      </c>
    </row>
    <row r="6" spans="1:31">
      <c r="A6" s="2" t="s">
        <v>6</v>
      </c>
      <c r="B6" s="24">
        <v>1259</v>
      </c>
      <c r="C6" s="1"/>
      <c r="D6" s="1"/>
      <c r="E6" s="27">
        <v>1135</v>
      </c>
      <c r="F6" s="27">
        <v>85</v>
      </c>
      <c r="G6" s="1"/>
      <c r="H6" s="1"/>
      <c r="I6" s="27">
        <v>993</v>
      </c>
      <c r="J6" s="1"/>
      <c r="K6" s="1"/>
      <c r="L6" s="27">
        <v>22</v>
      </c>
      <c r="M6" s="27">
        <v>36</v>
      </c>
      <c r="N6" s="1"/>
      <c r="O6" s="27">
        <v>35</v>
      </c>
      <c r="P6" s="27"/>
      <c r="Q6" s="31"/>
      <c r="R6" s="1"/>
      <c r="S6" s="25"/>
      <c r="T6" s="24">
        <v>18</v>
      </c>
      <c r="U6" s="24">
        <v>8</v>
      </c>
      <c r="V6" s="1"/>
      <c r="X6" s="5">
        <v>1304</v>
      </c>
      <c r="Y6" s="5">
        <v>99</v>
      </c>
      <c r="Z6" s="5">
        <v>1135</v>
      </c>
      <c r="AA6" s="34"/>
      <c r="AB6" s="5">
        <v>19</v>
      </c>
      <c r="AC6" s="5">
        <v>51</v>
      </c>
      <c r="AD6" s="34"/>
      <c r="AE6" s="27">
        <v>46</v>
      </c>
    </row>
    <row r="7" spans="1:31">
      <c r="A7" s="2" t="s">
        <v>7</v>
      </c>
      <c r="B7" s="24">
        <v>1816</v>
      </c>
      <c r="C7" s="1"/>
      <c r="D7" s="1"/>
      <c r="E7" s="27">
        <v>1639</v>
      </c>
      <c r="F7" s="27">
        <v>1225</v>
      </c>
      <c r="G7" s="1"/>
      <c r="H7" s="1"/>
      <c r="I7" s="27">
        <v>382</v>
      </c>
      <c r="J7" s="1"/>
      <c r="K7" s="1"/>
      <c r="L7" s="28"/>
      <c r="M7" s="27">
        <v>32</v>
      </c>
      <c r="N7" s="1"/>
      <c r="O7" s="27">
        <v>12</v>
      </c>
      <c r="P7" s="28">
        <v>4</v>
      </c>
      <c r="Q7" s="31"/>
      <c r="R7" s="1"/>
      <c r="S7" s="25"/>
      <c r="T7" s="24">
        <v>59</v>
      </c>
      <c r="U7" s="24">
        <v>119</v>
      </c>
      <c r="V7" s="1"/>
      <c r="X7" s="5">
        <v>1842</v>
      </c>
      <c r="Y7" s="5">
        <v>1</v>
      </c>
      <c r="Z7" s="5">
        <v>1639</v>
      </c>
      <c r="AA7" s="34"/>
      <c r="AB7" s="5">
        <v>60</v>
      </c>
      <c r="AC7" s="5">
        <v>143</v>
      </c>
      <c r="AD7" s="34"/>
      <c r="AE7" s="27">
        <v>38</v>
      </c>
    </row>
    <row r="8" spans="1:31">
      <c r="A8" s="2" t="s">
        <v>8</v>
      </c>
      <c r="B8" s="24">
        <v>7784</v>
      </c>
      <c r="C8" s="1"/>
      <c r="D8" s="1"/>
      <c r="E8" s="27">
        <v>5021</v>
      </c>
      <c r="F8" s="27">
        <v>4705</v>
      </c>
      <c r="G8" s="1"/>
      <c r="H8" s="1"/>
      <c r="I8" s="27">
        <v>3</v>
      </c>
      <c r="J8" s="1"/>
      <c r="K8" s="1"/>
      <c r="L8" s="28"/>
      <c r="M8" s="27">
        <v>312</v>
      </c>
      <c r="N8" s="1"/>
      <c r="O8" s="27">
        <v>34</v>
      </c>
      <c r="P8" s="28">
        <v>53</v>
      </c>
      <c r="Q8" s="31">
        <v>0.7</v>
      </c>
      <c r="R8" s="1"/>
      <c r="S8" s="25"/>
      <c r="T8" s="24">
        <v>1639</v>
      </c>
      <c r="U8" s="24">
        <v>965</v>
      </c>
      <c r="V8" s="1"/>
      <c r="X8" s="5">
        <v>8319</v>
      </c>
      <c r="Y8" s="5">
        <v>182</v>
      </c>
      <c r="Z8" s="5">
        <v>5021</v>
      </c>
      <c r="AA8" s="34"/>
      <c r="AB8" s="5">
        <v>1639</v>
      </c>
      <c r="AC8" s="5">
        <v>1474</v>
      </c>
      <c r="AD8" s="5">
        <v>3</v>
      </c>
      <c r="AE8" s="27">
        <v>513</v>
      </c>
    </row>
    <row r="9" spans="1:31">
      <c r="A9" s="2" t="s">
        <v>9</v>
      </c>
      <c r="B9" s="24">
        <v>8997</v>
      </c>
      <c r="C9" s="1"/>
      <c r="D9" s="1"/>
      <c r="E9" s="27">
        <v>6687</v>
      </c>
      <c r="F9" s="27">
        <v>6112</v>
      </c>
      <c r="G9" s="1"/>
      <c r="H9" s="1"/>
      <c r="I9" s="27">
        <v>334</v>
      </c>
      <c r="J9" s="1"/>
      <c r="K9" s="1"/>
      <c r="L9" s="28"/>
      <c r="M9" s="27">
        <v>242</v>
      </c>
      <c r="N9" s="1"/>
      <c r="O9" s="27">
        <v>11</v>
      </c>
      <c r="P9" s="28">
        <v>35</v>
      </c>
      <c r="Q9" s="31">
        <v>11.4</v>
      </c>
      <c r="R9" s="1"/>
      <c r="S9" s="25"/>
      <c r="T9" s="24">
        <v>1251</v>
      </c>
      <c r="U9" s="24">
        <v>862</v>
      </c>
      <c r="V9" s="1"/>
      <c r="X9" s="5">
        <v>9249</v>
      </c>
      <c r="Y9" s="5">
        <v>223</v>
      </c>
      <c r="Z9" s="5">
        <v>6687</v>
      </c>
      <c r="AA9" s="34"/>
      <c r="AB9" s="5">
        <v>1251</v>
      </c>
      <c r="AC9" s="5">
        <v>1088</v>
      </c>
      <c r="AD9" s="34"/>
      <c r="AE9" s="27">
        <v>231</v>
      </c>
    </row>
    <row r="10" spans="1:31">
      <c r="A10" s="2" t="s">
        <v>2</v>
      </c>
      <c r="B10" s="24">
        <v>12837</v>
      </c>
      <c r="C10" s="1"/>
      <c r="D10" s="1"/>
      <c r="E10" s="27">
        <v>8721</v>
      </c>
      <c r="F10" s="27">
        <v>8643</v>
      </c>
      <c r="G10" s="1"/>
      <c r="H10" s="1"/>
      <c r="I10" s="27">
        <v>42</v>
      </c>
      <c r="J10" s="1"/>
      <c r="K10" s="1"/>
      <c r="L10" s="28"/>
      <c r="M10" s="27">
        <v>37</v>
      </c>
      <c r="N10" s="1"/>
      <c r="O10" s="27">
        <v>7</v>
      </c>
      <c r="P10" s="28">
        <v>13</v>
      </c>
      <c r="Q10" s="31">
        <v>0.1</v>
      </c>
      <c r="R10" s="1"/>
      <c r="S10" s="25"/>
      <c r="T10" s="24">
        <v>2918</v>
      </c>
      <c r="U10" s="24">
        <v>962</v>
      </c>
      <c r="V10" s="1"/>
      <c r="X10" s="5">
        <v>12931</v>
      </c>
      <c r="Y10" s="5">
        <v>239</v>
      </c>
      <c r="Z10" s="5">
        <v>8721</v>
      </c>
      <c r="AA10" s="34"/>
      <c r="AB10" s="5">
        <v>2920</v>
      </c>
      <c r="AC10" s="5">
        <v>1051</v>
      </c>
      <c r="AD10" s="34"/>
      <c r="AE10" s="27">
        <v>51</v>
      </c>
    </row>
    <row r="11" spans="1:31">
      <c r="A11" s="2" t="s">
        <v>10</v>
      </c>
      <c r="B11" s="24">
        <v>5280</v>
      </c>
      <c r="C11" s="1"/>
      <c r="D11" s="1"/>
      <c r="E11" s="27">
        <v>3446</v>
      </c>
      <c r="F11" s="27">
        <v>3328</v>
      </c>
      <c r="G11" s="1"/>
      <c r="H11" s="1"/>
      <c r="I11" s="27">
        <v>6</v>
      </c>
      <c r="J11" s="1"/>
      <c r="K11" s="1"/>
      <c r="L11" s="27">
        <v>15</v>
      </c>
      <c r="M11" s="27">
        <v>97</v>
      </c>
      <c r="N11" s="1"/>
      <c r="O11" s="27">
        <v>13</v>
      </c>
      <c r="P11" s="27">
        <v>14</v>
      </c>
      <c r="Q11" s="31"/>
      <c r="R11" s="1"/>
      <c r="S11" s="24">
        <v>448</v>
      </c>
      <c r="T11" s="24">
        <v>831</v>
      </c>
      <c r="U11" s="24">
        <v>276</v>
      </c>
      <c r="V11" s="1"/>
      <c r="X11" s="5">
        <v>5370</v>
      </c>
      <c r="Y11" s="5">
        <v>302</v>
      </c>
      <c r="Z11" s="5">
        <v>3446</v>
      </c>
      <c r="AA11" s="5">
        <v>448</v>
      </c>
      <c r="AB11" s="5">
        <v>832</v>
      </c>
      <c r="AC11" s="5">
        <v>343</v>
      </c>
      <c r="AD11" s="34"/>
      <c r="AE11" s="27">
        <v>97</v>
      </c>
    </row>
    <row r="12" spans="1:31">
      <c r="A12" s="2" t="s">
        <v>3</v>
      </c>
      <c r="B12" s="24">
        <v>3044</v>
      </c>
      <c r="C12" s="1"/>
      <c r="D12" s="1"/>
      <c r="E12" s="27">
        <v>1845</v>
      </c>
      <c r="F12" s="27">
        <v>1733</v>
      </c>
      <c r="G12" s="1"/>
      <c r="H12" s="1"/>
      <c r="I12" s="27">
        <v>1</v>
      </c>
      <c r="J12" s="1"/>
      <c r="K12" s="1"/>
      <c r="L12" s="28"/>
      <c r="M12" s="27">
        <v>112</v>
      </c>
      <c r="N12" s="1"/>
      <c r="O12" s="27">
        <v>19</v>
      </c>
      <c r="P12" s="28">
        <v>55</v>
      </c>
      <c r="Q12" s="31">
        <v>0.3</v>
      </c>
      <c r="R12" s="1"/>
      <c r="S12" s="25"/>
      <c r="T12" s="24">
        <v>557</v>
      </c>
      <c r="U12" s="24">
        <v>228</v>
      </c>
      <c r="V12" s="1"/>
      <c r="X12" s="5">
        <v>3122</v>
      </c>
      <c r="Y12" s="5">
        <v>445</v>
      </c>
      <c r="Z12" s="5">
        <v>1845</v>
      </c>
      <c r="AA12" s="34"/>
      <c r="AB12" s="5">
        <v>557</v>
      </c>
      <c r="AC12" s="5">
        <v>274</v>
      </c>
      <c r="AD12" s="34"/>
      <c r="AE12" s="27">
        <v>69</v>
      </c>
    </row>
    <row r="13" spans="1:31">
      <c r="A13" s="2" t="s">
        <v>4</v>
      </c>
      <c r="B13" s="24">
        <v>3157</v>
      </c>
      <c r="C13" s="1"/>
      <c r="D13" s="1"/>
      <c r="E13" s="27">
        <v>2253</v>
      </c>
      <c r="F13" s="27">
        <v>2097</v>
      </c>
      <c r="G13" s="1"/>
      <c r="H13" s="1"/>
      <c r="I13" s="27">
        <v>12</v>
      </c>
      <c r="J13" s="1"/>
      <c r="K13" s="1"/>
      <c r="L13" s="27">
        <v>2</v>
      </c>
      <c r="M13" s="27">
        <v>141</v>
      </c>
      <c r="N13" s="1"/>
      <c r="O13" s="27">
        <v>13</v>
      </c>
      <c r="P13" s="27">
        <v>101</v>
      </c>
      <c r="Q13" s="31">
        <v>0.6</v>
      </c>
      <c r="R13" s="1"/>
      <c r="S13" s="25"/>
      <c r="T13" s="24">
        <v>611</v>
      </c>
      <c r="U13" s="24">
        <v>198</v>
      </c>
      <c r="V13" s="1"/>
      <c r="X13" s="5">
        <v>3246</v>
      </c>
      <c r="Y13" s="5">
        <v>108</v>
      </c>
      <c r="Z13" s="5">
        <v>2253</v>
      </c>
      <c r="AA13" s="34"/>
      <c r="AB13" s="5">
        <v>611</v>
      </c>
      <c r="AC13" s="5">
        <v>274</v>
      </c>
      <c r="AD13" s="34"/>
      <c r="AE13" s="27">
        <v>79</v>
      </c>
    </row>
    <row r="14" spans="1:31">
      <c r="A14" s="2" t="s">
        <v>11</v>
      </c>
      <c r="B14" s="24">
        <v>2568</v>
      </c>
      <c r="C14" s="1"/>
      <c r="D14" s="1"/>
      <c r="E14" s="27">
        <v>2475</v>
      </c>
      <c r="F14" s="27">
        <v>1502</v>
      </c>
      <c r="G14" s="1"/>
      <c r="H14" s="1"/>
      <c r="I14" s="27">
        <v>765</v>
      </c>
      <c r="J14" s="1"/>
      <c r="K14" s="1"/>
      <c r="L14" s="27">
        <v>86</v>
      </c>
      <c r="M14" s="27">
        <v>121</v>
      </c>
      <c r="N14" s="1"/>
      <c r="O14" s="27">
        <v>41</v>
      </c>
      <c r="P14" s="27"/>
      <c r="Q14" s="31">
        <v>1.8</v>
      </c>
      <c r="R14" s="1"/>
      <c r="S14" s="25"/>
      <c r="T14" s="24">
        <v>81</v>
      </c>
      <c r="U14" s="24">
        <v>15</v>
      </c>
      <c r="V14" s="1"/>
      <c r="X14" s="5">
        <v>2664</v>
      </c>
      <c r="Y14" s="34"/>
      <c r="Z14" s="5">
        <v>2475</v>
      </c>
      <c r="AA14" s="34"/>
      <c r="AB14" s="5">
        <v>81</v>
      </c>
      <c r="AC14" s="5">
        <v>109</v>
      </c>
      <c r="AD14" s="34"/>
      <c r="AE14" s="27">
        <v>102</v>
      </c>
    </row>
    <row r="15" spans="1:31">
      <c r="A15" s="2" t="s">
        <v>12</v>
      </c>
      <c r="B15" s="24">
        <v>12595</v>
      </c>
      <c r="C15" s="1"/>
      <c r="D15" s="1"/>
      <c r="E15" s="27">
        <v>10050</v>
      </c>
      <c r="F15" s="27">
        <v>8028</v>
      </c>
      <c r="G15" s="1"/>
      <c r="H15" s="1"/>
      <c r="I15" s="27">
        <v>1610</v>
      </c>
      <c r="J15" s="1"/>
      <c r="K15" s="1"/>
      <c r="L15" s="28"/>
      <c r="M15" s="27">
        <v>411</v>
      </c>
      <c r="N15" s="1"/>
      <c r="O15" s="27">
        <v>130</v>
      </c>
      <c r="P15" s="28">
        <v>59</v>
      </c>
      <c r="Q15" s="31">
        <v>6.8</v>
      </c>
      <c r="R15" s="1"/>
      <c r="S15" s="24">
        <v>437</v>
      </c>
      <c r="T15" s="24">
        <v>1039</v>
      </c>
      <c r="U15" s="24">
        <v>815</v>
      </c>
      <c r="V15" s="1"/>
      <c r="X15" s="5">
        <v>13288</v>
      </c>
      <c r="Y15" s="5">
        <v>265</v>
      </c>
      <c r="Z15" s="5">
        <v>10050</v>
      </c>
      <c r="AA15" s="5">
        <v>437</v>
      </c>
      <c r="AB15" s="5">
        <v>1041</v>
      </c>
      <c r="AC15" s="5">
        <v>1486</v>
      </c>
      <c r="AD15" s="5">
        <v>10</v>
      </c>
      <c r="AE15" s="27">
        <v>664</v>
      </c>
    </row>
    <row r="16" spans="1:31">
      <c r="A16" s="2" t="s">
        <v>13</v>
      </c>
      <c r="B16" s="24">
        <v>8635</v>
      </c>
      <c r="C16" s="1"/>
      <c r="D16" s="1"/>
      <c r="E16" s="27">
        <v>6212</v>
      </c>
      <c r="F16" s="27">
        <v>4649</v>
      </c>
      <c r="G16" s="1"/>
      <c r="H16" s="1"/>
      <c r="I16" s="27">
        <v>1261</v>
      </c>
      <c r="J16" s="1"/>
      <c r="K16" s="1"/>
      <c r="L16" s="27">
        <v>2</v>
      </c>
      <c r="M16" s="27">
        <v>299</v>
      </c>
      <c r="N16" s="1"/>
      <c r="O16" s="27">
        <v>161</v>
      </c>
      <c r="P16" s="27">
        <v>24</v>
      </c>
      <c r="Q16" s="31">
        <v>5.6</v>
      </c>
      <c r="R16" s="1"/>
      <c r="S16" s="24">
        <v>908</v>
      </c>
      <c r="T16" s="24">
        <v>159</v>
      </c>
      <c r="U16" s="24">
        <v>428</v>
      </c>
      <c r="V16" s="1"/>
      <c r="X16" s="5">
        <v>9789</v>
      </c>
      <c r="Y16" s="5">
        <v>1170</v>
      </c>
      <c r="Z16" s="5">
        <v>6212</v>
      </c>
      <c r="AA16" s="5">
        <v>908</v>
      </c>
      <c r="AB16" s="5">
        <v>160</v>
      </c>
      <c r="AC16" s="5">
        <v>1339</v>
      </c>
      <c r="AD16" s="5">
        <v>1</v>
      </c>
      <c r="AE16" s="27">
        <v>925</v>
      </c>
    </row>
    <row r="17" spans="1:31">
      <c r="A17" s="2" t="s">
        <v>14</v>
      </c>
      <c r="B17" s="24">
        <v>6899</v>
      </c>
      <c r="C17" s="1"/>
      <c r="D17" s="1"/>
      <c r="E17" s="27">
        <v>5521</v>
      </c>
      <c r="F17" s="27">
        <v>5136</v>
      </c>
      <c r="G17" s="1"/>
      <c r="H17" s="1"/>
      <c r="I17" s="27">
        <v>14</v>
      </c>
      <c r="J17" s="1"/>
      <c r="K17" s="1"/>
      <c r="L17" s="28"/>
      <c r="M17" s="27">
        <v>372</v>
      </c>
      <c r="N17" s="1"/>
      <c r="O17" s="27">
        <v>64</v>
      </c>
      <c r="P17" s="28">
        <v>127</v>
      </c>
      <c r="Q17" s="31">
        <v>1.3</v>
      </c>
      <c r="R17" s="1"/>
      <c r="S17" s="25"/>
      <c r="T17" s="24">
        <v>274</v>
      </c>
      <c r="U17" s="24">
        <v>859</v>
      </c>
      <c r="V17" s="1"/>
      <c r="X17" s="5">
        <v>7394</v>
      </c>
      <c r="Y17" s="5">
        <v>345</v>
      </c>
      <c r="Z17" s="5">
        <v>5521</v>
      </c>
      <c r="AA17" s="34"/>
      <c r="AB17" s="5">
        <v>274</v>
      </c>
      <c r="AC17" s="5">
        <v>1254</v>
      </c>
      <c r="AD17" s="34"/>
      <c r="AE17" s="27">
        <v>480</v>
      </c>
    </row>
    <row r="18" spans="1:31">
      <c r="A18" s="2" t="s">
        <v>15</v>
      </c>
      <c r="B18" s="24">
        <v>5404</v>
      </c>
      <c r="C18" s="1"/>
      <c r="D18" s="1"/>
      <c r="E18" s="27">
        <v>3172</v>
      </c>
      <c r="F18" s="27">
        <v>2586</v>
      </c>
      <c r="G18" s="1"/>
      <c r="H18" s="1"/>
      <c r="I18" s="27">
        <v>391</v>
      </c>
      <c r="J18" s="1"/>
      <c r="K18" s="1"/>
      <c r="L18" s="27">
        <v>1</v>
      </c>
      <c r="M18" s="27">
        <v>192</v>
      </c>
      <c r="N18" s="1"/>
      <c r="O18" s="27">
        <v>51</v>
      </c>
      <c r="P18" s="27">
        <v>6</v>
      </c>
      <c r="Q18" s="31">
        <v>1</v>
      </c>
      <c r="R18" s="1"/>
      <c r="S18" s="24">
        <v>871</v>
      </c>
      <c r="T18" s="24">
        <v>376</v>
      </c>
      <c r="U18" s="24">
        <v>72</v>
      </c>
      <c r="V18" s="1"/>
      <c r="X18" s="5">
        <v>5909</v>
      </c>
      <c r="Y18" s="5">
        <v>1321</v>
      </c>
      <c r="Z18" s="5">
        <v>3172</v>
      </c>
      <c r="AA18" s="5">
        <v>871</v>
      </c>
      <c r="AB18" s="5">
        <v>376</v>
      </c>
      <c r="AC18" s="5">
        <v>169</v>
      </c>
      <c r="AD18" s="34"/>
      <c r="AE18" s="27">
        <v>131</v>
      </c>
    </row>
    <row r="19" spans="1:31">
      <c r="A19" s="2" t="s">
        <v>16</v>
      </c>
      <c r="B19" s="24">
        <v>3317</v>
      </c>
      <c r="C19" s="1"/>
      <c r="D19" s="1"/>
      <c r="E19" s="27">
        <v>2205</v>
      </c>
      <c r="F19" s="27">
        <v>1925</v>
      </c>
      <c r="G19" s="1"/>
      <c r="H19" s="1"/>
      <c r="I19" s="27">
        <v>13</v>
      </c>
      <c r="J19" s="1"/>
      <c r="K19" s="1"/>
      <c r="L19" s="28"/>
      <c r="M19" s="27">
        <v>268</v>
      </c>
      <c r="N19" s="1"/>
      <c r="O19" s="27">
        <v>17</v>
      </c>
      <c r="P19" s="28">
        <v>27</v>
      </c>
      <c r="Q19" s="31">
        <v>3.1</v>
      </c>
      <c r="R19" s="1"/>
      <c r="S19" s="25"/>
      <c r="T19" s="24">
        <v>286</v>
      </c>
      <c r="U19" s="24">
        <v>383</v>
      </c>
      <c r="V19" s="1"/>
      <c r="X19" s="5">
        <v>3782</v>
      </c>
      <c r="Y19" s="5">
        <v>661</v>
      </c>
      <c r="Z19" s="5">
        <v>2205</v>
      </c>
      <c r="AA19" s="34"/>
      <c r="AB19" s="5">
        <v>286</v>
      </c>
      <c r="AC19" s="5">
        <v>630</v>
      </c>
      <c r="AD19" s="34"/>
      <c r="AE19" s="27">
        <v>262</v>
      </c>
    </row>
    <row r="20" spans="1:31">
      <c r="A20" s="2" t="s">
        <v>17</v>
      </c>
      <c r="B20" s="25">
        <v>13144</v>
      </c>
      <c r="C20" s="1"/>
      <c r="D20" s="1"/>
      <c r="E20" s="27">
        <v>10713</v>
      </c>
      <c r="F20" s="27">
        <v>10029</v>
      </c>
      <c r="G20" s="1"/>
      <c r="H20" s="1"/>
      <c r="I20" s="27">
        <v>8</v>
      </c>
      <c r="J20" s="1"/>
      <c r="K20" s="1"/>
      <c r="L20" s="28"/>
      <c r="M20" s="27">
        <v>676</v>
      </c>
      <c r="N20" s="1"/>
      <c r="O20" s="27">
        <v>140</v>
      </c>
      <c r="P20" s="28">
        <v>146</v>
      </c>
      <c r="Q20" s="31">
        <v>6.7</v>
      </c>
      <c r="R20" s="1"/>
      <c r="S20" s="25">
        <v>250</v>
      </c>
      <c r="T20" s="25">
        <v>1354</v>
      </c>
      <c r="U20" s="25">
        <v>751</v>
      </c>
      <c r="V20" s="1"/>
      <c r="X20" s="5">
        <v>14044</v>
      </c>
      <c r="Y20" s="5">
        <v>108</v>
      </c>
      <c r="Z20" s="5">
        <v>10713</v>
      </c>
      <c r="AA20" s="5">
        <v>250</v>
      </c>
      <c r="AB20" s="5">
        <v>1354</v>
      </c>
      <c r="AC20" s="5">
        <v>1619</v>
      </c>
      <c r="AD20" s="34"/>
      <c r="AE20" s="27">
        <v>942</v>
      </c>
    </row>
    <row r="21" spans="1:31">
      <c r="A21" s="2" t="s">
        <v>18</v>
      </c>
      <c r="B21" s="24">
        <v>8833</v>
      </c>
      <c r="C21" s="1"/>
      <c r="D21" s="1"/>
      <c r="E21" s="27">
        <v>7050</v>
      </c>
      <c r="F21" s="27">
        <v>6579</v>
      </c>
      <c r="G21" s="1"/>
      <c r="H21" s="1"/>
      <c r="I21" s="27">
        <v>295</v>
      </c>
      <c r="J21" s="1"/>
      <c r="K21" s="1"/>
      <c r="L21" s="28"/>
      <c r="M21" s="27">
        <v>176</v>
      </c>
      <c r="N21" s="1"/>
      <c r="O21" s="27">
        <v>21</v>
      </c>
      <c r="P21" s="28">
        <v>52</v>
      </c>
      <c r="Q21" s="31">
        <v>3.6</v>
      </c>
      <c r="R21" s="1"/>
      <c r="S21" s="25"/>
      <c r="T21" s="24">
        <v>794</v>
      </c>
      <c r="U21" s="24">
        <v>602</v>
      </c>
      <c r="V21" s="1"/>
      <c r="X21" s="5">
        <v>9306</v>
      </c>
      <c r="Y21" s="5">
        <v>408</v>
      </c>
      <c r="Z21" s="5">
        <v>7050</v>
      </c>
      <c r="AA21" s="34"/>
      <c r="AB21" s="5">
        <v>794</v>
      </c>
      <c r="AC21" s="5">
        <v>1054</v>
      </c>
      <c r="AD21" s="34"/>
      <c r="AE21" s="27">
        <v>454</v>
      </c>
    </row>
    <row r="22" spans="1:31">
      <c r="A22" s="2" t="s">
        <v>19</v>
      </c>
      <c r="B22" s="24">
        <v>7541</v>
      </c>
      <c r="C22" s="1"/>
      <c r="D22" s="1"/>
      <c r="E22" s="27">
        <v>3157</v>
      </c>
      <c r="F22" s="27">
        <v>2777</v>
      </c>
      <c r="G22" s="1"/>
      <c r="H22" s="1"/>
      <c r="I22" s="27">
        <v>101</v>
      </c>
      <c r="J22" s="1"/>
      <c r="K22" s="1"/>
      <c r="L22" s="28"/>
      <c r="M22" s="27">
        <v>279</v>
      </c>
      <c r="N22" s="1"/>
      <c r="O22" s="27">
        <v>26</v>
      </c>
      <c r="P22" s="28">
        <v>62</v>
      </c>
      <c r="Q22" s="31">
        <v>3.3</v>
      </c>
      <c r="R22" s="1"/>
      <c r="S22" s="25"/>
      <c r="T22" s="24">
        <v>405</v>
      </c>
      <c r="U22" s="24">
        <v>425</v>
      </c>
      <c r="V22" s="1"/>
      <c r="X22" s="5">
        <v>7862</v>
      </c>
      <c r="Y22" s="5">
        <v>3679</v>
      </c>
      <c r="Z22" s="5">
        <v>3157</v>
      </c>
      <c r="AA22" s="34"/>
      <c r="AB22" s="5">
        <v>405</v>
      </c>
      <c r="AC22" s="5">
        <v>621</v>
      </c>
      <c r="AD22" s="34"/>
      <c r="AE22" s="27">
        <v>202</v>
      </c>
    </row>
    <row r="23" spans="1:31">
      <c r="A23" s="2" t="s">
        <v>20</v>
      </c>
      <c r="B23" s="24">
        <v>4160</v>
      </c>
      <c r="C23" s="1"/>
      <c r="D23" s="1"/>
      <c r="E23" s="27">
        <v>2280</v>
      </c>
      <c r="F23" s="27">
        <v>2039</v>
      </c>
      <c r="G23" s="1"/>
      <c r="H23" s="1"/>
      <c r="I23" s="27">
        <v>8</v>
      </c>
      <c r="J23" s="1"/>
      <c r="K23" s="1"/>
      <c r="L23" s="27">
        <v>7</v>
      </c>
      <c r="M23" s="27">
        <v>226</v>
      </c>
      <c r="N23" s="1"/>
      <c r="O23" s="27">
        <v>30</v>
      </c>
      <c r="P23" s="27">
        <v>43</v>
      </c>
      <c r="Q23" s="31">
        <v>2.7</v>
      </c>
      <c r="R23" s="1"/>
      <c r="S23" s="25"/>
      <c r="T23" s="24">
        <v>424</v>
      </c>
      <c r="U23" s="24">
        <v>188</v>
      </c>
      <c r="V23" s="1"/>
      <c r="X23" s="5">
        <v>4669</v>
      </c>
      <c r="Y23" s="5">
        <v>1612</v>
      </c>
      <c r="Z23" s="5">
        <v>2280</v>
      </c>
      <c r="AA23" s="34"/>
      <c r="AB23" s="5">
        <v>427</v>
      </c>
      <c r="AC23" s="5">
        <v>344</v>
      </c>
      <c r="AD23" s="5">
        <v>6</v>
      </c>
      <c r="AE23" s="27">
        <v>189</v>
      </c>
    </row>
    <row r="24" spans="1:31">
      <c r="A24" s="2" t="s">
        <v>21</v>
      </c>
      <c r="B24" s="24">
        <v>12134</v>
      </c>
      <c r="C24" s="1"/>
      <c r="D24" s="1"/>
      <c r="E24" s="27">
        <v>8628</v>
      </c>
      <c r="F24" s="27">
        <v>6141</v>
      </c>
      <c r="G24" s="1"/>
      <c r="H24" s="1"/>
      <c r="I24" s="27">
        <v>2217</v>
      </c>
      <c r="J24" s="1"/>
      <c r="K24" s="1"/>
      <c r="L24" s="28"/>
      <c r="M24" s="27">
        <v>271</v>
      </c>
      <c r="N24" s="1"/>
      <c r="O24" s="27">
        <v>192</v>
      </c>
      <c r="P24" s="28">
        <v>31</v>
      </c>
      <c r="Q24" s="31">
        <v>13.3</v>
      </c>
      <c r="R24" s="1"/>
      <c r="S24" s="24">
        <v>1614</v>
      </c>
      <c r="T24" s="24">
        <v>441</v>
      </c>
      <c r="U24" s="24">
        <v>382</v>
      </c>
      <c r="V24" s="1"/>
      <c r="X24" s="5">
        <v>12870</v>
      </c>
      <c r="Y24" s="5">
        <v>1576</v>
      </c>
      <c r="Z24" s="5">
        <v>8628</v>
      </c>
      <c r="AA24" s="5">
        <v>1614</v>
      </c>
      <c r="AB24" s="5">
        <v>441</v>
      </c>
      <c r="AC24" s="5">
        <v>610</v>
      </c>
      <c r="AD24" s="5">
        <v>2</v>
      </c>
      <c r="AE24" s="27">
        <v>256</v>
      </c>
    </row>
    <row r="25" spans="1:31">
      <c r="A25" s="2" t="s">
        <v>22</v>
      </c>
      <c r="B25" s="25">
        <v>4407</v>
      </c>
      <c r="C25" s="1"/>
      <c r="D25" s="1"/>
      <c r="E25" s="27">
        <v>2294</v>
      </c>
      <c r="F25" s="27">
        <v>1858</v>
      </c>
      <c r="G25" s="1"/>
      <c r="H25" s="1"/>
      <c r="I25" s="27">
        <v>35</v>
      </c>
      <c r="J25" s="1"/>
      <c r="K25" s="1"/>
      <c r="L25" s="28"/>
      <c r="M25" s="27">
        <v>402</v>
      </c>
      <c r="N25" s="1"/>
      <c r="O25" s="27">
        <v>16</v>
      </c>
      <c r="P25" s="28">
        <v>166</v>
      </c>
      <c r="Q25" s="31">
        <v>1.8</v>
      </c>
      <c r="R25" s="1"/>
      <c r="S25" s="25">
        <v>217</v>
      </c>
      <c r="T25" s="25">
        <v>287</v>
      </c>
      <c r="U25" s="25">
        <v>110</v>
      </c>
      <c r="V25" s="1"/>
      <c r="X25" s="34">
        <v>4615</v>
      </c>
      <c r="Y25" s="34">
        <v>1681</v>
      </c>
      <c r="Z25" s="34">
        <v>2294</v>
      </c>
      <c r="AA25" s="5">
        <v>217</v>
      </c>
      <c r="AB25" s="5">
        <v>287</v>
      </c>
      <c r="AC25" s="5">
        <v>135</v>
      </c>
      <c r="AD25" s="34"/>
      <c r="AE25" s="27">
        <v>29</v>
      </c>
    </row>
    <row r="26" spans="1:31">
      <c r="A26" s="2" t="s">
        <v>23</v>
      </c>
      <c r="B26" s="24">
        <v>877</v>
      </c>
      <c r="C26" s="1"/>
      <c r="D26" s="1"/>
      <c r="E26" s="27">
        <v>465</v>
      </c>
      <c r="F26" s="27">
        <v>352</v>
      </c>
      <c r="G26" s="1"/>
      <c r="H26" s="1"/>
      <c r="I26" s="27">
        <v>73</v>
      </c>
      <c r="J26" s="1"/>
      <c r="K26" s="1"/>
      <c r="L26" s="28"/>
      <c r="M26" s="27">
        <v>41</v>
      </c>
      <c r="N26" s="1"/>
      <c r="O26" s="27">
        <v>8</v>
      </c>
      <c r="P26" s="28">
        <v>24</v>
      </c>
      <c r="Q26" s="31">
        <v>0.5</v>
      </c>
      <c r="R26" s="1"/>
      <c r="S26" s="24">
        <v>130</v>
      </c>
      <c r="T26" s="24">
        <v>29</v>
      </c>
      <c r="U26" s="24">
        <v>129</v>
      </c>
      <c r="V26" s="1"/>
      <c r="X26" s="5">
        <v>918</v>
      </c>
      <c r="Y26" s="5">
        <v>154</v>
      </c>
      <c r="Z26" s="5">
        <v>465</v>
      </c>
      <c r="AA26" s="5">
        <v>130</v>
      </c>
      <c r="AB26" s="5">
        <v>29</v>
      </c>
      <c r="AC26" s="5">
        <v>129</v>
      </c>
      <c r="AD26" s="5">
        <v>11</v>
      </c>
      <c r="AE26" s="27">
        <v>13</v>
      </c>
    </row>
    <row r="27" spans="1:31">
      <c r="A27" s="2" t="s">
        <v>24</v>
      </c>
      <c r="B27" s="24">
        <v>2315</v>
      </c>
      <c r="C27" s="1"/>
      <c r="D27" s="1"/>
      <c r="E27" s="27">
        <v>1548</v>
      </c>
      <c r="F27" s="27">
        <v>1319</v>
      </c>
      <c r="G27" s="1"/>
      <c r="H27" s="1"/>
      <c r="I27" s="27">
        <v>168</v>
      </c>
      <c r="J27" s="1"/>
      <c r="K27" s="1"/>
      <c r="L27" s="28"/>
      <c r="M27" s="27">
        <v>61</v>
      </c>
      <c r="N27" s="1"/>
      <c r="O27" s="27">
        <v>25</v>
      </c>
      <c r="P27" s="28">
        <v>7</v>
      </c>
      <c r="Q27" s="31">
        <v>0.6</v>
      </c>
      <c r="R27" s="1"/>
      <c r="S27" s="25"/>
      <c r="T27" s="24">
        <v>63</v>
      </c>
      <c r="U27" s="24">
        <v>58</v>
      </c>
      <c r="V27" s="1"/>
      <c r="X27" s="5">
        <v>2448</v>
      </c>
      <c r="Y27" s="5">
        <v>772</v>
      </c>
      <c r="Z27" s="5">
        <v>1548</v>
      </c>
      <c r="AA27" s="34"/>
      <c r="AB27" s="5">
        <v>64</v>
      </c>
      <c r="AC27" s="5">
        <v>65</v>
      </c>
      <c r="AD27" s="34"/>
      <c r="AE27" s="27">
        <v>65</v>
      </c>
    </row>
    <row r="28" spans="1:31">
      <c r="A28" s="2" t="s">
        <v>25</v>
      </c>
      <c r="B28" s="24">
        <v>9442</v>
      </c>
      <c r="C28" s="1"/>
      <c r="D28" s="1"/>
      <c r="E28" s="27">
        <v>1570</v>
      </c>
      <c r="F28" s="27">
        <v>1216</v>
      </c>
      <c r="G28" s="1"/>
      <c r="H28" s="1"/>
      <c r="I28" s="27">
        <v>126</v>
      </c>
      <c r="J28" s="1"/>
      <c r="K28" s="1"/>
      <c r="L28" s="28"/>
      <c r="M28" s="27">
        <v>228</v>
      </c>
      <c r="N28" s="1"/>
      <c r="O28" s="27">
        <v>47</v>
      </c>
      <c r="P28" s="28">
        <v>15</v>
      </c>
      <c r="Q28" s="31">
        <v>3.5</v>
      </c>
      <c r="R28" s="1"/>
      <c r="S28" s="25"/>
      <c r="T28" s="24">
        <v>325</v>
      </c>
      <c r="U28" s="24">
        <v>179</v>
      </c>
      <c r="V28" s="1"/>
      <c r="X28" s="5">
        <v>9929</v>
      </c>
      <c r="Y28" s="5">
        <v>7846</v>
      </c>
      <c r="Z28" s="5">
        <v>1570</v>
      </c>
      <c r="AA28" s="34"/>
      <c r="AB28" s="5">
        <v>325</v>
      </c>
      <c r="AC28" s="5">
        <v>188</v>
      </c>
      <c r="AD28" s="34"/>
      <c r="AE28" s="27">
        <v>19</v>
      </c>
    </row>
    <row r="29" spans="1:31">
      <c r="A29" s="2" t="s">
        <v>26</v>
      </c>
      <c r="B29" s="24">
        <v>6314</v>
      </c>
      <c r="C29" s="1"/>
      <c r="D29" s="1"/>
      <c r="E29" s="27">
        <v>3410</v>
      </c>
      <c r="F29" s="27">
        <v>3384</v>
      </c>
      <c r="G29" s="1"/>
      <c r="H29" s="1"/>
      <c r="I29" s="28"/>
      <c r="J29" s="1"/>
      <c r="K29" s="1"/>
      <c r="L29" s="28"/>
      <c r="M29" s="27">
        <v>26</v>
      </c>
      <c r="N29" s="1"/>
      <c r="O29" s="28">
        <v>17</v>
      </c>
      <c r="P29" s="28">
        <v>9</v>
      </c>
      <c r="Q29" s="31"/>
      <c r="R29" s="1"/>
      <c r="S29" s="25"/>
      <c r="T29" s="24">
        <v>457</v>
      </c>
      <c r="U29" s="24">
        <v>510</v>
      </c>
      <c r="V29" s="1"/>
      <c r="X29" s="5">
        <v>6599</v>
      </c>
      <c r="Y29" s="5">
        <v>2223</v>
      </c>
      <c r="Z29" s="5">
        <v>3410</v>
      </c>
      <c r="AA29" s="34"/>
      <c r="AB29" s="5">
        <v>457</v>
      </c>
      <c r="AC29" s="5">
        <v>510</v>
      </c>
      <c r="AD29" s="34"/>
      <c r="AE29" s="27">
        <v>19</v>
      </c>
    </row>
    <row r="30" spans="1:31">
      <c r="A30" s="2" t="s">
        <v>27</v>
      </c>
      <c r="B30" s="25">
        <v>9341</v>
      </c>
      <c r="C30" s="1"/>
      <c r="D30" s="1"/>
      <c r="E30" s="27">
        <v>1509</v>
      </c>
      <c r="F30" s="27">
        <v>1298</v>
      </c>
      <c r="G30" s="1"/>
      <c r="H30" s="1"/>
      <c r="I30" s="27">
        <v>3</v>
      </c>
      <c r="J30" s="1"/>
      <c r="K30" s="1"/>
      <c r="L30" s="28"/>
      <c r="M30" s="27">
        <v>208</v>
      </c>
      <c r="N30" s="1"/>
      <c r="O30" s="27">
        <v>17</v>
      </c>
      <c r="P30" s="28">
        <v>27</v>
      </c>
      <c r="Q30" s="31"/>
      <c r="R30" s="1"/>
      <c r="S30" s="25"/>
      <c r="T30" s="25">
        <v>862</v>
      </c>
      <c r="U30" s="25">
        <v>350</v>
      </c>
      <c r="V30" s="1"/>
      <c r="X30" s="5">
        <v>9620</v>
      </c>
      <c r="Y30" s="5">
        <v>6873</v>
      </c>
      <c r="Z30" s="5">
        <v>1509</v>
      </c>
      <c r="AA30" s="34"/>
      <c r="AB30" s="5">
        <v>863</v>
      </c>
      <c r="AC30" s="5">
        <v>375</v>
      </c>
      <c r="AD30" s="34"/>
      <c r="AE30" s="27">
        <v>25</v>
      </c>
    </row>
    <row r="31" spans="1:31">
      <c r="A31" s="2" t="s">
        <v>28</v>
      </c>
      <c r="B31" s="24">
        <v>322</v>
      </c>
      <c r="C31" s="1"/>
      <c r="D31" s="1"/>
      <c r="E31" s="27">
        <v>42</v>
      </c>
      <c r="F31" s="28"/>
      <c r="G31" s="1"/>
      <c r="H31" s="1"/>
      <c r="I31" s="28"/>
      <c r="J31" s="1"/>
      <c r="K31" s="1"/>
      <c r="L31" s="27">
        <v>38</v>
      </c>
      <c r="M31" s="27">
        <v>4</v>
      </c>
      <c r="N31" s="1"/>
      <c r="O31" s="28">
        <v>2</v>
      </c>
      <c r="P31" s="27"/>
      <c r="Q31" s="32"/>
      <c r="R31" s="1"/>
      <c r="S31" s="25"/>
      <c r="T31" s="24">
        <v>1</v>
      </c>
      <c r="U31" s="24">
        <v>110</v>
      </c>
      <c r="V31" s="1"/>
      <c r="X31" s="5">
        <v>327</v>
      </c>
      <c r="Y31" s="5">
        <v>170</v>
      </c>
      <c r="Z31" s="5">
        <v>42</v>
      </c>
      <c r="AA31" s="34"/>
      <c r="AB31" s="5">
        <v>1</v>
      </c>
      <c r="AC31" s="5">
        <v>110</v>
      </c>
      <c r="AD31" s="5">
        <v>4</v>
      </c>
      <c r="AE31" s="33"/>
    </row>
    <row r="32" spans="1:31">
      <c r="A32" s="2" t="s">
        <v>29</v>
      </c>
      <c r="B32" s="24">
        <v>6002</v>
      </c>
      <c r="C32" s="1"/>
      <c r="D32" s="1"/>
      <c r="E32" s="27">
        <v>4380</v>
      </c>
      <c r="F32" s="27">
        <v>4207</v>
      </c>
      <c r="G32" s="1"/>
      <c r="H32" s="1"/>
      <c r="I32" s="27">
        <v>8</v>
      </c>
      <c r="J32" s="1"/>
      <c r="K32" s="1"/>
      <c r="L32" s="28"/>
      <c r="M32" s="27">
        <v>166</v>
      </c>
      <c r="N32" s="1"/>
      <c r="O32" s="27">
        <v>7</v>
      </c>
      <c r="P32" s="28">
        <v>7</v>
      </c>
      <c r="Q32" s="31">
        <v>1.7</v>
      </c>
      <c r="R32" s="1"/>
      <c r="S32" s="25"/>
      <c r="T32" s="24">
        <v>531</v>
      </c>
      <c r="U32" s="24">
        <v>806</v>
      </c>
      <c r="V32" s="1"/>
      <c r="X32" s="5">
        <v>6242</v>
      </c>
      <c r="Y32" s="5">
        <v>391</v>
      </c>
      <c r="Z32" s="5">
        <v>4380</v>
      </c>
      <c r="AA32" s="34"/>
      <c r="AB32" s="5">
        <v>532</v>
      </c>
      <c r="AC32" s="5">
        <v>939</v>
      </c>
      <c r="AD32" s="34"/>
      <c r="AE32" s="27">
        <v>102</v>
      </c>
    </row>
    <row r="33" spans="1:31">
      <c r="A33" s="2" t="s">
        <v>30</v>
      </c>
      <c r="B33" s="26">
        <v>5046</v>
      </c>
      <c r="C33" s="1"/>
      <c r="D33" s="1"/>
      <c r="E33" s="27">
        <v>2104</v>
      </c>
      <c r="F33" s="27">
        <v>2062</v>
      </c>
      <c r="G33" s="1"/>
      <c r="H33" s="1"/>
      <c r="I33" s="27">
        <v>1</v>
      </c>
      <c r="J33" s="1"/>
      <c r="K33" s="1"/>
      <c r="L33" s="28"/>
      <c r="M33" s="27">
        <v>40</v>
      </c>
      <c r="N33" s="1"/>
      <c r="O33" s="27">
        <v>7</v>
      </c>
      <c r="P33" s="28">
        <v>3</v>
      </c>
      <c r="Q33" s="31"/>
      <c r="R33" s="1"/>
      <c r="S33" s="25"/>
      <c r="T33" s="26">
        <v>1297</v>
      </c>
      <c r="U33" s="26">
        <v>852</v>
      </c>
      <c r="V33" s="1"/>
      <c r="X33" s="5">
        <v>5268</v>
      </c>
      <c r="Y33" s="5">
        <v>943</v>
      </c>
      <c r="Z33" s="5">
        <v>2104</v>
      </c>
      <c r="AA33" s="34"/>
      <c r="AB33" s="5">
        <v>1297</v>
      </c>
      <c r="AC33" s="5">
        <v>924</v>
      </c>
      <c r="AD33" s="34"/>
      <c r="AE33" s="27">
        <v>71</v>
      </c>
    </row>
    <row r="34" spans="1:31">
      <c r="A34" s="2" t="s">
        <v>31</v>
      </c>
      <c r="B34" s="25">
        <v>3147</v>
      </c>
      <c r="C34" s="1"/>
      <c r="D34" s="1"/>
      <c r="E34" s="27">
        <v>393</v>
      </c>
      <c r="F34" s="27">
        <v>375</v>
      </c>
      <c r="G34" s="1"/>
      <c r="H34" s="1"/>
      <c r="I34" s="29">
        <v>0.4</v>
      </c>
      <c r="J34" s="1"/>
      <c r="K34" s="1"/>
      <c r="L34" s="28"/>
      <c r="M34" s="27">
        <v>17</v>
      </c>
      <c r="N34" s="1"/>
      <c r="O34" s="29"/>
      <c r="P34" s="28"/>
      <c r="Q34" s="31">
        <v>0.4</v>
      </c>
      <c r="R34" s="1"/>
      <c r="S34" s="25"/>
      <c r="T34" s="25">
        <v>462</v>
      </c>
      <c r="U34" s="25">
        <v>1102</v>
      </c>
      <c r="V34" s="1"/>
      <c r="X34" s="5">
        <v>3168</v>
      </c>
      <c r="Y34" s="5">
        <v>1192</v>
      </c>
      <c r="Z34" s="5">
        <v>393</v>
      </c>
      <c r="AA34" s="34"/>
      <c r="AB34" s="5">
        <v>462</v>
      </c>
      <c r="AC34" s="5">
        <v>1122</v>
      </c>
      <c r="AD34" s="34"/>
      <c r="AE34" s="27">
        <v>15</v>
      </c>
    </row>
    <row r="35" spans="1:31">
      <c r="A35" s="2" t="s">
        <v>32</v>
      </c>
      <c r="B35" s="24">
        <v>5271</v>
      </c>
      <c r="C35" s="1"/>
      <c r="D35" s="1"/>
      <c r="E35" s="27">
        <v>3219</v>
      </c>
      <c r="F35" s="27">
        <v>3031</v>
      </c>
      <c r="G35" s="1"/>
      <c r="H35" s="1"/>
      <c r="I35" s="27">
        <v>70</v>
      </c>
      <c r="J35" s="1"/>
      <c r="K35" s="1"/>
      <c r="L35" s="28"/>
      <c r="M35" s="27">
        <v>118</v>
      </c>
      <c r="N35" s="1"/>
      <c r="O35" s="27">
        <v>5</v>
      </c>
      <c r="P35" s="28">
        <v>5</v>
      </c>
      <c r="Q35" s="31"/>
      <c r="R35" s="1"/>
      <c r="S35" s="25"/>
      <c r="T35" s="24">
        <v>1116</v>
      </c>
      <c r="U35" s="24">
        <v>895</v>
      </c>
      <c r="V35" s="1"/>
      <c r="X35" s="5">
        <v>5296</v>
      </c>
      <c r="Y35" s="5">
        <v>43</v>
      </c>
      <c r="Z35" s="5">
        <v>3219</v>
      </c>
      <c r="AA35" s="34"/>
      <c r="AB35" s="5">
        <v>1116</v>
      </c>
      <c r="AC35" s="5">
        <v>918</v>
      </c>
      <c r="AD35" s="34"/>
      <c r="AE35" s="27">
        <v>74</v>
      </c>
    </row>
    <row r="36" spans="1:31" ht="13.5" customHeight="1">
      <c r="A36" s="2" t="s">
        <v>33</v>
      </c>
      <c r="B36" s="24">
        <v>9614</v>
      </c>
      <c r="C36" s="1"/>
      <c r="D36" s="1"/>
      <c r="E36" s="27">
        <v>5813</v>
      </c>
      <c r="F36" s="27">
        <v>5644</v>
      </c>
      <c r="G36" s="1"/>
      <c r="H36" s="1"/>
      <c r="I36" s="27">
        <v>85</v>
      </c>
      <c r="J36" s="1"/>
      <c r="K36" s="1"/>
      <c r="L36" s="30"/>
      <c r="M36" s="27">
        <v>85</v>
      </c>
      <c r="N36" s="1"/>
      <c r="O36" s="27">
        <v>5</v>
      </c>
      <c r="P36" s="30">
        <v>2</v>
      </c>
      <c r="Q36" s="31">
        <v>0.3</v>
      </c>
      <c r="R36" s="1"/>
      <c r="S36" s="25"/>
      <c r="T36" s="24">
        <v>1956</v>
      </c>
      <c r="U36" s="24">
        <v>1072</v>
      </c>
      <c r="V36" s="1"/>
      <c r="X36" s="5">
        <v>9614</v>
      </c>
      <c r="Y36" s="5">
        <v>773</v>
      </c>
      <c r="Z36" s="5">
        <v>5813</v>
      </c>
      <c r="AA36" s="34"/>
      <c r="AB36" s="5">
        <v>1956</v>
      </c>
      <c r="AC36" s="5">
        <v>1072</v>
      </c>
      <c r="AD36" s="34"/>
      <c r="AE36" s="27">
        <v>15</v>
      </c>
    </row>
    <row r="38" spans="1:31">
      <c r="B38">
        <f>B5-SUM(B6:B36)</f>
        <v>-3</v>
      </c>
      <c r="C38">
        <f t="shared" ref="C38:U38" si="0">C5-SUM(C6:C36)</f>
        <v>0</v>
      </c>
      <c r="D38">
        <f t="shared" si="0"/>
        <v>0</v>
      </c>
      <c r="E38">
        <f t="shared" si="0"/>
        <v>0</v>
      </c>
      <c r="F38">
        <f t="shared" si="0"/>
        <v>-2</v>
      </c>
      <c r="H38">
        <f t="shared" si="0"/>
        <v>0</v>
      </c>
      <c r="I38">
        <f t="shared" si="0"/>
        <v>-1.3999999999996362</v>
      </c>
      <c r="J38">
        <f t="shared" si="0"/>
        <v>0</v>
      </c>
      <c r="L38">
        <f t="shared" si="0"/>
        <v>2</v>
      </c>
      <c r="M38">
        <f t="shared" si="0"/>
        <v>0</v>
      </c>
      <c r="N38">
        <f t="shared" si="0"/>
        <v>0</v>
      </c>
      <c r="O38">
        <f t="shared" si="0"/>
        <v>0</v>
      </c>
      <c r="P38">
        <f t="shared" si="0"/>
        <v>0</v>
      </c>
      <c r="S38">
        <f t="shared" si="0"/>
        <v>-1</v>
      </c>
      <c r="T38">
        <f t="shared" si="0"/>
        <v>2</v>
      </c>
      <c r="U38">
        <f t="shared" si="0"/>
        <v>-2</v>
      </c>
      <c r="V38">
        <f>V5-SUM(V6:V36)</f>
        <v>0</v>
      </c>
    </row>
  </sheetData>
  <mergeCells count="25">
    <mergeCell ref="V2:V4"/>
    <mergeCell ref="C3:C4"/>
    <mergeCell ref="I3:K3"/>
    <mergeCell ref="M3:R3"/>
    <mergeCell ref="E2:R2"/>
    <mergeCell ref="D3:D4"/>
    <mergeCell ref="E3:E4"/>
    <mergeCell ref="F3:H3"/>
    <mergeCell ref="L3:L4"/>
    <mergeCell ref="A1:V1"/>
    <mergeCell ref="AE2:AE4"/>
    <mergeCell ref="AD2:AD4"/>
    <mergeCell ref="AC2:AC4"/>
    <mergeCell ref="AB2:AB4"/>
    <mergeCell ref="AA2:AA4"/>
    <mergeCell ref="X2:X4"/>
    <mergeCell ref="Y2:Y4"/>
    <mergeCell ref="Z2:Z4"/>
    <mergeCell ref="X1:AE1"/>
    <mergeCell ref="A2:A4"/>
    <mergeCell ref="B2:B4"/>
    <mergeCell ref="C2:D2"/>
    <mergeCell ref="S2:S4"/>
    <mergeCell ref="T2:T4"/>
    <mergeCell ref="U2:U4"/>
  </mergeCells>
  <phoneticPr fontId="3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975BA-B9C5-464E-BA47-FA2FB464E5D1}">
  <dimension ref="A1:AE38"/>
  <sheetViews>
    <sheetView workbookViewId="0">
      <selection activeCell="L23" sqref="L23"/>
    </sheetView>
  </sheetViews>
  <sheetFormatPr defaultRowHeight="12.75"/>
  <cols>
    <col min="1" max="22" width="7.5703125" customWidth="1"/>
    <col min="31" max="31" width="7.5703125" customWidth="1"/>
  </cols>
  <sheetData>
    <row r="1" spans="1:31" ht="12.75" customHeight="1">
      <c r="A1" s="122" t="s">
        <v>66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4"/>
      <c r="X1" s="121" t="s">
        <v>67</v>
      </c>
      <c r="Y1" s="110"/>
      <c r="Z1" s="110"/>
      <c r="AA1" s="110"/>
      <c r="AB1" s="110"/>
      <c r="AC1" s="110"/>
      <c r="AD1" s="110"/>
      <c r="AE1" s="110"/>
    </row>
    <row r="2" spans="1:31" ht="12.75" customHeight="1">
      <c r="A2" s="109" t="s">
        <v>34</v>
      </c>
      <c r="B2" s="109" t="s">
        <v>35</v>
      </c>
      <c r="C2" s="119" t="s">
        <v>36</v>
      </c>
      <c r="D2" s="119"/>
      <c r="E2" s="112" t="s">
        <v>37</v>
      </c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4"/>
      <c r="S2" s="109" t="s">
        <v>38</v>
      </c>
      <c r="T2" s="109" t="s">
        <v>39</v>
      </c>
      <c r="U2" s="120" t="s">
        <v>1</v>
      </c>
      <c r="V2" s="109" t="s">
        <v>40</v>
      </c>
      <c r="X2" s="109" t="s">
        <v>35</v>
      </c>
      <c r="Y2" s="109" t="s">
        <v>64</v>
      </c>
      <c r="Z2" s="109" t="s">
        <v>65</v>
      </c>
      <c r="AA2" s="109" t="s">
        <v>38</v>
      </c>
      <c r="AB2" s="109" t="s">
        <v>39</v>
      </c>
      <c r="AC2" s="120" t="s">
        <v>1</v>
      </c>
      <c r="AD2" s="109" t="s">
        <v>40</v>
      </c>
      <c r="AE2" s="120" t="s">
        <v>63</v>
      </c>
    </row>
    <row r="3" spans="1:31">
      <c r="A3" s="110"/>
      <c r="B3" s="109"/>
      <c r="C3" s="109" t="s">
        <v>35</v>
      </c>
      <c r="D3" s="109" t="s">
        <v>41</v>
      </c>
      <c r="E3" s="109" t="s">
        <v>35</v>
      </c>
      <c r="F3" s="109" t="s">
        <v>42</v>
      </c>
      <c r="G3" s="109"/>
      <c r="H3" s="109"/>
      <c r="I3" s="115" t="s">
        <v>43</v>
      </c>
      <c r="J3" s="116"/>
      <c r="K3" s="117"/>
      <c r="L3" s="109" t="s">
        <v>44</v>
      </c>
      <c r="M3" s="115" t="s">
        <v>40</v>
      </c>
      <c r="N3" s="116"/>
      <c r="O3" s="116"/>
      <c r="P3" s="116"/>
      <c r="Q3" s="116"/>
      <c r="R3" s="117"/>
      <c r="S3" s="109"/>
      <c r="T3" s="109"/>
      <c r="U3" s="120"/>
      <c r="V3" s="109"/>
      <c r="X3" s="109"/>
      <c r="Y3" s="110"/>
      <c r="Z3" s="110"/>
      <c r="AA3" s="109"/>
      <c r="AB3" s="109"/>
      <c r="AC3" s="120"/>
      <c r="AD3" s="109"/>
      <c r="AE3" s="120"/>
    </row>
    <row r="4" spans="1:31" ht="48">
      <c r="A4" s="110"/>
      <c r="B4" s="109"/>
      <c r="C4" s="109"/>
      <c r="D4" s="109"/>
      <c r="E4" s="109"/>
      <c r="F4" s="2" t="s">
        <v>35</v>
      </c>
      <c r="G4" s="2" t="s">
        <v>61</v>
      </c>
      <c r="H4" s="2" t="s">
        <v>0</v>
      </c>
      <c r="I4" s="2" t="s">
        <v>35</v>
      </c>
      <c r="J4" s="2" t="s">
        <v>60</v>
      </c>
      <c r="K4" s="2" t="s">
        <v>46</v>
      </c>
      <c r="L4" s="109"/>
      <c r="M4" s="2" t="s">
        <v>35</v>
      </c>
      <c r="N4" s="2" t="s">
        <v>58</v>
      </c>
      <c r="O4" s="2" t="s">
        <v>57</v>
      </c>
      <c r="P4" s="2" t="s">
        <v>59</v>
      </c>
      <c r="Q4" s="6" t="s">
        <v>47</v>
      </c>
      <c r="R4" s="6" t="s">
        <v>48</v>
      </c>
      <c r="S4" s="109"/>
      <c r="T4" s="109"/>
      <c r="U4" s="120"/>
      <c r="V4" s="109"/>
      <c r="X4" s="109"/>
      <c r="Y4" s="110"/>
      <c r="Z4" s="110"/>
      <c r="AA4" s="109"/>
      <c r="AB4" s="109"/>
      <c r="AC4" s="120"/>
      <c r="AD4" s="109"/>
      <c r="AE4" s="120"/>
    </row>
    <row r="5" spans="1:31">
      <c r="A5" s="3" t="s">
        <v>5</v>
      </c>
      <c r="B5" s="1">
        <v>209137</v>
      </c>
      <c r="C5" s="1">
        <v>33572</v>
      </c>
      <c r="D5" s="1"/>
      <c r="E5" s="1">
        <v>124247</v>
      </c>
      <c r="F5" s="1">
        <v>107912</v>
      </c>
      <c r="G5" s="1"/>
      <c r="H5" s="1"/>
      <c r="I5" s="1">
        <v>9972</v>
      </c>
      <c r="J5" s="1"/>
      <c r="K5" s="1"/>
      <c r="L5" s="1">
        <v>147</v>
      </c>
      <c r="M5" s="1">
        <v>6593</v>
      </c>
      <c r="N5" s="1"/>
      <c r="O5" s="1">
        <v>1535</v>
      </c>
      <c r="P5" s="1">
        <v>1363</v>
      </c>
      <c r="Q5" s="1">
        <v>90</v>
      </c>
      <c r="R5" s="1"/>
      <c r="S5" s="1">
        <v>4989</v>
      </c>
      <c r="T5" s="1">
        <v>28154</v>
      </c>
      <c r="U5" s="1">
        <v>18134</v>
      </c>
      <c r="V5" s="1">
        <v>40</v>
      </c>
      <c r="X5" s="5">
        <v>220204</v>
      </c>
      <c r="Y5" s="5">
        <v>37028</v>
      </c>
      <c r="Z5" s="5">
        <v>124624</v>
      </c>
      <c r="AA5" s="5">
        <v>4989</v>
      </c>
      <c r="AB5" s="5">
        <v>28165</v>
      </c>
      <c r="AC5" s="5">
        <v>25356</v>
      </c>
      <c r="AD5" s="5">
        <v>41</v>
      </c>
      <c r="AE5" s="27">
        <v>7827</v>
      </c>
    </row>
    <row r="6" spans="1:31">
      <c r="A6" s="2" t="s">
        <v>6</v>
      </c>
      <c r="B6" s="1">
        <v>1261</v>
      </c>
      <c r="C6" s="1">
        <v>98</v>
      </c>
      <c r="D6" s="1"/>
      <c r="E6" s="1">
        <v>1136</v>
      </c>
      <c r="F6" s="1">
        <v>77</v>
      </c>
      <c r="G6" s="1"/>
      <c r="H6" s="1"/>
      <c r="I6" s="1">
        <v>1000</v>
      </c>
      <c r="J6" s="1"/>
      <c r="K6" s="1"/>
      <c r="L6" s="1">
        <v>22</v>
      </c>
      <c r="M6" s="1">
        <v>38</v>
      </c>
      <c r="N6" s="1"/>
      <c r="O6" s="1">
        <v>37</v>
      </c>
      <c r="P6" s="1"/>
      <c r="Q6" s="1">
        <v>2</v>
      </c>
      <c r="R6" s="1"/>
      <c r="S6" s="1"/>
      <c r="T6" s="1">
        <v>18</v>
      </c>
      <c r="U6" s="1">
        <v>8</v>
      </c>
      <c r="V6" s="1"/>
      <c r="X6" s="5">
        <v>1316</v>
      </c>
      <c r="Y6" s="5">
        <v>99</v>
      </c>
      <c r="Z6" s="5">
        <v>1136</v>
      </c>
      <c r="AA6" s="34"/>
      <c r="AB6" s="5">
        <v>19</v>
      </c>
      <c r="AC6" s="5">
        <v>62</v>
      </c>
      <c r="AD6" s="34"/>
      <c r="AE6" s="27">
        <v>56</v>
      </c>
    </row>
    <row r="7" spans="1:31">
      <c r="A7" s="2" t="s">
        <v>7</v>
      </c>
      <c r="B7" s="1">
        <v>1884</v>
      </c>
      <c r="C7" s="1"/>
      <c r="D7" s="1"/>
      <c r="E7" s="1">
        <v>1666</v>
      </c>
      <c r="F7" s="1">
        <v>1230</v>
      </c>
      <c r="G7" s="1"/>
      <c r="H7" s="1"/>
      <c r="I7" s="1">
        <v>382</v>
      </c>
      <c r="J7" s="1"/>
      <c r="K7" s="1"/>
      <c r="L7" s="1"/>
      <c r="M7" s="1">
        <v>56</v>
      </c>
      <c r="N7" s="1"/>
      <c r="O7" s="1">
        <v>30</v>
      </c>
      <c r="P7" s="1">
        <v>4</v>
      </c>
      <c r="Q7" s="1"/>
      <c r="R7" s="1"/>
      <c r="S7" s="1"/>
      <c r="T7" s="1">
        <v>84</v>
      </c>
      <c r="U7" s="1">
        <v>134</v>
      </c>
      <c r="V7" s="1"/>
      <c r="X7" s="5">
        <v>1917</v>
      </c>
      <c r="Y7" s="5">
        <v>1</v>
      </c>
      <c r="Z7" s="5">
        <v>1668</v>
      </c>
      <c r="AA7" s="34"/>
      <c r="AB7" s="5">
        <v>85</v>
      </c>
      <c r="AC7" s="5">
        <v>164</v>
      </c>
      <c r="AD7" s="34"/>
      <c r="AE7" s="27">
        <v>45</v>
      </c>
    </row>
    <row r="8" spans="1:31">
      <c r="A8" s="2" t="s">
        <v>8</v>
      </c>
      <c r="B8" s="1">
        <v>9272</v>
      </c>
      <c r="C8" s="1">
        <v>165</v>
      </c>
      <c r="D8" s="1"/>
      <c r="E8" s="1">
        <v>5382</v>
      </c>
      <c r="F8" s="1">
        <v>4952</v>
      </c>
      <c r="G8" s="1"/>
      <c r="H8" s="1"/>
      <c r="I8" s="1">
        <v>94</v>
      </c>
      <c r="J8" s="1"/>
      <c r="K8" s="1"/>
      <c r="L8" s="1"/>
      <c r="M8" s="1">
        <v>345</v>
      </c>
      <c r="N8" s="1"/>
      <c r="O8" s="1">
        <v>46</v>
      </c>
      <c r="P8" s="1">
        <v>67</v>
      </c>
      <c r="Q8" s="1">
        <v>2</v>
      </c>
      <c r="R8" s="1"/>
      <c r="S8" s="1"/>
      <c r="T8" s="1">
        <v>2274</v>
      </c>
      <c r="U8" s="1">
        <v>1447</v>
      </c>
      <c r="V8" s="1">
        <v>4</v>
      </c>
      <c r="X8" s="5">
        <v>10042</v>
      </c>
      <c r="Y8" s="5">
        <v>182</v>
      </c>
      <c r="Z8" s="5">
        <v>5391</v>
      </c>
      <c r="AA8" s="34"/>
      <c r="AB8" s="5">
        <v>2274</v>
      </c>
      <c r="AC8" s="5">
        <v>2190</v>
      </c>
      <c r="AD8" s="5">
        <v>4</v>
      </c>
      <c r="AE8" s="27">
        <v>747</v>
      </c>
    </row>
    <row r="9" spans="1:31">
      <c r="A9" s="2" t="s">
        <v>9</v>
      </c>
      <c r="B9" s="1">
        <v>10081</v>
      </c>
      <c r="C9" s="1">
        <v>214</v>
      </c>
      <c r="D9" s="1"/>
      <c r="E9" s="1">
        <v>6860</v>
      </c>
      <c r="F9" s="1">
        <v>6263</v>
      </c>
      <c r="G9" s="1"/>
      <c r="H9" s="1"/>
      <c r="I9" s="1">
        <v>348</v>
      </c>
      <c r="J9" s="1"/>
      <c r="K9" s="1"/>
      <c r="L9" s="1"/>
      <c r="M9" s="1">
        <v>267</v>
      </c>
      <c r="N9" s="1"/>
      <c r="O9" s="1">
        <v>26</v>
      </c>
      <c r="P9" s="1">
        <v>38</v>
      </c>
      <c r="Q9" s="1">
        <v>1</v>
      </c>
      <c r="R9" s="1"/>
      <c r="S9" s="1"/>
      <c r="T9" s="1">
        <v>1974</v>
      </c>
      <c r="U9" s="1">
        <v>1033</v>
      </c>
      <c r="V9" s="1"/>
      <c r="X9" s="5">
        <v>10383</v>
      </c>
      <c r="Y9" s="5">
        <v>223</v>
      </c>
      <c r="Z9" s="5">
        <v>6878</v>
      </c>
      <c r="AA9" s="34"/>
      <c r="AB9" s="5">
        <v>1974</v>
      </c>
      <c r="AC9" s="5">
        <v>1309</v>
      </c>
      <c r="AD9" s="34"/>
      <c r="AE9" s="27">
        <v>280</v>
      </c>
    </row>
    <row r="10" spans="1:31">
      <c r="A10" s="2" t="s">
        <v>2</v>
      </c>
      <c r="B10" s="1">
        <v>14569</v>
      </c>
      <c r="C10" s="1">
        <v>238</v>
      </c>
      <c r="D10" s="1"/>
      <c r="E10" s="1">
        <v>9370</v>
      </c>
      <c r="F10" s="1">
        <v>9207</v>
      </c>
      <c r="G10" s="1"/>
      <c r="H10" s="1"/>
      <c r="I10" s="1">
        <v>74</v>
      </c>
      <c r="J10" s="1"/>
      <c r="K10" s="1"/>
      <c r="L10" s="1"/>
      <c r="M10" s="1">
        <v>93</v>
      </c>
      <c r="N10" s="1"/>
      <c r="O10" s="1">
        <v>6</v>
      </c>
      <c r="P10" s="1">
        <v>27</v>
      </c>
      <c r="Q10" s="1" t="s">
        <v>68</v>
      </c>
      <c r="R10" s="1"/>
      <c r="S10" s="1"/>
      <c r="T10" s="1">
        <v>3785</v>
      </c>
      <c r="U10" s="1">
        <v>1176</v>
      </c>
      <c r="V10" s="1"/>
      <c r="X10" s="5">
        <v>14639</v>
      </c>
      <c r="Y10" s="5">
        <v>242</v>
      </c>
      <c r="Z10" s="5">
        <v>9374</v>
      </c>
      <c r="AA10" s="34"/>
      <c r="AB10" s="5">
        <v>3786</v>
      </c>
      <c r="AC10" s="5">
        <v>1237</v>
      </c>
      <c r="AD10" s="34"/>
      <c r="AE10" s="27">
        <v>88</v>
      </c>
    </row>
    <row r="11" spans="1:31">
      <c r="A11" s="2" t="s">
        <v>10</v>
      </c>
      <c r="B11" s="1">
        <v>5666</v>
      </c>
      <c r="C11" s="1">
        <v>288</v>
      </c>
      <c r="D11" s="1"/>
      <c r="E11" s="1">
        <v>3638</v>
      </c>
      <c r="F11" s="1">
        <v>3499</v>
      </c>
      <c r="G11" s="1"/>
      <c r="H11" s="1"/>
      <c r="I11" s="1">
        <v>6</v>
      </c>
      <c r="J11" s="1"/>
      <c r="K11" s="1"/>
      <c r="L11" s="1">
        <v>15</v>
      </c>
      <c r="M11" s="1">
        <v>123</v>
      </c>
      <c r="N11" s="1"/>
      <c r="O11" s="1">
        <v>23</v>
      </c>
      <c r="P11" s="1">
        <v>20</v>
      </c>
      <c r="Q11" s="1">
        <v>2</v>
      </c>
      <c r="R11" s="1"/>
      <c r="S11" s="1">
        <v>448</v>
      </c>
      <c r="T11" s="1">
        <v>979</v>
      </c>
      <c r="U11" s="1">
        <v>313</v>
      </c>
      <c r="V11" s="1"/>
      <c r="X11" s="5">
        <v>5776</v>
      </c>
      <c r="Y11" s="5">
        <v>305</v>
      </c>
      <c r="Z11" s="5">
        <v>3643</v>
      </c>
      <c r="AA11" s="5">
        <v>448</v>
      </c>
      <c r="AB11" s="5">
        <v>981</v>
      </c>
      <c r="AC11" s="5">
        <v>400</v>
      </c>
      <c r="AD11" s="34"/>
      <c r="AE11" s="27">
        <v>118</v>
      </c>
    </row>
    <row r="12" spans="1:31">
      <c r="A12" s="2" t="s">
        <v>3</v>
      </c>
      <c r="B12" s="1">
        <v>3189</v>
      </c>
      <c r="C12" s="1">
        <v>478</v>
      </c>
      <c r="D12" s="1"/>
      <c r="E12" s="1">
        <v>1850</v>
      </c>
      <c r="F12" s="1">
        <v>1733</v>
      </c>
      <c r="G12" s="1"/>
      <c r="H12" s="1"/>
      <c r="I12" s="1">
        <v>1</v>
      </c>
      <c r="J12" s="1"/>
      <c r="K12" s="1"/>
      <c r="L12" s="1"/>
      <c r="M12" s="1">
        <v>118</v>
      </c>
      <c r="N12" s="1"/>
      <c r="O12" s="1">
        <v>19</v>
      </c>
      <c r="P12" s="1">
        <v>61</v>
      </c>
      <c r="Q12" s="1">
        <v>1</v>
      </c>
      <c r="R12" s="1"/>
      <c r="S12" s="1"/>
      <c r="T12" s="1">
        <v>577</v>
      </c>
      <c r="U12" s="1">
        <v>285</v>
      </c>
      <c r="V12" s="1"/>
      <c r="X12" s="5">
        <v>3278</v>
      </c>
      <c r="Y12" s="5">
        <v>510</v>
      </c>
      <c r="Z12" s="5">
        <v>1852</v>
      </c>
      <c r="AA12" s="34"/>
      <c r="AB12" s="5">
        <v>577</v>
      </c>
      <c r="AC12" s="5">
        <v>338</v>
      </c>
      <c r="AD12" s="34"/>
      <c r="AE12" s="27">
        <v>76</v>
      </c>
    </row>
    <row r="13" spans="1:31">
      <c r="A13" s="2" t="s">
        <v>4</v>
      </c>
      <c r="B13" s="1">
        <v>3441</v>
      </c>
      <c r="C13" s="1">
        <v>101</v>
      </c>
      <c r="D13" s="1"/>
      <c r="E13" s="1">
        <v>2416</v>
      </c>
      <c r="F13" s="1">
        <v>2222</v>
      </c>
      <c r="G13" s="1"/>
      <c r="H13" s="1"/>
      <c r="I13" s="1">
        <v>14</v>
      </c>
      <c r="J13" s="1"/>
      <c r="K13" s="1"/>
      <c r="L13" s="1">
        <v>2</v>
      </c>
      <c r="M13" s="1">
        <v>185</v>
      </c>
      <c r="N13" s="1"/>
      <c r="O13" s="1">
        <v>15</v>
      </c>
      <c r="P13" s="1">
        <v>133</v>
      </c>
      <c r="Q13" s="1">
        <v>2</v>
      </c>
      <c r="R13" s="1"/>
      <c r="S13" s="1"/>
      <c r="T13" s="1">
        <v>686</v>
      </c>
      <c r="U13" s="1">
        <v>238</v>
      </c>
      <c r="V13" s="1"/>
      <c r="X13" s="5">
        <v>3536</v>
      </c>
      <c r="Y13" s="5">
        <v>109</v>
      </c>
      <c r="Z13" s="5">
        <v>2423</v>
      </c>
      <c r="AA13" s="34"/>
      <c r="AB13" s="5">
        <v>686</v>
      </c>
      <c r="AC13" s="5">
        <v>318</v>
      </c>
      <c r="AD13" s="34"/>
      <c r="AE13" s="27">
        <v>83</v>
      </c>
    </row>
    <row r="14" spans="1:31">
      <c r="A14" s="2" t="s">
        <v>11</v>
      </c>
      <c r="B14" s="1">
        <v>2558</v>
      </c>
      <c r="C14" s="1"/>
      <c r="D14" s="1"/>
      <c r="E14" s="1">
        <v>2447</v>
      </c>
      <c r="F14" s="1">
        <v>1502</v>
      </c>
      <c r="G14" s="1"/>
      <c r="H14" s="1"/>
      <c r="I14" s="1">
        <v>766</v>
      </c>
      <c r="J14" s="1"/>
      <c r="K14" s="1"/>
      <c r="L14" s="1">
        <v>61</v>
      </c>
      <c r="M14" s="1">
        <v>121</v>
      </c>
      <c r="N14" s="1"/>
      <c r="O14" s="1">
        <v>41</v>
      </c>
      <c r="P14" s="1"/>
      <c r="Q14" s="1">
        <v>2</v>
      </c>
      <c r="R14" s="1"/>
      <c r="S14" s="1"/>
      <c r="T14" s="1">
        <v>82</v>
      </c>
      <c r="U14" s="1">
        <v>28</v>
      </c>
      <c r="V14" s="1"/>
      <c r="X14" s="5">
        <v>2669</v>
      </c>
      <c r="Y14" s="34"/>
      <c r="Z14" s="5">
        <v>2450</v>
      </c>
      <c r="AA14" s="34"/>
      <c r="AB14" s="5">
        <v>82</v>
      </c>
      <c r="AC14" s="5">
        <v>137</v>
      </c>
      <c r="AD14" s="34"/>
      <c r="AE14" s="27">
        <v>117</v>
      </c>
    </row>
    <row r="15" spans="1:31">
      <c r="A15" s="2" t="s">
        <v>12</v>
      </c>
      <c r="B15" s="1">
        <v>13336</v>
      </c>
      <c r="C15" s="1">
        <v>260</v>
      </c>
      <c r="D15" s="1"/>
      <c r="E15" s="1">
        <v>10062</v>
      </c>
      <c r="F15" s="1">
        <v>7921</v>
      </c>
      <c r="G15" s="1"/>
      <c r="H15" s="1"/>
      <c r="I15" s="1">
        <v>1700</v>
      </c>
      <c r="J15" s="1"/>
      <c r="K15" s="1"/>
      <c r="L15" s="1"/>
      <c r="M15" s="1">
        <v>459</v>
      </c>
      <c r="N15" s="1"/>
      <c r="O15" s="1">
        <v>154</v>
      </c>
      <c r="P15" s="1">
        <v>80</v>
      </c>
      <c r="Q15" s="1">
        <v>8</v>
      </c>
      <c r="R15" s="1"/>
      <c r="S15" s="1">
        <v>549</v>
      </c>
      <c r="T15" s="1">
        <v>1545</v>
      </c>
      <c r="U15" s="1">
        <v>898</v>
      </c>
      <c r="V15" s="1">
        <v>23</v>
      </c>
      <c r="X15" s="5">
        <v>14146</v>
      </c>
      <c r="Y15" s="5">
        <v>265</v>
      </c>
      <c r="Z15" s="5">
        <v>10079</v>
      </c>
      <c r="AA15" s="5">
        <v>549</v>
      </c>
      <c r="AB15" s="5">
        <v>1547</v>
      </c>
      <c r="AC15" s="5">
        <v>1684</v>
      </c>
      <c r="AD15" s="5">
        <v>23</v>
      </c>
      <c r="AE15" s="27">
        <v>788</v>
      </c>
    </row>
    <row r="16" spans="1:31">
      <c r="A16" s="2" t="s">
        <v>13</v>
      </c>
      <c r="B16" s="1">
        <v>8846</v>
      </c>
      <c r="C16" s="1">
        <v>950</v>
      </c>
      <c r="D16" s="1"/>
      <c r="E16" s="1">
        <v>6339</v>
      </c>
      <c r="F16" s="1">
        <v>4738</v>
      </c>
      <c r="G16" s="1"/>
      <c r="H16" s="1"/>
      <c r="I16" s="1">
        <v>1262</v>
      </c>
      <c r="J16" s="1"/>
      <c r="K16" s="1"/>
      <c r="L16" s="1">
        <v>2</v>
      </c>
      <c r="M16" s="1">
        <v>355</v>
      </c>
      <c r="N16" s="1"/>
      <c r="O16" s="1">
        <v>210</v>
      </c>
      <c r="P16" s="1">
        <v>24</v>
      </c>
      <c r="Q16" s="1">
        <v>6</v>
      </c>
      <c r="R16" s="1"/>
      <c r="S16" s="1">
        <v>911</v>
      </c>
      <c r="T16" s="1">
        <v>185</v>
      </c>
      <c r="U16" s="1">
        <v>462</v>
      </c>
      <c r="V16" s="1"/>
      <c r="X16" s="5">
        <v>10142</v>
      </c>
      <c r="Y16" s="5">
        <v>1171</v>
      </c>
      <c r="Z16" s="5">
        <v>6358</v>
      </c>
      <c r="AA16" s="5">
        <v>911</v>
      </c>
      <c r="AB16" s="5">
        <v>186</v>
      </c>
      <c r="AC16" s="5">
        <v>1517</v>
      </c>
      <c r="AD16" s="5">
        <v>1</v>
      </c>
      <c r="AE16" s="27">
        <v>1067</v>
      </c>
    </row>
    <row r="17" spans="1:31">
      <c r="A17" s="2" t="s">
        <v>14</v>
      </c>
      <c r="B17" s="1">
        <v>7221</v>
      </c>
      <c r="C17" s="1">
        <v>393</v>
      </c>
      <c r="D17" s="1"/>
      <c r="E17" s="1">
        <v>5529</v>
      </c>
      <c r="F17" s="1">
        <v>5143</v>
      </c>
      <c r="G17" s="1"/>
      <c r="H17" s="1"/>
      <c r="I17" s="1">
        <v>14</v>
      </c>
      <c r="J17" s="1"/>
      <c r="K17" s="1"/>
      <c r="L17" s="1"/>
      <c r="M17" s="1">
        <v>404</v>
      </c>
      <c r="N17" s="1"/>
      <c r="O17" s="1">
        <v>73</v>
      </c>
      <c r="P17" s="1">
        <v>139</v>
      </c>
      <c r="Q17" s="1"/>
      <c r="R17" s="1"/>
      <c r="S17" s="1"/>
      <c r="T17" s="1">
        <v>412</v>
      </c>
      <c r="U17" s="1">
        <v>887</v>
      </c>
      <c r="V17" s="1"/>
      <c r="X17" s="5">
        <v>7816</v>
      </c>
      <c r="Y17" s="5">
        <v>474</v>
      </c>
      <c r="Z17" s="5">
        <v>5561</v>
      </c>
      <c r="AA17" s="34"/>
      <c r="AB17" s="5">
        <v>412</v>
      </c>
      <c r="AC17" s="5">
        <v>1370</v>
      </c>
      <c r="AD17" s="34"/>
      <c r="AE17" s="27">
        <v>544</v>
      </c>
    </row>
    <row r="18" spans="1:31">
      <c r="A18" s="2" t="s">
        <v>15</v>
      </c>
      <c r="B18" s="1">
        <v>5840</v>
      </c>
      <c r="C18" s="1">
        <v>937</v>
      </c>
      <c r="D18" s="1"/>
      <c r="E18" s="1">
        <v>3470</v>
      </c>
      <c r="F18" s="1">
        <v>2862</v>
      </c>
      <c r="G18" s="1"/>
      <c r="H18" s="1"/>
      <c r="I18" s="1">
        <v>391</v>
      </c>
      <c r="J18" s="1"/>
      <c r="K18" s="1"/>
      <c r="L18" s="1"/>
      <c r="M18" s="1">
        <v>224</v>
      </c>
      <c r="N18" s="1"/>
      <c r="O18" s="1">
        <v>72</v>
      </c>
      <c r="P18" s="1">
        <v>6</v>
      </c>
      <c r="Q18" s="1">
        <v>2</v>
      </c>
      <c r="R18" s="1"/>
      <c r="S18" s="1">
        <v>871</v>
      </c>
      <c r="T18" s="1">
        <v>486</v>
      </c>
      <c r="U18" s="1">
        <v>72</v>
      </c>
      <c r="V18" s="1">
        <v>3</v>
      </c>
      <c r="X18" s="5">
        <v>6372</v>
      </c>
      <c r="Y18" s="5">
        <v>1331</v>
      </c>
      <c r="Z18" s="5">
        <v>3478</v>
      </c>
      <c r="AA18" s="5">
        <v>871</v>
      </c>
      <c r="AB18" s="5">
        <v>486</v>
      </c>
      <c r="AC18" s="5">
        <v>202</v>
      </c>
      <c r="AD18" s="34">
        <v>3</v>
      </c>
      <c r="AE18" s="27">
        <v>164</v>
      </c>
    </row>
    <row r="19" spans="1:31">
      <c r="A19" s="2" t="s">
        <v>16</v>
      </c>
      <c r="B19" s="1">
        <v>3912</v>
      </c>
      <c r="C19" s="1">
        <v>454</v>
      </c>
      <c r="D19" s="1"/>
      <c r="E19" s="1">
        <v>2448</v>
      </c>
      <c r="F19" s="1">
        <v>2056</v>
      </c>
      <c r="G19" s="1"/>
      <c r="H19" s="1"/>
      <c r="I19" s="1">
        <v>14</v>
      </c>
      <c r="J19" s="1"/>
      <c r="K19" s="1"/>
      <c r="L19" s="1"/>
      <c r="M19" s="1">
        <v>385</v>
      </c>
      <c r="N19" s="1"/>
      <c r="O19" s="1">
        <v>43</v>
      </c>
      <c r="P19" s="1">
        <v>33</v>
      </c>
      <c r="Q19" s="1">
        <v>4</v>
      </c>
      <c r="R19" s="1"/>
      <c r="S19" s="1"/>
      <c r="T19" s="1">
        <v>510</v>
      </c>
      <c r="U19" s="1">
        <v>500</v>
      </c>
      <c r="V19" s="1"/>
      <c r="X19" s="5">
        <v>4401</v>
      </c>
      <c r="Y19" s="5">
        <v>660</v>
      </c>
      <c r="Z19" s="5">
        <v>2455</v>
      </c>
      <c r="AA19" s="34"/>
      <c r="AB19" s="5">
        <v>510</v>
      </c>
      <c r="AC19" s="5">
        <v>776</v>
      </c>
      <c r="AD19" s="34"/>
      <c r="AE19" s="27">
        <v>299</v>
      </c>
    </row>
    <row r="20" spans="1:31">
      <c r="A20" s="2" t="s">
        <v>17</v>
      </c>
      <c r="B20" s="1">
        <v>14158</v>
      </c>
      <c r="C20" s="1">
        <v>102</v>
      </c>
      <c r="D20" s="1"/>
      <c r="E20" s="1">
        <v>11107</v>
      </c>
      <c r="F20" s="1">
        <v>10305</v>
      </c>
      <c r="G20" s="1"/>
      <c r="H20" s="1"/>
      <c r="I20" s="1">
        <v>11</v>
      </c>
      <c r="J20" s="1"/>
      <c r="K20" s="1"/>
      <c r="L20" s="1"/>
      <c r="M20" s="1">
        <v>819</v>
      </c>
      <c r="N20" s="1"/>
      <c r="O20" s="1">
        <v>170</v>
      </c>
      <c r="P20" s="1">
        <v>185</v>
      </c>
      <c r="Q20" s="1">
        <v>10</v>
      </c>
      <c r="R20" s="1"/>
      <c r="S20" s="1">
        <v>250</v>
      </c>
      <c r="T20" s="1">
        <v>1795</v>
      </c>
      <c r="U20" s="1">
        <v>905</v>
      </c>
      <c r="V20" s="1"/>
      <c r="X20" s="5">
        <v>15560</v>
      </c>
      <c r="Y20" s="5">
        <v>108</v>
      </c>
      <c r="Z20" s="5">
        <v>11135</v>
      </c>
      <c r="AA20" s="5">
        <v>250</v>
      </c>
      <c r="AB20" s="5">
        <v>1795</v>
      </c>
      <c r="AC20" s="5">
        <v>2272</v>
      </c>
      <c r="AD20" s="34"/>
      <c r="AE20" s="27">
        <v>1467</v>
      </c>
    </row>
    <row r="21" spans="1:31">
      <c r="A21" s="2" t="s">
        <v>18</v>
      </c>
      <c r="B21" s="1">
        <v>9577</v>
      </c>
      <c r="C21" s="1">
        <v>398</v>
      </c>
      <c r="D21" s="1"/>
      <c r="E21" s="1">
        <v>7057</v>
      </c>
      <c r="F21" s="1">
        <v>6482</v>
      </c>
      <c r="G21" s="1"/>
      <c r="H21" s="1"/>
      <c r="I21" s="1">
        <v>344</v>
      </c>
      <c r="J21" s="1"/>
      <c r="K21" s="1"/>
      <c r="L21" s="1"/>
      <c r="M21" s="1">
        <v>242</v>
      </c>
      <c r="N21" s="1"/>
      <c r="O21" s="1">
        <v>44</v>
      </c>
      <c r="P21" s="1">
        <v>98</v>
      </c>
      <c r="Q21" s="1">
        <v>9</v>
      </c>
      <c r="R21" s="1"/>
      <c r="S21" s="1"/>
      <c r="T21" s="1">
        <v>1518</v>
      </c>
      <c r="U21" s="1">
        <v>604</v>
      </c>
      <c r="V21" s="1"/>
      <c r="X21" s="5">
        <v>10169</v>
      </c>
      <c r="Y21" s="5">
        <v>408</v>
      </c>
      <c r="Z21" s="5">
        <v>7068</v>
      </c>
      <c r="AA21" s="34"/>
      <c r="AB21" s="5">
        <v>1518</v>
      </c>
      <c r="AC21" s="5">
        <v>1175</v>
      </c>
      <c r="AD21" s="34"/>
      <c r="AE21" s="27">
        <v>571</v>
      </c>
    </row>
    <row r="22" spans="1:31">
      <c r="A22" s="2" t="s">
        <v>19</v>
      </c>
      <c r="B22" s="1">
        <v>7941</v>
      </c>
      <c r="C22" s="1">
        <v>3644</v>
      </c>
      <c r="D22" s="1"/>
      <c r="E22" s="1">
        <v>3304</v>
      </c>
      <c r="F22" s="1">
        <v>2891</v>
      </c>
      <c r="G22" s="1"/>
      <c r="H22" s="1"/>
      <c r="I22" s="1">
        <v>112</v>
      </c>
      <c r="J22" s="1"/>
      <c r="K22" s="1"/>
      <c r="L22" s="1"/>
      <c r="M22" s="1">
        <v>314</v>
      </c>
      <c r="N22" s="1"/>
      <c r="O22" s="1">
        <v>38</v>
      </c>
      <c r="P22" s="1">
        <v>68</v>
      </c>
      <c r="Q22" s="1">
        <v>4</v>
      </c>
      <c r="R22" s="1"/>
      <c r="S22" s="1"/>
      <c r="T22" s="1">
        <v>502</v>
      </c>
      <c r="U22" s="1">
        <v>491</v>
      </c>
      <c r="V22" s="1"/>
      <c r="X22" s="5">
        <v>8273</v>
      </c>
      <c r="Y22" s="5">
        <v>3757</v>
      </c>
      <c r="Z22" s="5">
        <v>3316</v>
      </c>
      <c r="AA22" s="34"/>
      <c r="AB22" s="5">
        <v>502</v>
      </c>
      <c r="AC22" s="5">
        <v>698</v>
      </c>
      <c r="AD22" s="34"/>
      <c r="AE22" s="27">
        <v>212</v>
      </c>
    </row>
    <row r="23" spans="1:31">
      <c r="A23" s="2" t="s">
        <v>20</v>
      </c>
      <c r="B23" s="1">
        <v>4413</v>
      </c>
      <c r="C23" s="1">
        <v>1244</v>
      </c>
      <c r="D23" s="1"/>
      <c r="E23" s="1">
        <v>2253</v>
      </c>
      <c r="F23" s="1">
        <v>2024</v>
      </c>
      <c r="G23" s="1"/>
      <c r="H23" s="1"/>
      <c r="I23" s="1">
        <v>8</v>
      </c>
      <c r="J23" s="1"/>
      <c r="K23" s="1"/>
      <c r="L23" s="1">
        <v>5</v>
      </c>
      <c r="M23" s="1">
        <v>231</v>
      </c>
      <c r="N23" s="1"/>
      <c r="O23" s="1">
        <v>35</v>
      </c>
      <c r="P23" s="1">
        <v>43</v>
      </c>
      <c r="Q23" s="1">
        <v>6</v>
      </c>
      <c r="R23" s="1"/>
      <c r="S23" s="1"/>
      <c r="T23" s="1">
        <v>669</v>
      </c>
      <c r="U23" s="1">
        <v>242</v>
      </c>
      <c r="V23" s="1">
        <v>6</v>
      </c>
      <c r="X23" s="5">
        <v>4915</v>
      </c>
      <c r="Y23" s="5">
        <v>1581</v>
      </c>
      <c r="Z23" s="5">
        <v>2269</v>
      </c>
      <c r="AA23" s="34"/>
      <c r="AB23" s="5">
        <v>669</v>
      </c>
      <c r="AC23" s="5">
        <v>391</v>
      </c>
      <c r="AD23" s="5">
        <v>6</v>
      </c>
      <c r="AE23" s="27">
        <v>200</v>
      </c>
    </row>
    <row r="24" spans="1:31">
      <c r="A24" s="2" t="s">
        <v>21</v>
      </c>
      <c r="B24" s="1">
        <v>13415</v>
      </c>
      <c r="C24" s="1">
        <v>1167</v>
      </c>
      <c r="D24" s="1"/>
      <c r="E24" s="1">
        <v>9576</v>
      </c>
      <c r="F24" s="1">
        <v>6620</v>
      </c>
      <c r="G24" s="1"/>
      <c r="H24" s="1"/>
      <c r="I24" s="1">
        <v>2696</v>
      </c>
      <c r="J24" s="1"/>
      <c r="K24" s="1"/>
      <c r="L24" s="1"/>
      <c r="M24" s="1">
        <v>267</v>
      </c>
      <c r="N24" s="1"/>
      <c r="O24" s="1">
        <v>224</v>
      </c>
      <c r="P24" s="1">
        <v>43</v>
      </c>
      <c r="Q24" s="1">
        <v>16</v>
      </c>
      <c r="R24" s="1"/>
      <c r="S24" s="1">
        <v>1614</v>
      </c>
      <c r="T24" s="1">
        <v>563</v>
      </c>
      <c r="U24" s="1">
        <v>495</v>
      </c>
      <c r="V24" s="1"/>
      <c r="X24" s="5">
        <v>14224</v>
      </c>
      <c r="Y24" s="5">
        <v>1666</v>
      </c>
      <c r="Z24" s="5">
        <v>9582</v>
      </c>
      <c r="AA24" s="5">
        <v>1614</v>
      </c>
      <c r="AB24" s="5">
        <v>565</v>
      </c>
      <c r="AC24" s="5">
        <v>797</v>
      </c>
      <c r="AD24" s="5"/>
      <c r="AE24" s="27">
        <v>385</v>
      </c>
    </row>
    <row r="25" spans="1:31">
      <c r="A25" s="2" t="s">
        <v>22</v>
      </c>
      <c r="B25" s="1">
        <v>4957</v>
      </c>
      <c r="C25" s="1">
        <v>1607</v>
      </c>
      <c r="D25" s="1"/>
      <c r="E25" s="1">
        <v>2309</v>
      </c>
      <c r="F25" s="1">
        <v>1859</v>
      </c>
      <c r="G25" s="1"/>
      <c r="H25" s="1"/>
      <c r="I25" s="1">
        <v>54</v>
      </c>
      <c r="J25" s="1"/>
      <c r="K25" s="1"/>
      <c r="L25" s="1"/>
      <c r="M25" s="1">
        <v>431</v>
      </c>
      <c r="N25" s="1"/>
      <c r="O25" s="1">
        <v>23</v>
      </c>
      <c r="P25" s="1">
        <v>181</v>
      </c>
      <c r="Q25" s="1">
        <v>3</v>
      </c>
      <c r="R25" s="1"/>
      <c r="S25" s="1">
        <v>217</v>
      </c>
      <c r="T25" s="1">
        <v>653</v>
      </c>
      <c r="U25" s="1">
        <v>170</v>
      </c>
      <c r="V25" s="1"/>
      <c r="X25" s="34">
        <v>5178</v>
      </c>
      <c r="Y25" s="34">
        <v>1759</v>
      </c>
      <c r="Z25" s="34">
        <v>2344</v>
      </c>
      <c r="AA25" s="5">
        <v>217</v>
      </c>
      <c r="AB25" s="5">
        <v>653</v>
      </c>
      <c r="AC25" s="5">
        <v>205</v>
      </c>
      <c r="AD25" s="34"/>
      <c r="AE25" s="27">
        <v>40</v>
      </c>
    </row>
    <row r="26" spans="1:31">
      <c r="A26" s="2" t="s">
        <v>23</v>
      </c>
      <c r="B26" s="1">
        <v>958</v>
      </c>
      <c r="C26" s="1">
        <v>125</v>
      </c>
      <c r="D26" s="1"/>
      <c r="E26" s="1">
        <v>545</v>
      </c>
      <c r="F26" s="1">
        <v>324</v>
      </c>
      <c r="G26" s="1"/>
      <c r="H26" s="1"/>
      <c r="I26" s="1">
        <v>169</v>
      </c>
      <c r="J26" s="1"/>
      <c r="K26" s="1"/>
      <c r="L26" s="1"/>
      <c r="M26" s="1">
        <v>53</v>
      </c>
      <c r="N26" s="1"/>
      <c r="O26" s="1">
        <v>21</v>
      </c>
      <c r="P26" s="1">
        <v>24</v>
      </c>
      <c r="Q26" s="1"/>
      <c r="R26" s="1"/>
      <c r="S26" s="1">
        <v>130</v>
      </c>
      <c r="T26" s="1">
        <v>29</v>
      </c>
      <c r="U26" s="1">
        <v>129</v>
      </c>
      <c r="V26" s="1"/>
      <c r="X26" s="5">
        <v>999</v>
      </c>
      <c r="Y26" s="5">
        <v>151</v>
      </c>
      <c r="Z26" s="5">
        <v>546</v>
      </c>
      <c r="AA26" s="5">
        <v>130</v>
      </c>
      <c r="AB26" s="5">
        <v>29</v>
      </c>
      <c r="AC26" s="5">
        <v>143</v>
      </c>
      <c r="AD26" s="5"/>
      <c r="AE26" s="27">
        <v>16</v>
      </c>
    </row>
    <row r="27" spans="1:31">
      <c r="A27" s="2" t="s">
        <v>24</v>
      </c>
      <c r="B27" s="1">
        <v>2349</v>
      </c>
      <c r="C27" s="1">
        <v>654</v>
      </c>
      <c r="D27" s="1"/>
      <c r="E27" s="1">
        <v>1539</v>
      </c>
      <c r="F27" s="1">
        <v>1329</v>
      </c>
      <c r="G27" s="1"/>
      <c r="H27" s="1"/>
      <c r="I27" s="1">
        <v>149</v>
      </c>
      <c r="J27" s="1"/>
      <c r="K27" s="1"/>
      <c r="L27" s="1"/>
      <c r="M27" s="1">
        <v>67</v>
      </c>
      <c r="N27" s="1"/>
      <c r="O27" s="1">
        <v>28</v>
      </c>
      <c r="P27" s="1">
        <v>7</v>
      </c>
      <c r="Q27" s="1">
        <v>1</v>
      </c>
      <c r="R27" s="1"/>
      <c r="S27" s="1"/>
      <c r="T27" s="1">
        <v>96</v>
      </c>
      <c r="U27" s="1">
        <v>60</v>
      </c>
      <c r="V27" s="1"/>
      <c r="X27" s="5">
        <v>2488</v>
      </c>
      <c r="Y27" s="5">
        <v>779</v>
      </c>
      <c r="Z27" s="5">
        <v>1545</v>
      </c>
      <c r="AA27" s="34"/>
      <c r="AB27" s="5">
        <v>97</v>
      </c>
      <c r="AC27" s="5">
        <v>67</v>
      </c>
      <c r="AD27" s="34"/>
      <c r="AE27" s="27">
        <v>7</v>
      </c>
    </row>
    <row r="28" spans="1:31">
      <c r="A28" s="2" t="s">
        <v>25</v>
      </c>
      <c r="B28" s="1">
        <v>9630</v>
      </c>
      <c r="C28" s="1">
        <v>7453</v>
      </c>
      <c r="D28" s="1"/>
      <c r="E28" s="1">
        <v>1572</v>
      </c>
      <c r="F28" s="1">
        <v>1212</v>
      </c>
      <c r="G28" s="1"/>
      <c r="H28" s="1"/>
      <c r="I28" s="1">
        <v>128</v>
      </c>
      <c r="J28" s="1"/>
      <c r="K28" s="1"/>
      <c r="L28" s="1"/>
      <c r="M28" s="1">
        <v>256</v>
      </c>
      <c r="N28" s="1"/>
      <c r="O28" s="1">
        <v>61</v>
      </c>
      <c r="P28" s="1">
        <v>18</v>
      </c>
      <c r="Q28" s="1">
        <v>5</v>
      </c>
      <c r="R28" s="1"/>
      <c r="S28" s="1"/>
      <c r="T28" s="1">
        <v>426</v>
      </c>
      <c r="U28" s="1">
        <v>179</v>
      </c>
      <c r="V28" s="1"/>
      <c r="X28" s="5">
        <v>10105</v>
      </c>
      <c r="Y28" s="5">
        <v>7892</v>
      </c>
      <c r="Z28" s="5">
        <v>1596</v>
      </c>
      <c r="AA28" s="34"/>
      <c r="AB28" s="5">
        <v>426</v>
      </c>
      <c r="AC28" s="5">
        <v>191</v>
      </c>
      <c r="AD28" s="34"/>
      <c r="AE28" s="27">
        <v>22</v>
      </c>
    </row>
    <row r="29" spans="1:31">
      <c r="A29" s="2" t="s">
        <v>26</v>
      </c>
      <c r="B29" s="1">
        <v>7137</v>
      </c>
      <c r="C29" s="1">
        <v>1996</v>
      </c>
      <c r="D29" s="1"/>
      <c r="E29" s="1">
        <v>3504</v>
      </c>
      <c r="F29" s="1">
        <v>3469</v>
      </c>
      <c r="G29" s="1"/>
      <c r="H29" s="1"/>
      <c r="I29" s="1">
        <v>56</v>
      </c>
      <c r="J29" s="1"/>
      <c r="K29" s="1"/>
      <c r="L29" s="1"/>
      <c r="M29" s="1">
        <v>35</v>
      </c>
      <c r="N29" s="1"/>
      <c r="O29" s="1">
        <v>23</v>
      </c>
      <c r="P29" s="1">
        <v>12</v>
      </c>
      <c r="Q29" s="1"/>
      <c r="R29" s="1"/>
      <c r="S29" s="1"/>
      <c r="T29" s="1">
        <v>580</v>
      </c>
      <c r="U29" s="1">
        <v>1057</v>
      </c>
      <c r="V29" s="1"/>
      <c r="X29" s="5">
        <v>7478</v>
      </c>
      <c r="Y29" s="5">
        <v>2281</v>
      </c>
      <c r="Z29" s="5">
        <v>3560</v>
      </c>
      <c r="AA29" s="34"/>
      <c r="AB29" s="5">
        <v>580</v>
      </c>
      <c r="AC29" s="5">
        <v>1057</v>
      </c>
      <c r="AD29" s="34"/>
      <c r="AE29" s="27">
        <v>19</v>
      </c>
    </row>
    <row r="30" spans="1:31">
      <c r="A30" s="2" t="s">
        <v>27</v>
      </c>
      <c r="B30" s="1">
        <v>9987</v>
      </c>
      <c r="C30" s="1">
        <v>7271</v>
      </c>
      <c r="D30" s="1"/>
      <c r="E30" s="1">
        <v>1485</v>
      </c>
      <c r="F30" s="1">
        <v>1298</v>
      </c>
      <c r="G30" s="1"/>
      <c r="H30" s="1"/>
      <c r="I30" s="1">
        <v>3</v>
      </c>
      <c r="J30" s="1"/>
      <c r="K30" s="1"/>
      <c r="L30" s="1"/>
      <c r="M30" s="1">
        <v>216</v>
      </c>
      <c r="N30" s="1"/>
      <c r="O30" s="1">
        <v>22</v>
      </c>
      <c r="P30" s="1">
        <v>27</v>
      </c>
      <c r="Q30" s="1">
        <v>0.2</v>
      </c>
      <c r="R30" s="1"/>
      <c r="S30" s="1"/>
      <c r="T30" s="1">
        <v>881</v>
      </c>
      <c r="U30" s="1">
        <v>350</v>
      </c>
      <c r="V30" s="1"/>
      <c r="X30" s="5">
        <v>10266</v>
      </c>
      <c r="Y30" s="5">
        <v>7480</v>
      </c>
      <c r="Z30" s="5">
        <v>1517</v>
      </c>
      <c r="AA30" s="34"/>
      <c r="AB30" s="5">
        <v>881</v>
      </c>
      <c r="AC30" s="5">
        <v>388</v>
      </c>
      <c r="AD30" s="34">
        <v>0.2</v>
      </c>
      <c r="AE30" s="27">
        <v>38</v>
      </c>
    </row>
    <row r="31" spans="1:31">
      <c r="A31" s="2" t="s">
        <v>28</v>
      </c>
      <c r="B31" s="1">
        <v>389</v>
      </c>
      <c r="C31" s="1">
        <v>206</v>
      </c>
      <c r="D31" s="1"/>
      <c r="E31" s="1">
        <v>42</v>
      </c>
      <c r="F31" s="1"/>
      <c r="G31" s="1"/>
      <c r="H31" s="1"/>
      <c r="I31" s="1"/>
      <c r="J31" s="1"/>
      <c r="K31" s="1"/>
      <c r="L31" s="1">
        <v>39</v>
      </c>
      <c r="M31" s="1">
        <v>4</v>
      </c>
      <c r="N31" s="1"/>
      <c r="O31" s="1">
        <v>2</v>
      </c>
      <c r="P31" s="1"/>
      <c r="Q31" s="1"/>
      <c r="R31" s="1"/>
      <c r="S31" s="1"/>
      <c r="T31" s="1">
        <v>1</v>
      </c>
      <c r="U31" s="1">
        <v>137</v>
      </c>
      <c r="V31" s="1">
        <v>4</v>
      </c>
      <c r="X31" s="5">
        <v>395</v>
      </c>
      <c r="Y31" s="5">
        <v>210</v>
      </c>
      <c r="Z31" s="5">
        <v>43</v>
      </c>
      <c r="AA31" s="34"/>
      <c r="AB31" s="5">
        <v>1</v>
      </c>
      <c r="AC31" s="5">
        <v>137</v>
      </c>
      <c r="AD31" s="5">
        <v>4</v>
      </c>
      <c r="AE31" s="33"/>
    </row>
    <row r="32" spans="1:31">
      <c r="A32" s="2" t="s">
        <v>29</v>
      </c>
      <c r="B32" s="1">
        <v>7094</v>
      </c>
      <c r="C32" s="1">
        <v>296</v>
      </c>
      <c r="D32" s="1"/>
      <c r="E32" s="1">
        <v>4980</v>
      </c>
      <c r="F32" s="1">
        <v>4768</v>
      </c>
      <c r="G32" s="1"/>
      <c r="H32" s="1"/>
      <c r="I32" s="1">
        <v>22</v>
      </c>
      <c r="J32" s="1"/>
      <c r="K32" s="1"/>
      <c r="L32" s="1"/>
      <c r="M32" s="1">
        <v>203</v>
      </c>
      <c r="N32" s="1"/>
      <c r="O32" s="1">
        <v>33</v>
      </c>
      <c r="P32" s="1">
        <v>7</v>
      </c>
      <c r="Q32" s="1">
        <v>2</v>
      </c>
      <c r="R32" s="1"/>
      <c r="S32" s="1"/>
      <c r="T32" s="1">
        <v>892</v>
      </c>
      <c r="U32" s="1">
        <v>926</v>
      </c>
      <c r="V32" s="1"/>
      <c r="X32" s="5">
        <v>7366</v>
      </c>
      <c r="Y32" s="5">
        <v>392</v>
      </c>
      <c r="Z32" s="5">
        <v>4993</v>
      </c>
      <c r="AA32" s="34"/>
      <c r="AB32" s="5">
        <v>892</v>
      </c>
      <c r="AC32" s="5">
        <v>1089</v>
      </c>
      <c r="AD32" s="34"/>
      <c r="AE32" s="27">
        <v>194</v>
      </c>
    </row>
    <row r="33" spans="1:31">
      <c r="A33" s="2" t="s">
        <v>30</v>
      </c>
      <c r="B33" s="1">
        <v>5385</v>
      </c>
      <c r="C33" s="1">
        <v>796</v>
      </c>
      <c r="D33" s="1"/>
      <c r="E33" s="1">
        <v>2308</v>
      </c>
      <c r="F33" s="1">
        <v>2262</v>
      </c>
      <c r="G33" s="1"/>
      <c r="H33" s="1"/>
      <c r="I33" s="1">
        <v>1</v>
      </c>
      <c r="J33" s="1"/>
      <c r="K33" s="1"/>
      <c r="L33" s="1"/>
      <c r="M33" s="1">
        <v>45</v>
      </c>
      <c r="N33" s="1"/>
      <c r="O33" s="1">
        <v>8</v>
      </c>
      <c r="P33" s="1">
        <v>6</v>
      </c>
      <c r="Q33" s="1"/>
      <c r="R33" s="1"/>
      <c r="S33" s="1"/>
      <c r="T33" s="1">
        <v>1373</v>
      </c>
      <c r="U33" s="1">
        <v>908</v>
      </c>
      <c r="V33" s="1"/>
      <c r="X33" s="5">
        <v>5620</v>
      </c>
      <c r="Y33" s="5">
        <v>957</v>
      </c>
      <c r="Z33" s="5">
        <v>2308</v>
      </c>
      <c r="AA33" s="34"/>
      <c r="AB33" s="5">
        <v>1373</v>
      </c>
      <c r="AC33" s="5">
        <v>982</v>
      </c>
      <c r="AD33" s="34"/>
      <c r="AE33" s="27">
        <v>74</v>
      </c>
    </row>
    <row r="34" spans="1:31">
      <c r="A34" s="2" t="s">
        <v>31</v>
      </c>
      <c r="B34" s="1">
        <v>3992</v>
      </c>
      <c r="C34" s="1">
        <v>1193</v>
      </c>
      <c r="D34" s="1"/>
      <c r="E34" s="1">
        <v>392</v>
      </c>
      <c r="F34" s="1">
        <v>375</v>
      </c>
      <c r="G34" s="1"/>
      <c r="H34" s="1"/>
      <c r="I34" s="1">
        <v>0.5</v>
      </c>
      <c r="J34" s="1"/>
      <c r="K34" s="1"/>
      <c r="L34" s="1"/>
      <c r="M34" s="1">
        <v>17</v>
      </c>
      <c r="N34" s="1"/>
      <c r="O34" s="1"/>
      <c r="P34" s="1"/>
      <c r="Q34" s="1">
        <v>1</v>
      </c>
      <c r="R34" s="1"/>
      <c r="S34" s="1"/>
      <c r="T34" s="1">
        <v>843</v>
      </c>
      <c r="U34" s="1">
        <v>1565</v>
      </c>
      <c r="V34" s="1"/>
      <c r="X34" s="5">
        <v>4030</v>
      </c>
      <c r="Y34" s="5">
        <v>1193</v>
      </c>
      <c r="Z34" s="5">
        <v>393</v>
      </c>
      <c r="AA34" s="34"/>
      <c r="AB34" s="5">
        <v>843</v>
      </c>
      <c r="AC34" s="5">
        <v>1601</v>
      </c>
      <c r="AD34" s="34"/>
      <c r="AE34" s="27">
        <v>17</v>
      </c>
    </row>
    <row r="35" spans="1:31">
      <c r="A35" s="2" t="s">
        <v>32</v>
      </c>
      <c r="B35" s="1">
        <v>5917</v>
      </c>
      <c r="C35" s="1">
        <v>42</v>
      </c>
      <c r="D35" s="1"/>
      <c r="E35" s="1">
        <v>3325</v>
      </c>
      <c r="F35" s="1">
        <v>3136</v>
      </c>
      <c r="G35" s="1"/>
      <c r="H35" s="1"/>
      <c r="I35" s="1">
        <v>70</v>
      </c>
      <c r="J35" s="1"/>
      <c r="K35" s="1"/>
      <c r="L35" s="1"/>
      <c r="M35" s="1">
        <v>120</v>
      </c>
      <c r="N35" s="1"/>
      <c r="O35" s="1">
        <v>5</v>
      </c>
      <c r="P35" s="1">
        <v>8</v>
      </c>
      <c r="Q35" s="1"/>
      <c r="R35" s="1"/>
      <c r="S35" s="1"/>
      <c r="T35" s="1">
        <v>1377</v>
      </c>
      <c r="U35" s="1">
        <v>1173</v>
      </c>
      <c r="V35" s="1"/>
      <c r="X35" s="5">
        <v>5943</v>
      </c>
      <c r="Y35" s="5">
        <v>43</v>
      </c>
      <c r="Z35" s="5">
        <v>3326</v>
      </c>
      <c r="AA35" s="34"/>
      <c r="AB35" s="5">
        <v>1377</v>
      </c>
      <c r="AC35" s="5">
        <v>1197</v>
      </c>
      <c r="AD35" s="34"/>
      <c r="AE35" s="27">
        <v>75</v>
      </c>
    </row>
    <row r="36" spans="1:31" ht="13.5" customHeight="1">
      <c r="A36" s="2" t="s">
        <v>33</v>
      </c>
      <c r="B36" s="1">
        <v>10763</v>
      </c>
      <c r="C36" s="1">
        <v>800</v>
      </c>
      <c r="D36" s="1"/>
      <c r="E36" s="1">
        <v>6337</v>
      </c>
      <c r="F36" s="1">
        <v>6152</v>
      </c>
      <c r="G36" s="1"/>
      <c r="H36" s="1"/>
      <c r="I36" s="1">
        <v>85</v>
      </c>
      <c r="J36" s="1"/>
      <c r="K36" s="1"/>
      <c r="L36" s="1"/>
      <c r="M36" s="1">
        <v>100</v>
      </c>
      <c r="N36" s="1"/>
      <c r="O36" s="1">
        <v>6</v>
      </c>
      <c r="P36" s="1">
        <v>2</v>
      </c>
      <c r="Q36" s="1">
        <v>0.3</v>
      </c>
      <c r="R36" s="1"/>
      <c r="S36" s="1"/>
      <c r="T36" s="1">
        <v>2361</v>
      </c>
      <c r="U36" s="1">
        <v>1266</v>
      </c>
      <c r="V36" s="1"/>
      <c r="X36" s="5">
        <v>10763</v>
      </c>
      <c r="Y36" s="5">
        <v>800</v>
      </c>
      <c r="Z36" s="5">
        <v>6337</v>
      </c>
      <c r="AA36" s="34"/>
      <c r="AB36" s="5">
        <v>2361</v>
      </c>
      <c r="AC36" s="5">
        <v>1266</v>
      </c>
      <c r="AD36" s="34"/>
      <c r="AE36" s="27">
        <v>16</v>
      </c>
    </row>
    <row r="38" spans="1:31">
      <c r="B38">
        <f>B5-SUM(B6:B36)</f>
        <v>-1</v>
      </c>
      <c r="C38">
        <f t="shared" ref="C38:V38" si="0">C5-SUM(C6:C36)</f>
        <v>2</v>
      </c>
      <c r="D38">
        <f t="shared" si="0"/>
        <v>0</v>
      </c>
      <c r="E38">
        <f t="shared" si="0"/>
        <v>-1</v>
      </c>
      <c r="F38">
        <f t="shared" si="0"/>
        <v>1</v>
      </c>
      <c r="H38">
        <f t="shared" si="0"/>
        <v>0</v>
      </c>
      <c r="I38">
        <f t="shared" si="0"/>
        <v>-2.5</v>
      </c>
      <c r="J38">
        <f t="shared" si="0"/>
        <v>0</v>
      </c>
      <c r="L38">
        <f t="shared" si="0"/>
        <v>1</v>
      </c>
      <c r="M38">
        <f t="shared" si="0"/>
        <v>0</v>
      </c>
      <c r="N38">
        <f t="shared" si="0"/>
        <v>0</v>
      </c>
      <c r="O38">
        <f t="shared" si="0"/>
        <v>-3</v>
      </c>
      <c r="P38">
        <f t="shared" si="0"/>
        <v>2</v>
      </c>
      <c r="S38">
        <f t="shared" si="0"/>
        <v>-1</v>
      </c>
      <c r="T38">
        <f t="shared" si="0"/>
        <v>-2</v>
      </c>
      <c r="U38">
        <f t="shared" si="0"/>
        <v>-4</v>
      </c>
      <c r="V38">
        <f t="shared" si="0"/>
        <v>0</v>
      </c>
    </row>
  </sheetData>
  <mergeCells count="25">
    <mergeCell ref="E2:R2"/>
    <mergeCell ref="I3:K3"/>
    <mergeCell ref="M3:R3"/>
    <mergeCell ref="A1:V1"/>
    <mergeCell ref="A2:A4"/>
    <mergeCell ref="B2:B4"/>
    <mergeCell ref="C2:D2"/>
    <mergeCell ref="S2:S4"/>
    <mergeCell ref="T2:T4"/>
    <mergeCell ref="U2:U4"/>
    <mergeCell ref="V2:V4"/>
    <mergeCell ref="C3:C4"/>
    <mergeCell ref="D3:D4"/>
    <mergeCell ref="E3:E4"/>
    <mergeCell ref="F3:H3"/>
    <mergeCell ref="L3:L4"/>
    <mergeCell ref="X1:AE1"/>
    <mergeCell ref="X2:X4"/>
    <mergeCell ref="Y2:Y4"/>
    <mergeCell ref="Z2:Z4"/>
    <mergeCell ref="AA2:AA4"/>
    <mergeCell ref="AB2:AB4"/>
    <mergeCell ref="AC2:AC4"/>
    <mergeCell ref="AD2:AD4"/>
    <mergeCell ref="AE2:AE4"/>
  </mergeCells>
  <phoneticPr fontId="3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A43E2-36EA-4403-A993-69F3AA04382B}">
  <dimension ref="A1:AE162"/>
  <sheetViews>
    <sheetView zoomScale="70" zoomScaleNormal="70" workbookViewId="0">
      <selection activeCell="A131" sqref="A131:S162"/>
    </sheetView>
  </sheetViews>
  <sheetFormatPr defaultRowHeight="12.75"/>
  <cols>
    <col min="22" max="22" width="9.85546875" bestFit="1" customWidth="1"/>
    <col min="27" max="27" width="9.85546875" bestFit="1" customWidth="1"/>
  </cols>
  <sheetData>
    <row r="1" spans="1:31" ht="13.5" customHeight="1">
      <c r="A1" s="131" t="s">
        <v>69</v>
      </c>
      <c r="B1" s="136" t="s">
        <v>110</v>
      </c>
      <c r="C1" s="133" t="s">
        <v>70</v>
      </c>
      <c r="D1" s="133"/>
      <c r="E1" s="133"/>
      <c r="F1" s="133"/>
      <c r="G1" s="134" t="s">
        <v>71</v>
      </c>
      <c r="H1" s="134"/>
      <c r="I1" s="134"/>
      <c r="J1" s="134"/>
      <c r="K1" s="135" t="s">
        <v>72</v>
      </c>
      <c r="L1" s="135"/>
      <c r="M1" s="135"/>
      <c r="N1" s="135"/>
      <c r="O1" s="109" t="s">
        <v>111</v>
      </c>
      <c r="P1" s="109"/>
      <c r="Q1" s="109"/>
      <c r="R1" s="109"/>
      <c r="S1" s="109"/>
      <c r="U1" s="129"/>
      <c r="V1" s="125" t="s">
        <v>114</v>
      </c>
      <c r="W1" s="126"/>
      <c r="X1" s="126"/>
      <c r="Y1" s="126"/>
      <c r="Z1" s="126"/>
      <c r="AA1" s="127" t="s">
        <v>112</v>
      </c>
      <c r="AB1" s="128"/>
      <c r="AC1" s="128"/>
      <c r="AD1" s="128"/>
      <c r="AE1" s="128"/>
    </row>
    <row r="2" spans="1:31" ht="36.75" thickBot="1">
      <c r="A2" s="132"/>
      <c r="B2" s="137"/>
      <c r="C2" s="71" t="s">
        <v>73</v>
      </c>
      <c r="D2" s="71" t="s">
        <v>74</v>
      </c>
      <c r="E2" s="71" t="s">
        <v>75</v>
      </c>
      <c r="F2" s="71" t="s">
        <v>76</v>
      </c>
      <c r="G2" s="71" t="s">
        <v>73</v>
      </c>
      <c r="H2" s="71" t="s">
        <v>74</v>
      </c>
      <c r="I2" s="71" t="s">
        <v>75</v>
      </c>
      <c r="J2" s="71" t="s">
        <v>76</v>
      </c>
      <c r="K2" s="71" t="s">
        <v>73</v>
      </c>
      <c r="L2" s="71" t="s">
        <v>74</v>
      </c>
      <c r="M2" s="71" t="s">
        <v>75</v>
      </c>
      <c r="N2" s="71" t="s">
        <v>76</v>
      </c>
      <c r="O2" s="6" t="s">
        <v>56</v>
      </c>
      <c r="P2" s="71" t="s">
        <v>74</v>
      </c>
      <c r="Q2" s="71" t="s">
        <v>75</v>
      </c>
      <c r="R2" s="71" t="s">
        <v>76</v>
      </c>
      <c r="S2" s="72" t="s">
        <v>113</v>
      </c>
      <c r="T2" s="23"/>
      <c r="U2" s="130"/>
      <c r="V2" s="4">
        <v>2016</v>
      </c>
      <c r="W2" s="4">
        <v>2017</v>
      </c>
      <c r="X2" s="4">
        <v>2018</v>
      </c>
      <c r="Y2" s="4">
        <v>2019</v>
      </c>
      <c r="Z2" s="4">
        <v>2020</v>
      </c>
      <c r="AA2" s="4">
        <v>2016</v>
      </c>
      <c r="AB2" s="4">
        <v>2017</v>
      </c>
      <c r="AC2" s="4">
        <v>2018</v>
      </c>
      <c r="AD2" s="4">
        <v>2019</v>
      </c>
      <c r="AE2" s="4">
        <v>2020</v>
      </c>
    </row>
    <row r="3" spans="1:31">
      <c r="A3" s="46" t="s">
        <v>77</v>
      </c>
      <c r="B3" s="47">
        <v>2016</v>
      </c>
      <c r="C3" s="80">
        <v>1396</v>
      </c>
      <c r="D3" s="80">
        <v>45</v>
      </c>
      <c r="E3" s="80">
        <v>576</v>
      </c>
      <c r="F3" s="80">
        <v>776</v>
      </c>
      <c r="G3" s="80">
        <v>687</v>
      </c>
      <c r="H3" s="80">
        <v>21</v>
      </c>
      <c r="I3" s="80">
        <v>315</v>
      </c>
      <c r="J3" s="80">
        <v>351</v>
      </c>
      <c r="K3" s="80">
        <v>5309</v>
      </c>
      <c r="L3" s="80">
        <v>6197</v>
      </c>
      <c r="M3" s="80">
        <v>5850</v>
      </c>
      <c r="N3" s="80">
        <v>4879</v>
      </c>
      <c r="O3" s="51" cm="1">
        <f t="array" ref="O3">IFERROR(IF(G3&gt;10,G3/C3*0.8769,""),“”)</f>
        <v>0.43154032951289401</v>
      </c>
      <c r="P3" s="51" cm="1">
        <f t="array" ref="P3">IFERROR(IF(H3&gt;10,H3/D3*0.8769,""),“”)</f>
        <v>0.40922000000000003</v>
      </c>
      <c r="Q3" s="51" cm="1">
        <f t="array" ref="Q3">IFERROR(IF(I3&gt;10,I3/E3*0.8769,""),“”)</f>
        <v>0.47955468750000002</v>
      </c>
      <c r="R3" s="51" cm="1">
        <f t="array" ref="R3">IFERROR(IF(J3&gt;10,J3/F3*0.8769,""),“”)</f>
        <v>0.39663904639175257</v>
      </c>
      <c r="S3" s="52">
        <f>IFERROR(IF((G3-I3)&gt;10,(G3-I3)/(C3-E3)*0.8769,""),"")</f>
        <v>0.39781317073170736</v>
      </c>
      <c r="U3" s="37" t="s">
        <v>77</v>
      </c>
      <c r="V3" s="43">
        <f>SUMIFS($K$3:$K$162,$A$3:$A$162,$U3,$B$3:$B$162,V$2)/8760</f>
        <v>0.60605022831050226</v>
      </c>
      <c r="W3" s="43">
        <f t="shared" ref="W3:Z18" si="0">SUMIFS($K$3:$K$162,$A$3:$A$162,$U3,$B$3:$B$162,W$2)/8760</f>
        <v>0.6067351598173516</v>
      </c>
      <c r="X3" s="43">
        <f t="shared" si="0"/>
        <v>0.58961187214611877</v>
      </c>
      <c r="Y3" s="43">
        <f t="shared" si="0"/>
        <v>0.59372146118721458</v>
      </c>
      <c r="Z3" s="43">
        <f t="shared" si="0"/>
        <v>0.5931506849315068</v>
      </c>
      <c r="AA3" s="43">
        <f>SUMIFS($M$3:$M$162,$A$3:$A$162,$U3,$B$3:$B$162,V$2)/8760</f>
        <v>0.6678082191780822</v>
      </c>
      <c r="AB3" s="43">
        <f t="shared" ref="AB3:AE3" si="1">SUMIFS($M$3:$M$162,$A$3:$A$162,$U3,$B$3:$B$162,W$2)/8760</f>
        <v>0.64840182648401823</v>
      </c>
      <c r="AC3" s="43">
        <f t="shared" si="1"/>
        <v>0.67089041095890412</v>
      </c>
      <c r="AD3" s="43">
        <f t="shared" si="1"/>
        <v>0.66563926940639273</v>
      </c>
      <c r="AE3" s="43">
        <f t="shared" si="1"/>
        <v>0.67305936073059358</v>
      </c>
    </row>
    <row r="4" spans="1:31">
      <c r="A4" s="53" t="s">
        <v>78</v>
      </c>
      <c r="B4" s="37">
        <v>2016</v>
      </c>
      <c r="C4" s="24">
        <v>14</v>
      </c>
      <c r="D4" s="24">
        <v>1</v>
      </c>
      <c r="E4" s="24">
        <v>13</v>
      </c>
      <c r="F4" s="25"/>
      <c r="G4" s="24">
        <v>8</v>
      </c>
      <c r="H4" s="24">
        <v>1</v>
      </c>
      <c r="I4" s="24">
        <v>7</v>
      </c>
      <c r="J4" s="25"/>
      <c r="K4" s="24">
        <v>5716</v>
      </c>
      <c r="L4" s="24">
        <v>7496</v>
      </c>
      <c r="M4" s="24">
        <v>5579</v>
      </c>
      <c r="N4" s="25"/>
      <c r="O4" s="43" t="str" cm="1">
        <f t="array" ref="O4">IFERROR(IF(G4&gt;10,G4/C4*0.8769,""),“”)</f>
        <v/>
      </c>
      <c r="P4" s="43" t="str" cm="1">
        <f t="array" ref="P4">IFERROR(IF(H4&gt;10,H4/D4*0.8769,""),“”)</f>
        <v/>
      </c>
      <c r="Q4" s="43" t="str" cm="1">
        <f t="array" ref="Q4">IFERROR(IF(I4&gt;10,I4/E4*0.8769,""),“”)</f>
        <v/>
      </c>
      <c r="R4" s="43" t="str" cm="1">
        <f t="array" ref="R4">IFERROR(IF(J4&gt;10,J4/F4*0.8769,""),“”)</f>
        <v/>
      </c>
      <c r="S4" s="54" t="str">
        <f t="shared" ref="S4:S67" si="2">IFERROR(IF((G4-I4)&gt;10,(G4-I4)/(C4-E4)*0.8769,""),"")</f>
        <v/>
      </c>
      <c r="U4" s="37" t="s">
        <v>78</v>
      </c>
      <c r="V4" s="43">
        <f t="shared" ref="V4:Z34" si="3">SUMIFS($K$3:$K$162,$A$3:$A$162,$U4,$B$3:$B$162,V$2)/8760</f>
        <v>0.65251141552511416</v>
      </c>
      <c r="W4" s="43">
        <f t="shared" si="0"/>
        <v>0.7179223744292238</v>
      </c>
      <c r="X4" s="43">
        <f t="shared" si="0"/>
        <v>0.77100456621004565</v>
      </c>
      <c r="Y4" s="43">
        <f t="shared" si="0"/>
        <v>0.71974885844748859</v>
      </c>
      <c r="Z4" s="43">
        <f t="shared" si="0"/>
        <v>0.72283105022831051</v>
      </c>
      <c r="AA4" s="43">
        <f t="shared" ref="AA4:AA34" si="4">SUMIFS($M$3:$M$162,$A$3:$A$162,$U4,$B$3:$B$162,V$2)/8760</f>
        <v>0.63687214611872145</v>
      </c>
      <c r="AB4" s="43">
        <f t="shared" ref="AB4:AB34" si="5">SUMIFS($M$3:$M$162,$A$3:$A$162,$U4,$B$3:$B$162,W$2)/8760</f>
        <v>0.71221461187214608</v>
      </c>
      <c r="AC4" s="43">
        <f t="shared" ref="AC4:AC34" si="6">SUMIFS($M$3:$M$162,$A$3:$A$162,$U4,$B$3:$B$162,X$2)/8760</f>
        <v>0.77100456621004565</v>
      </c>
      <c r="AD4" s="43">
        <f t="shared" ref="AD4:AD34" si="7">SUMIFS($M$3:$M$162,$A$3:$A$162,$U4,$B$3:$B$162,Y$2)/8760</f>
        <v>0.71974885844748859</v>
      </c>
      <c r="AE4" s="43">
        <f t="shared" ref="AE4:AE34" si="8">SUMIFS($M$3:$M$162,$A$3:$A$162,$U4,$B$3:$B$162,Z$2)/8760</f>
        <v>0.727054794520548</v>
      </c>
    </row>
    <row r="5" spans="1:31">
      <c r="A5" s="53" t="s">
        <v>79</v>
      </c>
      <c r="B5" s="37">
        <v>2016</v>
      </c>
      <c r="C5" s="25">
        <v>10</v>
      </c>
      <c r="D5" s="25"/>
      <c r="E5" s="25">
        <v>10</v>
      </c>
      <c r="F5" s="25"/>
      <c r="G5" s="25">
        <v>5</v>
      </c>
      <c r="H5" s="25"/>
      <c r="I5" s="25">
        <v>5</v>
      </c>
      <c r="J5" s="25"/>
      <c r="K5" s="25">
        <v>4624</v>
      </c>
      <c r="L5" s="25"/>
      <c r="M5" s="25">
        <v>4624</v>
      </c>
      <c r="N5" s="25"/>
      <c r="O5" s="43" t="str" cm="1">
        <f t="array" ref="O5">IFERROR(IF(G5&gt;10,G5/C5*0.8769,""),“”)</f>
        <v/>
      </c>
      <c r="P5" s="43" t="str" cm="1">
        <f t="array" ref="P5">IFERROR(IF(H5&gt;10,H5/D5*0.8769,""),“”)</f>
        <v/>
      </c>
      <c r="Q5" s="43" t="str" cm="1">
        <f t="array" ref="Q5">IFERROR(IF(I5&gt;10,I5/E5*0.8769,""),“”)</f>
        <v/>
      </c>
      <c r="R5" s="43" t="str" cm="1">
        <f t="array" ref="R5">IFERROR(IF(J5&gt;10,J5/F5*0.8769,""),“”)</f>
        <v/>
      </c>
      <c r="S5" s="54" t="str">
        <f t="shared" si="2"/>
        <v/>
      </c>
      <c r="U5" s="37" t="s">
        <v>79</v>
      </c>
      <c r="V5" s="43">
        <f t="shared" si="3"/>
        <v>0.52785388127853883</v>
      </c>
      <c r="W5" s="43">
        <f t="shared" si="0"/>
        <v>0.58310502283105026</v>
      </c>
      <c r="X5" s="43">
        <f t="shared" si="0"/>
        <v>0.65719178082191776</v>
      </c>
      <c r="Y5" s="43">
        <f t="shared" si="0"/>
        <v>0.69714611872146115</v>
      </c>
      <c r="Z5" s="43">
        <f t="shared" si="0"/>
        <v>0.64897260273972601</v>
      </c>
      <c r="AA5" s="43">
        <f t="shared" si="4"/>
        <v>0.52785388127853883</v>
      </c>
      <c r="AB5" s="43">
        <f t="shared" si="5"/>
        <v>0.58310502283105026</v>
      </c>
      <c r="AC5" s="43">
        <f t="shared" si="6"/>
        <v>0.65719178082191776</v>
      </c>
      <c r="AD5" s="43">
        <f t="shared" si="7"/>
        <v>0.65342465753424661</v>
      </c>
      <c r="AE5" s="43">
        <f t="shared" si="8"/>
        <v>0.60296803652968034</v>
      </c>
    </row>
    <row r="6" spans="1:31">
      <c r="A6" s="53" t="s">
        <v>80</v>
      </c>
      <c r="B6" s="37">
        <v>2016</v>
      </c>
      <c r="C6" s="24">
        <v>55</v>
      </c>
      <c r="D6" s="24">
        <v>1</v>
      </c>
      <c r="E6" s="24">
        <v>16</v>
      </c>
      <c r="F6" s="24">
        <v>38</v>
      </c>
      <c r="G6" s="24">
        <v>26</v>
      </c>
      <c r="H6" s="24">
        <v>0</v>
      </c>
      <c r="I6" s="24">
        <v>7</v>
      </c>
      <c r="J6" s="24">
        <v>19</v>
      </c>
      <c r="K6" s="24">
        <v>5406</v>
      </c>
      <c r="L6" s="25"/>
      <c r="M6" s="24">
        <v>4662</v>
      </c>
      <c r="N6" s="24">
        <v>5756</v>
      </c>
      <c r="O6" s="43" cm="1">
        <f t="array" ref="O6">IFERROR(IF(G6&gt;10,G6/C6*0.8769,""),“”)</f>
        <v>0.41453454545454543</v>
      </c>
      <c r="P6" s="43" t="str" cm="1">
        <f t="array" ref="P6">IFERROR(IF(H6&gt;10,H6/D6*0.8769,""),“”)</f>
        <v/>
      </c>
      <c r="Q6" s="43" t="str" cm="1">
        <f t="array" ref="Q6">IFERROR(IF(I6&gt;10,I6/E6*0.8769,""),“”)</f>
        <v/>
      </c>
      <c r="R6" s="43" cm="1">
        <f t="array" ref="R6">IFERROR(IF(J6&gt;10,J6/F6*0.8769,""),“”)</f>
        <v>0.43845000000000001</v>
      </c>
      <c r="S6" s="54">
        <f t="shared" si="2"/>
        <v>0.42720769230769229</v>
      </c>
      <c r="U6" s="37" t="s">
        <v>80</v>
      </c>
      <c r="V6" s="43">
        <f t="shared" si="3"/>
        <v>0.61712328767123292</v>
      </c>
      <c r="W6" s="43">
        <f t="shared" si="0"/>
        <v>0.60513698630136992</v>
      </c>
      <c r="X6" s="43">
        <f t="shared" si="0"/>
        <v>0.60353881278538812</v>
      </c>
      <c r="Y6" s="43">
        <f t="shared" si="0"/>
        <v>0.59029680365296799</v>
      </c>
      <c r="Z6" s="43">
        <f t="shared" si="0"/>
        <v>0.59178082191780823</v>
      </c>
      <c r="AA6" s="43">
        <f t="shared" si="4"/>
        <v>0.53219178082191776</v>
      </c>
      <c r="AB6" s="43">
        <f t="shared" si="5"/>
        <v>0.5245433789954338</v>
      </c>
      <c r="AC6" s="43">
        <f t="shared" si="6"/>
        <v>0.52477168949771691</v>
      </c>
      <c r="AD6" s="43">
        <f t="shared" si="7"/>
        <v>0.56175799086757994</v>
      </c>
      <c r="AE6" s="43">
        <f t="shared" si="8"/>
        <v>0.67009132420091322</v>
      </c>
    </row>
    <row r="7" spans="1:31">
      <c r="A7" s="53" t="s">
        <v>81</v>
      </c>
      <c r="B7" s="37">
        <v>2016</v>
      </c>
      <c r="C7" s="24">
        <v>44</v>
      </c>
      <c r="D7" s="24">
        <v>15</v>
      </c>
      <c r="E7" s="24">
        <v>11</v>
      </c>
      <c r="F7" s="24">
        <v>19</v>
      </c>
      <c r="G7" s="24">
        <v>22</v>
      </c>
      <c r="H7" s="24">
        <v>5</v>
      </c>
      <c r="I7" s="24">
        <v>6</v>
      </c>
      <c r="J7" s="24">
        <v>11</v>
      </c>
      <c r="K7" s="24">
        <v>5867</v>
      </c>
      <c r="L7" s="25"/>
      <c r="M7" s="24">
        <v>5768</v>
      </c>
      <c r="N7" s="24">
        <v>5924</v>
      </c>
      <c r="O7" s="43" cm="1">
        <f t="array" ref="O7">IFERROR(IF(G7&gt;10,G7/C7*0.8769,""),“”)</f>
        <v>0.43845000000000001</v>
      </c>
      <c r="P7" s="43" t="str" cm="1">
        <f t="array" ref="P7">IFERROR(IF(H7&gt;10,H7/D7*0.8769,""),“”)</f>
        <v/>
      </c>
      <c r="Q7" s="43" t="str" cm="1">
        <f t="array" ref="Q7">IFERROR(IF(I7&gt;10,I7/E7*0.8769,""),“”)</f>
        <v/>
      </c>
      <c r="R7" s="43" cm="1">
        <f t="array" ref="R7">IFERROR(IF(J7&gt;10,J7/F7*0.8769,""),“”)</f>
        <v>0.50767894736842112</v>
      </c>
      <c r="S7" s="54">
        <f t="shared" si="2"/>
        <v>0.42516363636363635</v>
      </c>
      <c r="U7" s="37" t="s">
        <v>81</v>
      </c>
      <c r="V7" s="43">
        <f t="shared" si="3"/>
        <v>0.66974885844748855</v>
      </c>
      <c r="W7" s="43">
        <f t="shared" si="0"/>
        <v>0.6440639269406393</v>
      </c>
      <c r="X7" s="43">
        <f t="shared" si="0"/>
        <v>0.62853881278538815</v>
      </c>
      <c r="Y7" s="43">
        <f t="shared" si="0"/>
        <v>0.64269406392694062</v>
      </c>
      <c r="Z7" s="43">
        <f t="shared" si="0"/>
        <v>0.56803652968036533</v>
      </c>
      <c r="AA7" s="43">
        <f t="shared" si="4"/>
        <v>0.65844748858447488</v>
      </c>
      <c r="AB7" s="43">
        <f t="shared" si="5"/>
        <v>0.58162100456621002</v>
      </c>
      <c r="AC7" s="43">
        <f t="shared" si="6"/>
        <v>0.61529680365296802</v>
      </c>
      <c r="AD7" s="43">
        <f t="shared" si="7"/>
        <v>0.59851598173515985</v>
      </c>
      <c r="AE7" s="43">
        <f t="shared" si="8"/>
        <v>0.5046803652968036</v>
      </c>
    </row>
    <row r="8" spans="1:31">
      <c r="A8" s="53" t="s">
        <v>82</v>
      </c>
      <c r="B8" s="37">
        <v>2016</v>
      </c>
      <c r="C8" s="24">
        <v>16</v>
      </c>
      <c r="D8" s="25"/>
      <c r="E8" s="24">
        <v>4</v>
      </c>
      <c r="F8" s="24">
        <v>12</v>
      </c>
      <c r="G8" s="24">
        <v>7</v>
      </c>
      <c r="H8" s="25"/>
      <c r="I8" s="24">
        <v>1</v>
      </c>
      <c r="J8" s="24">
        <v>7</v>
      </c>
      <c r="K8" s="24">
        <v>4672</v>
      </c>
      <c r="L8" s="25"/>
      <c r="M8" s="24">
        <v>2040</v>
      </c>
      <c r="N8" s="24">
        <v>5455</v>
      </c>
      <c r="O8" s="43" t="str" cm="1">
        <f t="array" ref="O8">IFERROR(IF(G8&gt;10,G8/C8*0.8769,""),“”)</f>
        <v/>
      </c>
      <c r="P8" s="43" t="str" cm="1">
        <f t="array" ref="P8">IFERROR(IF(H8&gt;10,H8/D8*0.8769,""),“”)</f>
        <v/>
      </c>
      <c r="Q8" s="43" t="str" cm="1">
        <f t="array" ref="Q8">IFERROR(IF(I8&gt;10,I8/E8*0.8769,""),“”)</f>
        <v/>
      </c>
      <c r="R8" s="43" t="str" cm="1">
        <f t="array" ref="R8">IFERROR(IF(J8&gt;10,J8/F8*0.8769,""),“”)</f>
        <v/>
      </c>
      <c r="S8" s="54" t="str">
        <f t="shared" si="2"/>
        <v/>
      </c>
      <c r="U8" s="37" t="s">
        <v>82</v>
      </c>
      <c r="V8" s="43">
        <f t="shared" si="3"/>
        <v>0.53333333333333333</v>
      </c>
      <c r="W8" s="43">
        <f t="shared" si="0"/>
        <v>0.53333333333333333</v>
      </c>
      <c r="X8" s="43">
        <f t="shared" si="0"/>
        <v>0.471689497716895</v>
      </c>
      <c r="Y8" s="43">
        <f t="shared" si="0"/>
        <v>0.47534246575342465</v>
      </c>
      <c r="Z8" s="43">
        <f t="shared" si="0"/>
        <v>0.4014840182648402</v>
      </c>
      <c r="AA8" s="43">
        <f t="shared" si="4"/>
        <v>0.23287671232876711</v>
      </c>
      <c r="AB8" s="43">
        <f t="shared" si="5"/>
        <v>0.23287671232876711</v>
      </c>
      <c r="AC8" s="43">
        <f t="shared" si="6"/>
        <v>0.32979452054794522</v>
      </c>
      <c r="AD8" s="43">
        <f t="shared" si="7"/>
        <v>0.41084474885844746</v>
      </c>
      <c r="AE8" s="43">
        <f t="shared" si="8"/>
        <v>0.43538812785388126</v>
      </c>
    </row>
    <row r="9" spans="1:31">
      <c r="A9" s="53" t="s">
        <v>83</v>
      </c>
      <c r="B9" s="37">
        <v>2016</v>
      </c>
      <c r="C9" s="24">
        <v>8</v>
      </c>
      <c r="D9" s="25"/>
      <c r="E9" s="24">
        <v>3</v>
      </c>
      <c r="F9" s="24">
        <v>5</v>
      </c>
      <c r="G9" s="24">
        <v>6</v>
      </c>
      <c r="H9" s="25"/>
      <c r="I9" s="24">
        <v>2</v>
      </c>
      <c r="J9" s="24">
        <v>3</v>
      </c>
      <c r="K9" s="24">
        <v>7046</v>
      </c>
      <c r="L9" s="25"/>
      <c r="M9" s="24">
        <v>7993</v>
      </c>
      <c r="N9" s="24">
        <v>6601</v>
      </c>
      <c r="O9" s="43" t="str" cm="1">
        <f t="array" ref="O9">IFERROR(IF(G9&gt;10,G9/C9*0.8769,""),“”)</f>
        <v/>
      </c>
      <c r="P9" s="43" t="str" cm="1">
        <f t="array" ref="P9">IFERROR(IF(H9&gt;10,H9/D9*0.8769,""),“”)</f>
        <v/>
      </c>
      <c r="Q9" s="43" t="str" cm="1">
        <f t="array" ref="Q9">IFERROR(IF(I9&gt;10,I9/E9*0.8769,""),“”)</f>
        <v/>
      </c>
      <c r="R9" s="43" t="str" cm="1">
        <f t="array" ref="R9">IFERROR(IF(J9&gt;10,J9/F9*0.8769,""),“”)</f>
        <v/>
      </c>
      <c r="S9" s="54" t="str">
        <f t="shared" si="2"/>
        <v/>
      </c>
      <c r="U9" s="37" t="s">
        <v>83</v>
      </c>
      <c r="V9" s="43">
        <f t="shared" si="3"/>
        <v>0.80433789954337898</v>
      </c>
      <c r="W9" s="43">
        <f t="shared" si="0"/>
        <v>0.7171232876712329</v>
      </c>
      <c r="X9" s="43">
        <f t="shared" si="0"/>
        <v>0.71723744292237446</v>
      </c>
      <c r="Y9" s="43">
        <f t="shared" si="0"/>
        <v>0.6662100456621004</v>
      </c>
      <c r="Z9" s="43">
        <f t="shared" si="0"/>
        <v>0.69577625570776258</v>
      </c>
      <c r="AA9" s="43">
        <f t="shared" si="4"/>
        <v>0.91244292237442925</v>
      </c>
      <c r="AB9" s="43">
        <f t="shared" si="5"/>
        <v>0.71506849315068488</v>
      </c>
      <c r="AC9" s="43">
        <f t="shared" si="6"/>
        <v>0.76735159817351595</v>
      </c>
      <c r="AD9" s="43">
        <f t="shared" si="7"/>
        <v>0.72283105022831051</v>
      </c>
      <c r="AE9" s="43">
        <f t="shared" si="8"/>
        <v>0.80399543378995431</v>
      </c>
    </row>
    <row r="10" spans="1:31">
      <c r="A10" s="53" t="s">
        <v>84</v>
      </c>
      <c r="B10" s="37">
        <v>2016</v>
      </c>
      <c r="C10" s="24">
        <v>52</v>
      </c>
      <c r="D10" s="24">
        <v>0</v>
      </c>
      <c r="E10" s="24">
        <v>12</v>
      </c>
      <c r="F10" s="24">
        <v>40</v>
      </c>
      <c r="G10" s="24">
        <v>28</v>
      </c>
      <c r="H10" s="24">
        <v>0</v>
      </c>
      <c r="I10" s="24">
        <v>4</v>
      </c>
      <c r="J10" s="24">
        <v>23</v>
      </c>
      <c r="K10" s="24">
        <v>5511</v>
      </c>
      <c r="L10" s="25"/>
      <c r="M10" s="24">
        <v>3926</v>
      </c>
      <c r="N10" s="24">
        <v>5938</v>
      </c>
      <c r="O10" s="43" cm="1">
        <f t="array" ref="O10">IFERROR(IF(G10&gt;10,G10/C10*0.8769,""),“”)</f>
        <v>0.47217692307692305</v>
      </c>
      <c r="P10" s="43" t="str" cm="1">
        <f t="array" ref="P10">IFERROR(IF(H10&gt;10,H10/D10*0.8769,""),“”)</f>
        <v/>
      </c>
      <c r="Q10" s="43" t="str" cm="1">
        <f t="array" ref="Q10">IFERROR(IF(I10&gt;10,I10/E10*0.8769,""),“”)</f>
        <v/>
      </c>
      <c r="R10" s="43" cm="1">
        <f t="array" ref="R10">IFERROR(IF(J10&gt;10,J10/F10*0.8769,""),“”)</f>
        <v>0.50421749999999999</v>
      </c>
      <c r="S10" s="54">
        <f t="shared" si="2"/>
        <v>0.52613999999999994</v>
      </c>
      <c r="U10" s="37" t="s">
        <v>84</v>
      </c>
      <c r="V10" s="43">
        <f t="shared" si="3"/>
        <v>0.62910958904109593</v>
      </c>
      <c r="W10" s="43">
        <f t="shared" si="0"/>
        <v>0.6095890410958904</v>
      </c>
      <c r="X10" s="43">
        <f t="shared" si="0"/>
        <v>0.52226027397260277</v>
      </c>
      <c r="Y10" s="43">
        <f t="shared" si="0"/>
        <v>0.57157534246575348</v>
      </c>
      <c r="Z10" s="43">
        <f t="shared" si="0"/>
        <v>0.50216894977168947</v>
      </c>
      <c r="AA10" s="43">
        <f t="shared" si="4"/>
        <v>0.44817351598173516</v>
      </c>
      <c r="AB10" s="43">
        <f t="shared" si="5"/>
        <v>0.50251141552511414</v>
      </c>
      <c r="AC10" s="43">
        <f t="shared" si="6"/>
        <v>0.4672374429223744</v>
      </c>
      <c r="AD10" s="43">
        <f t="shared" si="7"/>
        <v>0.56609589041095887</v>
      </c>
      <c r="AE10" s="43">
        <f t="shared" si="8"/>
        <v>0.58184931506849313</v>
      </c>
    </row>
    <row r="11" spans="1:31">
      <c r="A11" s="53" t="s">
        <v>85</v>
      </c>
      <c r="B11" s="37">
        <v>2016</v>
      </c>
      <c r="C11" s="24">
        <v>80</v>
      </c>
      <c r="D11" s="24">
        <v>0</v>
      </c>
      <c r="E11" s="24">
        <v>7</v>
      </c>
      <c r="F11" s="24">
        <v>73</v>
      </c>
      <c r="G11" s="24">
        <v>39</v>
      </c>
      <c r="H11" s="24">
        <v>0</v>
      </c>
      <c r="I11" s="24">
        <v>2</v>
      </c>
      <c r="J11" s="24">
        <v>37</v>
      </c>
      <c r="K11" s="24">
        <v>5648</v>
      </c>
      <c r="L11" s="25"/>
      <c r="M11" s="24">
        <v>3750</v>
      </c>
      <c r="N11" s="24">
        <v>5828</v>
      </c>
      <c r="O11" s="43" cm="1">
        <f t="array" ref="O11">IFERROR(IF(G11&gt;10,G11/C11*0.8769,""),“”)</f>
        <v>0.42748874999999997</v>
      </c>
      <c r="P11" s="43" t="str" cm="1">
        <f t="array" ref="P11">IFERROR(IF(H11&gt;10,H11/D11*0.8769,""),“”)</f>
        <v/>
      </c>
      <c r="Q11" s="43" t="str" cm="1">
        <f t="array" ref="Q11">IFERROR(IF(I11&gt;10,I11/E11*0.8769,""),“”)</f>
        <v/>
      </c>
      <c r="R11" s="43" cm="1">
        <f t="array" ref="R11">IFERROR(IF(J11&gt;10,J11/F11*0.8769,""),“”)</f>
        <v>0.44445616438356167</v>
      </c>
      <c r="S11" s="54">
        <f t="shared" si="2"/>
        <v>0.44445616438356167</v>
      </c>
      <c r="U11" s="37" t="s">
        <v>85</v>
      </c>
      <c r="V11" s="43">
        <f t="shared" si="3"/>
        <v>0.64474885844748864</v>
      </c>
      <c r="W11" s="43">
        <f t="shared" si="0"/>
        <v>0.61929223744292239</v>
      </c>
      <c r="X11" s="43">
        <f t="shared" si="0"/>
        <v>0.64121004566210049</v>
      </c>
      <c r="Y11" s="43">
        <f t="shared" si="0"/>
        <v>0.64429223744292241</v>
      </c>
      <c r="Z11" s="43">
        <f t="shared" si="0"/>
        <v>0.63356164383561642</v>
      </c>
      <c r="AA11" s="43">
        <f t="shared" si="4"/>
        <v>0.42808219178082191</v>
      </c>
      <c r="AB11" s="43">
        <f t="shared" si="5"/>
        <v>0.45844748858447487</v>
      </c>
      <c r="AC11" s="43">
        <f t="shared" si="6"/>
        <v>0.39554794520547948</v>
      </c>
      <c r="AD11" s="43">
        <f t="shared" si="7"/>
        <v>0.44988584474885845</v>
      </c>
      <c r="AE11" s="43">
        <f t="shared" si="8"/>
        <v>0.50091324200913245</v>
      </c>
    </row>
    <row r="12" spans="1:31">
      <c r="A12" s="53" t="s">
        <v>86</v>
      </c>
      <c r="B12" s="37">
        <v>2016</v>
      </c>
      <c r="C12" s="24">
        <v>24</v>
      </c>
      <c r="D12" s="24">
        <v>2</v>
      </c>
      <c r="E12" s="24">
        <v>22</v>
      </c>
      <c r="F12" s="25"/>
      <c r="G12" s="24">
        <v>15</v>
      </c>
      <c r="H12" s="24">
        <v>1</v>
      </c>
      <c r="I12" s="24">
        <v>14</v>
      </c>
      <c r="J12" s="25"/>
      <c r="K12" s="24">
        <v>7156</v>
      </c>
      <c r="L12" s="24">
        <v>7213</v>
      </c>
      <c r="M12" s="24">
        <v>7152</v>
      </c>
      <c r="N12" s="25"/>
      <c r="O12" s="43" cm="1">
        <f t="array" ref="O12">IFERROR(IF(G12&gt;10,G12/C12*0.8769,""),“”)</f>
        <v>0.54806250000000001</v>
      </c>
      <c r="P12" s="43" t="str" cm="1">
        <f t="array" ref="P12">IFERROR(IF(H12&gt;10,H12/D12*0.8769,""),“”)</f>
        <v/>
      </c>
      <c r="Q12" s="43" cm="1">
        <f t="array" ref="Q12">IFERROR(IF(I12&gt;10,I12/E12*0.8769,""),“”)</f>
        <v>0.55802727272727271</v>
      </c>
      <c r="R12" s="43" t="str" cm="1">
        <f t="array" ref="R12">IFERROR(IF(J12&gt;10,J12/F12*0.8769,""),“”)</f>
        <v/>
      </c>
      <c r="S12" s="54" t="str">
        <f t="shared" si="2"/>
        <v/>
      </c>
      <c r="U12" s="37" t="s">
        <v>86</v>
      </c>
      <c r="V12" s="43">
        <f t="shared" si="3"/>
        <v>0.81689497716894977</v>
      </c>
      <c r="W12" s="43">
        <f t="shared" si="0"/>
        <v>0.8285388127853881</v>
      </c>
      <c r="X12" s="43">
        <f t="shared" si="0"/>
        <v>0.83755707762557075</v>
      </c>
      <c r="Y12" s="43">
        <f t="shared" si="0"/>
        <v>0.88127853881278539</v>
      </c>
      <c r="Z12" s="43">
        <f t="shared" si="0"/>
        <v>0.88687214611872145</v>
      </c>
      <c r="AA12" s="43">
        <f t="shared" si="4"/>
        <v>0.81643835616438354</v>
      </c>
      <c r="AB12" s="43">
        <f t="shared" si="5"/>
        <v>0.83550228310502284</v>
      </c>
      <c r="AC12" s="43">
        <f t="shared" si="6"/>
        <v>0.8439497716894977</v>
      </c>
      <c r="AD12" s="43">
        <f t="shared" si="7"/>
        <v>0.88401826484018264</v>
      </c>
      <c r="AE12" s="43">
        <f t="shared" si="8"/>
        <v>0.89086757990867582</v>
      </c>
    </row>
    <row r="13" spans="1:31">
      <c r="A13" s="53" t="s">
        <v>87</v>
      </c>
      <c r="B13" s="37">
        <v>2016</v>
      </c>
      <c r="C13" s="24">
        <v>125</v>
      </c>
      <c r="D13" s="24">
        <v>2</v>
      </c>
      <c r="E13" s="24">
        <v>79</v>
      </c>
      <c r="F13" s="24">
        <v>44</v>
      </c>
      <c r="G13" s="24">
        <v>81</v>
      </c>
      <c r="H13" s="24">
        <v>1</v>
      </c>
      <c r="I13" s="24">
        <v>50</v>
      </c>
      <c r="J13" s="24">
        <v>30</v>
      </c>
      <c r="K13" s="24">
        <v>6841</v>
      </c>
      <c r="L13" s="24">
        <v>7835</v>
      </c>
      <c r="M13" s="24">
        <v>6670</v>
      </c>
      <c r="N13" s="24">
        <v>7129</v>
      </c>
      <c r="O13" s="43" cm="1">
        <f t="array" ref="O13">IFERROR(IF(G13&gt;10,G13/C13*0.8769,""),“”)</f>
        <v>0.56823120000000005</v>
      </c>
      <c r="P13" s="43" t="str" cm="1">
        <f t="array" ref="P13">IFERROR(IF(H13&gt;10,H13/D13*0.8769,""),“”)</f>
        <v/>
      </c>
      <c r="Q13" s="43" cm="1">
        <f t="array" ref="Q13">IFERROR(IF(I13&gt;10,I13/E13*0.8769,""),“”)</f>
        <v>0.55500000000000005</v>
      </c>
      <c r="R13" s="43" cm="1">
        <f t="array" ref="R13">IFERROR(IF(J13&gt;10,J13/F13*0.8769,""),“”)</f>
        <v>0.5978863636363636</v>
      </c>
      <c r="S13" s="54">
        <f t="shared" si="2"/>
        <v>0.59095434782608691</v>
      </c>
      <c r="U13" s="37" t="s">
        <v>87</v>
      </c>
      <c r="V13" s="43">
        <f t="shared" si="3"/>
        <v>0.78093607305936075</v>
      </c>
      <c r="W13" s="43">
        <f t="shared" si="0"/>
        <v>0.76472602739726026</v>
      </c>
      <c r="X13" s="43">
        <f t="shared" si="0"/>
        <v>0.71495433789954332</v>
      </c>
      <c r="Y13" s="43">
        <f t="shared" si="0"/>
        <v>0.73835616438356166</v>
      </c>
      <c r="Z13" s="43">
        <f t="shared" si="0"/>
        <v>0.67922374429223742</v>
      </c>
      <c r="AA13" s="43">
        <f t="shared" si="4"/>
        <v>0.76141552511415522</v>
      </c>
      <c r="AB13" s="43">
        <f t="shared" si="5"/>
        <v>0.75011415525114156</v>
      </c>
      <c r="AC13" s="43">
        <f t="shared" si="6"/>
        <v>0.73230593607305938</v>
      </c>
      <c r="AD13" s="43">
        <f t="shared" si="7"/>
        <v>0.76130136986301367</v>
      </c>
      <c r="AE13" s="43">
        <f t="shared" si="8"/>
        <v>0.69086757990867576</v>
      </c>
    </row>
    <row r="14" spans="1:31">
      <c r="A14" s="53" t="s">
        <v>88</v>
      </c>
      <c r="B14" s="37">
        <v>2016</v>
      </c>
      <c r="C14" s="24">
        <v>122</v>
      </c>
      <c r="D14" s="24">
        <v>1</v>
      </c>
      <c r="E14" s="24">
        <v>102</v>
      </c>
      <c r="F14" s="24">
        <v>19</v>
      </c>
      <c r="G14" s="24">
        <v>71</v>
      </c>
      <c r="H14" s="24">
        <v>1</v>
      </c>
      <c r="I14" s="24">
        <v>61</v>
      </c>
      <c r="J14" s="24">
        <v>9</v>
      </c>
      <c r="K14" s="24">
        <v>6195</v>
      </c>
      <c r="L14" s="25"/>
      <c r="M14" s="24">
        <v>6379</v>
      </c>
      <c r="N14" s="24">
        <v>5184</v>
      </c>
      <c r="O14" s="43" cm="1">
        <f t="array" ref="O14">IFERROR(IF(G14&gt;10,G14/C14*0.8769,""),“”)</f>
        <v>0.5103270491803279</v>
      </c>
      <c r="P14" s="43" t="str" cm="1">
        <f t="array" ref="P14">IFERROR(IF(H14&gt;10,H14/D14*0.8769,""),“”)</f>
        <v/>
      </c>
      <c r="Q14" s="43" cm="1">
        <f t="array" ref="Q14">IFERROR(IF(I14&gt;10,I14/E14*0.8769,""),“”)</f>
        <v>0.52442058823529414</v>
      </c>
      <c r="R14" s="43" t="str" cm="1">
        <f t="array" ref="R14">IFERROR(IF(J14&gt;10,J14/F14*0.8769,""),“”)</f>
        <v/>
      </c>
      <c r="S14" s="54" t="str">
        <f t="shared" si="2"/>
        <v/>
      </c>
      <c r="U14" s="37" t="s">
        <v>88</v>
      </c>
      <c r="V14" s="43">
        <f t="shared" si="3"/>
        <v>0.7071917808219178</v>
      </c>
      <c r="W14" s="43">
        <f t="shared" si="0"/>
        <v>0.647945205479452</v>
      </c>
      <c r="X14" s="43">
        <f t="shared" si="0"/>
        <v>0.65764840182648399</v>
      </c>
      <c r="Y14" s="43">
        <f t="shared" si="0"/>
        <v>0.6607305936073059</v>
      </c>
      <c r="Z14" s="43">
        <f t="shared" si="0"/>
        <v>0.61381278538812789</v>
      </c>
      <c r="AA14" s="43">
        <f t="shared" si="4"/>
        <v>0.72819634703196345</v>
      </c>
      <c r="AB14" s="43">
        <f t="shared" si="5"/>
        <v>0.64885844748858446</v>
      </c>
      <c r="AC14" s="43">
        <f t="shared" si="6"/>
        <v>0.66038812785388123</v>
      </c>
      <c r="AD14" s="43">
        <f t="shared" si="7"/>
        <v>0.66917808219178088</v>
      </c>
      <c r="AE14" s="43">
        <f t="shared" si="8"/>
        <v>0.60913242009132418</v>
      </c>
    </row>
    <row r="15" spans="1:31">
      <c r="A15" s="53" t="s">
        <v>89</v>
      </c>
      <c r="B15" s="37">
        <v>2016</v>
      </c>
      <c r="C15" s="24">
        <v>95</v>
      </c>
      <c r="D15" s="24">
        <v>1</v>
      </c>
      <c r="E15" s="24">
        <v>29</v>
      </c>
      <c r="F15" s="24">
        <v>66</v>
      </c>
      <c r="G15" s="24">
        <v>55</v>
      </c>
      <c r="H15" s="24">
        <v>0</v>
      </c>
      <c r="I15" s="24">
        <v>17</v>
      </c>
      <c r="J15" s="24">
        <v>38</v>
      </c>
      <c r="K15" s="24">
        <v>6275</v>
      </c>
      <c r="L15" s="25"/>
      <c r="M15" s="24">
        <v>6393</v>
      </c>
      <c r="N15" s="24">
        <v>6227</v>
      </c>
      <c r="O15" s="43" cm="1">
        <f t="array" ref="O15">IFERROR(IF(G15&gt;10,G15/C15*0.8769,""),“”)</f>
        <v>0.50767894736842112</v>
      </c>
      <c r="P15" s="43" t="str" cm="1">
        <f t="array" ref="P15">IFERROR(IF(H15&gt;10,H15/D15*0.8769,""),“”)</f>
        <v/>
      </c>
      <c r="Q15" s="43" cm="1">
        <f t="array" ref="Q15">IFERROR(IF(I15&gt;10,I15/E15*0.8769,""),“”)</f>
        <v>0.51404482758620684</v>
      </c>
      <c r="R15" s="43" cm="1">
        <f t="array" ref="R15">IFERROR(IF(J15&gt;10,J15/F15*0.8769,""),“”)</f>
        <v>0.50488181818181821</v>
      </c>
      <c r="S15" s="54">
        <f t="shared" si="2"/>
        <v>0.50488181818181821</v>
      </c>
      <c r="U15" s="37" t="s">
        <v>89</v>
      </c>
      <c r="V15" s="43">
        <f t="shared" si="3"/>
        <v>0.716324200913242</v>
      </c>
      <c r="W15" s="43">
        <f t="shared" si="0"/>
        <v>0.72956621004566213</v>
      </c>
      <c r="X15" s="43">
        <f t="shared" si="0"/>
        <v>0.57796803652968032</v>
      </c>
      <c r="Y15" s="43">
        <f t="shared" si="0"/>
        <v>0.63356164383561642</v>
      </c>
      <c r="Z15" s="43">
        <f t="shared" si="0"/>
        <v>0.63276255707762552</v>
      </c>
      <c r="AA15" s="43">
        <f t="shared" si="4"/>
        <v>0.72979452054794525</v>
      </c>
      <c r="AB15" s="43">
        <f t="shared" si="5"/>
        <v>0.63584474885844744</v>
      </c>
      <c r="AC15" s="43">
        <f t="shared" si="6"/>
        <v>0.62340182648401832</v>
      </c>
      <c r="AD15" s="43">
        <f t="shared" si="7"/>
        <v>0.66449771689497716</v>
      </c>
      <c r="AE15" s="43">
        <f t="shared" si="8"/>
        <v>0.69509132420091324</v>
      </c>
    </row>
    <row r="16" spans="1:31">
      <c r="A16" s="53" t="s">
        <v>90</v>
      </c>
      <c r="B16" s="37">
        <v>2016</v>
      </c>
      <c r="C16" s="24">
        <v>36</v>
      </c>
      <c r="D16" s="24">
        <v>1</v>
      </c>
      <c r="E16" s="24">
        <v>30</v>
      </c>
      <c r="F16" s="24">
        <v>5</v>
      </c>
      <c r="G16" s="24">
        <v>22</v>
      </c>
      <c r="H16" s="24">
        <v>0</v>
      </c>
      <c r="I16" s="24">
        <v>19</v>
      </c>
      <c r="J16" s="24">
        <v>3</v>
      </c>
      <c r="K16" s="24">
        <v>6102</v>
      </c>
      <c r="L16" s="25"/>
      <c r="M16" s="24">
        <v>6212</v>
      </c>
      <c r="N16" s="24">
        <v>5496</v>
      </c>
      <c r="O16" s="43" cm="1">
        <f t="array" ref="O16">IFERROR(IF(G16&gt;10,G16/C16*0.8769,""),“”)</f>
        <v>0.53588333333333338</v>
      </c>
      <c r="P16" s="43" t="str" cm="1">
        <f t="array" ref="P16">IFERROR(IF(H16&gt;10,H16/D16*0.8769,""),“”)</f>
        <v/>
      </c>
      <c r="Q16" s="43" cm="1">
        <f t="array" ref="Q16">IFERROR(IF(I16&gt;10,I16/E16*0.8769,""),“”)</f>
        <v>0.55537000000000003</v>
      </c>
      <c r="R16" s="43" t="str" cm="1">
        <f t="array" ref="R16">IFERROR(IF(J16&gt;10,J16/F16*0.8769,""),“”)</f>
        <v/>
      </c>
      <c r="S16" s="54" t="str">
        <f t="shared" si="2"/>
        <v/>
      </c>
      <c r="U16" s="37" t="s">
        <v>90</v>
      </c>
      <c r="V16" s="43">
        <f t="shared" si="3"/>
        <v>0.69657534246575348</v>
      </c>
      <c r="W16" s="43">
        <f t="shared" si="0"/>
        <v>0.70022831050228307</v>
      </c>
      <c r="X16" s="43">
        <f t="shared" si="0"/>
        <v>0.69269406392694066</v>
      </c>
      <c r="Y16" s="43">
        <f t="shared" si="0"/>
        <v>0.68504566210045659</v>
      </c>
      <c r="Z16" s="43">
        <f t="shared" si="0"/>
        <v>0.69600456621004569</v>
      </c>
      <c r="AA16" s="43">
        <f t="shared" si="4"/>
        <v>0.70913242009132416</v>
      </c>
      <c r="AB16" s="43">
        <f t="shared" si="5"/>
        <v>0.71084474885844751</v>
      </c>
      <c r="AC16" s="43">
        <f t="shared" si="6"/>
        <v>0.69577625570776258</v>
      </c>
      <c r="AD16" s="43">
        <f t="shared" si="7"/>
        <v>0.6834474885844749</v>
      </c>
      <c r="AE16" s="43">
        <f t="shared" si="8"/>
        <v>0.70331050228310499</v>
      </c>
    </row>
    <row r="17" spans="1:31">
      <c r="A17" s="53" t="s">
        <v>91</v>
      </c>
      <c r="B17" s="37">
        <v>2016</v>
      </c>
      <c r="C17" s="24">
        <v>28</v>
      </c>
      <c r="D17" s="24">
        <v>0</v>
      </c>
      <c r="E17" s="24">
        <v>7</v>
      </c>
      <c r="F17" s="24">
        <v>20</v>
      </c>
      <c r="G17" s="24">
        <v>13</v>
      </c>
      <c r="H17" s="24">
        <v>0</v>
      </c>
      <c r="I17" s="24">
        <v>2</v>
      </c>
      <c r="J17" s="24">
        <v>11</v>
      </c>
      <c r="K17" s="24">
        <v>5313</v>
      </c>
      <c r="L17" s="25"/>
      <c r="M17" s="24">
        <v>3684</v>
      </c>
      <c r="N17" s="24">
        <v>5664</v>
      </c>
      <c r="O17" s="43" cm="1">
        <f t="array" ref="O17">IFERROR(IF(G17&gt;10,G17/C17*0.8769,""),“”)</f>
        <v>0.40713214285714289</v>
      </c>
      <c r="P17" s="43" t="str" cm="1">
        <f t="array" ref="P17">IFERROR(IF(H17&gt;10,H17/D17*0.8769,""),“”)</f>
        <v/>
      </c>
      <c r="Q17" s="43" t="str" cm="1">
        <f t="array" ref="Q17">IFERROR(IF(I17&gt;10,I17/E17*0.8769,""),“”)</f>
        <v/>
      </c>
      <c r="R17" s="43" cm="1">
        <f t="array" ref="R17">IFERROR(IF(J17&gt;10,J17/F17*0.8769,""),“”)</f>
        <v>0.48229500000000003</v>
      </c>
      <c r="S17" s="54">
        <f t="shared" si="2"/>
        <v>0.45932857142857147</v>
      </c>
      <c r="U17" s="37" t="s">
        <v>91</v>
      </c>
      <c r="V17" s="43">
        <f t="shared" si="3"/>
        <v>0.60650684931506849</v>
      </c>
      <c r="W17" s="43">
        <f t="shared" si="0"/>
        <v>0.69771689497716893</v>
      </c>
      <c r="X17" s="43">
        <f t="shared" si="0"/>
        <v>0.52226027397260277</v>
      </c>
      <c r="Y17" s="43">
        <f t="shared" si="0"/>
        <v>0.57888127853881277</v>
      </c>
      <c r="Z17" s="43">
        <f t="shared" si="0"/>
        <v>0.57739726027397265</v>
      </c>
      <c r="AA17" s="43">
        <f t="shared" si="4"/>
        <v>0.42054794520547945</v>
      </c>
      <c r="AB17" s="43">
        <f t="shared" si="5"/>
        <v>0.46369863013698631</v>
      </c>
      <c r="AC17" s="43">
        <f t="shared" si="6"/>
        <v>0.59463470319634704</v>
      </c>
      <c r="AD17" s="43">
        <f t="shared" si="7"/>
        <v>0.66461187214611872</v>
      </c>
      <c r="AE17" s="43">
        <f t="shared" si="8"/>
        <v>0.62648401826484024</v>
      </c>
    </row>
    <row r="18" spans="1:31">
      <c r="A18" s="53" t="s">
        <v>92</v>
      </c>
      <c r="B18" s="37">
        <v>2016</v>
      </c>
      <c r="C18" s="24">
        <v>179</v>
      </c>
      <c r="D18" s="24">
        <v>6</v>
      </c>
      <c r="E18" s="24">
        <v>56</v>
      </c>
      <c r="F18" s="24">
        <v>117</v>
      </c>
      <c r="G18" s="24">
        <v>89</v>
      </c>
      <c r="H18" s="24">
        <v>3</v>
      </c>
      <c r="I18" s="24">
        <v>27</v>
      </c>
      <c r="J18" s="24">
        <v>59</v>
      </c>
      <c r="K18" s="24">
        <v>5521</v>
      </c>
      <c r="L18" s="24">
        <v>6498</v>
      </c>
      <c r="M18" s="24">
        <v>4883</v>
      </c>
      <c r="N18" s="24">
        <v>5818</v>
      </c>
      <c r="O18" s="43" cm="1">
        <f t="array" ref="O18">IFERROR(IF(G18&gt;10,G18/C18*0.8769,""),“”)</f>
        <v>0.43600055865921789</v>
      </c>
      <c r="P18" s="43" t="str" cm="1">
        <f t="array" ref="P18">IFERROR(IF(H18&gt;10,H18/D18*0.8769,""),“”)</f>
        <v/>
      </c>
      <c r="Q18" s="43" cm="1">
        <f t="array" ref="Q18">IFERROR(IF(I18&gt;10,I18/E18*0.8769,""),“”)</f>
        <v>0.42279107142857142</v>
      </c>
      <c r="R18" s="43" cm="1">
        <f t="array" ref="R18">IFERROR(IF(J18&gt;10,J18/F18*0.8769,""),“”)</f>
        <v>0.44219743589743588</v>
      </c>
      <c r="S18" s="54">
        <f t="shared" si="2"/>
        <v>0.44201463414634146</v>
      </c>
      <c r="U18" s="37" t="s">
        <v>92</v>
      </c>
      <c r="V18" s="43">
        <f t="shared" si="3"/>
        <v>0.63025114155251138</v>
      </c>
      <c r="W18" s="43">
        <f t="shared" si="0"/>
        <v>0.62020547945205484</v>
      </c>
      <c r="X18" s="43">
        <f t="shared" si="0"/>
        <v>0.63276255707762552</v>
      </c>
      <c r="Y18" s="43">
        <f t="shared" si="0"/>
        <v>0.59166666666666667</v>
      </c>
      <c r="Z18" s="43">
        <f t="shared" si="0"/>
        <v>0.58025114155251145</v>
      </c>
      <c r="AA18" s="43">
        <f t="shared" si="4"/>
        <v>0.55742009132420089</v>
      </c>
      <c r="AB18" s="43">
        <f t="shared" si="5"/>
        <v>0.57773972602739732</v>
      </c>
      <c r="AC18" s="43">
        <f t="shared" si="6"/>
        <v>0.60993150684931507</v>
      </c>
      <c r="AD18" s="43">
        <f t="shared" si="7"/>
        <v>0.60422374429223746</v>
      </c>
      <c r="AE18" s="43">
        <f t="shared" si="8"/>
        <v>0.61347031963470322</v>
      </c>
    </row>
    <row r="19" spans="1:31">
      <c r="A19" s="53" t="s">
        <v>93</v>
      </c>
      <c r="B19" s="37">
        <v>2016</v>
      </c>
      <c r="C19" s="24">
        <v>47</v>
      </c>
      <c r="D19" s="25"/>
      <c r="E19" s="24">
        <v>8</v>
      </c>
      <c r="F19" s="24">
        <v>39</v>
      </c>
      <c r="G19" s="24">
        <v>23</v>
      </c>
      <c r="H19" s="25"/>
      <c r="I19" s="24">
        <v>4</v>
      </c>
      <c r="J19" s="24">
        <v>18</v>
      </c>
      <c r="K19" s="24">
        <v>4801</v>
      </c>
      <c r="L19" s="25"/>
      <c r="M19" s="24">
        <v>5007</v>
      </c>
      <c r="N19" s="24">
        <v>4768</v>
      </c>
      <c r="O19" s="43" cm="1">
        <f t="array" ref="O19">IFERROR(IF(G19&gt;10,G19/C19*0.8769,""),“”)</f>
        <v>0.42912127659574467</v>
      </c>
      <c r="P19" s="43" t="str" cm="1">
        <f t="array" ref="P19">IFERROR(IF(H19&gt;10,H19/D19*0.8769,""),“”)</f>
        <v/>
      </c>
      <c r="Q19" s="43" t="str" cm="1">
        <f t="array" ref="Q19">IFERROR(IF(I19&gt;10,I19/E19*0.8769,""),“”)</f>
        <v/>
      </c>
      <c r="R19" s="43" cm="1">
        <f t="array" ref="R19">IFERROR(IF(J19&gt;10,J19/F19*0.8769,""),“”)</f>
        <v>0.40472307692307696</v>
      </c>
      <c r="S19" s="54">
        <f t="shared" si="2"/>
        <v>0.42720769230769229</v>
      </c>
      <c r="U19" s="37" t="s">
        <v>93</v>
      </c>
      <c r="V19" s="43">
        <f t="shared" si="3"/>
        <v>0.54805936073059358</v>
      </c>
      <c r="W19" s="43">
        <f t="shared" si="3"/>
        <v>0.51940639269406397</v>
      </c>
      <c r="X19" s="43">
        <f t="shared" si="3"/>
        <v>0.58367579908675804</v>
      </c>
      <c r="Y19" s="43">
        <f t="shared" si="3"/>
        <v>0.60981735159817352</v>
      </c>
      <c r="Z19" s="43">
        <f t="shared" si="3"/>
        <v>0.55228310502283107</v>
      </c>
      <c r="AA19" s="43">
        <f t="shared" si="4"/>
        <v>0.57157534246575348</v>
      </c>
      <c r="AB19" s="43">
        <f t="shared" si="5"/>
        <v>0.57317351598173516</v>
      </c>
      <c r="AC19" s="43">
        <f t="shared" si="6"/>
        <v>0.6651826484018265</v>
      </c>
      <c r="AD19" s="43">
        <f t="shared" si="7"/>
        <v>0.67876712328767119</v>
      </c>
      <c r="AE19" s="43">
        <f t="shared" si="8"/>
        <v>0.59041095890410955</v>
      </c>
    </row>
    <row r="20" spans="1:31">
      <c r="A20" s="53" t="s">
        <v>94</v>
      </c>
      <c r="B20" s="37">
        <v>2016</v>
      </c>
      <c r="C20" s="24">
        <v>65</v>
      </c>
      <c r="D20" s="24">
        <v>1</v>
      </c>
      <c r="E20" s="24">
        <v>21</v>
      </c>
      <c r="F20" s="24">
        <v>43</v>
      </c>
      <c r="G20" s="24">
        <v>34</v>
      </c>
      <c r="H20" s="24">
        <v>0</v>
      </c>
      <c r="I20" s="24">
        <v>12</v>
      </c>
      <c r="J20" s="24">
        <v>22</v>
      </c>
      <c r="K20" s="24">
        <v>5331</v>
      </c>
      <c r="L20" s="25"/>
      <c r="M20" s="24">
        <v>6126</v>
      </c>
      <c r="N20" s="24">
        <v>4967</v>
      </c>
      <c r="O20" s="43" cm="1">
        <f t="array" ref="O20">IFERROR(IF(G20&gt;10,G20/C20*0.8769,""),“”)</f>
        <v>0.45868615384615385</v>
      </c>
      <c r="P20" s="43" t="str" cm="1">
        <f t="array" ref="P20">IFERROR(IF(H20&gt;10,H20/D20*0.8769,""),“”)</f>
        <v/>
      </c>
      <c r="Q20" s="43" cm="1">
        <f t="array" ref="Q20">IFERROR(IF(I20&gt;10,I20/E20*0.8769,""),“”)</f>
        <v>0.50108571428571425</v>
      </c>
      <c r="R20" s="43" cm="1">
        <f t="array" ref="R20">IFERROR(IF(J20&gt;10,J20/F20*0.8769,""),“”)</f>
        <v>0.44864651162790697</v>
      </c>
      <c r="S20" s="54">
        <f t="shared" si="2"/>
        <v>0.43845000000000001</v>
      </c>
      <c r="U20" s="37" t="s">
        <v>94</v>
      </c>
      <c r="V20" s="43">
        <f t="shared" si="3"/>
        <v>0.60856164383561639</v>
      </c>
      <c r="W20" s="43">
        <f t="shared" si="3"/>
        <v>0.61381278538812789</v>
      </c>
      <c r="X20" s="43">
        <f t="shared" si="3"/>
        <v>0.38493150684931504</v>
      </c>
      <c r="Y20" s="43">
        <f t="shared" si="3"/>
        <v>0.39383561643835618</v>
      </c>
      <c r="Z20" s="43">
        <f t="shared" si="3"/>
        <v>0.43538812785388126</v>
      </c>
      <c r="AA20" s="43">
        <f t="shared" si="4"/>
        <v>0.69931506849315073</v>
      </c>
      <c r="AB20" s="43">
        <f t="shared" si="5"/>
        <v>0.66997716894977166</v>
      </c>
      <c r="AC20" s="43">
        <f t="shared" si="6"/>
        <v>0.64942922374429224</v>
      </c>
      <c r="AD20" s="43">
        <f t="shared" si="7"/>
        <v>0.68493150684931503</v>
      </c>
      <c r="AE20" s="43">
        <f t="shared" si="8"/>
        <v>0.69417808219178079</v>
      </c>
    </row>
    <row r="21" spans="1:31">
      <c r="A21" s="53" t="s">
        <v>95</v>
      </c>
      <c r="B21" s="37">
        <v>2016</v>
      </c>
      <c r="C21" s="24">
        <v>40</v>
      </c>
      <c r="D21" s="24">
        <v>9</v>
      </c>
      <c r="E21" s="24">
        <v>10</v>
      </c>
      <c r="F21" s="24">
        <v>21</v>
      </c>
      <c r="G21" s="24">
        <v>19</v>
      </c>
      <c r="H21" s="24">
        <v>6</v>
      </c>
      <c r="I21" s="24">
        <v>4</v>
      </c>
      <c r="J21" s="24">
        <v>9</v>
      </c>
      <c r="K21" s="24">
        <v>5185</v>
      </c>
      <c r="L21" s="24">
        <v>6120</v>
      </c>
      <c r="M21" s="24">
        <v>5423</v>
      </c>
      <c r="N21" s="24">
        <v>4665</v>
      </c>
      <c r="O21" s="43" cm="1">
        <f t="array" ref="O21">IFERROR(IF(G21&gt;10,G21/C21*0.8769,""),“”)</f>
        <v>0.41652749999999999</v>
      </c>
      <c r="P21" s="43" t="str" cm="1">
        <f t="array" ref="P21">IFERROR(IF(H21&gt;10,H21/D21*0.8769,""),“”)</f>
        <v/>
      </c>
      <c r="Q21" s="43" t="str" cm="1">
        <f t="array" ref="Q21">IFERROR(IF(I21&gt;10,I21/E21*0.8769,""),“”)</f>
        <v/>
      </c>
      <c r="R21" s="43" t="str" cm="1">
        <f t="array" ref="R21">IFERROR(IF(J21&gt;10,J21/F21*0.8769,""),“”)</f>
        <v/>
      </c>
      <c r="S21" s="54">
        <f t="shared" si="2"/>
        <v>0.43845000000000001</v>
      </c>
      <c r="U21" s="37" t="s">
        <v>95</v>
      </c>
      <c r="V21" s="43">
        <f t="shared" si="3"/>
        <v>0.59189497716894979</v>
      </c>
      <c r="W21" s="43">
        <f t="shared" si="3"/>
        <v>0.63321917808219175</v>
      </c>
      <c r="X21" s="43">
        <f t="shared" si="3"/>
        <v>0.5320776255707762</v>
      </c>
      <c r="Y21" s="43">
        <f t="shared" si="3"/>
        <v>0.52054794520547942</v>
      </c>
      <c r="Z21" s="43">
        <f t="shared" si="3"/>
        <v>0.54680365296803657</v>
      </c>
      <c r="AA21" s="43">
        <f t="shared" si="4"/>
        <v>0.61906392694063928</v>
      </c>
      <c r="AB21" s="43">
        <f t="shared" si="5"/>
        <v>0.66484018264840183</v>
      </c>
      <c r="AC21" s="43">
        <f t="shared" si="6"/>
        <v>0.8165525114155251</v>
      </c>
      <c r="AD21" s="43">
        <f t="shared" si="7"/>
        <v>0.87305936073059365</v>
      </c>
      <c r="AE21" s="43">
        <f t="shared" si="8"/>
        <v>0.87716894977168947</v>
      </c>
    </row>
    <row r="22" spans="1:31">
      <c r="A22" s="53" t="s">
        <v>96</v>
      </c>
      <c r="B22" s="37">
        <v>2016</v>
      </c>
      <c r="C22" s="24">
        <v>82</v>
      </c>
      <c r="D22" s="24">
        <v>4</v>
      </c>
      <c r="E22" s="24">
        <v>62</v>
      </c>
      <c r="F22" s="24">
        <v>16</v>
      </c>
      <c r="G22" s="24">
        <v>49</v>
      </c>
      <c r="H22" s="24">
        <v>2</v>
      </c>
      <c r="I22" s="24">
        <v>35</v>
      </c>
      <c r="J22" s="24">
        <v>11</v>
      </c>
      <c r="K22" s="24">
        <v>6101</v>
      </c>
      <c r="L22" s="24">
        <v>5119</v>
      </c>
      <c r="M22" s="24">
        <v>5942</v>
      </c>
      <c r="N22" s="24">
        <v>6943</v>
      </c>
      <c r="O22" s="43" cm="1">
        <f t="array" ref="O22">IFERROR(IF(G22&gt;10,G22/C22*0.8769,""),“”)</f>
        <v>0.52400121951219514</v>
      </c>
      <c r="P22" s="43" t="str" cm="1">
        <f t="array" ref="P22">IFERROR(IF(H22&gt;10,H22/D22*0.8769,""),“”)</f>
        <v/>
      </c>
      <c r="Q22" s="43" cm="1">
        <f t="array" ref="Q22">IFERROR(IF(I22&gt;10,I22/E22*0.8769,""),“”)</f>
        <v>0.49502419354838717</v>
      </c>
      <c r="R22" s="43" cm="1">
        <f t="array" ref="R22">IFERROR(IF(J22&gt;10,J22/F22*0.8769,""),“”)</f>
        <v>0.60286875000000006</v>
      </c>
      <c r="S22" s="54">
        <f t="shared" si="2"/>
        <v>0.61382999999999999</v>
      </c>
      <c r="U22" s="37" t="s">
        <v>96</v>
      </c>
      <c r="V22" s="43">
        <f t="shared" si="3"/>
        <v>0.69646118721461192</v>
      </c>
      <c r="W22" s="43">
        <f t="shared" si="3"/>
        <v>0.68984018264840186</v>
      </c>
      <c r="X22" s="43">
        <f t="shared" si="3"/>
        <v>0.76757990867579906</v>
      </c>
      <c r="Y22" s="43">
        <f t="shared" si="3"/>
        <v>0.62146118721461185</v>
      </c>
      <c r="Z22" s="43">
        <f t="shared" si="3"/>
        <v>0.6889269406392694</v>
      </c>
      <c r="AA22" s="43">
        <f t="shared" si="4"/>
        <v>0.67831050228310508</v>
      </c>
      <c r="AB22" s="43">
        <f t="shared" si="5"/>
        <v>0.66084474885844746</v>
      </c>
      <c r="AC22" s="43">
        <f t="shared" si="6"/>
        <v>0.76050228310502288</v>
      </c>
      <c r="AD22" s="43">
        <f t="shared" si="7"/>
        <v>0.59303652968036524</v>
      </c>
      <c r="AE22" s="43">
        <f t="shared" si="8"/>
        <v>0.68687214611872149</v>
      </c>
    </row>
    <row r="23" spans="1:31">
      <c r="A23" s="53" t="s">
        <v>97</v>
      </c>
      <c r="B23" s="37">
        <v>2016</v>
      </c>
      <c r="C23" s="24">
        <v>163</v>
      </c>
      <c r="D23" s="25"/>
      <c r="E23" s="24">
        <v>8</v>
      </c>
      <c r="F23" s="24">
        <v>155</v>
      </c>
      <c r="G23" s="24">
        <v>30</v>
      </c>
      <c r="H23" s="25"/>
      <c r="I23" s="24">
        <v>3</v>
      </c>
      <c r="J23" s="24">
        <v>27</v>
      </c>
      <c r="K23" s="24">
        <v>1807</v>
      </c>
      <c r="L23" s="25"/>
      <c r="M23" s="24">
        <v>4411</v>
      </c>
      <c r="N23" s="24">
        <v>1693</v>
      </c>
      <c r="O23" s="43" cm="1">
        <f t="array" ref="O23">IFERROR(IF(G23&gt;10,G23/C23*0.8769,""),“”)</f>
        <v>0.16139263803680981</v>
      </c>
      <c r="P23" s="43" t="str" cm="1">
        <f t="array" ref="P23">IFERROR(IF(H23&gt;10,H23/D23*0.8769,""),“”)</f>
        <v/>
      </c>
      <c r="Q23" s="43" t="str" cm="1">
        <f t="array" ref="Q23">IFERROR(IF(I23&gt;10,I23/E23*0.8769,""),“”)</f>
        <v/>
      </c>
      <c r="R23" s="43" cm="1">
        <f t="array" ref="R23">IFERROR(IF(J23&gt;10,J23/F23*0.8769,""),“”)</f>
        <v>0.15275032258064516</v>
      </c>
      <c r="S23" s="54">
        <f t="shared" si="2"/>
        <v>0.15275032258064516</v>
      </c>
      <c r="U23" s="37" t="s">
        <v>97</v>
      </c>
      <c r="V23" s="43">
        <f t="shared" si="3"/>
        <v>0.20627853881278538</v>
      </c>
      <c r="W23" s="43">
        <f t="shared" si="3"/>
        <v>0.23949771689497718</v>
      </c>
      <c r="X23" s="43">
        <f t="shared" si="3"/>
        <v>0.27796803652968038</v>
      </c>
      <c r="Y23" s="43">
        <f t="shared" si="3"/>
        <v>0.32865296803652966</v>
      </c>
      <c r="Z23" s="43">
        <f t="shared" si="3"/>
        <v>0.32591324200913241</v>
      </c>
      <c r="AA23" s="43">
        <f t="shared" si="4"/>
        <v>0.50353881278538815</v>
      </c>
      <c r="AB23" s="43">
        <f t="shared" si="5"/>
        <v>0.7</v>
      </c>
      <c r="AC23" s="43">
        <f t="shared" si="6"/>
        <v>0.75890410958904109</v>
      </c>
      <c r="AD23" s="43">
        <f t="shared" si="7"/>
        <v>0.78413242009132422</v>
      </c>
      <c r="AE23" s="43">
        <f t="shared" si="8"/>
        <v>0.76312785388127857</v>
      </c>
    </row>
    <row r="24" spans="1:31">
      <c r="A24" s="53" t="s">
        <v>98</v>
      </c>
      <c r="B24" s="37">
        <v>2016</v>
      </c>
      <c r="C24" s="24">
        <v>7</v>
      </c>
      <c r="D24" s="24">
        <v>0</v>
      </c>
      <c r="E24" s="24">
        <v>7</v>
      </c>
      <c r="F24" s="25"/>
      <c r="G24" s="24">
        <v>5</v>
      </c>
      <c r="H24" s="24">
        <v>0</v>
      </c>
      <c r="I24" s="24">
        <v>5</v>
      </c>
      <c r="J24" s="25"/>
      <c r="K24" s="24">
        <v>6785</v>
      </c>
      <c r="L24" s="25"/>
      <c r="M24" s="24">
        <v>6785</v>
      </c>
      <c r="N24" s="25"/>
      <c r="O24" s="43" t="str" cm="1">
        <f t="array" ref="O24">IFERROR(IF(G24&gt;10,G24/C24*0.8769,""),“”)</f>
        <v/>
      </c>
      <c r="P24" s="43" t="str" cm="1">
        <f t="array" ref="P24">IFERROR(IF(H24&gt;10,H24/D24*0.8769,""),“”)</f>
        <v/>
      </c>
      <c r="Q24" s="43" t="str" cm="1">
        <f t="array" ref="Q24">IFERROR(IF(I24&gt;10,I24/E24*0.8769,""),“”)</f>
        <v/>
      </c>
      <c r="R24" s="43" t="str" cm="1">
        <f t="array" ref="R24">IFERROR(IF(J24&gt;10,J24/F24*0.8769,""),“”)</f>
        <v/>
      </c>
      <c r="S24" s="54" t="str">
        <f t="shared" si="2"/>
        <v/>
      </c>
      <c r="U24" s="37" t="s">
        <v>98</v>
      </c>
      <c r="V24" s="43">
        <f t="shared" si="3"/>
        <v>0.7745433789954338</v>
      </c>
      <c r="W24" s="43">
        <f t="shared" si="3"/>
        <v>0.77602739726027392</v>
      </c>
      <c r="X24" s="43">
        <f t="shared" si="3"/>
        <v>0.69977168949771684</v>
      </c>
      <c r="Y24" s="43">
        <f t="shared" si="3"/>
        <v>0.69109589041095887</v>
      </c>
      <c r="Z24" s="43">
        <f t="shared" si="3"/>
        <v>0.63847031963470324</v>
      </c>
      <c r="AA24" s="43">
        <f t="shared" si="4"/>
        <v>0.7745433789954338</v>
      </c>
      <c r="AB24" s="43">
        <f t="shared" si="5"/>
        <v>0.77602739726027392</v>
      </c>
      <c r="AC24" s="43">
        <f t="shared" si="6"/>
        <v>0.76598173515981738</v>
      </c>
      <c r="AD24" s="43">
        <f t="shared" si="7"/>
        <v>0.7818493150684932</v>
      </c>
      <c r="AE24" s="43">
        <f t="shared" si="8"/>
        <v>0.61061643835616441</v>
      </c>
    </row>
    <row r="25" spans="1:31">
      <c r="A25" s="53" t="s">
        <v>99</v>
      </c>
      <c r="B25" s="37">
        <v>2016</v>
      </c>
      <c r="C25" s="24">
        <v>15</v>
      </c>
      <c r="D25" s="24">
        <v>0</v>
      </c>
      <c r="E25" s="24">
        <v>10</v>
      </c>
      <c r="F25" s="24">
        <v>4</v>
      </c>
      <c r="G25" s="24">
        <v>8</v>
      </c>
      <c r="H25" s="24">
        <v>0</v>
      </c>
      <c r="I25" s="24">
        <v>6</v>
      </c>
      <c r="J25" s="24">
        <v>2</v>
      </c>
      <c r="K25" s="24">
        <v>5966</v>
      </c>
      <c r="L25" s="25"/>
      <c r="M25" s="24">
        <v>6787</v>
      </c>
      <c r="N25" s="24">
        <v>4227</v>
      </c>
      <c r="O25" s="43" t="str" cm="1">
        <f t="array" ref="O25">IFERROR(IF(G25&gt;10,G25/C25*0.8769,""),“”)</f>
        <v/>
      </c>
      <c r="P25" s="43" t="str" cm="1">
        <f t="array" ref="P25">IFERROR(IF(H25&gt;10,H25/D25*0.8769,""),“”)</f>
        <v/>
      </c>
      <c r="Q25" s="43" t="str" cm="1">
        <f t="array" ref="Q25">IFERROR(IF(I25&gt;10,I25/E25*0.8769,""),“”)</f>
        <v/>
      </c>
      <c r="R25" s="43" t="str" cm="1">
        <f t="array" ref="R25">IFERROR(IF(J25&gt;10,J25/F25*0.8769,""),“”)</f>
        <v/>
      </c>
      <c r="S25" s="54" t="str">
        <f t="shared" si="2"/>
        <v/>
      </c>
      <c r="U25" s="37" t="s">
        <v>99</v>
      </c>
      <c r="V25" s="43">
        <f t="shared" si="3"/>
        <v>0.68105022831050233</v>
      </c>
      <c r="W25" s="43">
        <f t="shared" si="3"/>
        <v>0.66666666666666663</v>
      </c>
      <c r="X25" s="43">
        <f t="shared" si="3"/>
        <v>0.53139269406392697</v>
      </c>
      <c r="Y25" s="43">
        <f t="shared" si="3"/>
        <v>0.65536529680365296</v>
      </c>
      <c r="Z25" s="43">
        <f t="shared" si="3"/>
        <v>0.73972602739726023</v>
      </c>
      <c r="AA25" s="43">
        <f t="shared" si="4"/>
        <v>0.77477168949771691</v>
      </c>
      <c r="AB25" s="43">
        <f t="shared" si="5"/>
        <v>0.82066210045662102</v>
      </c>
      <c r="AC25" s="43">
        <f t="shared" si="6"/>
        <v>0.6769406392694064</v>
      </c>
      <c r="AD25" s="43">
        <f t="shared" si="7"/>
        <v>0.75102739726027401</v>
      </c>
      <c r="AE25" s="43">
        <f t="shared" si="8"/>
        <v>0.852283105022831</v>
      </c>
    </row>
    <row r="26" spans="1:31">
      <c r="A26" s="53" t="s">
        <v>100</v>
      </c>
      <c r="B26" s="37">
        <v>2016</v>
      </c>
      <c r="C26" s="26">
        <v>30</v>
      </c>
      <c r="D26" s="25"/>
      <c r="E26" s="26">
        <v>27</v>
      </c>
      <c r="F26" s="26">
        <v>3</v>
      </c>
      <c r="G26" s="26">
        <v>14</v>
      </c>
      <c r="H26" s="25"/>
      <c r="I26" s="26">
        <v>12</v>
      </c>
      <c r="J26" s="26">
        <v>2</v>
      </c>
      <c r="K26" s="26">
        <v>5063</v>
      </c>
      <c r="L26" s="25"/>
      <c r="M26" s="26">
        <v>4951</v>
      </c>
      <c r="N26" s="26">
        <v>6180</v>
      </c>
      <c r="O26" s="43" cm="1">
        <f t="array" ref="O26">IFERROR(IF(G26&gt;10,G26/C26*0.8769,""),“”)</f>
        <v>0.40922000000000003</v>
      </c>
      <c r="P26" s="43" t="str" cm="1">
        <f t="array" ref="P26">IFERROR(IF(H26&gt;10,H26/D26*0.8769,""),“”)</f>
        <v/>
      </c>
      <c r="Q26" s="43" cm="1">
        <f t="array" ref="Q26">IFERROR(IF(I26&gt;10,I26/E26*0.8769,""),“”)</f>
        <v>0.38973333333333332</v>
      </c>
      <c r="R26" s="43" t="str" cm="1">
        <f t="array" ref="R26">IFERROR(IF(J26&gt;10,J26/F26*0.8769,""),“”)</f>
        <v/>
      </c>
      <c r="S26" s="54" t="str">
        <f t="shared" si="2"/>
        <v/>
      </c>
      <c r="U26" s="37" t="s">
        <v>100</v>
      </c>
      <c r="V26" s="43">
        <f t="shared" si="3"/>
        <v>0.57796803652968032</v>
      </c>
      <c r="W26" s="43">
        <f t="shared" si="3"/>
        <v>0.62477168949771689</v>
      </c>
      <c r="X26" s="43">
        <f t="shared" si="3"/>
        <v>0.7445205479452055</v>
      </c>
      <c r="Y26" s="43">
        <f t="shared" si="3"/>
        <v>0.79703196347031968</v>
      </c>
      <c r="Z26" s="43">
        <f t="shared" si="3"/>
        <v>0.79143835616438352</v>
      </c>
      <c r="AA26" s="43">
        <f t="shared" si="4"/>
        <v>0.56518264840182653</v>
      </c>
      <c r="AB26" s="43">
        <f t="shared" si="5"/>
        <v>0.60547945205479448</v>
      </c>
      <c r="AC26" s="43">
        <f t="shared" si="6"/>
        <v>0.73938356164383556</v>
      </c>
      <c r="AD26" s="43">
        <f t="shared" si="7"/>
        <v>0.77751141552511416</v>
      </c>
      <c r="AE26" s="43">
        <f t="shared" si="8"/>
        <v>0.78299086757990866</v>
      </c>
    </row>
    <row r="27" spans="1:31">
      <c r="A27" s="53" t="s">
        <v>101</v>
      </c>
      <c r="B27" s="37">
        <v>2016</v>
      </c>
      <c r="C27" s="24">
        <v>8</v>
      </c>
      <c r="D27" s="25"/>
      <c r="E27" s="24">
        <v>2</v>
      </c>
      <c r="F27" s="24">
        <v>6</v>
      </c>
      <c r="G27" s="24">
        <v>5</v>
      </c>
      <c r="H27" s="25"/>
      <c r="I27" s="24">
        <v>1</v>
      </c>
      <c r="J27" s="24">
        <v>3</v>
      </c>
      <c r="K27" s="24">
        <v>5387</v>
      </c>
      <c r="L27" s="25"/>
      <c r="M27" s="24">
        <v>5627</v>
      </c>
      <c r="N27" s="24">
        <v>5291</v>
      </c>
      <c r="O27" s="43" t="str" cm="1">
        <f t="array" ref="O27">IFERROR(IF(G27&gt;10,G27/C27*0.8769,""),“”)</f>
        <v/>
      </c>
      <c r="P27" s="43" t="str" cm="1">
        <f t="array" ref="P27">IFERROR(IF(H27&gt;10,H27/D27*0.8769,""),“”)</f>
        <v/>
      </c>
      <c r="Q27" s="43" t="str" cm="1">
        <f t="array" ref="Q27">IFERROR(IF(I27&gt;10,I27/E27*0.8769,""),“”)</f>
        <v/>
      </c>
      <c r="R27" s="43" t="str" cm="1">
        <f t="array" ref="R27">IFERROR(IF(J27&gt;10,J27/F27*0.8769,""),“”)</f>
        <v/>
      </c>
      <c r="S27" s="54" t="str">
        <f t="shared" si="2"/>
        <v/>
      </c>
      <c r="U27" s="37" t="s">
        <v>101</v>
      </c>
      <c r="V27" s="43">
        <f t="shared" si="3"/>
        <v>0.61495433789954335</v>
      </c>
      <c r="W27" s="43">
        <f t="shared" si="3"/>
        <v>0.44018264840182647</v>
      </c>
      <c r="X27" s="43">
        <f t="shared" si="3"/>
        <v>0.49063926940639269</v>
      </c>
      <c r="Y27" s="43">
        <f t="shared" si="3"/>
        <v>0.45410958904109588</v>
      </c>
      <c r="Z27" s="43">
        <f t="shared" si="3"/>
        <v>0.43470319634703197</v>
      </c>
      <c r="AA27" s="43">
        <f t="shared" si="4"/>
        <v>0.64235159817351595</v>
      </c>
      <c r="AB27" s="43">
        <f t="shared" si="5"/>
        <v>0.25251141552511414</v>
      </c>
      <c r="AC27" s="43">
        <f t="shared" si="6"/>
        <v>0.5829908675799087</v>
      </c>
      <c r="AD27" s="43">
        <f t="shared" si="7"/>
        <v>0.70696347031963469</v>
      </c>
      <c r="AE27" s="43">
        <f t="shared" si="8"/>
        <v>0.64726027397260277</v>
      </c>
    </row>
    <row r="28" spans="1:31">
      <c r="A28" s="53" t="s">
        <v>102</v>
      </c>
      <c r="B28" s="37">
        <v>2016</v>
      </c>
      <c r="C28" s="26">
        <v>30</v>
      </c>
      <c r="D28" s="25"/>
      <c r="E28" s="26">
        <v>10</v>
      </c>
      <c r="F28" s="26">
        <v>20</v>
      </c>
      <c r="G28" s="26">
        <v>7</v>
      </c>
      <c r="H28" s="25"/>
      <c r="I28" s="26">
        <v>5</v>
      </c>
      <c r="J28" s="26">
        <v>2</v>
      </c>
      <c r="K28" s="26">
        <v>2767</v>
      </c>
      <c r="L28" s="25"/>
      <c r="M28" s="26">
        <v>5189</v>
      </c>
      <c r="N28" s="26">
        <v>1044</v>
      </c>
      <c r="O28" s="43" t="str" cm="1">
        <f t="array" ref="O28">IFERROR(IF(G28&gt;10,G28/C28*0.8769,""),“”)</f>
        <v/>
      </c>
      <c r="P28" s="43" t="str" cm="1">
        <f t="array" ref="P28">IFERROR(IF(H28&gt;10,H28/D28*0.8769,""),“”)</f>
        <v/>
      </c>
      <c r="Q28" s="43" t="str" cm="1">
        <f t="array" ref="Q28">IFERROR(IF(I28&gt;10,I28/E28*0.8769,""),“”)</f>
        <v/>
      </c>
      <c r="R28" s="43" t="str" cm="1">
        <f t="array" ref="R28">IFERROR(IF(J28&gt;10,J28/F28*0.8769,""),“”)</f>
        <v/>
      </c>
      <c r="S28" s="54" t="str">
        <f t="shared" si="2"/>
        <v/>
      </c>
      <c r="U28" s="37" t="s">
        <v>102</v>
      </c>
      <c r="V28" s="43">
        <f t="shared" si="3"/>
        <v>0.31586757990867581</v>
      </c>
      <c r="W28" s="43">
        <f t="shared" si="3"/>
        <v>0.33162100456621002</v>
      </c>
      <c r="X28" s="43">
        <f t="shared" si="3"/>
        <v>0.28082191780821919</v>
      </c>
      <c r="Y28" s="43">
        <f t="shared" si="3"/>
        <v>0.2454337899543379</v>
      </c>
      <c r="Z28" s="43">
        <f t="shared" si="3"/>
        <v>0.39440639269406391</v>
      </c>
      <c r="AA28" s="43">
        <f t="shared" si="4"/>
        <v>0.59235159817351601</v>
      </c>
      <c r="AB28" s="43">
        <f t="shared" si="5"/>
        <v>0.59452054794520548</v>
      </c>
      <c r="AC28" s="43">
        <f t="shared" si="6"/>
        <v>0.45707762557077625</v>
      </c>
      <c r="AD28" s="43">
        <f t="shared" si="7"/>
        <v>0.39931506849315068</v>
      </c>
      <c r="AE28" s="43">
        <f t="shared" si="8"/>
        <v>0.42077625570776256</v>
      </c>
    </row>
    <row r="29" spans="1:31">
      <c r="A29" s="53" t="s">
        <v>103</v>
      </c>
      <c r="B29" s="37">
        <v>2016</v>
      </c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43" t="str" cm="1">
        <f t="array" ref="O29">IFERROR(IF(G29&gt;10,G29/C29*0.8769,""),“”)</f>
        <v/>
      </c>
      <c r="P29" s="43" t="str" cm="1">
        <f t="array" ref="P29">IFERROR(IF(H29&gt;10,H29/D29*0.8769,""),“”)</f>
        <v/>
      </c>
      <c r="Q29" s="43" t="str" cm="1">
        <f t="array" ref="Q29">IFERROR(IF(I29&gt;10,I29/E29*0.8769,""),“”)</f>
        <v/>
      </c>
      <c r="R29" s="43" t="str" cm="1">
        <f t="array" ref="R29">IFERROR(IF(J29&gt;10,J29/F29*0.8769,""),“”)</f>
        <v/>
      </c>
      <c r="S29" s="54" t="str">
        <f t="shared" si="2"/>
        <v/>
      </c>
      <c r="U29" s="37" t="s">
        <v>103</v>
      </c>
      <c r="V29" s="43">
        <f t="shared" si="3"/>
        <v>0</v>
      </c>
      <c r="W29" s="43">
        <f t="shared" si="3"/>
        <v>0</v>
      </c>
      <c r="X29" s="43">
        <f t="shared" si="3"/>
        <v>0.49805936073059359</v>
      </c>
      <c r="Y29" s="43">
        <f t="shared" si="3"/>
        <v>0.60182648401826488</v>
      </c>
      <c r="Z29" s="43">
        <f t="shared" si="3"/>
        <v>0.41598173515981735</v>
      </c>
      <c r="AA29" s="43">
        <f t="shared" si="4"/>
        <v>0</v>
      </c>
      <c r="AB29" s="43">
        <f t="shared" si="5"/>
        <v>0</v>
      </c>
      <c r="AC29" s="43">
        <f t="shared" si="6"/>
        <v>0.49805936073059359</v>
      </c>
      <c r="AD29" s="43">
        <f t="shared" si="7"/>
        <v>0.60182648401826488</v>
      </c>
      <c r="AE29" s="43">
        <f t="shared" si="8"/>
        <v>0.41598173515981735</v>
      </c>
    </row>
    <row r="30" spans="1:31">
      <c r="A30" s="53" t="s">
        <v>104</v>
      </c>
      <c r="B30" s="37">
        <v>2016</v>
      </c>
      <c r="C30" s="25">
        <v>2</v>
      </c>
      <c r="D30" s="25"/>
      <c r="E30" s="25">
        <v>2</v>
      </c>
      <c r="F30" s="25"/>
      <c r="G30" s="25">
        <v>1</v>
      </c>
      <c r="H30" s="25"/>
      <c r="I30" s="25">
        <v>1</v>
      </c>
      <c r="J30" s="25"/>
      <c r="K30" s="25">
        <v>2321</v>
      </c>
      <c r="L30" s="25"/>
      <c r="M30" s="25">
        <v>2321</v>
      </c>
      <c r="N30" s="25"/>
      <c r="O30" s="43" t="str" cm="1">
        <f t="array" ref="O30">IFERROR(IF(G30&gt;10,G30/C30*0.8769,""),“”)</f>
        <v/>
      </c>
      <c r="P30" s="43" t="str" cm="1">
        <f t="array" ref="P30">IFERROR(IF(H30&gt;10,H30/D30*0.8769,""),“”)</f>
        <v/>
      </c>
      <c r="Q30" s="43" t="str" cm="1">
        <f t="array" ref="Q30">IFERROR(IF(I30&gt;10,I30/E30*0.8769,""),“”)</f>
        <v/>
      </c>
      <c r="R30" s="43" t="str" cm="1">
        <f t="array" ref="R30">IFERROR(IF(J30&gt;10,J30/F30*0.8769,""),“”)</f>
        <v/>
      </c>
      <c r="S30" s="54" t="str">
        <f t="shared" si="2"/>
        <v/>
      </c>
      <c r="U30" s="37" t="s">
        <v>104</v>
      </c>
      <c r="V30" s="43">
        <f t="shared" si="3"/>
        <v>0.26495433789954337</v>
      </c>
      <c r="W30" s="43">
        <f t="shared" si="3"/>
        <v>0.46210045662100457</v>
      </c>
      <c r="X30" s="43">
        <f t="shared" si="3"/>
        <v>0.27671232876712326</v>
      </c>
      <c r="Y30" s="43">
        <f t="shared" si="3"/>
        <v>0</v>
      </c>
      <c r="Z30" s="43">
        <f t="shared" si="3"/>
        <v>0.50742009132420096</v>
      </c>
      <c r="AA30" s="43">
        <f t="shared" si="4"/>
        <v>0.26495433789954337</v>
      </c>
      <c r="AB30" s="43">
        <f t="shared" si="5"/>
        <v>6.4726027397260272E-2</v>
      </c>
      <c r="AC30" s="43">
        <f t="shared" si="6"/>
        <v>0.27671232876712326</v>
      </c>
      <c r="AD30" s="43">
        <f t="shared" si="7"/>
        <v>0</v>
      </c>
      <c r="AE30" s="43">
        <f t="shared" si="8"/>
        <v>0.62636986301369868</v>
      </c>
    </row>
    <row r="31" spans="1:31">
      <c r="A31" s="53" t="s">
        <v>105</v>
      </c>
      <c r="B31" s="37">
        <v>2016</v>
      </c>
      <c r="C31" s="24">
        <v>8</v>
      </c>
      <c r="D31" s="25"/>
      <c r="E31" s="24">
        <v>5</v>
      </c>
      <c r="F31" s="24">
        <v>3</v>
      </c>
      <c r="G31" s="24">
        <v>2</v>
      </c>
      <c r="H31" s="25"/>
      <c r="I31" s="24">
        <v>1</v>
      </c>
      <c r="J31" s="24">
        <v>1</v>
      </c>
      <c r="K31" s="24">
        <v>4682</v>
      </c>
      <c r="L31" s="25"/>
      <c r="M31" s="24">
        <v>5825</v>
      </c>
      <c r="N31" s="24">
        <v>4352</v>
      </c>
      <c r="O31" s="43" t="str" cm="1">
        <f t="array" ref="O31">IFERROR(IF(G31&gt;10,G31/C31*0.8769,""),“”)</f>
        <v/>
      </c>
      <c r="P31" s="43" t="str" cm="1">
        <f t="array" ref="P31">IFERROR(IF(H31&gt;10,H31/D31*0.8769,""),“”)</f>
        <v/>
      </c>
      <c r="Q31" s="43" t="str" cm="1">
        <f t="array" ref="Q31">IFERROR(IF(I31&gt;10,I31/E31*0.8769,""),“”)</f>
        <v/>
      </c>
      <c r="R31" s="43" t="str" cm="1">
        <f t="array" ref="R31">IFERROR(IF(J31&gt;10,J31/F31*0.8769,""),“”)</f>
        <v/>
      </c>
      <c r="S31" s="54" t="str">
        <f t="shared" si="2"/>
        <v/>
      </c>
      <c r="U31" s="37" t="s">
        <v>105</v>
      </c>
      <c r="V31" s="43">
        <f t="shared" si="3"/>
        <v>0.53447488584474889</v>
      </c>
      <c r="W31" s="43">
        <f t="shared" si="3"/>
        <v>0.63219178082191785</v>
      </c>
      <c r="X31" s="43">
        <f t="shared" si="3"/>
        <v>0.5694063926940639</v>
      </c>
      <c r="Y31" s="43">
        <f t="shared" si="3"/>
        <v>0.67134703196347034</v>
      </c>
      <c r="Z31" s="43">
        <f t="shared" si="3"/>
        <v>0.65936073059360734</v>
      </c>
      <c r="AA31" s="43">
        <f t="shared" si="4"/>
        <v>0.66495433789954339</v>
      </c>
      <c r="AB31" s="43">
        <f t="shared" si="5"/>
        <v>0.6195205479452055</v>
      </c>
      <c r="AC31" s="43">
        <f t="shared" si="6"/>
        <v>0.68618721461187215</v>
      </c>
      <c r="AD31" s="43">
        <f t="shared" si="7"/>
        <v>0.80547945205479454</v>
      </c>
      <c r="AE31" s="43">
        <f t="shared" si="8"/>
        <v>0.7820776255707762</v>
      </c>
    </row>
    <row r="32" spans="1:31">
      <c r="A32" s="53" t="s">
        <v>106</v>
      </c>
      <c r="B32" s="37">
        <v>2016</v>
      </c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43" t="str" cm="1">
        <f t="array" ref="O32">IFERROR(IF(G32&gt;10,G32/C32*0.8769,""),“”)</f>
        <v/>
      </c>
      <c r="P32" s="43" t="str" cm="1">
        <f t="array" ref="P32">IFERROR(IF(H32&gt;10,H32/D32*0.8769,""),“”)</f>
        <v/>
      </c>
      <c r="Q32" s="43" t="str" cm="1">
        <f t="array" ref="Q32">IFERROR(IF(I32&gt;10,I32/E32*0.8769,""),“”)</f>
        <v/>
      </c>
      <c r="R32" s="43" t="str" cm="1">
        <f t="array" ref="R32">IFERROR(IF(J32&gt;10,J32/F32*0.8769,""),“”)</f>
        <v/>
      </c>
      <c r="S32" s="54" t="str">
        <f t="shared" si="2"/>
        <v/>
      </c>
      <c r="U32" s="37" t="s">
        <v>106</v>
      </c>
      <c r="V32" s="43">
        <f t="shared" si="3"/>
        <v>0</v>
      </c>
      <c r="W32" s="43">
        <f t="shared" si="3"/>
        <v>0</v>
      </c>
      <c r="X32" s="43">
        <f t="shared" si="3"/>
        <v>0</v>
      </c>
      <c r="Y32" s="43">
        <f t="shared" si="3"/>
        <v>0</v>
      </c>
      <c r="Z32" s="43">
        <f t="shared" si="3"/>
        <v>0</v>
      </c>
      <c r="AA32" s="43">
        <f t="shared" si="4"/>
        <v>0</v>
      </c>
      <c r="AB32" s="43">
        <f t="shared" si="5"/>
        <v>0</v>
      </c>
      <c r="AC32" s="43">
        <f t="shared" si="6"/>
        <v>0</v>
      </c>
      <c r="AD32" s="43">
        <f t="shared" si="7"/>
        <v>0</v>
      </c>
      <c r="AE32" s="43">
        <f t="shared" si="8"/>
        <v>0</v>
      </c>
    </row>
    <row r="33" spans="1:31">
      <c r="A33" s="53" t="s">
        <v>107</v>
      </c>
      <c r="B33" s="37">
        <v>2016</v>
      </c>
      <c r="C33" s="24">
        <v>7</v>
      </c>
      <c r="D33" s="25"/>
      <c r="E33" s="24">
        <v>2</v>
      </c>
      <c r="F33" s="24">
        <v>5</v>
      </c>
      <c r="G33" s="24">
        <v>3</v>
      </c>
      <c r="H33" s="25"/>
      <c r="I33" s="24">
        <v>2</v>
      </c>
      <c r="J33" s="24">
        <v>1</v>
      </c>
      <c r="K33" s="24">
        <v>4265</v>
      </c>
      <c r="L33" s="25"/>
      <c r="M33" s="24">
        <v>6275</v>
      </c>
      <c r="N33" s="24">
        <v>3214</v>
      </c>
      <c r="O33" s="43" t="str" cm="1">
        <f t="array" ref="O33">IFERROR(IF(G33&gt;10,G33/C33*0.8769,""),“”)</f>
        <v/>
      </c>
      <c r="P33" s="43" t="str" cm="1">
        <f t="array" ref="P33">IFERROR(IF(H33&gt;10,H33/D33*0.8769,""),“”)</f>
        <v/>
      </c>
      <c r="Q33" s="43" t="str" cm="1">
        <f t="array" ref="Q33">IFERROR(IF(I33&gt;10,I33/E33*0.8769,""),“”)</f>
        <v/>
      </c>
      <c r="R33" s="43" t="str" cm="1">
        <f t="array" ref="R33">IFERROR(IF(J33&gt;10,J33/F33*0.8769,""),“”)</f>
        <v/>
      </c>
      <c r="S33" s="54" t="str">
        <f t="shared" si="2"/>
        <v/>
      </c>
      <c r="U33" s="37" t="s">
        <v>107</v>
      </c>
      <c r="V33" s="43">
        <f t="shared" si="3"/>
        <v>0.48687214611872148</v>
      </c>
      <c r="W33" s="43">
        <f t="shared" si="3"/>
        <v>0.33493150684931505</v>
      </c>
      <c r="X33" s="43">
        <f t="shared" si="3"/>
        <v>0.25273972602739725</v>
      </c>
      <c r="Y33" s="43">
        <f t="shared" si="3"/>
        <v>0.27157534246575343</v>
      </c>
      <c r="Z33" s="43">
        <f t="shared" si="3"/>
        <v>0.28344748858447488</v>
      </c>
      <c r="AA33" s="43">
        <f t="shared" si="4"/>
        <v>0.716324200913242</v>
      </c>
      <c r="AB33" s="43">
        <f t="shared" si="5"/>
        <v>0.70947488584474883</v>
      </c>
      <c r="AC33" s="43">
        <f t="shared" si="6"/>
        <v>0.54611872146118723</v>
      </c>
      <c r="AD33" s="43">
        <f t="shared" si="7"/>
        <v>0.56678082191780821</v>
      </c>
      <c r="AE33" s="43">
        <f t="shared" si="8"/>
        <v>0.65936073059360734</v>
      </c>
    </row>
    <row r="34" spans="1:31" ht="13.5" thickBot="1">
      <c r="A34" s="55" t="s">
        <v>108</v>
      </c>
      <c r="B34" s="56">
        <v>2016</v>
      </c>
      <c r="C34" s="81">
        <v>3</v>
      </c>
      <c r="D34" s="82"/>
      <c r="E34" s="82"/>
      <c r="F34" s="81">
        <v>3</v>
      </c>
      <c r="G34" s="81">
        <v>2</v>
      </c>
      <c r="H34" s="82"/>
      <c r="I34" s="82"/>
      <c r="J34" s="81">
        <v>2</v>
      </c>
      <c r="K34" s="81">
        <v>6846</v>
      </c>
      <c r="L34" s="82"/>
      <c r="M34" s="82"/>
      <c r="N34" s="81">
        <v>6846</v>
      </c>
      <c r="O34" s="61" t="str" cm="1">
        <f t="array" ref="O34">IFERROR(IF(G34&gt;10,G34/C34*0.8769,""),“”)</f>
        <v/>
      </c>
      <c r="P34" s="61" t="str" cm="1">
        <f t="array" ref="P34">IFERROR(IF(H34&gt;10,H34/D34*0.8769,""),“”)</f>
        <v/>
      </c>
      <c r="Q34" s="61" t="str" cm="1">
        <f t="array" ref="Q34">IFERROR(IF(I34&gt;10,I34/E34*0.8769,""),“”)</f>
        <v/>
      </c>
      <c r="R34" s="61" t="str" cm="1">
        <f t="array" ref="R34">IFERROR(IF(J34&gt;10,J34/F34*0.8769,""),“”)</f>
        <v/>
      </c>
      <c r="S34" s="62" t="str">
        <f t="shared" si="2"/>
        <v/>
      </c>
      <c r="U34" s="37" t="s">
        <v>108</v>
      </c>
      <c r="V34" s="43">
        <f t="shared" si="3"/>
        <v>0.78150684931506853</v>
      </c>
      <c r="W34" s="43">
        <f t="shared" si="3"/>
        <v>0.79486301369863011</v>
      </c>
      <c r="X34" s="43">
        <f t="shared" si="3"/>
        <v>0.80684931506849311</v>
      </c>
      <c r="Y34" s="43">
        <f t="shared" si="3"/>
        <v>0.68824200913242006</v>
      </c>
      <c r="Z34" s="43">
        <f t="shared" si="3"/>
        <v>0.56118721461187215</v>
      </c>
      <c r="AA34" s="43">
        <f t="shared" si="4"/>
        <v>0</v>
      </c>
      <c r="AB34" s="43">
        <f t="shared" si="5"/>
        <v>0</v>
      </c>
      <c r="AC34" s="43">
        <f t="shared" si="6"/>
        <v>0</v>
      </c>
      <c r="AD34" s="43">
        <f t="shared" si="7"/>
        <v>0.44360730593607306</v>
      </c>
      <c r="AE34" s="43">
        <f t="shared" si="8"/>
        <v>0.43356164383561646</v>
      </c>
    </row>
    <row r="35" spans="1:31">
      <c r="A35" s="73" t="s">
        <v>77</v>
      </c>
      <c r="B35" s="74">
        <v>2017</v>
      </c>
      <c r="C35" s="75">
        <v>1651</v>
      </c>
      <c r="D35" s="75">
        <v>47</v>
      </c>
      <c r="E35" s="75">
        <v>731</v>
      </c>
      <c r="F35" s="75">
        <v>872</v>
      </c>
      <c r="G35" s="75">
        <v>813</v>
      </c>
      <c r="H35" s="75">
        <v>18</v>
      </c>
      <c r="I35" s="75">
        <v>380</v>
      </c>
      <c r="J35" s="75">
        <v>415</v>
      </c>
      <c r="K35" s="75">
        <v>5315</v>
      </c>
      <c r="L35" s="75">
        <v>5023</v>
      </c>
      <c r="M35" s="75">
        <v>5680</v>
      </c>
      <c r="N35" s="76">
        <v>5027</v>
      </c>
      <c r="O35" s="77" cm="1">
        <f t="array" ref="O35">IFERROR(IF(G35&gt;10,G35/C35*0.8769,""),“”)</f>
        <v>0.43181084191399155</v>
      </c>
      <c r="P35" s="77" cm="1">
        <f t="array" ref="P35">IFERROR(IF(H35&gt;10,H35/D35*0.8769,""),“”)</f>
        <v>0.33583404255319149</v>
      </c>
      <c r="Q35" s="77" cm="1">
        <f t="array" ref="Q35">IFERROR(IF(I35&gt;10,I35/E35*0.8769,""),“”)</f>
        <v>0.45584404924760608</v>
      </c>
      <c r="R35" s="77" cm="1">
        <f t="array" ref="R35">IFERROR(IF(J35&gt;10,J35/F35*0.8769,""),“”)</f>
        <v>0.41733199541284405</v>
      </c>
      <c r="S35" s="78">
        <f t="shared" si="2"/>
        <v>0.41271489130434785</v>
      </c>
    </row>
    <row r="36" spans="1:31">
      <c r="A36" s="53" t="s">
        <v>78</v>
      </c>
      <c r="B36" s="37">
        <v>2017</v>
      </c>
      <c r="C36" s="36">
        <v>21</v>
      </c>
      <c r="D36" s="36">
        <v>1</v>
      </c>
      <c r="E36" s="36">
        <v>20</v>
      </c>
      <c r="F36" s="27"/>
      <c r="G36" s="36">
        <v>13</v>
      </c>
      <c r="H36" s="36">
        <v>1</v>
      </c>
      <c r="I36" s="36">
        <v>12</v>
      </c>
      <c r="J36" s="27"/>
      <c r="K36" s="36">
        <v>6289</v>
      </c>
      <c r="L36" s="36">
        <v>7258</v>
      </c>
      <c r="M36" s="36">
        <v>6239</v>
      </c>
      <c r="N36" s="41"/>
      <c r="O36" s="43" cm="1">
        <f t="array" ref="O36">IFERROR(IF(G36&gt;10,G36/C36*0.8769,""),“”)</f>
        <v>0.54284285714285718</v>
      </c>
      <c r="P36" s="43" t="str" cm="1">
        <f t="array" ref="P36">IFERROR(IF(H36&gt;10,H36/D36*0.8769,""),“”)</f>
        <v/>
      </c>
      <c r="Q36" s="43" cm="1">
        <f t="array" ref="Q36">IFERROR(IF(I36&gt;10,I36/E36*0.8769,""),“”)</f>
        <v>0.52613999999999994</v>
      </c>
      <c r="R36" s="43" t="str" cm="1">
        <f t="array" ref="R36">IFERROR(IF(J36&gt;10,J36/F36*0.8769,""),“”)</f>
        <v/>
      </c>
      <c r="S36" s="54" t="str">
        <f t="shared" si="2"/>
        <v/>
      </c>
    </row>
    <row r="37" spans="1:31">
      <c r="A37" s="53" t="s">
        <v>79</v>
      </c>
      <c r="B37" s="37">
        <v>2017</v>
      </c>
      <c r="C37" s="36">
        <v>10</v>
      </c>
      <c r="D37" s="31"/>
      <c r="E37" s="36">
        <v>10</v>
      </c>
      <c r="F37" s="28"/>
      <c r="G37" s="36">
        <v>5</v>
      </c>
      <c r="H37" s="31"/>
      <c r="I37" s="36">
        <v>5</v>
      </c>
      <c r="J37" s="28"/>
      <c r="K37" s="36">
        <v>5108</v>
      </c>
      <c r="L37" s="27"/>
      <c r="M37" s="36">
        <v>5108</v>
      </c>
      <c r="N37" s="42"/>
      <c r="O37" s="43" t="str" cm="1">
        <f t="array" ref="O37">IFERROR(IF(G37&gt;10,G37/C37*0.8769,""),“”)</f>
        <v/>
      </c>
      <c r="P37" s="43" t="str" cm="1">
        <f t="array" ref="P37">IFERROR(IF(H37&gt;10,H37/D37*0.8769,""),“”)</f>
        <v/>
      </c>
      <c r="Q37" s="43" t="str" cm="1">
        <f t="array" ref="Q37">IFERROR(IF(I37&gt;10,I37/E37*0.8769,""),“”)</f>
        <v/>
      </c>
      <c r="R37" s="43" t="str" cm="1">
        <f t="array" ref="R37">IFERROR(IF(J37&gt;10,J37/F37*0.8769,""),“”)</f>
        <v/>
      </c>
      <c r="S37" s="54" t="str">
        <f t="shared" si="2"/>
        <v/>
      </c>
    </row>
    <row r="38" spans="1:31">
      <c r="A38" s="53" t="s">
        <v>80</v>
      </c>
      <c r="B38" s="37">
        <v>2017</v>
      </c>
      <c r="C38" s="36">
        <v>69</v>
      </c>
      <c r="D38" s="36">
        <v>1</v>
      </c>
      <c r="E38" s="36">
        <v>24</v>
      </c>
      <c r="F38" s="28">
        <v>44</v>
      </c>
      <c r="G38" s="36">
        <v>34</v>
      </c>
      <c r="H38" s="36">
        <v>0.2</v>
      </c>
      <c r="I38" s="36">
        <v>10</v>
      </c>
      <c r="J38" s="28">
        <v>23</v>
      </c>
      <c r="K38" s="36">
        <v>5301</v>
      </c>
      <c r="L38" s="27"/>
      <c r="M38" s="28">
        <v>4595</v>
      </c>
      <c r="N38" s="42">
        <v>5665</v>
      </c>
      <c r="O38" s="43" cm="1">
        <f t="array" ref="O38">IFERROR(IF(G38&gt;10,G38/C38*0.8769,""),“”)</f>
        <v>0.43209565217391305</v>
      </c>
      <c r="P38" s="43" t="str" cm="1">
        <f t="array" ref="P38">IFERROR(IF(H38&gt;10,H38/D38*0.8769,""),“”)</f>
        <v/>
      </c>
      <c r="Q38" s="43" t="str" cm="1">
        <f t="array" ref="Q38">IFERROR(IF(I38&gt;10,I38/E38*0.8769,""),“”)</f>
        <v/>
      </c>
      <c r="R38" s="43" cm="1">
        <f t="array" ref="R38">IFERROR(IF(J38&gt;10,J38/F38*0.8769,""),“”)</f>
        <v>0.45837954545454546</v>
      </c>
      <c r="S38" s="54">
        <f t="shared" si="2"/>
        <v>0.46767999999999998</v>
      </c>
    </row>
    <row r="39" spans="1:31">
      <c r="A39" s="53" t="s">
        <v>81</v>
      </c>
      <c r="B39" s="37">
        <v>2017</v>
      </c>
      <c r="C39" s="36">
        <v>49</v>
      </c>
      <c r="D39" s="36">
        <v>9</v>
      </c>
      <c r="E39" s="36">
        <v>11</v>
      </c>
      <c r="F39" s="28">
        <v>30</v>
      </c>
      <c r="G39" s="36">
        <v>25</v>
      </c>
      <c r="H39" s="36">
        <v>2</v>
      </c>
      <c r="I39" s="36">
        <v>6</v>
      </c>
      <c r="J39" s="28">
        <v>17</v>
      </c>
      <c r="K39" s="36">
        <v>5642</v>
      </c>
      <c r="L39" s="27"/>
      <c r="M39" s="36">
        <v>5095</v>
      </c>
      <c r="N39" s="42">
        <v>5843</v>
      </c>
      <c r="O39" s="43" cm="1">
        <f t="array" ref="O39">IFERROR(IF(G39&gt;10,G39/C39*0.8769,""),“”)</f>
        <v>0.44739795918367348</v>
      </c>
      <c r="P39" s="43" t="str" cm="1">
        <f t="array" ref="P39">IFERROR(IF(H39&gt;10,H39/D39*0.8769,""),“”)</f>
        <v/>
      </c>
      <c r="Q39" s="43" t="str" cm="1">
        <f t="array" ref="Q39">IFERROR(IF(I39&gt;10,I39/E39*0.8769,""),“”)</f>
        <v/>
      </c>
      <c r="R39" s="43" cm="1">
        <f t="array" ref="R39">IFERROR(IF(J39&gt;10,J39/F39*0.8769,""),“”)</f>
        <v>0.49691000000000002</v>
      </c>
      <c r="S39" s="54">
        <f t="shared" si="2"/>
        <v>0.43845000000000001</v>
      </c>
    </row>
    <row r="40" spans="1:31">
      <c r="A40" s="53" t="s">
        <v>82</v>
      </c>
      <c r="B40" s="37">
        <v>2017</v>
      </c>
      <c r="C40" s="36">
        <v>16</v>
      </c>
      <c r="D40" s="31"/>
      <c r="E40" s="36">
        <v>4</v>
      </c>
      <c r="F40" s="28">
        <v>12</v>
      </c>
      <c r="G40" s="36">
        <v>7</v>
      </c>
      <c r="H40" s="36">
        <v>0.05</v>
      </c>
      <c r="I40" s="36">
        <v>1</v>
      </c>
      <c r="J40" s="28">
        <v>7</v>
      </c>
      <c r="K40" s="36">
        <v>4672</v>
      </c>
      <c r="L40" s="27"/>
      <c r="M40" s="36">
        <v>2040</v>
      </c>
      <c r="N40" s="42">
        <v>5455</v>
      </c>
      <c r="O40" s="43" t="str" cm="1">
        <f t="array" ref="O40">IFERROR(IF(G40&gt;10,G40/C40*0.8769,""),“”)</f>
        <v/>
      </c>
      <c r="P40" s="43" t="str" cm="1">
        <f t="array" ref="P40">IFERROR(IF(H40&gt;10,H40/D40*0.8769,""),“”)</f>
        <v/>
      </c>
      <c r="Q40" s="43" t="str" cm="1">
        <f t="array" ref="Q40">IFERROR(IF(I40&gt;10,I40/E40*0.8769,""),“”)</f>
        <v/>
      </c>
      <c r="R40" s="43" t="str" cm="1">
        <f t="array" ref="R40">IFERROR(IF(J40&gt;10,J40/F40*0.8769,""),“”)</f>
        <v/>
      </c>
      <c r="S40" s="54" t="str">
        <f t="shared" si="2"/>
        <v/>
      </c>
    </row>
    <row r="41" spans="1:31">
      <c r="A41" s="53" t="s">
        <v>83</v>
      </c>
      <c r="B41" s="37">
        <v>2017</v>
      </c>
      <c r="C41" s="36">
        <v>15</v>
      </c>
      <c r="D41" s="31"/>
      <c r="E41" s="36">
        <v>8</v>
      </c>
      <c r="F41" s="36">
        <v>7</v>
      </c>
      <c r="G41" s="36">
        <v>8</v>
      </c>
      <c r="H41" s="31"/>
      <c r="I41" s="36">
        <v>3</v>
      </c>
      <c r="J41" s="36">
        <v>4</v>
      </c>
      <c r="K41" s="36">
        <v>6282</v>
      </c>
      <c r="L41" s="27"/>
      <c r="M41" s="36">
        <v>6264</v>
      </c>
      <c r="N41" s="40">
        <v>6297</v>
      </c>
      <c r="O41" s="43" t="str" cm="1">
        <f t="array" ref="O41">IFERROR(IF(G41&gt;10,G41/C41*0.8769,""),“”)</f>
        <v/>
      </c>
      <c r="P41" s="43" t="str" cm="1">
        <f t="array" ref="P41">IFERROR(IF(H41&gt;10,H41/D41*0.8769,""),“”)</f>
        <v/>
      </c>
      <c r="Q41" s="43" t="str" cm="1">
        <f t="array" ref="Q41">IFERROR(IF(I41&gt;10,I41/E41*0.8769,""),“”)</f>
        <v/>
      </c>
      <c r="R41" s="43" t="str" cm="1">
        <f t="array" ref="R41">IFERROR(IF(J41&gt;10,J41/F41*0.8769,""),“”)</f>
        <v/>
      </c>
      <c r="S41" s="54" t="str">
        <f t="shared" si="2"/>
        <v/>
      </c>
    </row>
    <row r="42" spans="1:31">
      <c r="A42" s="53" t="s">
        <v>84</v>
      </c>
      <c r="B42" s="37">
        <v>2017</v>
      </c>
      <c r="C42" s="36">
        <v>54</v>
      </c>
      <c r="D42" s="36">
        <v>0.3</v>
      </c>
      <c r="E42" s="36">
        <v>13</v>
      </c>
      <c r="F42" s="28">
        <v>40</v>
      </c>
      <c r="G42" s="36">
        <v>28</v>
      </c>
      <c r="H42" s="31" t="s">
        <v>109</v>
      </c>
      <c r="I42" s="35">
        <v>5</v>
      </c>
      <c r="J42" s="28">
        <v>23</v>
      </c>
      <c r="K42" s="36">
        <v>5340</v>
      </c>
      <c r="L42" s="27"/>
      <c r="M42" s="36">
        <v>4402</v>
      </c>
      <c r="N42" s="42">
        <v>5622</v>
      </c>
      <c r="O42" s="43" cm="1">
        <f t="array" ref="O42">IFERROR(IF(G42&gt;10,G42/C42*0.8769,""),“”)</f>
        <v>0.45468888888888886</v>
      </c>
      <c r="P42" s="43" t="e" cm="1">
        <f t="array" ref="P42">IFERROR(IF(H42&gt;10,H42/D42*0.8769,""),“”)</f>
        <v>#NAME?</v>
      </c>
      <c r="Q42" s="43" t="str" cm="1">
        <f t="array" ref="Q42">IFERROR(IF(I42&gt;10,I42/E42*0.8769,""),“”)</f>
        <v/>
      </c>
      <c r="R42" s="43" cm="1">
        <f t="array" ref="R42">IFERROR(IF(J42&gt;10,J42/F42*0.8769,""),“”)</f>
        <v>0.50421749999999999</v>
      </c>
      <c r="S42" s="54">
        <f t="shared" si="2"/>
        <v>0.49191951219512203</v>
      </c>
    </row>
    <row r="43" spans="1:31">
      <c r="A43" s="53" t="s">
        <v>85</v>
      </c>
      <c r="B43" s="37">
        <v>2017</v>
      </c>
      <c r="C43" s="36">
        <v>90</v>
      </c>
      <c r="D43" s="36">
        <v>0.4</v>
      </c>
      <c r="E43" s="36">
        <v>8</v>
      </c>
      <c r="F43" s="36">
        <v>82</v>
      </c>
      <c r="G43" s="36">
        <v>47</v>
      </c>
      <c r="H43" s="36">
        <v>7.0000000000000007E-2</v>
      </c>
      <c r="I43" s="36">
        <v>3</v>
      </c>
      <c r="J43" s="28">
        <v>44</v>
      </c>
      <c r="K43" s="36">
        <v>5425</v>
      </c>
      <c r="L43" s="27"/>
      <c r="M43" s="36">
        <v>4016</v>
      </c>
      <c r="N43" s="42">
        <v>5546</v>
      </c>
      <c r="O43" s="43" cm="1">
        <f t="array" ref="O43">IFERROR(IF(G43&gt;10,G43/C43*0.8769,""),“”)</f>
        <v>0.45793666666666671</v>
      </c>
      <c r="P43" s="43" t="str" cm="1">
        <f t="array" ref="P43">IFERROR(IF(H43&gt;10,H43/D43*0.8769,""),“”)</f>
        <v/>
      </c>
      <c r="Q43" s="43" t="str" cm="1">
        <f t="array" ref="Q43">IFERROR(IF(I43&gt;10,I43/E43*0.8769,""),“”)</f>
        <v/>
      </c>
      <c r="R43" s="43" cm="1">
        <f t="array" ref="R43">IFERROR(IF(J43&gt;10,J43/F43*0.8769,""),“”)</f>
        <v>0.47053170731707322</v>
      </c>
      <c r="S43" s="54">
        <f t="shared" si="2"/>
        <v>0.47053170731707322</v>
      </c>
    </row>
    <row r="44" spans="1:31">
      <c r="A44" s="53" t="s">
        <v>86</v>
      </c>
      <c r="B44" s="37">
        <v>2017</v>
      </c>
      <c r="C44" s="36">
        <v>28</v>
      </c>
      <c r="D44" s="36">
        <v>2</v>
      </c>
      <c r="E44" s="36">
        <v>26</v>
      </c>
      <c r="F44" s="27"/>
      <c r="G44" s="36">
        <v>19</v>
      </c>
      <c r="H44" s="36">
        <v>1</v>
      </c>
      <c r="I44" s="36">
        <v>18</v>
      </c>
      <c r="J44" s="27"/>
      <c r="K44" s="36">
        <v>7258</v>
      </c>
      <c r="L44" s="36">
        <v>6278</v>
      </c>
      <c r="M44" s="36">
        <v>7319</v>
      </c>
      <c r="N44" s="41"/>
      <c r="O44" s="43" cm="1">
        <f t="array" ref="O44">IFERROR(IF(G44&gt;10,G44/C44*0.8769,""),“”)</f>
        <v>0.59503928571428577</v>
      </c>
      <c r="P44" s="43" t="str" cm="1">
        <f t="array" ref="P44">IFERROR(IF(H44&gt;10,H44/D44*0.8769,""),“”)</f>
        <v/>
      </c>
      <c r="Q44" s="43" cm="1">
        <f t="array" ref="Q44">IFERROR(IF(I44&gt;10,I44/E44*0.8769,""),“”)</f>
        <v>0.60708461538461533</v>
      </c>
      <c r="R44" s="43" t="str" cm="1">
        <f t="array" ref="R44">IFERROR(IF(J44&gt;10,J44/F44*0.8769,""),“”)</f>
        <v/>
      </c>
      <c r="S44" s="54" t="str">
        <f t="shared" si="2"/>
        <v/>
      </c>
    </row>
    <row r="45" spans="1:31">
      <c r="A45" s="53" t="s">
        <v>87</v>
      </c>
      <c r="B45" s="37">
        <v>2017</v>
      </c>
      <c r="C45" s="36">
        <v>145</v>
      </c>
      <c r="D45" s="36">
        <v>4</v>
      </c>
      <c r="E45" s="36">
        <v>91</v>
      </c>
      <c r="F45" s="28">
        <v>50</v>
      </c>
      <c r="G45" s="36">
        <v>90</v>
      </c>
      <c r="H45" s="36">
        <v>1</v>
      </c>
      <c r="I45" s="36">
        <v>57</v>
      </c>
      <c r="J45" s="28">
        <v>33</v>
      </c>
      <c r="K45" s="36">
        <v>6699</v>
      </c>
      <c r="L45" s="36">
        <v>4709</v>
      </c>
      <c r="M45" s="36">
        <v>6571</v>
      </c>
      <c r="N45" s="42">
        <v>6974</v>
      </c>
      <c r="O45" s="43" cm="1">
        <f t="array" ref="O45">IFERROR(IF(G45&gt;10,G45/C45*0.8769,""),“”)</f>
        <v>0.54428275862068964</v>
      </c>
      <c r="P45" s="43" t="str" cm="1">
        <f t="array" ref="P45">IFERROR(IF(H45&gt;10,H45/D45*0.8769,""),“”)</f>
        <v/>
      </c>
      <c r="Q45" s="43" cm="1">
        <f t="array" ref="Q45">IFERROR(IF(I45&gt;10,I45/E45*0.8769,""),“”)</f>
        <v>0.54926703296703294</v>
      </c>
      <c r="R45" s="43" cm="1">
        <f t="array" ref="R45">IFERROR(IF(J45&gt;10,J45/F45*0.8769,""),“”)</f>
        <v>0.57875399999999999</v>
      </c>
      <c r="S45" s="54">
        <f t="shared" si="2"/>
        <v>0.53588333333333338</v>
      </c>
    </row>
    <row r="46" spans="1:31">
      <c r="A46" s="53" t="s">
        <v>88</v>
      </c>
      <c r="B46" s="37">
        <v>2017</v>
      </c>
      <c r="C46" s="36">
        <v>158</v>
      </c>
      <c r="D46" s="36">
        <v>4</v>
      </c>
      <c r="E46" s="36">
        <v>133</v>
      </c>
      <c r="F46" s="36">
        <v>21</v>
      </c>
      <c r="G46" s="36">
        <v>82</v>
      </c>
      <c r="H46" s="36">
        <v>2</v>
      </c>
      <c r="I46" s="36">
        <v>69</v>
      </c>
      <c r="J46" s="35">
        <v>12</v>
      </c>
      <c r="K46" s="36">
        <v>5676</v>
      </c>
      <c r="L46" s="36">
        <v>6951</v>
      </c>
      <c r="M46" s="36">
        <v>5684</v>
      </c>
      <c r="N46" s="42">
        <v>5569</v>
      </c>
      <c r="O46" s="43" cm="1">
        <f t="array" ref="O46">IFERROR(IF(G46&gt;10,G46/C46*0.8769,""),“”)</f>
        <v>0.4551</v>
      </c>
      <c r="P46" s="43" t="str" cm="1">
        <f t="array" ref="P46">IFERROR(IF(H46&gt;10,H46/D46*0.8769,""),“”)</f>
        <v/>
      </c>
      <c r="Q46" s="43" cm="1">
        <f t="array" ref="Q46">IFERROR(IF(I46&gt;10,I46/E46*0.8769,""),“”)</f>
        <v>0.45493308270676697</v>
      </c>
      <c r="R46" s="43" cm="1">
        <f t="array" ref="R46">IFERROR(IF(J46&gt;10,J46/F46*0.8769,""),“”)</f>
        <v>0.50108571428571425</v>
      </c>
      <c r="S46" s="54">
        <f t="shared" si="2"/>
        <v>0.455988</v>
      </c>
    </row>
    <row r="47" spans="1:31">
      <c r="A47" s="53" t="s">
        <v>89</v>
      </c>
      <c r="B47" s="37">
        <v>2017</v>
      </c>
      <c r="C47" s="36">
        <v>119</v>
      </c>
      <c r="D47" s="36">
        <v>1</v>
      </c>
      <c r="E47" s="36">
        <v>43</v>
      </c>
      <c r="F47" s="28">
        <v>75</v>
      </c>
      <c r="G47" s="36">
        <v>69</v>
      </c>
      <c r="H47" s="36">
        <v>1</v>
      </c>
      <c r="I47" s="36">
        <v>20</v>
      </c>
      <c r="J47" s="28">
        <v>49</v>
      </c>
      <c r="K47" s="36">
        <v>6391</v>
      </c>
      <c r="L47" s="27"/>
      <c r="M47" s="36">
        <v>5570</v>
      </c>
      <c r="N47" s="42">
        <v>6784</v>
      </c>
      <c r="O47" s="43" cm="1">
        <f t="array" ref="O47">IFERROR(IF(G47&gt;10,G47/C47*0.8769,""),“”)</f>
        <v>0.50845462184873957</v>
      </c>
      <c r="P47" s="43" t="str" cm="1">
        <f t="array" ref="P47">IFERROR(IF(H47&gt;10,H47/D47*0.8769,""),“”)</f>
        <v/>
      </c>
      <c r="Q47" s="43" cm="1">
        <f t="array" ref="Q47">IFERROR(IF(I47&gt;10,I47/E47*0.8769,""),“”)</f>
        <v>0.40786046511627905</v>
      </c>
      <c r="R47" s="43" cm="1">
        <f t="array" ref="R47">IFERROR(IF(J47&gt;10,J47/F47*0.8769,""),“”)</f>
        <v>0.57290799999999997</v>
      </c>
      <c r="S47" s="54">
        <f t="shared" si="2"/>
        <v>0.56536973684210523</v>
      </c>
    </row>
    <row r="48" spans="1:31">
      <c r="A48" s="53" t="s">
        <v>90</v>
      </c>
      <c r="B48" s="37">
        <v>2017</v>
      </c>
      <c r="C48" s="36">
        <v>45</v>
      </c>
      <c r="D48" s="36">
        <v>0.4</v>
      </c>
      <c r="E48" s="36">
        <v>39</v>
      </c>
      <c r="F48" s="36">
        <v>5</v>
      </c>
      <c r="G48" s="36">
        <v>24</v>
      </c>
      <c r="H48" s="36">
        <v>0.2</v>
      </c>
      <c r="I48" s="36">
        <v>21</v>
      </c>
      <c r="J48" s="36">
        <v>3</v>
      </c>
      <c r="K48" s="36">
        <v>6134</v>
      </c>
      <c r="L48" s="27"/>
      <c r="M48" s="36">
        <v>6227</v>
      </c>
      <c r="N48" s="42">
        <v>5546</v>
      </c>
      <c r="O48" s="43" cm="1">
        <f t="array" ref="O48">IFERROR(IF(G48&gt;10,G48/C48*0.8769,""),“”)</f>
        <v>0.46767999999999998</v>
      </c>
      <c r="P48" s="43" t="str" cm="1">
        <f t="array" ref="P48">IFERROR(IF(H48&gt;10,H48/D48*0.8769,""),“”)</f>
        <v/>
      </c>
      <c r="Q48" s="43" cm="1">
        <f t="array" ref="Q48">IFERROR(IF(I48&gt;10,I48/E48*0.8769,""),“”)</f>
        <v>0.47217692307692305</v>
      </c>
      <c r="R48" s="43" t="str" cm="1">
        <f t="array" ref="R48">IFERROR(IF(J48&gt;10,J48/F48*0.8769,""),“”)</f>
        <v/>
      </c>
      <c r="S48" s="54" t="str">
        <f t="shared" si="2"/>
        <v/>
      </c>
    </row>
    <row r="49" spans="1:19">
      <c r="A49" s="53" t="s">
        <v>91</v>
      </c>
      <c r="B49" s="37">
        <v>2017</v>
      </c>
      <c r="C49" s="36">
        <v>29</v>
      </c>
      <c r="D49" s="36">
        <v>1</v>
      </c>
      <c r="E49" s="36">
        <v>9</v>
      </c>
      <c r="F49" s="28">
        <v>20</v>
      </c>
      <c r="G49" s="36">
        <v>17</v>
      </c>
      <c r="H49" s="36">
        <v>0.2</v>
      </c>
      <c r="I49" s="36">
        <v>3</v>
      </c>
      <c r="J49" s="28">
        <v>14</v>
      </c>
      <c r="K49" s="36">
        <v>6112</v>
      </c>
      <c r="L49" s="27"/>
      <c r="M49" s="36">
        <v>4062</v>
      </c>
      <c r="N49" s="42">
        <v>6847</v>
      </c>
      <c r="O49" s="43" cm="1">
        <f t="array" ref="O49">IFERROR(IF(G49&gt;10,G49/C49*0.8769,""),“”)</f>
        <v>0.51404482758620684</v>
      </c>
      <c r="P49" s="43" t="str" cm="1">
        <f t="array" ref="P49">IFERROR(IF(H49&gt;10,H49/D49*0.8769,""),“”)</f>
        <v/>
      </c>
      <c r="Q49" s="43" t="str" cm="1">
        <f t="array" ref="Q49">IFERROR(IF(I49&gt;10,I49/E49*0.8769,""),“”)</f>
        <v/>
      </c>
      <c r="R49" s="43" cm="1">
        <f t="array" ref="R49">IFERROR(IF(J49&gt;10,J49/F49*0.8769,""),“”)</f>
        <v>0.61382999999999999</v>
      </c>
      <c r="S49" s="54">
        <f t="shared" si="2"/>
        <v>0.61382999999999999</v>
      </c>
    </row>
    <row r="50" spans="1:19">
      <c r="A50" s="53" t="s">
        <v>92</v>
      </c>
      <c r="B50" s="37">
        <v>2017</v>
      </c>
      <c r="C50" s="36">
        <v>216</v>
      </c>
      <c r="D50" s="36">
        <v>5</v>
      </c>
      <c r="E50" s="36">
        <v>80</v>
      </c>
      <c r="F50" s="28">
        <v>131</v>
      </c>
      <c r="G50" s="36">
        <v>107</v>
      </c>
      <c r="H50" s="36">
        <v>1</v>
      </c>
      <c r="I50" s="36">
        <v>35</v>
      </c>
      <c r="J50" s="28">
        <v>71</v>
      </c>
      <c r="K50" s="36">
        <v>5433</v>
      </c>
      <c r="L50" s="36">
        <v>4024</v>
      </c>
      <c r="M50" s="36">
        <v>5061</v>
      </c>
      <c r="N50" s="42">
        <v>5658</v>
      </c>
      <c r="O50" s="43" cm="1">
        <f t="array" ref="O50">IFERROR(IF(G50&gt;10,G50/C50*0.8769,""),“”)</f>
        <v>0.43439027777777778</v>
      </c>
      <c r="P50" s="43" t="str" cm="1">
        <f t="array" ref="P50">IFERROR(IF(H50&gt;10,H50/D50*0.8769,""),“”)</f>
        <v/>
      </c>
      <c r="Q50" s="43" cm="1">
        <f t="array" ref="Q50">IFERROR(IF(I50&gt;10,I50/E50*0.8769,""),“”)</f>
        <v>0.38364375000000001</v>
      </c>
      <c r="R50" s="43" cm="1">
        <f t="array" ref="R50">IFERROR(IF(J50&gt;10,J50/F50*0.8769,""),“”)</f>
        <v>0.4752664122137405</v>
      </c>
      <c r="S50" s="54">
        <f t="shared" si="2"/>
        <v>0.46424117647058827</v>
      </c>
    </row>
    <row r="51" spans="1:19">
      <c r="A51" s="53" t="s">
        <v>93</v>
      </c>
      <c r="B51" s="37">
        <v>2017</v>
      </c>
      <c r="C51" s="36">
        <v>53</v>
      </c>
      <c r="D51" s="36">
        <v>4</v>
      </c>
      <c r="E51" s="36">
        <v>6</v>
      </c>
      <c r="F51" s="28">
        <v>43</v>
      </c>
      <c r="G51" s="36">
        <v>24</v>
      </c>
      <c r="H51" s="36">
        <v>0.2</v>
      </c>
      <c r="I51" s="36">
        <v>3</v>
      </c>
      <c r="J51" s="28">
        <v>20</v>
      </c>
      <c r="K51" s="36">
        <v>4550</v>
      </c>
      <c r="L51" s="36">
        <v>802</v>
      </c>
      <c r="M51" s="36">
        <v>5021</v>
      </c>
      <c r="N51" s="42">
        <v>4751</v>
      </c>
      <c r="O51" s="43" cm="1">
        <f t="array" ref="O51">IFERROR(IF(G51&gt;10,G51/C51*0.8769,""),“”)</f>
        <v>0.39708679245283018</v>
      </c>
      <c r="P51" s="43" t="str" cm="1">
        <f t="array" ref="P51">IFERROR(IF(H51&gt;10,H51/D51*0.8769,""),“”)</f>
        <v/>
      </c>
      <c r="Q51" s="43" t="str" cm="1">
        <f t="array" ref="Q51">IFERROR(IF(I51&gt;10,I51/E51*0.8769,""),“”)</f>
        <v/>
      </c>
      <c r="R51" s="43" cm="1">
        <f t="array" ref="R51">IFERROR(IF(J51&gt;10,J51/F51*0.8769,""),“”)</f>
        <v>0.40786046511627905</v>
      </c>
      <c r="S51" s="54">
        <f t="shared" si="2"/>
        <v>0.39180638297872339</v>
      </c>
    </row>
    <row r="52" spans="1:19">
      <c r="A52" s="53" t="s">
        <v>94</v>
      </c>
      <c r="B52" s="37">
        <v>2017</v>
      </c>
      <c r="C52" s="36">
        <v>73</v>
      </c>
      <c r="D52" s="36">
        <v>1</v>
      </c>
      <c r="E52" s="36">
        <v>24</v>
      </c>
      <c r="F52" s="28">
        <v>48</v>
      </c>
      <c r="G52" s="36">
        <v>37</v>
      </c>
      <c r="H52" s="36">
        <v>0.3</v>
      </c>
      <c r="I52" s="36">
        <v>13</v>
      </c>
      <c r="J52" s="28">
        <v>24</v>
      </c>
      <c r="K52" s="36">
        <v>5377</v>
      </c>
      <c r="L52" s="27"/>
      <c r="M52" s="36">
        <v>5869</v>
      </c>
      <c r="N52" s="42">
        <v>5143</v>
      </c>
      <c r="O52" s="43" cm="1">
        <f t="array" ref="O52">IFERROR(IF(G52&gt;10,G52/C52*0.8769,""),“”)</f>
        <v>0.44445616438356167</v>
      </c>
      <c r="P52" s="43" t="str" cm="1">
        <f t="array" ref="P52">IFERROR(IF(H52&gt;10,H52/D52*0.8769,""),“”)</f>
        <v/>
      </c>
      <c r="Q52" s="43" cm="1">
        <f t="array" ref="Q52">IFERROR(IF(I52&gt;10,I52/E52*0.8769,""),“”)</f>
        <v>0.47498749999999995</v>
      </c>
      <c r="R52" s="43" cm="1">
        <f t="array" ref="R52">IFERROR(IF(J52&gt;10,J52/F52*0.8769,""),“”)</f>
        <v>0.43845000000000001</v>
      </c>
      <c r="S52" s="54">
        <f t="shared" si="2"/>
        <v>0.42950204081632654</v>
      </c>
    </row>
    <row r="53" spans="1:19">
      <c r="A53" s="53" t="s">
        <v>95</v>
      </c>
      <c r="B53" s="37">
        <v>2017</v>
      </c>
      <c r="C53" s="36">
        <v>47</v>
      </c>
      <c r="D53" s="36">
        <v>1</v>
      </c>
      <c r="E53" s="36">
        <v>9</v>
      </c>
      <c r="F53" s="36">
        <v>36</v>
      </c>
      <c r="G53" s="36">
        <v>22</v>
      </c>
      <c r="H53" s="36">
        <v>1</v>
      </c>
      <c r="I53" s="36">
        <v>5</v>
      </c>
      <c r="J53" s="36">
        <v>16</v>
      </c>
      <c r="K53" s="36">
        <v>5547</v>
      </c>
      <c r="L53" s="36">
        <v>6671</v>
      </c>
      <c r="M53" s="36">
        <v>5824</v>
      </c>
      <c r="N53" s="40">
        <v>5418</v>
      </c>
      <c r="O53" s="43" cm="1">
        <f t="array" ref="O53">IFERROR(IF(G53&gt;10,G53/C53*0.8769,""),“”)</f>
        <v>0.41046382978723406</v>
      </c>
      <c r="P53" s="43" t="str" cm="1">
        <f t="array" ref="P53">IFERROR(IF(H53&gt;10,H53/D53*0.8769,""),“”)</f>
        <v/>
      </c>
      <c r="Q53" s="43" t="str" cm="1">
        <f t="array" ref="Q53">IFERROR(IF(I53&gt;10,I53/E53*0.8769,""),“”)</f>
        <v/>
      </c>
      <c r="R53" s="43" cm="1">
        <f t="array" ref="R53">IFERROR(IF(J53&gt;10,J53/F53*0.8769,""),“”)</f>
        <v>0.38973333333333332</v>
      </c>
      <c r="S53" s="54">
        <f t="shared" si="2"/>
        <v>0.39229736842105262</v>
      </c>
    </row>
    <row r="54" spans="1:19">
      <c r="A54" s="53" t="s">
        <v>96</v>
      </c>
      <c r="B54" s="37">
        <v>2017</v>
      </c>
      <c r="C54" s="36">
        <v>106</v>
      </c>
      <c r="D54" s="36">
        <v>7</v>
      </c>
      <c r="E54" s="36">
        <v>77</v>
      </c>
      <c r="F54" s="28">
        <v>22</v>
      </c>
      <c r="G54" s="36">
        <v>61</v>
      </c>
      <c r="H54" s="36">
        <v>5</v>
      </c>
      <c r="I54" s="36">
        <v>42</v>
      </c>
      <c r="J54" s="28">
        <v>15</v>
      </c>
      <c r="K54" s="36">
        <v>6043</v>
      </c>
      <c r="L54" s="36">
        <v>6647</v>
      </c>
      <c r="M54" s="36">
        <v>5789</v>
      </c>
      <c r="N54" s="42">
        <v>6805</v>
      </c>
      <c r="O54" s="43" cm="1">
        <f t="array" ref="O54">IFERROR(IF(G54&gt;10,G54/C54*0.8769,""),“”)</f>
        <v>0.50463113207547172</v>
      </c>
      <c r="P54" s="43" t="str" cm="1">
        <f t="array" ref="P54">IFERROR(IF(H54&gt;10,H54/D54*0.8769,""),“”)</f>
        <v/>
      </c>
      <c r="Q54" s="43" cm="1">
        <f t="array" ref="Q54">IFERROR(IF(I54&gt;10,I54/E54*0.8769,""),“”)</f>
        <v>0.47830909090909091</v>
      </c>
      <c r="R54" s="43" cm="1">
        <f t="array" ref="R54">IFERROR(IF(J54&gt;10,J54/F54*0.8769,""),“”)</f>
        <v>0.5978863636363636</v>
      </c>
      <c r="S54" s="54">
        <f t="shared" si="2"/>
        <v>0.57452068965517245</v>
      </c>
    </row>
    <row r="55" spans="1:19">
      <c r="A55" s="53" t="s">
        <v>97</v>
      </c>
      <c r="B55" s="37">
        <v>2017</v>
      </c>
      <c r="C55" s="36">
        <v>166</v>
      </c>
      <c r="D55" s="36">
        <v>2</v>
      </c>
      <c r="E55" s="36">
        <v>9</v>
      </c>
      <c r="F55" s="28">
        <v>155</v>
      </c>
      <c r="G55" s="36">
        <v>33</v>
      </c>
      <c r="H55" s="36">
        <v>1</v>
      </c>
      <c r="I55" s="36">
        <v>5</v>
      </c>
      <c r="J55" s="28">
        <v>27</v>
      </c>
      <c r="K55" s="36">
        <v>2098</v>
      </c>
      <c r="L55" s="27"/>
      <c r="M55" s="36">
        <v>6132</v>
      </c>
      <c r="N55" s="42">
        <v>1853</v>
      </c>
      <c r="O55" s="43" cm="1">
        <f t="array" ref="O55">IFERROR(IF(G55&gt;10,G55/C55*0.8769,""),“”)</f>
        <v>0.17432349397590363</v>
      </c>
      <c r="P55" s="43" t="str" cm="1">
        <f t="array" ref="P55">IFERROR(IF(H55&gt;10,H55/D55*0.8769,""),“”)</f>
        <v/>
      </c>
      <c r="Q55" s="43" t="str" cm="1">
        <f t="array" ref="Q55">IFERROR(IF(I55&gt;10,I55/E55*0.8769,""),“”)</f>
        <v/>
      </c>
      <c r="R55" s="43" cm="1">
        <f t="array" ref="R55">IFERROR(IF(J55&gt;10,J55/F55*0.8769,""),“”)</f>
        <v>0.15275032258064516</v>
      </c>
      <c r="S55" s="54">
        <f t="shared" si="2"/>
        <v>0.15638980891719745</v>
      </c>
    </row>
    <row r="56" spans="1:19">
      <c r="A56" s="53" t="s">
        <v>98</v>
      </c>
      <c r="B56" s="37">
        <v>2017</v>
      </c>
      <c r="C56" s="36">
        <v>8</v>
      </c>
      <c r="D56" s="36">
        <v>0.3</v>
      </c>
      <c r="E56" s="36">
        <v>8</v>
      </c>
      <c r="F56" s="28"/>
      <c r="G56" s="36">
        <v>5</v>
      </c>
      <c r="H56" s="36">
        <v>0.2</v>
      </c>
      <c r="I56" s="36">
        <v>5</v>
      </c>
      <c r="J56" s="28"/>
      <c r="K56" s="36">
        <v>6798</v>
      </c>
      <c r="L56" s="27"/>
      <c r="M56" s="36">
        <v>6798</v>
      </c>
      <c r="N56" s="42"/>
      <c r="O56" s="43" t="str" cm="1">
        <f t="array" ref="O56">IFERROR(IF(G56&gt;10,G56/C56*0.8769,""),“”)</f>
        <v/>
      </c>
      <c r="P56" s="43" t="str" cm="1">
        <f t="array" ref="P56">IFERROR(IF(H56&gt;10,H56/D56*0.8769,""),“”)</f>
        <v/>
      </c>
      <c r="Q56" s="43" t="str" cm="1">
        <f t="array" ref="Q56">IFERROR(IF(I56&gt;10,I56/E56*0.8769,""),“”)</f>
        <v/>
      </c>
      <c r="R56" s="43" t="str" cm="1">
        <f t="array" ref="R56">IFERROR(IF(J56&gt;10,J56/F56*0.8769,""),“”)</f>
        <v/>
      </c>
      <c r="S56" s="54" t="str">
        <f t="shared" si="2"/>
        <v/>
      </c>
    </row>
    <row r="57" spans="1:19">
      <c r="A57" s="53" t="s">
        <v>99</v>
      </c>
      <c r="B57" s="37">
        <v>2017</v>
      </c>
      <c r="C57" s="36">
        <v>18</v>
      </c>
      <c r="D57" s="36">
        <v>1</v>
      </c>
      <c r="E57" s="36">
        <v>10</v>
      </c>
      <c r="F57" s="28">
        <v>7</v>
      </c>
      <c r="G57" s="36">
        <v>10</v>
      </c>
      <c r="H57" s="36">
        <v>1</v>
      </c>
      <c r="I57" s="36">
        <v>7</v>
      </c>
      <c r="J57" s="28">
        <v>2</v>
      </c>
      <c r="K57" s="36">
        <v>5840</v>
      </c>
      <c r="L57" s="27"/>
      <c r="M57" s="36">
        <v>7189</v>
      </c>
      <c r="N57" s="42">
        <v>3496</v>
      </c>
      <c r="O57" s="43" t="str" cm="1">
        <f t="array" ref="O57">IFERROR(IF(G57&gt;10,G57/C57*0.8769,""),“”)</f>
        <v/>
      </c>
      <c r="P57" s="43" t="str" cm="1">
        <f t="array" ref="P57">IFERROR(IF(H57&gt;10,H57/D57*0.8769,""),“”)</f>
        <v/>
      </c>
      <c r="Q57" s="43" t="str" cm="1">
        <f t="array" ref="Q57">IFERROR(IF(I57&gt;10,I57/E57*0.8769,""),“”)</f>
        <v/>
      </c>
      <c r="R57" s="43" t="str" cm="1">
        <f t="array" ref="R57">IFERROR(IF(J57&gt;10,J57/F57*0.8769,""),“”)</f>
        <v/>
      </c>
      <c r="S57" s="54" t="str">
        <f t="shared" si="2"/>
        <v/>
      </c>
    </row>
    <row r="58" spans="1:19">
      <c r="A58" s="53" t="s">
        <v>100</v>
      </c>
      <c r="B58" s="37">
        <v>2017</v>
      </c>
      <c r="C58" s="36">
        <v>44</v>
      </c>
      <c r="D58" s="36">
        <v>2</v>
      </c>
      <c r="E58" s="36">
        <v>39</v>
      </c>
      <c r="F58" s="28">
        <v>3</v>
      </c>
      <c r="G58" s="36">
        <v>21</v>
      </c>
      <c r="H58" s="36">
        <v>1</v>
      </c>
      <c r="I58" s="36">
        <v>18</v>
      </c>
      <c r="J58" s="28">
        <v>2</v>
      </c>
      <c r="K58" s="36">
        <v>5473</v>
      </c>
      <c r="L58" s="36">
        <v>7197</v>
      </c>
      <c r="M58" s="36">
        <v>5304</v>
      </c>
      <c r="N58" s="42">
        <v>7035</v>
      </c>
      <c r="O58" s="43" cm="1">
        <f t="array" ref="O58">IFERROR(IF(G58&gt;10,G58/C58*0.8769,""),“”)</f>
        <v>0.41852045454545456</v>
      </c>
      <c r="P58" s="43" t="str" cm="1">
        <f t="array" ref="P58">IFERROR(IF(H58&gt;10,H58/D58*0.8769,""),“”)</f>
        <v/>
      </c>
      <c r="Q58" s="43" cm="1">
        <f t="array" ref="Q58">IFERROR(IF(I58&gt;10,I58/E58*0.8769,""),“”)</f>
        <v>0.40472307692307696</v>
      </c>
      <c r="R58" s="43" t="str" cm="1">
        <f t="array" ref="R58">IFERROR(IF(J58&gt;10,J58/F58*0.8769,""),“”)</f>
        <v/>
      </c>
      <c r="S58" s="54" t="str">
        <f t="shared" si="2"/>
        <v/>
      </c>
    </row>
    <row r="59" spans="1:19">
      <c r="A59" s="53" t="s">
        <v>101</v>
      </c>
      <c r="B59" s="37">
        <v>2017</v>
      </c>
      <c r="C59" s="36">
        <v>15</v>
      </c>
      <c r="D59" s="31"/>
      <c r="E59" s="28">
        <v>9</v>
      </c>
      <c r="F59" s="28">
        <v>6</v>
      </c>
      <c r="G59" s="36">
        <v>6</v>
      </c>
      <c r="H59" s="31"/>
      <c r="I59" s="28">
        <v>2</v>
      </c>
      <c r="J59" s="28">
        <v>4</v>
      </c>
      <c r="K59" s="36">
        <v>3856</v>
      </c>
      <c r="L59" s="27"/>
      <c r="M59" s="28">
        <v>2212</v>
      </c>
      <c r="N59" s="42">
        <v>6186</v>
      </c>
      <c r="O59" s="43" t="str" cm="1">
        <f t="array" ref="O59">IFERROR(IF(G59&gt;10,G59/C59*0.8769,""),“”)</f>
        <v/>
      </c>
      <c r="P59" s="43" t="str" cm="1">
        <f t="array" ref="P59">IFERROR(IF(H59&gt;10,H59/D59*0.8769,""),“”)</f>
        <v/>
      </c>
      <c r="Q59" s="43" t="str" cm="1">
        <f t="array" ref="Q59">IFERROR(IF(I59&gt;10,I59/E59*0.8769,""),“”)</f>
        <v/>
      </c>
      <c r="R59" s="43" t="str" cm="1">
        <f t="array" ref="R59">IFERROR(IF(J59&gt;10,J59/F59*0.8769,""),“”)</f>
        <v/>
      </c>
      <c r="S59" s="54" t="str">
        <f t="shared" si="2"/>
        <v/>
      </c>
    </row>
    <row r="60" spans="1:19">
      <c r="A60" s="53" t="s">
        <v>102</v>
      </c>
      <c r="B60" s="37">
        <v>2017</v>
      </c>
      <c r="C60" s="36">
        <v>32</v>
      </c>
      <c r="D60" s="31"/>
      <c r="E60" s="36">
        <v>12</v>
      </c>
      <c r="F60" s="28">
        <v>20</v>
      </c>
      <c r="G60" s="36">
        <v>8</v>
      </c>
      <c r="H60" s="31"/>
      <c r="I60" s="36">
        <v>6</v>
      </c>
      <c r="J60" s="28">
        <v>2</v>
      </c>
      <c r="K60" s="36">
        <v>2905</v>
      </c>
      <c r="L60" s="27"/>
      <c r="M60" s="36">
        <v>5208</v>
      </c>
      <c r="N60" s="42">
        <v>960</v>
      </c>
      <c r="O60" s="43" t="str" cm="1">
        <f t="array" ref="O60">IFERROR(IF(G60&gt;10,G60/C60*0.8769,""),“”)</f>
        <v/>
      </c>
      <c r="P60" s="43" t="str" cm="1">
        <f t="array" ref="P60">IFERROR(IF(H60&gt;10,H60/D60*0.8769,""),“”)</f>
        <v/>
      </c>
      <c r="Q60" s="43" t="str" cm="1">
        <f t="array" ref="Q60">IFERROR(IF(I60&gt;10,I60/E60*0.8769,""),“”)</f>
        <v/>
      </c>
      <c r="R60" s="43" t="str" cm="1">
        <f t="array" ref="R60">IFERROR(IF(J60&gt;10,J60/F60*0.8769,""),“”)</f>
        <v/>
      </c>
      <c r="S60" s="54" t="str">
        <f t="shared" si="2"/>
        <v/>
      </c>
    </row>
    <row r="61" spans="1:19">
      <c r="A61" s="53" t="s">
        <v>103</v>
      </c>
      <c r="B61" s="37">
        <v>2017</v>
      </c>
      <c r="C61" s="36"/>
      <c r="D61" s="32"/>
      <c r="E61" s="28"/>
      <c r="F61" s="27"/>
      <c r="G61" s="36"/>
      <c r="H61" s="32"/>
      <c r="I61" s="28"/>
      <c r="J61" s="29"/>
      <c r="K61" s="36"/>
      <c r="L61" s="28"/>
      <c r="M61" s="28"/>
      <c r="N61" s="41"/>
      <c r="O61" s="43" t="str" cm="1">
        <f t="array" ref="O61">IFERROR(IF(G61&gt;10,G61/C61*0.8769,""),“”)</f>
        <v/>
      </c>
      <c r="P61" s="43" t="str" cm="1">
        <f t="array" ref="P61">IFERROR(IF(H61&gt;10,H61/D61*0.8769,""),“”)</f>
        <v/>
      </c>
      <c r="Q61" s="43" t="str" cm="1">
        <f t="array" ref="Q61">IFERROR(IF(I61&gt;10,I61/E61*0.8769,""),“”)</f>
        <v/>
      </c>
      <c r="R61" s="43" t="str" cm="1">
        <f t="array" ref="R61">IFERROR(IF(J61&gt;10,J61/F61*0.8769,""),“”)</f>
        <v/>
      </c>
      <c r="S61" s="54" t="str">
        <f t="shared" si="2"/>
        <v/>
      </c>
    </row>
    <row r="62" spans="1:19">
      <c r="A62" s="53" t="s">
        <v>104</v>
      </c>
      <c r="B62" s="37">
        <v>2017</v>
      </c>
      <c r="C62" s="36">
        <v>6</v>
      </c>
      <c r="D62" s="31"/>
      <c r="E62" s="36">
        <v>3</v>
      </c>
      <c r="F62" s="28">
        <v>3</v>
      </c>
      <c r="G62" s="36">
        <v>2</v>
      </c>
      <c r="H62" s="31"/>
      <c r="I62" s="36">
        <v>1</v>
      </c>
      <c r="J62" s="28">
        <v>1</v>
      </c>
      <c r="K62" s="36">
        <v>4048</v>
      </c>
      <c r="L62" s="27"/>
      <c r="M62" s="28">
        <v>567</v>
      </c>
      <c r="N62" s="42">
        <v>5820</v>
      </c>
      <c r="O62" s="43" t="str" cm="1">
        <f t="array" ref="O62">IFERROR(IF(G62&gt;10,G62/C62*0.8769,""),“”)</f>
        <v/>
      </c>
      <c r="P62" s="43" t="str" cm="1">
        <f t="array" ref="P62">IFERROR(IF(H62&gt;10,H62/D62*0.8769,""),“”)</f>
        <v/>
      </c>
      <c r="Q62" s="43" t="str" cm="1">
        <f t="array" ref="Q62">IFERROR(IF(I62&gt;10,I62/E62*0.8769,""),“”)</f>
        <v/>
      </c>
      <c r="R62" s="43" t="str" cm="1">
        <f t="array" ref="R62">IFERROR(IF(J62&gt;10,J62/F62*0.8769,""),“”)</f>
        <v/>
      </c>
      <c r="S62" s="54" t="str">
        <f t="shared" si="2"/>
        <v/>
      </c>
    </row>
    <row r="63" spans="1:19">
      <c r="A63" s="53" t="s">
        <v>105</v>
      </c>
      <c r="B63" s="37">
        <v>2017</v>
      </c>
      <c r="C63" s="36">
        <v>9</v>
      </c>
      <c r="D63" s="31"/>
      <c r="E63" s="36">
        <v>6</v>
      </c>
      <c r="F63" s="28">
        <v>3</v>
      </c>
      <c r="G63" s="36">
        <v>5</v>
      </c>
      <c r="H63" s="31"/>
      <c r="I63" s="28">
        <v>3</v>
      </c>
      <c r="J63" s="28">
        <v>2</v>
      </c>
      <c r="K63" s="36">
        <v>5538</v>
      </c>
      <c r="L63" s="27"/>
      <c r="M63" s="28">
        <v>5427</v>
      </c>
      <c r="N63" s="42">
        <v>5738</v>
      </c>
      <c r="O63" s="43" t="str" cm="1">
        <f t="array" ref="O63">IFERROR(IF(G63&gt;10,G63/C63*0.8769,""),“”)</f>
        <v/>
      </c>
      <c r="P63" s="43" t="str" cm="1">
        <f t="array" ref="P63">IFERROR(IF(H63&gt;10,H63/D63*0.8769,""),“”)</f>
        <v/>
      </c>
      <c r="Q63" s="43" t="str" cm="1">
        <f t="array" ref="Q63">IFERROR(IF(I63&gt;10,I63/E63*0.8769,""),“”)</f>
        <v/>
      </c>
      <c r="R63" s="43" t="str" cm="1">
        <f t="array" ref="R63">IFERROR(IF(J63&gt;10,J63/F63*0.8769,""),“”)</f>
        <v/>
      </c>
      <c r="S63" s="54" t="str">
        <f t="shared" si="2"/>
        <v/>
      </c>
    </row>
    <row r="64" spans="1:19">
      <c r="A64" s="53" t="s">
        <v>106</v>
      </c>
      <c r="B64" s="37">
        <v>2017</v>
      </c>
      <c r="C64" s="36">
        <v>0.4</v>
      </c>
      <c r="D64" s="36"/>
      <c r="E64" s="36">
        <v>0.4</v>
      </c>
      <c r="F64" s="28"/>
      <c r="G64" s="36">
        <v>0.2</v>
      </c>
      <c r="H64" s="36"/>
      <c r="I64" s="35">
        <v>0.2</v>
      </c>
      <c r="J64" s="28"/>
      <c r="K64" s="27"/>
      <c r="L64" s="27"/>
      <c r="M64" s="28"/>
      <c r="N64" s="42"/>
      <c r="O64" s="43" t="str" cm="1">
        <f t="array" ref="O64">IFERROR(IF(G64&gt;10,G64/C64*0.8769,""),“”)</f>
        <v/>
      </c>
      <c r="P64" s="43" t="str" cm="1">
        <f t="array" ref="P64">IFERROR(IF(H64&gt;10,H64/D64*0.8769,""),“”)</f>
        <v/>
      </c>
      <c r="Q64" s="43" t="str" cm="1">
        <f t="array" ref="Q64">IFERROR(IF(I64&gt;10,I64/E64*0.8769,""),“”)</f>
        <v/>
      </c>
      <c r="R64" s="43" t="str" cm="1">
        <f t="array" ref="R64">IFERROR(IF(J64&gt;10,J64/F64*0.8769,""),“”)</f>
        <v/>
      </c>
      <c r="S64" s="54" t="str">
        <f t="shared" si="2"/>
        <v/>
      </c>
    </row>
    <row r="65" spans="1:19">
      <c r="A65" s="53" t="s">
        <v>107</v>
      </c>
      <c r="B65" s="37">
        <v>2017</v>
      </c>
      <c r="C65" s="36">
        <v>8</v>
      </c>
      <c r="D65" s="31"/>
      <c r="E65" s="36">
        <v>2</v>
      </c>
      <c r="F65" s="28">
        <v>6</v>
      </c>
      <c r="G65" s="36">
        <v>2</v>
      </c>
      <c r="H65" s="31"/>
      <c r="I65" s="36">
        <v>1</v>
      </c>
      <c r="J65" s="28">
        <v>1</v>
      </c>
      <c r="K65" s="36">
        <v>2934</v>
      </c>
      <c r="L65" s="27"/>
      <c r="M65" s="36">
        <v>6215</v>
      </c>
      <c r="N65" s="42">
        <v>1458</v>
      </c>
      <c r="O65" s="43" t="str" cm="1">
        <f t="array" ref="O65">IFERROR(IF(G65&gt;10,G65/C65*0.8769,""),“”)</f>
        <v/>
      </c>
      <c r="P65" s="43" t="str" cm="1">
        <f t="array" ref="P65">IFERROR(IF(H65&gt;10,H65/D65*0.8769,""),“”)</f>
        <v/>
      </c>
      <c r="Q65" s="43" t="str" cm="1">
        <f t="array" ref="Q65">IFERROR(IF(I65&gt;10,I65/E65*0.8769,""),“”)</f>
        <v/>
      </c>
      <c r="R65" s="43" t="str" cm="1">
        <f t="array" ref="R65">IFERROR(IF(J65&gt;10,J65/F65*0.8769,""),“”)</f>
        <v/>
      </c>
      <c r="S65" s="54" t="str">
        <f t="shared" si="2"/>
        <v/>
      </c>
    </row>
    <row r="66" spans="1:19" ht="13.5" thickBot="1">
      <c r="A66" s="55" t="s">
        <v>108</v>
      </c>
      <c r="B66" s="56">
        <v>2017</v>
      </c>
      <c r="C66" s="57">
        <v>3</v>
      </c>
      <c r="D66" s="57">
        <v>0.2</v>
      </c>
      <c r="E66" s="69"/>
      <c r="F66" s="58">
        <v>2</v>
      </c>
      <c r="G66" s="57">
        <v>2</v>
      </c>
      <c r="H66" s="57">
        <v>0</v>
      </c>
      <c r="I66" s="69"/>
      <c r="J66" s="58">
        <v>2</v>
      </c>
      <c r="K66" s="57">
        <v>6963</v>
      </c>
      <c r="L66" s="57">
        <v>6342</v>
      </c>
      <c r="M66" s="69"/>
      <c r="N66" s="70">
        <v>7016</v>
      </c>
      <c r="O66" s="61" t="str" cm="1">
        <f t="array" ref="O66">IFERROR(IF(G66&gt;10,G66/C66*0.8769,""),“”)</f>
        <v/>
      </c>
      <c r="P66" s="61" t="str" cm="1">
        <f t="array" ref="P66">IFERROR(IF(H66&gt;10,H66/D66*0.8769,""),“”)</f>
        <v/>
      </c>
      <c r="Q66" s="61" t="str" cm="1">
        <f t="array" ref="Q66">IFERROR(IF(I66&gt;10,I66/E66*0.8769,""),“”)</f>
        <v/>
      </c>
      <c r="R66" s="61" t="str" cm="1">
        <f t="array" ref="R66">IFERROR(IF(J66&gt;10,J66/F66*0.8769,""),“”)</f>
        <v/>
      </c>
      <c r="S66" s="62" t="str">
        <f t="shared" si="2"/>
        <v/>
      </c>
    </row>
    <row r="67" spans="1:19">
      <c r="A67" s="46" t="s">
        <v>77</v>
      </c>
      <c r="B67" s="47">
        <v>2018</v>
      </c>
      <c r="C67" s="48">
        <v>1947</v>
      </c>
      <c r="D67" s="48">
        <v>58</v>
      </c>
      <c r="E67" s="48">
        <v>898</v>
      </c>
      <c r="F67" s="48">
        <v>991</v>
      </c>
      <c r="G67" s="48">
        <v>936</v>
      </c>
      <c r="H67" s="48">
        <v>22</v>
      </c>
      <c r="I67" s="48">
        <v>485</v>
      </c>
      <c r="J67" s="48">
        <v>429</v>
      </c>
      <c r="K67" s="48">
        <v>5165</v>
      </c>
      <c r="L67" s="48">
        <v>5079</v>
      </c>
      <c r="M67" s="48">
        <v>5877</v>
      </c>
      <c r="N67" s="68">
        <v>4546</v>
      </c>
      <c r="O67" s="51" cm="1">
        <f t="array" ref="O67">IFERROR(IF(G67&gt;10,G67/C67*0.8769,""),“”)</f>
        <v>0.42156055469953774</v>
      </c>
      <c r="P67" s="51" cm="1">
        <f t="array" ref="P67">IFERROR(IF(H67&gt;10,H67/D67*0.8769,""),“”)</f>
        <v>0.33261724137931031</v>
      </c>
      <c r="Q67" s="51" cm="1">
        <f t="array" ref="Q67">IFERROR(IF(I67&gt;10,I67/E67*0.8769,""),“”)</f>
        <v>0.47360412026726056</v>
      </c>
      <c r="R67" s="51" cm="1">
        <f t="array" ref="R67">IFERROR(IF(J67&gt;10,J67/F67*0.8769,""),“”)</f>
        <v>0.37960655903128154</v>
      </c>
      <c r="S67" s="52">
        <f t="shared" si="2"/>
        <v>0.37700848427073408</v>
      </c>
    </row>
    <row r="68" spans="1:19">
      <c r="A68" s="53" t="s">
        <v>78</v>
      </c>
      <c r="B68" s="37">
        <v>2018</v>
      </c>
      <c r="C68" s="36">
        <v>27</v>
      </c>
      <c r="D68" s="31"/>
      <c r="E68" s="36">
        <v>27</v>
      </c>
      <c r="F68" s="27"/>
      <c r="G68" s="36">
        <v>15</v>
      </c>
      <c r="H68" s="31"/>
      <c r="I68" s="36">
        <v>15</v>
      </c>
      <c r="J68" s="27"/>
      <c r="K68" s="36">
        <v>6754</v>
      </c>
      <c r="L68" s="27"/>
      <c r="M68" s="36">
        <v>6754</v>
      </c>
      <c r="N68" s="41"/>
      <c r="O68" s="43" cm="1">
        <f t="array" ref="O68">IFERROR(IF(G68&gt;10,G68/C68*0.8769,""),“”)</f>
        <v>0.48716666666666669</v>
      </c>
      <c r="P68" s="43" t="str" cm="1">
        <f t="array" ref="P68">IFERROR(IF(H68&gt;10,H68/D68*0.8769,""),“”)</f>
        <v/>
      </c>
      <c r="Q68" s="43" cm="1">
        <f t="array" ref="Q68">IFERROR(IF(I68&gt;10,I68/E68*0.8769,""),“”)</f>
        <v>0.48716666666666669</v>
      </c>
      <c r="R68" s="43" t="str" cm="1">
        <f t="array" ref="R68">IFERROR(IF(J68&gt;10,J68/F68*0.8769,""),“”)</f>
        <v/>
      </c>
      <c r="S68" s="54" t="str">
        <f t="shared" ref="S68:S131" si="9">IFERROR(IF((G68-I68)&gt;10,(G68-I68)/(C68-E68)*0.8769,""),"")</f>
        <v/>
      </c>
    </row>
    <row r="69" spans="1:19">
      <c r="A69" s="53" t="s">
        <v>79</v>
      </c>
      <c r="B69" s="37">
        <v>2018</v>
      </c>
      <c r="C69" s="36">
        <v>10</v>
      </c>
      <c r="D69" s="31"/>
      <c r="E69" s="36">
        <v>10</v>
      </c>
      <c r="F69" s="28"/>
      <c r="G69" s="36">
        <v>6</v>
      </c>
      <c r="H69" s="31"/>
      <c r="I69" s="36">
        <v>6</v>
      </c>
      <c r="J69" s="28"/>
      <c r="K69" s="36">
        <v>5757</v>
      </c>
      <c r="L69" s="27"/>
      <c r="M69" s="36">
        <v>5757</v>
      </c>
      <c r="N69" s="42"/>
      <c r="O69" s="43" t="str" cm="1">
        <f t="array" ref="O69">IFERROR(IF(G69&gt;10,G69/C69*0.8769,""),“”)</f>
        <v/>
      </c>
      <c r="P69" s="43" t="str" cm="1">
        <f t="array" ref="P69">IFERROR(IF(H69&gt;10,H69/D69*0.8769,""),“”)</f>
        <v/>
      </c>
      <c r="Q69" s="43" t="str" cm="1">
        <f t="array" ref="Q69">IFERROR(IF(I69&gt;10,I69/E69*0.8769,""),“”)</f>
        <v/>
      </c>
      <c r="R69" s="43" t="str" cm="1">
        <f t="array" ref="R69">IFERROR(IF(J69&gt;10,J69/F69*0.8769,""),“”)</f>
        <v/>
      </c>
      <c r="S69" s="54" t="str">
        <f t="shared" si="9"/>
        <v/>
      </c>
    </row>
    <row r="70" spans="1:19">
      <c r="A70" s="53" t="s">
        <v>80</v>
      </c>
      <c r="B70" s="37">
        <v>2018</v>
      </c>
      <c r="C70" s="36">
        <v>75</v>
      </c>
      <c r="D70" s="36">
        <v>1</v>
      </c>
      <c r="E70" s="36">
        <v>27</v>
      </c>
      <c r="F70" s="28">
        <v>47</v>
      </c>
      <c r="G70" s="36">
        <v>38</v>
      </c>
      <c r="H70" s="36">
        <v>0.3</v>
      </c>
      <c r="I70" s="36">
        <v>12</v>
      </c>
      <c r="J70" s="28">
        <v>26</v>
      </c>
      <c r="K70" s="36">
        <v>5287</v>
      </c>
      <c r="L70" s="27"/>
      <c r="M70" s="28">
        <v>4597</v>
      </c>
      <c r="N70" s="42">
        <v>5655</v>
      </c>
      <c r="O70" s="43" cm="1">
        <f t="array" ref="O70">IFERROR(IF(G70&gt;10,G70/C70*0.8769,""),“”)</f>
        <v>0.44429600000000002</v>
      </c>
      <c r="P70" s="43" t="str" cm="1">
        <f t="array" ref="P70">IFERROR(IF(H70&gt;10,H70/D70*0.8769,""),“”)</f>
        <v/>
      </c>
      <c r="Q70" s="43" cm="1">
        <f t="array" ref="Q70">IFERROR(IF(I70&gt;10,I70/E70*0.8769,""),“”)</f>
        <v>0.38973333333333332</v>
      </c>
      <c r="R70" s="43" cm="1">
        <f t="array" ref="R70">IFERROR(IF(J70&gt;10,J70/F70*0.8769,""),“”)</f>
        <v>0.48509361702127662</v>
      </c>
      <c r="S70" s="54">
        <f t="shared" si="9"/>
        <v>0.47498749999999995</v>
      </c>
    </row>
    <row r="71" spans="1:19">
      <c r="A71" s="53" t="s">
        <v>81</v>
      </c>
      <c r="B71" s="37">
        <v>2018</v>
      </c>
      <c r="C71" s="36">
        <v>51</v>
      </c>
      <c r="D71" s="36">
        <v>10</v>
      </c>
      <c r="E71" s="36">
        <v>11</v>
      </c>
      <c r="F71" s="28">
        <v>30</v>
      </c>
      <c r="G71" s="36">
        <v>25</v>
      </c>
      <c r="H71" s="36">
        <v>2</v>
      </c>
      <c r="I71" s="36">
        <v>6</v>
      </c>
      <c r="J71" s="28">
        <v>16</v>
      </c>
      <c r="K71" s="36">
        <v>5506</v>
      </c>
      <c r="L71" s="27"/>
      <c r="M71" s="36">
        <v>5390</v>
      </c>
      <c r="N71" s="42">
        <v>5549</v>
      </c>
      <c r="O71" s="43" cm="1">
        <f t="array" ref="O71">IFERROR(IF(G71&gt;10,G71/C71*0.8769,""),“”)</f>
        <v>0.42985294117647055</v>
      </c>
      <c r="P71" s="43" t="str" cm="1">
        <f t="array" ref="P71">IFERROR(IF(H71&gt;10,H71/D71*0.8769,""),“”)</f>
        <v/>
      </c>
      <c r="Q71" s="43" t="str" cm="1">
        <f t="array" ref="Q71">IFERROR(IF(I71&gt;10,I71/E71*0.8769,""),“”)</f>
        <v/>
      </c>
      <c r="R71" s="43" cm="1">
        <f t="array" ref="R71">IFERROR(IF(J71&gt;10,J71/F71*0.8769,""),“”)</f>
        <v>0.46767999999999998</v>
      </c>
      <c r="S71" s="54">
        <f t="shared" si="9"/>
        <v>0.41652749999999999</v>
      </c>
    </row>
    <row r="72" spans="1:19">
      <c r="A72" s="53" t="s">
        <v>82</v>
      </c>
      <c r="B72" s="37">
        <v>2018</v>
      </c>
      <c r="C72" s="36">
        <v>19</v>
      </c>
      <c r="D72" s="31"/>
      <c r="E72" s="36">
        <v>7</v>
      </c>
      <c r="F72" s="28">
        <v>12</v>
      </c>
      <c r="G72" s="36">
        <v>8</v>
      </c>
      <c r="H72" s="36">
        <v>0.03</v>
      </c>
      <c r="I72" s="36">
        <v>2</v>
      </c>
      <c r="J72" s="28">
        <v>6</v>
      </c>
      <c r="K72" s="36">
        <v>4132</v>
      </c>
      <c r="L72" s="27"/>
      <c r="M72" s="36">
        <v>2889</v>
      </c>
      <c r="N72" s="42">
        <v>4841</v>
      </c>
      <c r="O72" s="43" t="str" cm="1">
        <f t="array" ref="O72">IFERROR(IF(G72&gt;10,G72/C72*0.8769,""),“”)</f>
        <v/>
      </c>
      <c r="P72" s="43" t="str" cm="1">
        <f t="array" ref="P72">IFERROR(IF(H72&gt;10,H72/D72*0.8769,""),“”)</f>
        <v/>
      </c>
      <c r="Q72" s="43" t="str" cm="1">
        <f t="array" ref="Q72">IFERROR(IF(I72&gt;10,I72/E72*0.8769,""),“”)</f>
        <v/>
      </c>
      <c r="R72" s="43" t="str" cm="1">
        <f t="array" ref="R72">IFERROR(IF(J72&gt;10,J72/F72*0.8769,""),“”)</f>
        <v/>
      </c>
      <c r="S72" s="54" t="str">
        <f t="shared" si="9"/>
        <v/>
      </c>
    </row>
    <row r="73" spans="1:19">
      <c r="A73" s="53" t="s">
        <v>83</v>
      </c>
      <c r="B73" s="37">
        <v>2018</v>
      </c>
      <c r="C73" s="36">
        <v>15</v>
      </c>
      <c r="D73" s="31"/>
      <c r="E73" s="27">
        <v>8</v>
      </c>
      <c r="F73" s="36">
        <v>7</v>
      </c>
      <c r="G73" s="36">
        <v>9</v>
      </c>
      <c r="H73" s="31"/>
      <c r="I73" s="36">
        <v>5</v>
      </c>
      <c r="J73" s="36">
        <v>4</v>
      </c>
      <c r="K73" s="36">
        <v>6283</v>
      </c>
      <c r="L73" s="27"/>
      <c r="M73" s="36">
        <v>6722</v>
      </c>
      <c r="N73" s="40">
        <v>5797</v>
      </c>
      <c r="O73" s="43" t="str" cm="1">
        <f t="array" ref="O73">IFERROR(IF(G73&gt;10,G73/C73*0.8769,""),“”)</f>
        <v/>
      </c>
      <c r="P73" s="43" t="str" cm="1">
        <f t="array" ref="P73">IFERROR(IF(H73&gt;10,H73/D73*0.8769,""),“”)</f>
        <v/>
      </c>
      <c r="Q73" s="43" t="str" cm="1">
        <f t="array" ref="Q73">IFERROR(IF(I73&gt;10,I73/E73*0.8769,""),“”)</f>
        <v/>
      </c>
      <c r="R73" s="43" t="str" cm="1">
        <f t="array" ref="R73">IFERROR(IF(J73&gt;10,J73/F73*0.8769,""),“”)</f>
        <v/>
      </c>
      <c r="S73" s="54" t="str">
        <f t="shared" si="9"/>
        <v/>
      </c>
    </row>
    <row r="74" spans="1:19">
      <c r="A74" s="53" t="s">
        <v>84</v>
      </c>
      <c r="B74" s="37">
        <v>2018</v>
      </c>
      <c r="C74" s="36">
        <v>66</v>
      </c>
      <c r="D74" s="36">
        <v>0.3</v>
      </c>
      <c r="E74" s="36">
        <v>16</v>
      </c>
      <c r="F74" s="28">
        <v>49</v>
      </c>
      <c r="G74" s="36">
        <v>27</v>
      </c>
      <c r="H74" s="31"/>
      <c r="I74" s="35">
        <v>6</v>
      </c>
      <c r="J74" s="28">
        <v>21</v>
      </c>
      <c r="K74" s="36">
        <v>4575</v>
      </c>
      <c r="L74" s="27"/>
      <c r="M74" s="36">
        <v>4093</v>
      </c>
      <c r="N74" s="42">
        <v>4729</v>
      </c>
      <c r="O74" s="43" cm="1">
        <f t="array" ref="O74">IFERROR(IF(G74&gt;10,G74/C74*0.8769,""),“”)</f>
        <v>0.35873181818181821</v>
      </c>
      <c r="P74" s="43" t="str" cm="1">
        <f t="array" ref="P74">IFERROR(IF(H74&gt;10,H74/D74*0.8769,""),“”)</f>
        <v/>
      </c>
      <c r="Q74" s="43" t="str" cm="1">
        <f t="array" ref="Q74">IFERROR(IF(I74&gt;10,I74/E74*0.8769,""),“”)</f>
        <v/>
      </c>
      <c r="R74" s="43" cm="1">
        <f t="array" ref="R74">IFERROR(IF(J74&gt;10,J74/F74*0.8769,""),“”)</f>
        <v>0.37581428571428571</v>
      </c>
      <c r="S74" s="54">
        <f t="shared" si="9"/>
        <v>0.36829800000000001</v>
      </c>
    </row>
    <row r="75" spans="1:19">
      <c r="A75" s="53" t="s">
        <v>85</v>
      </c>
      <c r="B75" s="37">
        <v>2018</v>
      </c>
      <c r="C75" s="36">
        <v>97</v>
      </c>
      <c r="D75" s="36">
        <v>0.4</v>
      </c>
      <c r="E75" s="36">
        <v>11</v>
      </c>
      <c r="F75" s="36">
        <v>85</v>
      </c>
      <c r="G75" s="36">
        <v>51</v>
      </c>
      <c r="H75" s="31">
        <v>0.1</v>
      </c>
      <c r="I75" s="36">
        <v>3</v>
      </c>
      <c r="J75" s="28">
        <v>47</v>
      </c>
      <c r="K75" s="36">
        <v>5617</v>
      </c>
      <c r="L75" s="27"/>
      <c r="M75" s="36">
        <v>3465</v>
      </c>
      <c r="N75" s="42">
        <v>5840</v>
      </c>
      <c r="O75" s="43" cm="1">
        <f t="array" ref="O75">IFERROR(IF(G75&gt;10,G75/C75*0.8769,""),“”)</f>
        <v>0.46105051546391757</v>
      </c>
      <c r="P75" s="43" t="str" cm="1">
        <f t="array" ref="P75">IFERROR(IF(H75&gt;10,H75/D75*0.8769,""),“”)</f>
        <v/>
      </c>
      <c r="Q75" s="43" t="str" cm="1">
        <f t="array" ref="Q75">IFERROR(IF(I75&gt;10,I75/E75*0.8769,""),“”)</f>
        <v/>
      </c>
      <c r="R75" s="43" cm="1">
        <f t="array" ref="R75">IFERROR(IF(J75&gt;10,J75/F75*0.8769,""),“”)</f>
        <v>0.48487411764705884</v>
      </c>
      <c r="S75" s="54">
        <f t="shared" si="9"/>
        <v>0.4894325581395349</v>
      </c>
    </row>
    <row r="76" spans="1:19">
      <c r="A76" s="53" t="s">
        <v>86</v>
      </c>
      <c r="B76" s="37">
        <v>2018</v>
      </c>
      <c r="C76" s="36">
        <v>28</v>
      </c>
      <c r="D76" s="36">
        <v>2</v>
      </c>
      <c r="E76" s="36">
        <v>26</v>
      </c>
      <c r="F76" s="27"/>
      <c r="G76" s="36">
        <v>20</v>
      </c>
      <c r="H76" s="36">
        <v>1</v>
      </c>
      <c r="I76" s="36">
        <v>19</v>
      </c>
      <c r="J76" s="27"/>
      <c r="K76" s="36">
        <v>7337</v>
      </c>
      <c r="L76" s="36">
        <v>6391</v>
      </c>
      <c r="M76" s="36">
        <v>7393</v>
      </c>
      <c r="N76" s="41"/>
      <c r="O76" s="43" cm="1">
        <f t="array" ref="O76">IFERROR(IF(G76&gt;10,G76/C76*0.8769,""),“”)</f>
        <v>0.62635714285714283</v>
      </c>
      <c r="P76" s="43" t="str" cm="1">
        <f t="array" ref="P76">IFERROR(IF(H76&gt;10,H76/D76*0.8769,""),“”)</f>
        <v/>
      </c>
      <c r="Q76" s="43" cm="1">
        <f t="array" ref="Q76">IFERROR(IF(I76&gt;10,I76/E76*0.8769,""),“”)</f>
        <v>0.64081153846153849</v>
      </c>
      <c r="R76" s="43" t="str" cm="1">
        <f t="array" ref="R76">IFERROR(IF(J76&gt;10,J76/F76*0.8769,""),“”)</f>
        <v/>
      </c>
      <c r="S76" s="54" t="str">
        <f t="shared" si="9"/>
        <v/>
      </c>
    </row>
    <row r="77" spans="1:19">
      <c r="A77" s="53" t="s">
        <v>87</v>
      </c>
      <c r="B77" s="37">
        <v>2018</v>
      </c>
      <c r="C77" s="36">
        <v>161</v>
      </c>
      <c r="D77" s="36">
        <v>7</v>
      </c>
      <c r="E77" s="36">
        <v>103</v>
      </c>
      <c r="F77" s="28">
        <v>52</v>
      </c>
      <c r="G77" s="36">
        <v>95</v>
      </c>
      <c r="H77" s="36">
        <v>2</v>
      </c>
      <c r="I77" s="36">
        <v>62</v>
      </c>
      <c r="J77" s="28">
        <v>31</v>
      </c>
      <c r="K77" s="36">
        <v>6263</v>
      </c>
      <c r="L77" s="36">
        <v>4374</v>
      </c>
      <c r="M77" s="36">
        <v>6415</v>
      </c>
      <c r="N77" s="42">
        <v>6079</v>
      </c>
      <c r="O77" s="43" cm="1">
        <f t="array" ref="O77">IFERROR(IF(G77&gt;10,G77/C77*0.8769,""),“”)</f>
        <v>0.51742546583850935</v>
      </c>
      <c r="P77" s="43" t="str" cm="1">
        <f t="array" ref="P77">IFERROR(IF(H77&gt;10,H77/D77*0.8769,""),“”)</f>
        <v/>
      </c>
      <c r="Q77" s="43" cm="1">
        <f t="array" ref="Q77">IFERROR(IF(I77&gt;10,I77/E77*0.8769,""),“”)</f>
        <v>0.52784271844660191</v>
      </c>
      <c r="R77" s="43" cm="1">
        <f t="array" ref="R77">IFERROR(IF(J77&gt;10,J77/F77*0.8769,""),“”)</f>
        <v>0.52276730769230773</v>
      </c>
      <c r="S77" s="54">
        <f t="shared" si="9"/>
        <v>0.49892586206896555</v>
      </c>
    </row>
    <row r="78" spans="1:19">
      <c r="A78" s="53" t="s">
        <v>88</v>
      </c>
      <c r="B78" s="37">
        <v>2018</v>
      </c>
      <c r="C78" s="36">
        <v>168</v>
      </c>
      <c r="D78" s="36">
        <v>5</v>
      </c>
      <c r="E78" s="36">
        <v>141</v>
      </c>
      <c r="F78" s="36">
        <v>22</v>
      </c>
      <c r="G78" s="36">
        <v>92</v>
      </c>
      <c r="H78" s="36">
        <v>3</v>
      </c>
      <c r="I78" s="36">
        <v>78</v>
      </c>
      <c r="J78" s="35">
        <v>12</v>
      </c>
      <c r="K78" s="36">
        <v>5761</v>
      </c>
      <c r="L78" s="36">
        <v>8594</v>
      </c>
      <c r="M78" s="36">
        <v>5785</v>
      </c>
      <c r="N78" s="42">
        <v>5430</v>
      </c>
      <c r="O78" s="43" cm="1">
        <f t="array" ref="O78">IFERROR(IF(G78&gt;10,G78/C78*0.8769,""),“”)</f>
        <v>0.48020714285714289</v>
      </c>
      <c r="P78" s="43" t="str" cm="1">
        <f t="array" ref="P78">IFERROR(IF(H78&gt;10,H78/D78*0.8769,""),“”)</f>
        <v/>
      </c>
      <c r="Q78" s="43" cm="1">
        <f t="array" ref="Q78">IFERROR(IF(I78&gt;10,I78/E78*0.8769,""),“”)</f>
        <v>0.48509361702127662</v>
      </c>
      <c r="R78" s="43" cm="1">
        <f t="array" ref="R78">IFERROR(IF(J78&gt;10,J78/F78*0.8769,""),“”)</f>
        <v>0.47830909090909091</v>
      </c>
      <c r="S78" s="54">
        <f t="shared" si="9"/>
        <v>0.45468888888888886</v>
      </c>
    </row>
    <row r="79" spans="1:19">
      <c r="A79" s="53" t="s">
        <v>89</v>
      </c>
      <c r="B79" s="37">
        <v>2018</v>
      </c>
      <c r="C79" s="36">
        <v>164</v>
      </c>
      <c r="D79" s="36">
        <v>1</v>
      </c>
      <c r="E79" s="36">
        <v>51</v>
      </c>
      <c r="F79" s="28">
        <v>111</v>
      </c>
      <c r="G79" s="36">
        <v>77</v>
      </c>
      <c r="H79" s="36">
        <v>1</v>
      </c>
      <c r="I79" s="36">
        <v>28</v>
      </c>
      <c r="J79" s="28">
        <v>49</v>
      </c>
      <c r="K79" s="36">
        <v>5063</v>
      </c>
      <c r="L79" s="27"/>
      <c r="M79" s="36">
        <v>5461</v>
      </c>
      <c r="N79" s="42">
        <v>4873</v>
      </c>
      <c r="O79" s="43" cm="1">
        <f t="array" ref="O79">IFERROR(IF(G79&gt;10,G79/C79*0.8769,""),“”)</f>
        <v>0.41171524390243902</v>
      </c>
      <c r="P79" s="43" t="str" cm="1">
        <f t="array" ref="P79">IFERROR(IF(H79&gt;10,H79/D79*0.8769,""),“”)</f>
        <v/>
      </c>
      <c r="Q79" s="43" cm="1">
        <f t="array" ref="Q79">IFERROR(IF(I79&gt;10,I79/E79*0.8769,""),“”)</f>
        <v>0.48143529411764713</v>
      </c>
      <c r="R79" s="43" cm="1">
        <f t="array" ref="R79">IFERROR(IF(J79&gt;10,J79/F79*0.8769,""),“”)</f>
        <v>0.3871</v>
      </c>
      <c r="S79" s="54">
        <f t="shared" si="9"/>
        <v>0.38024867256637168</v>
      </c>
    </row>
    <row r="80" spans="1:19">
      <c r="A80" s="53" t="s">
        <v>90</v>
      </c>
      <c r="B80" s="37">
        <v>2018</v>
      </c>
      <c r="C80" s="36">
        <v>50</v>
      </c>
      <c r="D80" s="36">
        <v>0.6</v>
      </c>
      <c r="E80" s="36">
        <v>44</v>
      </c>
      <c r="F80" s="36">
        <v>5</v>
      </c>
      <c r="G80" s="36">
        <v>28</v>
      </c>
      <c r="H80" s="36">
        <v>0.2</v>
      </c>
      <c r="I80" s="36">
        <v>25</v>
      </c>
      <c r="J80" s="36">
        <v>3</v>
      </c>
      <c r="K80" s="36">
        <v>6068</v>
      </c>
      <c r="L80" s="27"/>
      <c r="M80" s="36">
        <v>6095</v>
      </c>
      <c r="N80" s="42">
        <v>5863</v>
      </c>
      <c r="O80" s="43" cm="1">
        <f t="array" ref="O80">IFERROR(IF(G80&gt;10,G80/C80*0.8769,""),“”)</f>
        <v>0.49106400000000006</v>
      </c>
      <c r="P80" s="43" t="str" cm="1">
        <f t="array" ref="P80">IFERROR(IF(H80&gt;10,H80/D80*0.8769,""),“”)</f>
        <v/>
      </c>
      <c r="Q80" s="43" cm="1">
        <f t="array" ref="Q80">IFERROR(IF(I80&gt;10,I80/E80*0.8769,""),“”)</f>
        <v>0.49823863636363641</v>
      </c>
      <c r="R80" s="43" t="str" cm="1">
        <f t="array" ref="R80">IFERROR(IF(J80&gt;10,J80/F80*0.8769,""),“”)</f>
        <v/>
      </c>
      <c r="S80" s="54" t="str">
        <f t="shared" si="9"/>
        <v/>
      </c>
    </row>
    <row r="81" spans="1:19">
      <c r="A81" s="53" t="s">
        <v>91</v>
      </c>
      <c r="B81" s="37">
        <v>2018</v>
      </c>
      <c r="C81" s="36">
        <v>33</v>
      </c>
      <c r="D81" s="36">
        <v>1</v>
      </c>
      <c r="E81" s="36">
        <v>12</v>
      </c>
      <c r="F81" s="28">
        <v>21</v>
      </c>
      <c r="G81" s="36">
        <v>14</v>
      </c>
      <c r="H81" s="36">
        <v>0.4</v>
      </c>
      <c r="I81" s="36">
        <v>5</v>
      </c>
      <c r="J81" s="28">
        <v>9</v>
      </c>
      <c r="K81" s="36">
        <v>4575</v>
      </c>
      <c r="L81" s="27"/>
      <c r="M81" s="36">
        <v>5209</v>
      </c>
      <c r="N81" s="42">
        <v>4277</v>
      </c>
      <c r="O81" s="43" cm="1">
        <f t="array" ref="O81">IFERROR(IF(G81&gt;10,G81/C81*0.8769,""),“”)</f>
        <v>0.37201818181818186</v>
      </c>
      <c r="P81" s="43" t="str" cm="1">
        <f t="array" ref="P81">IFERROR(IF(H81&gt;10,H81/D81*0.8769,""),“”)</f>
        <v/>
      </c>
      <c r="Q81" s="43" t="str" cm="1">
        <f t="array" ref="Q81">IFERROR(IF(I81&gt;10,I81/E81*0.8769,""),“”)</f>
        <v/>
      </c>
      <c r="R81" s="43" t="str" cm="1">
        <f t="array" ref="R81">IFERROR(IF(J81&gt;10,J81/F81*0.8769,""),“”)</f>
        <v/>
      </c>
      <c r="S81" s="54" t="str">
        <f t="shared" si="9"/>
        <v/>
      </c>
    </row>
    <row r="82" spans="1:19">
      <c r="A82" s="53" t="s">
        <v>92</v>
      </c>
      <c r="B82" s="37">
        <v>2018</v>
      </c>
      <c r="C82" s="36">
        <v>263</v>
      </c>
      <c r="D82" s="36">
        <v>8</v>
      </c>
      <c r="E82" s="36">
        <v>108</v>
      </c>
      <c r="F82" s="28">
        <v>148</v>
      </c>
      <c r="G82" s="36">
        <v>135</v>
      </c>
      <c r="H82" s="36">
        <v>2</v>
      </c>
      <c r="I82" s="36">
        <v>51</v>
      </c>
      <c r="J82" s="28">
        <v>81</v>
      </c>
      <c r="K82" s="36">
        <v>5543</v>
      </c>
      <c r="L82" s="36">
        <v>3493</v>
      </c>
      <c r="M82" s="36">
        <v>5343</v>
      </c>
      <c r="N82" s="42">
        <v>5708</v>
      </c>
      <c r="O82" s="43" cm="1">
        <f t="array" ref="O82">IFERROR(IF(G82&gt;10,G82/C82*0.8769,""),“”)</f>
        <v>0.45011977186311786</v>
      </c>
      <c r="P82" s="43" t="str" cm="1">
        <f t="array" ref="P82">IFERROR(IF(H82&gt;10,H82/D82*0.8769,""),“”)</f>
        <v/>
      </c>
      <c r="Q82" s="43" cm="1">
        <f t="array" ref="Q82">IFERROR(IF(I82&gt;10,I82/E82*0.8769,""),“”)</f>
        <v>0.41409166666666664</v>
      </c>
      <c r="R82" s="43" cm="1">
        <f t="array" ref="R82">IFERROR(IF(J82&gt;10,J82/F82*0.8769,""),“”)</f>
        <v>0.47992499999999999</v>
      </c>
      <c r="S82" s="54">
        <f t="shared" si="9"/>
        <v>0.47522322580645165</v>
      </c>
    </row>
    <row r="83" spans="1:19">
      <c r="A83" s="53" t="s">
        <v>93</v>
      </c>
      <c r="B83" s="37">
        <v>2018</v>
      </c>
      <c r="C83" s="36">
        <v>60</v>
      </c>
      <c r="D83" s="36">
        <v>4</v>
      </c>
      <c r="E83" s="36">
        <v>13</v>
      </c>
      <c r="F83" s="28">
        <v>44</v>
      </c>
      <c r="G83" s="36">
        <v>30</v>
      </c>
      <c r="H83" s="31"/>
      <c r="I83" s="36">
        <v>7</v>
      </c>
      <c r="J83" s="28">
        <v>23</v>
      </c>
      <c r="K83" s="36">
        <v>5113</v>
      </c>
      <c r="L83" s="27"/>
      <c r="M83" s="36">
        <v>5827</v>
      </c>
      <c r="N83" s="42">
        <v>5343</v>
      </c>
      <c r="O83" s="43" cm="1">
        <f t="array" ref="O83">IFERROR(IF(G83&gt;10,G83/C83*0.8769,""),“”)</f>
        <v>0.43845000000000001</v>
      </c>
      <c r="P83" s="43" t="str" cm="1">
        <f t="array" ref="P83">IFERROR(IF(H83&gt;10,H83/D83*0.8769,""),“”)</f>
        <v/>
      </c>
      <c r="Q83" s="43" t="str" cm="1">
        <f t="array" ref="Q83">IFERROR(IF(I83&gt;10,I83/E83*0.8769,""),“”)</f>
        <v/>
      </c>
      <c r="R83" s="43" cm="1">
        <f t="array" ref="R83">IFERROR(IF(J83&gt;10,J83/F83*0.8769,""),“”)</f>
        <v>0.45837954545454546</v>
      </c>
      <c r="S83" s="54">
        <f t="shared" si="9"/>
        <v>0.42912127659574467</v>
      </c>
    </row>
    <row r="84" spans="1:19">
      <c r="A84" s="53" t="s">
        <v>94</v>
      </c>
      <c r="B84" s="37">
        <v>2018</v>
      </c>
      <c r="C84" s="36">
        <v>75</v>
      </c>
      <c r="D84" s="36">
        <v>2</v>
      </c>
      <c r="E84" s="36">
        <v>24</v>
      </c>
      <c r="F84" s="28">
        <v>48</v>
      </c>
      <c r="G84" s="36">
        <v>25</v>
      </c>
      <c r="H84" s="36">
        <v>0.6</v>
      </c>
      <c r="I84" s="36">
        <v>14</v>
      </c>
      <c r="J84" s="28">
        <v>11</v>
      </c>
      <c r="K84" s="36">
        <v>3372</v>
      </c>
      <c r="L84" s="27"/>
      <c r="M84" s="36">
        <v>5689</v>
      </c>
      <c r="N84" s="42">
        <v>2216</v>
      </c>
      <c r="O84" s="43" cm="1">
        <f t="array" ref="O84">IFERROR(IF(G84&gt;10,G84/C84*0.8769,""),“”)</f>
        <v>0.2923</v>
      </c>
      <c r="P84" s="43" t="str" cm="1">
        <f t="array" ref="P84">IFERROR(IF(H84&gt;10,H84/D84*0.8769,""),“”)</f>
        <v/>
      </c>
      <c r="Q84" s="43" cm="1">
        <f t="array" ref="Q84">IFERROR(IF(I84&gt;10,I84/E84*0.8769,""),“”)</f>
        <v>0.51152500000000001</v>
      </c>
      <c r="R84" s="43" cm="1">
        <f t="array" ref="R84">IFERROR(IF(J84&gt;10,J84/F84*0.8769,""),“”)</f>
        <v>0.20095625</v>
      </c>
      <c r="S84" s="54">
        <f t="shared" si="9"/>
        <v>0.18913529411764707</v>
      </c>
    </row>
    <row r="85" spans="1:19">
      <c r="A85" s="53" t="s">
        <v>95</v>
      </c>
      <c r="B85" s="37">
        <v>2018</v>
      </c>
      <c r="C85" s="36">
        <v>67</v>
      </c>
      <c r="D85" s="36">
        <v>3</v>
      </c>
      <c r="E85" s="36">
        <v>24</v>
      </c>
      <c r="F85" s="36">
        <v>41</v>
      </c>
      <c r="G85" s="36">
        <v>30</v>
      </c>
      <c r="H85" s="36">
        <v>1</v>
      </c>
      <c r="I85" s="36">
        <v>16</v>
      </c>
      <c r="J85" s="36">
        <v>13</v>
      </c>
      <c r="K85" s="36">
        <v>4661</v>
      </c>
      <c r="L85" s="36">
        <v>5444</v>
      </c>
      <c r="M85" s="36">
        <v>7153</v>
      </c>
      <c r="N85" s="40">
        <v>3251</v>
      </c>
      <c r="O85" s="43" cm="1">
        <f t="array" ref="O85">IFERROR(IF(G85&gt;10,G85/C85*0.8769,""),“”)</f>
        <v>0.39264179104477615</v>
      </c>
      <c r="P85" s="43" t="str" cm="1">
        <f t="array" ref="P85">IFERROR(IF(H85&gt;10,H85/D85*0.8769,""),“”)</f>
        <v/>
      </c>
      <c r="Q85" s="43" cm="1">
        <f t="array" ref="Q85">IFERROR(IF(I85&gt;10,I85/E85*0.8769,""),“”)</f>
        <v>0.58460000000000001</v>
      </c>
      <c r="R85" s="43" cm="1">
        <f t="array" ref="R85">IFERROR(IF(J85&gt;10,J85/F85*0.8769,""),“”)</f>
        <v>0.27804146341463415</v>
      </c>
      <c r="S85" s="54">
        <f t="shared" si="9"/>
        <v>0.28550232558139538</v>
      </c>
    </row>
    <row r="86" spans="1:19">
      <c r="A86" s="53" t="s">
        <v>96</v>
      </c>
      <c r="B86" s="37">
        <v>2018</v>
      </c>
      <c r="C86" s="36">
        <v>141</v>
      </c>
      <c r="D86" s="36">
        <v>9</v>
      </c>
      <c r="E86" s="36">
        <v>110</v>
      </c>
      <c r="F86" s="28">
        <v>22</v>
      </c>
      <c r="G86" s="36">
        <v>81</v>
      </c>
      <c r="H86" s="36">
        <v>5</v>
      </c>
      <c r="I86" s="36">
        <v>61</v>
      </c>
      <c r="J86" s="28">
        <v>15</v>
      </c>
      <c r="K86" s="36">
        <v>6724</v>
      </c>
      <c r="L86" s="36">
        <v>7264</v>
      </c>
      <c r="M86" s="36">
        <v>6662</v>
      </c>
      <c r="N86" s="42">
        <v>6857</v>
      </c>
      <c r="O86" s="43" cm="1">
        <f t="array" ref="O86">IFERROR(IF(G86&gt;10,G86/C86*0.8769,""),“”)</f>
        <v>0.50375106382978729</v>
      </c>
      <c r="P86" s="43" t="str" cm="1">
        <f t="array" ref="P86">IFERROR(IF(H86&gt;10,H86/D86*0.8769,""),“”)</f>
        <v/>
      </c>
      <c r="Q86" s="43" cm="1">
        <f t="array" ref="Q86">IFERROR(IF(I86&gt;10,I86/E86*0.8769,""),“”)</f>
        <v>0.4862809090909091</v>
      </c>
      <c r="R86" s="43" cm="1">
        <f t="array" ref="R86">IFERROR(IF(J86&gt;10,J86/F86*0.8769,""),“”)</f>
        <v>0.5978863636363636</v>
      </c>
      <c r="S86" s="54">
        <f t="shared" si="9"/>
        <v>0.56574193548387097</v>
      </c>
    </row>
    <row r="87" spans="1:19">
      <c r="A87" s="53" t="s">
        <v>97</v>
      </c>
      <c r="B87" s="37">
        <v>2018</v>
      </c>
      <c r="C87" s="36">
        <v>176</v>
      </c>
      <c r="D87" s="36">
        <v>2</v>
      </c>
      <c r="E87" s="36">
        <v>12</v>
      </c>
      <c r="F87" s="28">
        <v>162</v>
      </c>
      <c r="G87" s="36">
        <v>40</v>
      </c>
      <c r="H87" s="36">
        <v>1</v>
      </c>
      <c r="I87" s="36">
        <v>8</v>
      </c>
      <c r="J87" s="28">
        <v>31</v>
      </c>
      <c r="K87" s="36">
        <v>2435</v>
      </c>
      <c r="L87" s="27"/>
      <c r="M87" s="36">
        <v>6648</v>
      </c>
      <c r="N87" s="42">
        <v>2110</v>
      </c>
      <c r="O87" s="43" cm="1">
        <f t="array" ref="O87">IFERROR(IF(G87&gt;10,G87/C87*0.8769,""),“”)</f>
        <v>0.19929545454545455</v>
      </c>
      <c r="P87" s="43" t="str" cm="1">
        <f t="array" ref="P87">IFERROR(IF(H87&gt;10,H87/D87*0.8769,""),“”)</f>
        <v/>
      </c>
      <c r="Q87" s="43" t="str" cm="1">
        <f t="array" ref="Q87">IFERROR(IF(I87&gt;10,I87/E87*0.8769,""),“”)</f>
        <v/>
      </c>
      <c r="R87" s="43" cm="1">
        <f t="array" ref="R87">IFERROR(IF(J87&gt;10,J87/F87*0.8769,""),“”)</f>
        <v>0.16780185185185184</v>
      </c>
      <c r="S87" s="54">
        <f t="shared" si="9"/>
        <v>0.17110243902439026</v>
      </c>
    </row>
    <row r="88" spans="1:19">
      <c r="A88" s="53" t="s">
        <v>98</v>
      </c>
      <c r="B88" s="37">
        <v>2018</v>
      </c>
      <c r="C88" s="36">
        <v>32</v>
      </c>
      <c r="D88" s="36">
        <v>0.3</v>
      </c>
      <c r="E88" s="36">
        <v>8</v>
      </c>
      <c r="F88" s="28">
        <v>24</v>
      </c>
      <c r="G88" s="36">
        <v>20</v>
      </c>
      <c r="H88" s="36">
        <v>0.2</v>
      </c>
      <c r="I88" s="36">
        <v>5</v>
      </c>
      <c r="J88" s="28">
        <v>14</v>
      </c>
      <c r="K88" s="36">
        <v>6130</v>
      </c>
      <c r="L88" s="27"/>
      <c r="M88" s="36">
        <v>6710</v>
      </c>
      <c r="N88" s="42">
        <v>5945</v>
      </c>
      <c r="O88" s="43" cm="1">
        <f t="array" ref="O88">IFERROR(IF(G88&gt;10,G88/C88*0.8769,""),“”)</f>
        <v>0.54806250000000001</v>
      </c>
      <c r="P88" s="43" t="str" cm="1">
        <f t="array" ref="P88">IFERROR(IF(H88&gt;10,H88/D88*0.8769,""),“”)</f>
        <v/>
      </c>
      <c r="Q88" s="43" t="str" cm="1">
        <f t="array" ref="Q88">IFERROR(IF(I88&gt;10,I88/E88*0.8769,""),“”)</f>
        <v/>
      </c>
      <c r="R88" s="43" cm="1">
        <f t="array" ref="R88">IFERROR(IF(J88&gt;10,J88/F88*0.8769,""),“”)</f>
        <v>0.51152500000000001</v>
      </c>
      <c r="S88" s="54">
        <f t="shared" si="9"/>
        <v>0.54806250000000001</v>
      </c>
    </row>
    <row r="89" spans="1:19">
      <c r="A89" s="53" t="s">
        <v>99</v>
      </c>
      <c r="B89" s="37">
        <v>2018</v>
      </c>
      <c r="C89" s="36">
        <v>30</v>
      </c>
      <c r="D89" s="36">
        <v>1</v>
      </c>
      <c r="E89" s="36">
        <v>22</v>
      </c>
      <c r="F89" s="28">
        <v>7</v>
      </c>
      <c r="G89" s="36">
        <v>12</v>
      </c>
      <c r="H89" s="36">
        <v>0.5</v>
      </c>
      <c r="I89" s="36">
        <v>10</v>
      </c>
      <c r="J89" s="28">
        <v>1</v>
      </c>
      <c r="K89" s="36">
        <v>4655</v>
      </c>
      <c r="L89" s="27"/>
      <c r="M89" s="36">
        <v>5930</v>
      </c>
      <c r="N89" s="42">
        <v>1661</v>
      </c>
      <c r="O89" s="43" cm="1">
        <f t="array" ref="O89">IFERROR(IF(G89&gt;10,G89/C89*0.8769,""),“”)</f>
        <v>0.35076000000000002</v>
      </c>
      <c r="P89" s="43" t="str" cm="1">
        <f t="array" ref="P89">IFERROR(IF(H89&gt;10,H89/D89*0.8769,""),“”)</f>
        <v/>
      </c>
      <c r="Q89" s="43" t="str" cm="1">
        <f t="array" ref="Q89">IFERROR(IF(I89&gt;10,I89/E89*0.8769,""),“”)</f>
        <v/>
      </c>
      <c r="R89" s="43" t="str" cm="1">
        <f t="array" ref="R89">IFERROR(IF(J89&gt;10,J89/F89*0.8769,""),“”)</f>
        <v/>
      </c>
      <c r="S89" s="54" t="str">
        <f t="shared" si="9"/>
        <v/>
      </c>
    </row>
    <row r="90" spans="1:19">
      <c r="A90" s="53" t="s">
        <v>100</v>
      </c>
      <c r="B90" s="37">
        <v>2018</v>
      </c>
      <c r="C90" s="36">
        <v>47</v>
      </c>
      <c r="D90" s="36">
        <v>3</v>
      </c>
      <c r="E90" s="36">
        <v>36</v>
      </c>
      <c r="F90" s="28">
        <v>9</v>
      </c>
      <c r="G90" s="36">
        <v>29</v>
      </c>
      <c r="H90" s="36">
        <v>2</v>
      </c>
      <c r="I90" s="36">
        <v>22</v>
      </c>
      <c r="J90" s="28">
        <v>6</v>
      </c>
      <c r="K90" s="36">
        <v>6522</v>
      </c>
      <c r="L90" s="36">
        <v>7317</v>
      </c>
      <c r="M90" s="36">
        <v>6477</v>
      </c>
      <c r="N90" s="42">
        <v>6499</v>
      </c>
      <c r="O90" s="43" cm="1">
        <f t="array" ref="O90">IFERROR(IF(G90&gt;10,G90/C90*0.8769,""),“”)</f>
        <v>0.54106595744680852</v>
      </c>
      <c r="P90" s="43" t="str" cm="1">
        <f t="array" ref="P90">IFERROR(IF(H90&gt;10,H90/D90*0.8769,""),“”)</f>
        <v/>
      </c>
      <c r="Q90" s="43" cm="1">
        <f t="array" ref="Q90">IFERROR(IF(I90&gt;10,I90/E90*0.8769,""),“”)</f>
        <v>0.53588333333333338</v>
      </c>
      <c r="R90" s="43" t="str" cm="1">
        <f t="array" ref="R90">IFERROR(IF(J90&gt;10,J90/F90*0.8769,""),“”)</f>
        <v/>
      </c>
      <c r="S90" s="54" t="str">
        <f t="shared" si="9"/>
        <v/>
      </c>
    </row>
    <row r="91" spans="1:19">
      <c r="A91" s="53" t="s">
        <v>101</v>
      </c>
      <c r="B91" s="37">
        <v>2018</v>
      </c>
      <c r="C91" s="36">
        <v>21</v>
      </c>
      <c r="D91" s="31"/>
      <c r="E91" s="28">
        <v>12</v>
      </c>
      <c r="F91" s="28">
        <v>9</v>
      </c>
      <c r="G91" s="36">
        <v>9</v>
      </c>
      <c r="H91" s="31"/>
      <c r="I91" s="28">
        <v>6</v>
      </c>
      <c r="J91" s="28">
        <v>3</v>
      </c>
      <c r="K91" s="36">
        <v>4298</v>
      </c>
      <c r="L91" s="27"/>
      <c r="M91" s="28">
        <v>5107</v>
      </c>
      <c r="N91" s="42">
        <v>3239</v>
      </c>
      <c r="O91" s="43" t="str" cm="1">
        <f t="array" ref="O91">IFERROR(IF(G91&gt;10,G91/C91*0.8769,""),“”)</f>
        <v/>
      </c>
      <c r="P91" s="43" t="str" cm="1">
        <f t="array" ref="P91">IFERROR(IF(H91&gt;10,H91/D91*0.8769,""),“”)</f>
        <v/>
      </c>
      <c r="Q91" s="43" t="str" cm="1">
        <f t="array" ref="Q91">IFERROR(IF(I91&gt;10,I91/E91*0.8769,""),“”)</f>
        <v/>
      </c>
      <c r="R91" s="43" t="str" cm="1">
        <f t="array" ref="R91">IFERROR(IF(J91&gt;10,J91/F91*0.8769,""),“”)</f>
        <v/>
      </c>
      <c r="S91" s="54" t="str">
        <f t="shared" si="9"/>
        <v/>
      </c>
    </row>
    <row r="92" spans="1:19">
      <c r="A92" s="53" t="s">
        <v>102</v>
      </c>
      <c r="B92" s="37">
        <v>2018</v>
      </c>
      <c r="C92" s="36">
        <v>42</v>
      </c>
      <c r="D92" s="31"/>
      <c r="E92" s="36">
        <v>17</v>
      </c>
      <c r="F92" s="28">
        <v>26</v>
      </c>
      <c r="G92" s="36">
        <v>9</v>
      </c>
      <c r="H92" s="31"/>
      <c r="I92" s="36">
        <v>7</v>
      </c>
      <c r="J92" s="28">
        <v>3</v>
      </c>
      <c r="K92" s="36">
        <v>2460</v>
      </c>
      <c r="L92" s="27"/>
      <c r="M92" s="36">
        <v>4004</v>
      </c>
      <c r="N92" s="42">
        <v>1031</v>
      </c>
      <c r="O92" s="43" t="str" cm="1">
        <f t="array" ref="O92">IFERROR(IF(G92&gt;10,G92/C92*0.8769,""),“”)</f>
        <v/>
      </c>
      <c r="P92" s="43" t="str" cm="1">
        <f t="array" ref="P92">IFERROR(IF(H92&gt;10,H92/D92*0.8769,""),“”)</f>
        <v/>
      </c>
      <c r="Q92" s="43" t="str" cm="1">
        <f t="array" ref="Q92">IFERROR(IF(I92&gt;10,I92/E92*0.8769,""),“”)</f>
        <v/>
      </c>
      <c r="R92" s="43" t="str" cm="1">
        <f t="array" ref="R92">IFERROR(IF(J92&gt;10,J92/F92*0.8769,""),“”)</f>
        <v/>
      </c>
      <c r="S92" s="54" t="str">
        <f t="shared" si="9"/>
        <v/>
      </c>
    </row>
    <row r="93" spans="1:19">
      <c r="A93" s="53" t="s">
        <v>103</v>
      </c>
      <c r="B93" s="37">
        <v>2018</v>
      </c>
      <c r="C93" s="36">
        <v>2</v>
      </c>
      <c r="D93" s="32"/>
      <c r="E93" s="28">
        <v>2</v>
      </c>
      <c r="F93" s="27"/>
      <c r="G93" s="36">
        <v>1</v>
      </c>
      <c r="H93" s="32"/>
      <c r="I93" s="28">
        <v>1</v>
      </c>
      <c r="J93" s="29"/>
      <c r="K93" s="36">
        <v>4363</v>
      </c>
      <c r="L93" s="28"/>
      <c r="M93" s="28">
        <v>4363</v>
      </c>
      <c r="N93" s="41"/>
      <c r="O93" s="43" t="str" cm="1">
        <f t="array" ref="O93">IFERROR(IF(G93&gt;10,G93/C93*0.8769,""),“”)</f>
        <v/>
      </c>
      <c r="P93" s="43" t="str" cm="1">
        <f t="array" ref="P93">IFERROR(IF(H93&gt;10,H93/D93*0.8769,""),“”)</f>
        <v/>
      </c>
      <c r="Q93" s="43" t="str" cm="1">
        <f t="array" ref="Q93">IFERROR(IF(I93&gt;10,I93/E93*0.8769,""),“”)</f>
        <v/>
      </c>
      <c r="R93" s="43" t="str" cm="1">
        <f t="array" ref="R93">IFERROR(IF(J93&gt;10,J93/F93*0.8769,""),“”)</f>
        <v/>
      </c>
      <c r="S93" s="54" t="str">
        <f t="shared" si="9"/>
        <v/>
      </c>
    </row>
    <row r="94" spans="1:19">
      <c r="A94" s="53" t="s">
        <v>104</v>
      </c>
      <c r="B94" s="37">
        <v>2018</v>
      </c>
      <c r="C94" s="36">
        <v>6</v>
      </c>
      <c r="D94" s="31"/>
      <c r="E94" s="36">
        <v>6</v>
      </c>
      <c r="F94" s="28"/>
      <c r="G94" s="36">
        <v>2</v>
      </c>
      <c r="H94" s="31"/>
      <c r="I94" s="36">
        <v>2</v>
      </c>
      <c r="J94" s="28"/>
      <c r="K94" s="36">
        <v>2424</v>
      </c>
      <c r="L94" s="27"/>
      <c r="M94" s="28">
        <v>2424</v>
      </c>
      <c r="N94" s="42"/>
      <c r="O94" s="43" t="str" cm="1">
        <f t="array" ref="O94">IFERROR(IF(G94&gt;10,G94/C94*0.8769,""),“”)</f>
        <v/>
      </c>
      <c r="P94" s="43" t="str" cm="1">
        <f t="array" ref="P94">IFERROR(IF(H94&gt;10,H94/D94*0.8769,""),“”)</f>
        <v/>
      </c>
      <c r="Q94" s="43" t="str" cm="1">
        <f t="array" ref="Q94">IFERROR(IF(I94&gt;10,I94/E94*0.8769,""),“”)</f>
        <v/>
      </c>
      <c r="R94" s="43" t="str" cm="1">
        <f t="array" ref="R94">IFERROR(IF(J94&gt;10,J94/F94*0.8769,""),“”)</f>
        <v/>
      </c>
      <c r="S94" s="54" t="str">
        <f t="shared" si="9"/>
        <v/>
      </c>
    </row>
    <row r="95" spans="1:19">
      <c r="A95" s="53" t="s">
        <v>105</v>
      </c>
      <c r="B95" s="37">
        <v>2018</v>
      </c>
      <c r="C95" s="36">
        <v>10</v>
      </c>
      <c r="D95" s="31"/>
      <c r="E95" s="36">
        <v>7</v>
      </c>
      <c r="F95" s="28">
        <v>3</v>
      </c>
      <c r="G95" s="36">
        <v>5</v>
      </c>
      <c r="H95" s="31"/>
      <c r="I95" s="28">
        <v>4</v>
      </c>
      <c r="J95" s="28">
        <v>1</v>
      </c>
      <c r="K95" s="36">
        <v>4988</v>
      </c>
      <c r="L95" s="27"/>
      <c r="M95" s="28">
        <v>6011</v>
      </c>
      <c r="N95" s="42">
        <v>2771</v>
      </c>
      <c r="O95" s="43" t="str" cm="1">
        <f t="array" ref="O95">IFERROR(IF(G95&gt;10,G95/C95*0.8769,""),“”)</f>
        <v/>
      </c>
      <c r="P95" s="43" t="str" cm="1">
        <f t="array" ref="P95">IFERROR(IF(H95&gt;10,H95/D95*0.8769,""),“”)</f>
        <v/>
      </c>
      <c r="Q95" s="43" t="str" cm="1">
        <f t="array" ref="Q95">IFERROR(IF(I95&gt;10,I95/E95*0.8769,""),“”)</f>
        <v/>
      </c>
      <c r="R95" s="43" t="str" cm="1">
        <f t="array" ref="R95">IFERROR(IF(J95&gt;10,J95/F95*0.8769,""),“”)</f>
        <v/>
      </c>
      <c r="S95" s="54" t="str">
        <f t="shared" si="9"/>
        <v/>
      </c>
    </row>
    <row r="96" spans="1:19">
      <c r="A96" s="53" t="s">
        <v>106</v>
      </c>
      <c r="B96" s="37">
        <v>2018</v>
      </c>
      <c r="C96" s="36">
        <v>0.4</v>
      </c>
      <c r="D96" s="36">
        <v>0.4</v>
      </c>
      <c r="E96" s="29"/>
      <c r="F96" s="28"/>
      <c r="G96" s="36">
        <v>0.2</v>
      </c>
      <c r="H96" s="36">
        <v>0.2</v>
      </c>
      <c r="I96" s="35"/>
      <c r="J96" s="28"/>
      <c r="K96" s="27"/>
      <c r="L96" s="27"/>
      <c r="M96" s="28"/>
      <c r="N96" s="42"/>
      <c r="O96" s="43" t="str" cm="1">
        <f t="array" ref="O96">IFERROR(IF(G96&gt;10,G96/C96*0.8769,""),“”)</f>
        <v/>
      </c>
      <c r="P96" s="43" t="str" cm="1">
        <f t="array" ref="P96">IFERROR(IF(H96&gt;10,H96/D96*0.8769,""),“”)</f>
        <v/>
      </c>
      <c r="Q96" s="43" t="str" cm="1">
        <f t="array" ref="Q96">IFERROR(IF(I96&gt;10,I96/E96*0.8769,""),“”)</f>
        <v/>
      </c>
      <c r="R96" s="43" t="str" cm="1">
        <f t="array" ref="R96">IFERROR(IF(J96&gt;10,J96/F96*0.8769,""),“”)</f>
        <v/>
      </c>
      <c r="S96" s="54" t="str">
        <f t="shared" si="9"/>
        <v/>
      </c>
    </row>
    <row r="97" spans="1:19">
      <c r="A97" s="53" t="s">
        <v>107</v>
      </c>
      <c r="B97" s="37">
        <v>2018</v>
      </c>
      <c r="C97" s="36">
        <v>10</v>
      </c>
      <c r="D97" s="31"/>
      <c r="E97" s="36">
        <v>5</v>
      </c>
      <c r="F97" s="28">
        <v>5</v>
      </c>
      <c r="G97" s="36">
        <v>2</v>
      </c>
      <c r="H97" s="31"/>
      <c r="I97" s="36">
        <v>2</v>
      </c>
      <c r="J97" s="28">
        <v>0.1</v>
      </c>
      <c r="K97" s="36">
        <v>2214</v>
      </c>
      <c r="L97" s="27"/>
      <c r="M97" s="36">
        <v>4784</v>
      </c>
      <c r="N97" s="42">
        <v>105</v>
      </c>
      <c r="O97" s="43" t="str" cm="1">
        <f t="array" ref="O97">IFERROR(IF(G97&gt;10,G97/C97*0.8769,""),“”)</f>
        <v/>
      </c>
      <c r="P97" s="43" t="str" cm="1">
        <f t="array" ref="P97">IFERROR(IF(H97&gt;10,H97/D97*0.8769,""),“”)</f>
        <v/>
      </c>
      <c r="Q97" s="43" t="str" cm="1">
        <f t="array" ref="Q97">IFERROR(IF(I97&gt;10,I97/E97*0.8769,""),“”)</f>
        <v/>
      </c>
      <c r="R97" s="43" t="str" cm="1">
        <f t="array" ref="R97">IFERROR(IF(J97&gt;10,J97/F97*0.8769,""),“”)</f>
        <v/>
      </c>
      <c r="S97" s="54" t="str">
        <f t="shared" si="9"/>
        <v/>
      </c>
    </row>
    <row r="98" spans="1:19" ht="13.5" thickBot="1">
      <c r="A98" s="55" t="s">
        <v>108</v>
      </c>
      <c r="B98" s="56">
        <v>2018</v>
      </c>
      <c r="C98" s="57">
        <v>2</v>
      </c>
      <c r="D98" s="59"/>
      <c r="E98" s="69"/>
      <c r="F98" s="58">
        <v>2</v>
      </c>
      <c r="G98" s="57">
        <v>2</v>
      </c>
      <c r="H98" s="59"/>
      <c r="I98" s="69"/>
      <c r="J98" s="58">
        <v>2</v>
      </c>
      <c r="K98" s="57">
        <v>7068</v>
      </c>
      <c r="L98" s="69"/>
      <c r="M98" s="69"/>
      <c r="N98" s="70">
        <v>7068</v>
      </c>
      <c r="O98" s="61" t="str" cm="1">
        <f t="array" ref="O98">IFERROR(IF(G98&gt;10,G98/C98*0.8769,""),“”)</f>
        <v/>
      </c>
      <c r="P98" s="61" t="str" cm="1">
        <f t="array" ref="P98">IFERROR(IF(H98&gt;10,H98/D98*0.8769,""),“”)</f>
        <v/>
      </c>
      <c r="Q98" s="61" t="str" cm="1">
        <f t="array" ref="Q98">IFERROR(IF(I98&gt;10,I98/E98*0.8769,""),“”)</f>
        <v/>
      </c>
      <c r="R98" s="61" t="str" cm="1">
        <f t="array" ref="R98">IFERROR(IF(J98&gt;10,J98/F98*0.8769,""),“”)</f>
        <v/>
      </c>
      <c r="S98" s="62" t="str">
        <f t="shared" si="9"/>
        <v/>
      </c>
    </row>
    <row r="99" spans="1:19">
      <c r="A99" s="46" t="s">
        <v>77</v>
      </c>
      <c r="B99" s="47">
        <v>2019</v>
      </c>
      <c r="C99" s="49">
        <v>2361</v>
      </c>
      <c r="D99" s="67">
        <v>71.2</v>
      </c>
      <c r="E99" s="49">
        <v>1173</v>
      </c>
      <c r="F99" s="49">
        <v>1117</v>
      </c>
      <c r="G99" s="49">
        <v>1126</v>
      </c>
      <c r="H99" s="67">
        <v>30.3</v>
      </c>
      <c r="I99" s="49">
        <v>611</v>
      </c>
      <c r="J99" s="49">
        <v>485</v>
      </c>
      <c r="K99" s="49">
        <v>5201</v>
      </c>
      <c r="L99" s="49">
        <v>5220</v>
      </c>
      <c r="M99" s="49">
        <v>5831</v>
      </c>
      <c r="N99" s="50">
        <v>4579</v>
      </c>
      <c r="O99" s="51" cm="1">
        <f t="array" ref="O99">IFERROR(IF(G99&gt;10,G99/C99*0.8769,""),“”)</f>
        <v>0.41820813214739522</v>
      </c>
      <c r="P99" s="51" cm="1">
        <f t="array" ref="P99">IFERROR(IF(H99&gt;10,H99/D99*0.8769,""),“”)</f>
        <v>0.37317514044943823</v>
      </c>
      <c r="Q99" s="51" cm="1">
        <f t="array" ref="Q99">IFERROR(IF(I99&gt;10,I99/E99*0.8769,""),“”)</f>
        <v>0.45676547314578009</v>
      </c>
      <c r="R99" s="51" cm="1">
        <f t="array" ref="R99">IFERROR(IF(J99&gt;10,J99/F99*0.8769,""),“”)</f>
        <v>0.38074888093106535</v>
      </c>
      <c r="S99" s="52">
        <f t="shared" si="9"/>
        <v>0.38013762626262626</v>
      </c>
    </row>
    <row r="100" spans="1:19">
      <c r="A100" s="53" t="s">
        <v>78</v>
      </c>
      <c r="B100" s="37">
        <v>2019</v>
      </c>
      <c r="C100" s="27">
        <v>35</v>
      </c>
      <c r="D100" s="31"/>
      <c r="E100" s="27">
        <v>35</v>
      </c>
      <c r="F100" s="27"/>
      <c r="G100" s="27">
        <v>19</v>
      </c>
      <c r="H100" s="31"/>
      <c r="I100" s="27">
        <v>19</v>
      </c>
      <c r="J100" s="27"/>
      <c r="K100" s="27">
        <v>6305</v>
      </c>
      <c r="L100" s="27"/>
      <c r="M100" s="27">
        <v>6305</v>
      </c>
      <c r="N100" s="41"/>
      <c r="O100" s="43" cm="1">
        <f t="array" ref="O100">IFERROR(IF(G100&gt;10,G100/C100*0.8769,""),“”)</f>
        <v>0.47603142857142855</v>
      </c>
      <c r="P100" s="43" t="str" cm="1">
        <f t="array" ref="P100">IFERROR(IF(H100&gt;10,H100/D100*0.8769,""),“”)</f>
        <v/>
      </c>
      <c r="Q100" s="43" cm="1">
        <f t="array" ref="Q100">IFERROR(IF(I100&gt;10,I100/E100*0.8769,""),“”)</f>
        <v>0.47603142857142855</v>
      </c>
      <c r="R100" s="43" t="str" cm="1">
        <f t="array" ref="R100">IFERROR(IF(J100&gt;10,J100/F100*0.8769,""),“”)</f>
        <v/>
      </c>
      <c r="S100" s="54" t="str">
        <f t="shared" si="9"/>
        <v/>
      </c>
    </row>
    <row r="101" spans="1:19">
      <c r="A101" s="53" t="s">
        <v>79</v>
      </c>
      <c r="B101" s="37">
        <v>2019</v>
      </c>
      <c r="C101" s="27">
        <v>16</v>
      </c>
      <c r="D101" s="31"/>
      <c r="E101" s="27">
        <v>12</v>
      </c>
      <c r="F101" s="28">
        <v>4</v>
      </c>
      <c r="G101" s="27">
        <v>9</v>
      </c>
      <c r="H101" s="31"/>
      <c r="I101" s="27">
        <v>6</v>
      </c>
      <c r="J101" s="28">
        <v>3</v>
      </c>
      <c r="K101" s="27">
        <v>6107</v>
      </c>
      <c r="L101" s="27"/>
      <c r="M101" s="27">
        <v>5724</v>
      </c>
      <c r="N101" s="42">
        <v>7205</v>
      </c>
      <c r="O101" s="43" t="str" cm="1">
        <f t="array" ref="O101">IFERROR(IF(G101&gt;10,G101/C101*0.8769,""),“”)</f>
        <v/>
      </c>
      <c r="P101" s="43" t="str" cm="1">
        <f t="array" ref="P101">IFERROR(IF(H101&gt;10,H101/D101*0.8769,""),“”)</f>
        <v/>
      </c>
      <c r="Q101" s="43" t="str" cm="1">
        <f t="array" ref="Q101">IFERROR(IF(I101&gt;10,I101/E101*0.8769,""),“”)</f>
        <v/>
      </c>
      <c r="R101" s="43" t="str" cm="1">
        <f t="array" ref="R101">IFERROR(IF(J101&gt;10,J101/F101*0.8769,""),“”)</f>
        <v/>
      </c>
      <c r="S101" s="54" t="str">
        <f t="shared" si="9"/>
        <v/>
      </c>
    </row>
    <row r="102" spans="1:19">
      <c r="A102" s="53" t="s">
        <v>80</v>
      </c>
      <c r="B102" s="37">
        <v>2019</v>
      </c>
      <c r="C102" s="27">
        <v>88</v>
      </c>
      <c r="D102" s="31">
        <v>0.7</v>
      </c>
      <c r="E102" s="27">
        <v>34</v>
      </c>
      <c r="F102" s="28">
        <v>53</v>
      </c>
      <c r="G102" s="27">
        <v>43</v>
      </c>
      <c r="H102" s="31">
        <v>0.3</v>
      </c>
      <c r="I102" s="27">
        <v>15</v>
      </c>
      <c r="J102" s="28">
        <v>27</v>
      </c>
      <c r="K102" s="27">
        <v>5171</v>
      </c>
      <c r="L102" s="27"/>
      <c r="M102" s="28">
        <v>4921</v>
      </c>
      <c r="N102" s="42">
        <v>5318</v>
      </c>
      <c r="O102" s="43" cm="1">
        <f t="array" ref="O102">IFERROR(IF(G102&gt;10,G102/C102*0.8769,""),“”)</f>
        <v>0.42848522727272731</v>
      </c>
      <c r="P102" s="43" t="str" cm="1">
        <f t="array" ref="P102">IFERROR(IF(H102&gt;10,H102/D102*0.8769,""),“”)</f>
        <v/>
      </c>
      <c r="Q102" s="43" cm="1">
        <f t="array" ref="Q102">IFERROR(IF(I102&gt;10,I102/E102*0.8769,""),“”)</f>
        <v>0.38686764705882354</v>
      </c>
      <c r="R102" s="43" cm="1">
        <f t="array" ref="R102">IFERROR(IF(J102&gt;10,J102/F102*0.8769,""),“”)</f>
        <v>0.44672264150943397</v>
      </c>
      <c r="S102" s="54">
        <f t="shared" si="9"/>
        <v>0.45468888888888886</v>
      </c>
    </row>
    <row r="103" spans="1:19">
      <c r="A103" s="53" t="s">
        <v>81</v>
      </c>
      <c r="B103" s="37">
        <v>2019</v>
      </c>
      <c r="C103" s="27">
        <v>57</v>
      </c>
      <c r="D103" s="31">
        <v>11.4</v>
      </c>
      <c r="E103" s="27">
        <v>11</v>
      </c>
      <c r="F103" s="28">
        <v>35</v>
      </c>
      <c r="G103" s="27">
        <v>27</v>
      </c>
      <c r="H103" s="31">
        <v>3</v>
      </c>
      <c r="I103" s="27">
        <v>6</v>
      </c>
      <c r="J103" s="28">
        <v>19</v>
      </c>
      <c r="K103" s="27">
        <v>5630</v>
      </c>
      <c r="L103" s="27"/>
      <c r="M103" s="27">
        <v>5243</v>
      </c>
      <c r="N103" s="42">
        <v>5760</v>
      </c>
      <c r="O103" s="43" cm="1">
        <f t="array" ref="O103">IFERROR(IF(G103&gt;10,G103/C103*0.8769,""),“”)</f>
        <v>0.41537368421052628</v>
      </c>
      <c r="P103" s="43" t="str" cm="1">
        <f t="array" ref="P103">IFERROR(IF(H103&gt;10,H103/D103*0.8769,""),“”)</f>
        <v/>
      </c>
      <c r="Q103" s="43" t="str" cm="1">
        <f t="array" ref="Q103">IFERROR(IF(I103&gt;10,I103/E103*0.8769,""),“”)</f>
        <v/>
      </c>
      <c r="R103" s="43" cm="1">
        <f t="array" ref="R103">IFERROR(IF(J103&gt;10,J103/F103*0.8769,""),“”)</f>
        <v>0.47603142857142855</v>
      </c>
      <c r="S103" s="54">
        <f t="shared" si="9"/>
        <v>0.40032391304347825</v>
      </c>
    </row>
    <row r="104" spans="1:19">
      <c r="A104" s="53" t="s">
        <v>82</v>
      </c>
      <c r="B104" s="37">
        <v>2019</v>
      </c>
      <c r="C104" s="27">
        <v>20</v>
      </c>
      <c r="D104" s="31">
        <v>0.1</v>
      </c>
      <c r="E104" s="27">
        <v>7</v>
      </c>
      <c r="F104" s="28">
        <v>13</v>
      </c>
      <c r="G104" s="27">
        <v>8</v>
      </c>
      <c r="H104" s="38">
        <v>0.01</v>
      </c>
      <c r="I104" s="29">
        <v>2</v>
      </c>
      <c r="J104" s="28">
        <v>6</v>
      </c>
      <c r="K104" s="27">
        <v>4164</v>
      </c>
      <c r="L104" s="27"/>
      <c r="M104" s="27">
        <v>3599</v>
      </c>
      <c r="N104" s="42">
        <v>4470</v>
      </c>
      <c r="O104" s="43" t="str" cm="1">
        <f t="array" ref="O104">IFERROR(IF(G104&gt;10,G104/C104*0.8769,""),“”)</f>
        <v/>
      </c>
      <c r="P104" s="43" t="str" cm="1">
        <f t="array" ref="P104">IFERROR(IF(H104&gt;10,H104/D104*0.8769,""),“”)</f>
        <v/>
      </c>
      <c r="Q104" s="43" t="str" cm="1">
        <f t="array" ref="Q104">IFERROR(IF(I104&gt;10,I104/E104*0.8769,""),“”)</f>
        <v/>
      </c>
      <c r="R104" s="43" t="str" cm="1">
        <f t="array" ref="R104">IFERROR(IF(J104&gt;10,J104/F104*0.8769,""),“”)</f>
        <v/>
      </c>
      <c r="S104" s="54" t="str">
        <f t="shared" si="9"/>
        <v/>
      </c>
    </row>
    <row r="105" spans="1:19">
      <c r="A105" s="53" t="s">
        <v>83</v>
      </c>
      <c r="B105" s="37">
        <v>2019</v>
      </c>
      <c r="C105" s="27">
        <v>26</v>
      </c>
      <c r="D105" s="31"/>
      <c r="E105" s="27">
        <v>13</v>
      </c>
      <c r="F105" s="27">
        <v>14</v>
      </c>
      <c r="G105" s="27">
        <v>13</v>
      </c>
      <c r="H105" s="31"/>
      <c r="I105" s="27">
        <v>6</v>
      </c>
      <c r="J105" s="27">
        <v>6</v>
      </c>
      <c r="K105" s="27">
        <v>5836</v>
      </c>
      <c r="L105" s="27"/>
      <c r="M105" s="27">
        <v>6332</v>
      </c>
      <c r="N105" s="41">
        <v>5421</v>
      </c>
      <c r="O105" s="43" cm="1">
        <f t="array" ref="O105">IFERROR(IF(G105&gt;10,G105/C105*0.8769,""),“”)</f>
        <v>0.43845000000000001</v>
      </c>
      <c r="P105" s="43" t="str" cm="1">
        <f t="array" ref="P105">IFERROR(IF(H105&gt;10,H105/D105*0.8769,""),“”)</f>
        <v/>
      </c>
      <c r="Q105" s="43" t="str" cm="1">
        <f t="array" ref="Q105">IFERROR(IF(I105&gt;10,I105/E105*0.8769,""),“”)</f>
        <v/>
      </c>
      <c r="R105" s="43" t="str" cm="1">
        <f t="array" ref="R105">IFERROR(IF(J105&gt;10,J105/F105*0.8769,""),“”)</f>
        <v/>
      </c>
      <c r="S105" s="54" t="str">
        <f t="shared" si="9"/>
        <v/>
      </c>
    </row>
    <row r="106" spans="1:19">
      <c r="A106" s="53" t="s">
        <v>84</v>
      </c>
      <c r="B106" s="37">
        <v>2019</v>
      </c>
      <c r="C106" s="27">
        <v>74</v>
      </c>
      <c r="D106" s="31">
        <v>0.3</v>
      </c>
      <c r="E106" s="27">
        <v>19</v>
      </c>
      <c r="F106" s="28">
        <v>55</v>
      </c>
      <c r="G106" s="27">
        <v>35</v>
      </c>
      <c r="H106" s="31"/>
      <c r="I106" s="35">
        <v>9</v>
      </c>
      <c r="J106" s="28">
        <v>26</v>
      </c>
      <c r="K106" s="27">
        <v>5007</v>
      </c>
      <c r="L106" s="27"/>
      <c r="M106" s="27">
        <v>4959</v>
      </c>
      <c r="N106" s="42">
        <v>5023</v>
      </c>
      <c r="O106" s="43" cm="1">
        <f t="array" ref="O106">IFERROR(IF(G106&gt;10,G106/C106*0.8769,""),“”)</f>
        <v>0.41475000000000001</v>
      </c>
      <c r="P106" s="43" t="str" cm="1">
        <f t="array" ref="P106">IFERROR(IF(H106&gt;10,H106/D106*0.8769,""),“”)</f>
        <v/>
      </c>
      <c r="Q106" s="43" t="str" cm="1">
        <f t="array" ref="Q106">IFERROR(IF(I106&gt;10,I106/E106*0.8769,""),“”)</f>
        <v/>
      </c>
      <c r="R106" s="43" cm="1">
        <f t="array" ref="R106">IFERROR(IF(J106&gt;10,J106/F106*0.8769,""),“”)</f>
        <v>0.41453454545454543</v>
      </c>
      <c r="S106" s="54">
        <f t="shared" si="9"/>
        <v>0.41453454545454543</v>
      </c>
    </row>
    <row r="107" spans="1:19">
      <c r="A107" s="53" t="s">
        <v>85</v>
      </c>
      <c r="B107" s="37">
        <v>2019</v>
      </c>
      <c r="C107" s="27">
        <v>114</v>
      </c>
      <c r="D107" s="31">
        <v>0.6</v>
      </c>
      <c r="E107" s="27">
        <v>13</v>
      </c>
      <c r="F107" s="27">
        <v>101</v>
      </c>
      <c r="G107" s="27">
        <v>58</v>
      </c>
      <c r="H107" s="31">
        <v>0.1</v>
      </c>
      <c r="I107" s="27">
        <v>5</v>
      </c>
      <c r="J107" s="28">
        <v>54</v>
      </c>
      <c r="K107" s="27">
        <v>5644</v>
      </c>
      <c r="L107" s="27"/>
      <c r="M107" s="27">
        <v>3941</v>
      </c>
      <c r="N107" s="42">
        <v>5873</v>
      </c>
      <c r="O107" s="43" cm="1">
        <f t="array" ref="O107">IFERROR(IF(G107&gt;10,G107/C107*0.8769,""),“”)</f>
        <v>0.44614210526315795</v>
      </c>
      <c r="P107" s="43" t="str" cm="1">
        <f t="array" ref="P107">IFERROR(IF(H107&gt;10,H107/D107*0.8769,""),“”)</f>
        <v/>
      </c>
      <c r="Q107" s="43" t="str" cm="1">
        <f t="array" ref="Q107">IFERROR(IF(I107&gt;10,I107/E107*0.8769,""),“”)</f>
        <v/>
      </c>
      <c r="R107" s="43" cm="1">
        <f t="array" ref="R107">IFERROR(IF(J107&gt;10,J107/F107*0.8769,""),“”)</f>
        <v>0.46883762376237625</v>
      </c>
      <c r="S107" s="54">
        <f t="shared" si="9"/>
        <v>0.46015544554455451</v>
      </c>
    </row>
    <row r="108" spans="1:19">
      <c r="A108" s="53" t="s">
        <v>86</v>
      </c>
      <c r="B108" s="37">
        <v>2019</v>
      </c>
      <c r="C108" s="27">
        <v>43</v>
      </c>
      <c r="D108" s="31">
        <v>1.8</v>
      </c>
      <c r="E108" s="27">
        <v>41</v>
      </c>
      <c r="F108" s="27"/>
      <c r="G108" s="27">
        <v>26</v>
      </c>
      <c r="H108" s="31">
        <v>1.3</v>
      </c>
      <c r="I108" s="27">
        <v>24</v>
      </c>
      <c r="J108" s="27"/>
      <c r="K108" s="27">
        <v>7720</v>
      </c>
      <c r="L108" s="27">
        <v>7265</v>
      </c>
      <c r="M108" s="27">
        <v>7744</v>
      </c>
      <c r="N108" s="41"/>
      <c r="O108" s="43" cm="1">
        <f t="array" ref="O108">IFERROR(IF(G108&gt;10,G108/C108*0.8769,""),“”)</f>
        <v>0.53021860465116277</v>
      </c>
      <c r="P108" s="43" t="str" cm="1">
        <f t="array" ref="P108">IFERROR(IF(H108&gt;10,H108/D108*0.8769,""),“”)</f>
        <v/>
      </c>
      <c r="Q108" s="43" cm="1">
        <f t="array" ref="Q108">IFERROR(IF(I108&gt;10,I108/E108*0.8769,""),“”)</f>
        <v>0.51330731707317068</v>
      </c>
      <c r="R108" s="43" t="str" cm="1">
        <f t="array" ref="R108">IFERROR(IF(J108&gt;10,J108/F108*0.8769,""),“”)</f>
        <v/>
      </c>
      <c r="S108" s="54" t="str">
        <f t="shared" si="9"/>
        <v/>
      </c>
    </row>
    <row r="109" spans="1:19">
      <c r="A109" s="53" t="s">
        <v>87</v>
      </c>
      <c r="B109" s="37">
        <v>2019</v>
      </c>
      <c r="C109" s="27">
        <v>196</v>
      </c>
      <c r="D109" s="31">
        <v>6.8</v>
      </c>
      <c r="E109" s="27">
        <v>130</v>
      </c>
      <c r="F109" s="28">
        <v>59</v>
      </c>
      <c r="G109" s="27">
        <v>110</v>
      </c>
      <c r="H109" s="31">
        <v>2</v>
      </c>
      <c r="I109" s="27">
        <v>73</v>
      </c>
      <c r="J109" s="28">
        <v>35</v>
      </c>
      <c r="K109" s="27">
        <v>6468</v>
      </c>
      <c r="L109" s="27">
        <v>3423</v>
      </c>
      <c r="M109" s="27">
        <v>6669</v>
      </c>
      <c r="N109" s="42">
        <v>6228</v>
      </c>
      <c r="O109" s="43" cm="1">
        <f t="array" ref="O109">IFERROR(IF(G109&gt;10,G109/C109*0.8769,""),“”)</f>
        <v>0.49213775510204077</v>
      </c>
      <c r="P109" s="43" t="str" cm="1">
        <f t="array" ref="P109">IFERROR(IF(H109&gt;10,H109/D109*0.8769,""),“”)</f>
        <v/>
      </c>
      <c r="Q109" s="43" cm="1">
        <f t="array" ref="Q109">IFERROR(IF(I109&gt;10,I109/E109*0.8769,""),“”)</f>
        <v>0.49241307692307695</v>
      </c>
      <c r="R109" s="43" cm="1">
        <f t="array" ref="R109">IFERROR(IF(J109&gt;10,J109/F109*0.8769,""),“”)</f>
        <v>0.52019491525423722</v>
      </c>
      <c r="S109" s="54">
        <f t="shared" si="9"/>
        <v>0.4915954545454545</v>
      </c>
    </row>
    <row r="110" spans="1:19">
      <c r="A110" s="53" t="s">
        <v>88</v>
      </c>
      <c r="B110" s="37">
        <v>2019</v>
      </c>
      <c r="C110" s="27">
        <v>190</v>
      </c>
      <c r="D110" s="31">
        <v>5.6</v>
      </c>
      <c r="E110" s="27">
        <v>161</v>
      </c>
      <c r="F110" s="27">
        <v>24</v>
      </c>
      <c r="G110" s="27">
        <v>107</v>
      </c>
      <c r="H110" s="31">
        <v>2.8</v>
      </c>
      <c r="I110" s="27">
        <v>92</v>
      </c>
      <c r="J110" s="35">
        <v>12</v>
      </c>
      <c r="K110" s="27">
        <v>5788</v>
      </c>
      <c r="L110" s="27">
        <v>7174</v>
      </c>
      <c r="M110" s="27">
        <v>5862</v>
      </c>
      <c r="N110" s="42">
        <v>5201</v>
      </c>
      <c r="O110" s="43" cm="1">
        <f t="array" ref="O110">IFERROR(IF(G110&gt;10,G110/C110*0.8769,""),“”)</f>
        <v>0.49383315789473681</v>
      </c>
      <c r="P110" s="43" t="str" cm="1">
        <f t="array" ref="P110">IFERROR(IF(H110&gt;10,H110/D110*0.8769,""),“”)</f>
        <v/>
      </c>
      <c r="Q110" s="43" cm="1">
        <f t="array" ref="Q110">IFERROR(IF(I110&gt;10,I110/E110*0.8769,""),“”)</f>
        <v>0.50108571428571425</v>
      </c>
      <c r="R110" s="43" cm="1">
        <f t="array" ref="R110">IFERROR(IF(J110&gt;10,J110/F110*0.8769,""),“”)</f>
        <v>0.43845000000000001</v>
      </c>
      <c r="S110" s="54">
        <f t="shared" si="9"/>
        <v>0.45356896551724141</v>
      </c>
    </row>
    <row r="111" spans="1:19">
      <c r="A111" s="53" t="s">
        <v>89</v>
      </c>
      <c r="B111" s="37">
        <v>2019</v>
      </c>
      <c r="C111" s="27">
        <v>192</v>
      </c>
      <c r="D111" s="31">
        <v>1.3</v>
      </c>
      <c r="E111" s="27">
        <v>64</v>
      </c>
      <c r="F111" s="28">
        <v>127</v>
      </c>
      <c r="G111" s="27">
        <v>98</v>
      </c>
      <c r="H111" s="31">
        <v>0.5</v>
      </c>
      <c r="I111" s="27">
        <v>33</v>
      </c>
      <c r="J111" s="28">
        <v>64</v>
      </c>
      <c r="K111" s="27">
        <v>5550</v>
      </c>
      <c r="L111" s="27"/>
      <c r="M111" s="27">
        <v>5821</v>
      </c>
      <c r="N111" s="42">
        <v>5429</v>
      </c>
      <c r="O111" s="43" cm="1">
        <f t="array" ref="O111">IFERROR(IF(G111&gt;10,G111/C111*0.8769,""),“”)</f>
        <v>0.44758437499999998</v>
      </c>
      <c r="P111" s="43" t="str" cm="1">
        <f t="array" ref="P111">IFERROR(IF(H111&gt;10,H111/D111*0.8769,""),“”)</f>
        <v/>
      </c>
      <c r="Q111" s="43" cm="1">
        <f t="array" ref="Q111">IFERROR(IF(I111&gt;10,I111/E111*0.8769,""),“”)</f>
        <v>0.45215156249999999</v>
      </c>
      <c r="R111" s="43" cm="1">
        <f t="array" ref="R111">IFERROR(IF(J111&gt;10,J111/F111*0.8769,""),“”)</f>
        <v>0.4419023622047244</v>
      </c>
      <c r="S111" s="54">
        <f t="shared" si="9"/>
        <v>0.44530078125</v>
      </c>
    </row>
    <row r="112" spans="1:19">
      <c r="A112" s="53" t="s">
        <v>90</v>
      </c>
      <c r="B112" s="37">
        <v>2019</v>
      </c>
      <c r="C112" s="27">
        <v>58</v>
      </c>
      <c r="D112" s="31">
        <v>1</v>
      </c>
      <c r="E112" s="27">
        <v>51</v>
      </c>
      <c r="F112" s="27">
        <v>6</v>
      </c>
      <c r="G112" s="27">
        <v>31</v>
      </c>
      <c r="H112" s="31">
        <v>0.5</v>
      </c>
      <c r="I112" s="27">
        <v>27</v>
      </c>
      <c r="J112" s="39">
        <v>4</v>
      </c>
      <c r="K112" s="27">
        <v>6001</v>
      </c>
      <c r="L112" s="27"/>
      <c r="M112" s="27">
        <v>5987</v>
      </c>
      <c r="N112" s="42">
        <v>6112</v>
      </c>
      <c r="O112" s="43" cm="1">
        <f t="array" ref="O112">IFERROR(IF(G112&gt;10,G112/C112*0.8769,""),“”)</f>
        <v>0.46868793103448275</v>
      </c>
      <c r="P112" s="43" t="str" cm="1">
        <f t="array" ref="P112">IFERROR(IF(H112&gt;10,H112/D112*0.8769,""),“”)</f>
        <v/>
      </c>
      <c r="Q112" s="43" cm="1">
        <f t="array" ref="Q112">IFERROR(IF(I112&gt;10,I112/E112*0.8769,""),“”)</f>
        <v>0.46424117647058827</v>
      </c>
      <c r="R112" s="43" t="str" cm="1">
        <f t="array" ref="R112">IFERROR(IF(J112&gt;10,J112/F112*0.8769,""),“”)</f>
        <v/>
      </c>
      <c r="S112" s="54" t="str">
        <f t="shared" si="9"/>
        <v/>
      </c>
    </row>
    <row r="113" spans="1:19">
      <c r="A113" s="53" t="s">
        <v>91</v>
      </c>
      <c r="B113" s="37">
        <v>2019</v>
      </c>
      <c r="C113" s="27">
        <v>47</v>
      </c>
      <c r="D113" s="31">
        <v>3.1</v>
      </c>
      <c r="E113" s="27">
        <v>17</v>
      </c>
      <c r="F113" s="28">
        <v>27</v>
      </c>
      <c r="G113" s="27">
        <v>20</v>
      </c>
      <c r="H113" s="31">
        <v>1.6</v>
      </c>
      <c r="I113" s="27">
        <v>9</v>
      </c>
      <c r="J113" s="28">
        <v>10</v>
      </c>
      <c r="K113" s="27">
        <v>5071</v>
      </c>
      <c r="L113" s="27">
        <v>2208</v>
      </c>
      <c r="M113" s="27">
        <v>5822</v>
      </c>
      <c r="N113" s="42">
        <v>4633</v>
      </c>
      <c r="O113" s="43" cm="1">
        <f t="array" ref="O113">IFERROR(IF(G113&gt;10,G113/C113*0.8769,""),“”)</f>
        <v>0.37314893617021277</v>
      </c>
      <c r="P113" s="43" t="str" cm="1">
        <f t="array" ref="P113">IFERROR(IF(H113&gt;10,H113/D113*0.8769,""),“”)</f>
        <v/>
      </c>
      <c r="Q113" s="43" t="str" cm="1">
        <f t="array" ref="Q113">IFERROR(IF(I113&gt;10,I113/E113*0.8769,""),“”)</f>
        <v/>
      </c>
      <c r="R113" s="43" t="str" cm="1">
        <f t="array" ref="R113">IFERROR(IF(J113&gt;10,J113/F113*0.8769,""),“”)</f>
        <v/>
      </c>
      <c r="S113" s="54">
        <f t="shared" si="9"/>
        <v>0.32152999999999998</v>
      </c>
    </row>
    <row r="114" spans="1:19">
      <c r="A114" s="53" t="s">
        <v>92</v>
      </c>
      <c r="B114" s="37">
        <v>2019</v>
      </c>
      <c r="C114" s="27">
        <v>293</v>
      </c>
      <c r="D114" s="31">
        <v>6.7</v>
      </c>
      <c r="E114" s="27">
        <v>140</v>
      </c>
      <c r="F114" s="28">
        <v>146</v>
      </c>
      <c r="G114" s="27">
        <v>141</v>
      </c>
      <c r="H114" s="31">
        <v>2.2000000000000002</v>
      </c>
      <c r="I114" s="27">
        <v>64</v>
      </c>
      <c r="J114" s="28">
        <v>74</v>
      </c>
      <c r="K114" s="27">
        <v>5183</v>
      </c>
      <c r="L114" s="27">
        <v>3523</v>
      </c>
      <c r="M114" s="27">
        <v>5293</v>
      </c>
      <c r="N114" s="42">
        <v>5119</v>
      </c>
      <c r="O114" s="43" cm="1">
        <f t="array" ref="O114">IFERROR(IF(G114&gt;10,G114/C114*0.8769,""),“”)</f>
        <v>0.42198941979522187</v>
      </c>
      <c r="P114" s="43" t="str" cm="1">
        <f t="array" ref="P114">IFERROR(IF(H114&gt;10,H114/D114*0.8769,""),“”)</f>
        <v/>
      </c>
      <c r="Q114" s="43" cm="1">
        <f t="array" ref="Q114">IFERROR(IF(I114&gt;10,I114/E114*0.8769,""),“”)</f>
        <v>0.40086857142857141</v>
      </c>
      <c r="R114" s="43" cm="1">
        <f t="array" ref="R114">IFERROR(IF(J114&gt;10,J114/F114*0.8769,""),“”)</f>
        <v>0.44445616438356167</v>
      </c>
      <c r="S114" s="54">
        <f t="shared" si="9"/>
        <v>0.44131568627450979</v>
      </c>
    </row>
    <row r="115" spans="1:19">
      <c r="A115" s="53" t="s">
        <v>93</v>
      </c>
      <c r="B115" s="37">
        <v>2019</v>
      </c>
      <c r="C115" s="27">
        <v>76</v>
      </c>
      <c r="D115" s="31">
        <v>3.6</v>
      </c>
      <c r="E115" s="27">
        <v>21</v>
      </c>
      <c r="F115" s="28">
        <v>52</v>
      </c>
      <c r="G115" s="27">
        <v>37</v>
      </c>
      <c r="H115" s="31"/>
      <c r="I115" s="27">
        <v>9</v>
      </c>
      <c r="J115" s="28">
        <v>28</v>
      </c>
      <c r="K115" s="27">
        <v>5342</v>
      </c>
      <c r="L115" s="27"/>
      <c r="M115" s="27">
        <v>5946</v>
      </c>
      <c r="N115" s="42">
        <v>5545</v>
      </c>
      <c r="O115" s="43" cm="1">
        <f t="array" ref="O115">IFERROR(IF(G115&gt;10,G115/C115*0.8769,""),“”)</f>
        <v>0.42691184210526317</v>
      </c>
      <c r="P115" s="43" t="str" cm="1">
        <f t="array" ref="P115">IFERROR(IF(H115&gt;10,H115/D115*0.8769,""),“”)</f>
        <v/>
      </c>
      <c r="Q115" s="43" t="str" cm="1">
        <f t="array" ref="Q115">IFERROR(IF(I115&gt;10,I115/E115*0.8769,""),“”)</f>
        <v/>
      </c>
      <c r="R115" s="43" cm="1">
        <f t="array" ref="R115">IFERROR(IF(J115&gt;10,J115/F115*0.8769,""),“”)</f>
        <v>0.47217692307692305</v>
      </c>
      <c r="S115" s="54">
        <f t="shared" si="9"/>
        <v>0.44642181818181814</v>
      </c>
    </row>
    <row r="116" spans="1:19">
      <c r="A116" s="53" t="s">
        <v>94</v>
      </c>
      <c r="B116" s="37">
        <v>2019</v>
      </c>
      <c r="C116" s="27">
        <v>92</v>
      </c>
      <c r="D116" s="31">
        <v>3.3</v>
      </c>
      <c r="E116" s="27">
        <v>26</v>
      </c>
      <c r="F116" s="28">
        <v>62</v>
      </c>
      <c r="G116" s="27">
        <v>30</v>
      </c>
      <c r="H116" s="31">
        <v>1.1000000000000001</v>
      </c>
      <c r="I116" s="27">
        <v>15</v>
      </c>
      <c r="J116" s="28">
        <v>13</v>
      </c>
      <c r="K116" s="27">
        <v>3450</v>
      </c>
      <c r="L116" s="27"/>
      <c r="M116" s="27">
        <v>6000</v>
      </c>
      <c r="N116" s="42">
        <v>2331</v>
      </c>
      <c r="O116" s="43" cm="1">
        <f t="array" ref="O116">IFERROR(IF(G116&gt;10,G116/C116*0.8769,""),“”)</f>
        <v>0.28594565217391305</v>
      </c>
      <c r="P116" s="43" t="str" cm="1">
        <f t="array" ref="P116">IFERROR(IF(H116&gt;10,H116/D116*0.8769,""),“”)</f>
        <v/>
      </c>
      <c r="Q116" s="43" cm="1">
        <f t="array" ref="Q116">IFERROR(IF(I116&gt;10,I116/E116*0.8769,""),“”)</f>
        <v>0.50590384615384609</v>
      </c>
      <c r="R116" s="43" cm="1">
        <f t="array" ref="R116">IFERROR(IF(J116&gt;10,J116/F116*0.8769,""),“”)</f>
        <v>0.18386612903225807</v>
      </c>
      <c r="S116" s="54">
        <f t="shared" si="9"/>
        <v>0.19929545454545455</v>
      </c>
    </row>
    <row r="117" spans="1:19">
      <c r="A117" s="53" t="s">
        <v>95</v>
      </c>
      <c r="B117" s="37">
        <v>2019</v>
      </c>
      <c r="C117" s="27">
        <v>76</v>
      </c>
      <c r="D117" s="31">
        <v>2.7</v>
      </c>
      <c r="E117" s="27">
        <v>30</v>
      </c>
      <c r="F117" s="27">
        <v>43</v>
      </c>
      <c r="G117" s="27">
        <v>32</v>
      </c>
      <c r="H117" s="31">
        <v>1.1000000000000001</v>
      </c>
      <c r="I117" s="27">
        <v>19</v>
      </c>
      <c r="J117" s="27">
        <v>1</v>
      </c>
      <c r="K117" s="27">
        <v>4560</v>
      </c>
      <c r="L117" s="27">
        <v>4268</v>
      </c>
      <c r="M117" s="27">
        <v>7648</v>
      </c>
      <c r="N117" s="41">
        <v>2704</v>
      </c>
      <c r="O117" s="43" cm="1">
        <f t="array" ref="O117">IFERROR(IF(G117&gt;10,G117/C117*0.8769,""),“”)</f>
        <v>0.36922105263157895</v>
      </c>
      <c r="P117" s="43" t="str" cm="1">
        <f t="array" ref="P117">IFERROR(IF(H117&gt;10,H117/D117*0.8769,""),“”)</f>
        <v/>
      </c>
      <c r="Q117" s="43" cm="1">
        <f t="array" ref="Q117">IFERROR(IF(I117&gt;10,I117/E117*0.8769,""),“”)</f>
        <v>0.55537000000000003</v>
      </c>
      <c r="R117" s="43" t="str" cm="1">
        <f t="array" ref="R117">IFERROR(IF(J117&gt;10,J117/F117*0.8769,""),“”)</f>
        <v/>
      </c>
      <c r="S117" s="54">
        <f t="shared" si="9"/>
        <v>0.24781956521739129</v>
      </c>
    </row>
    <row r="118" spans="1:19">
      <c r="A118" s="53" t="s">
        <v>96</v>
      </c>
      <c r="B118" s="37">
        <v>2019</v>
      </c>
      <c r="C118" s="27">
        <v>236</v>
      </c>
      <c r="D118" s="31">
        <v>13.3</v>
      </c>
      <c r="E118" s="27">
        <v>192</v>
      </c>
      <c r="F118" s="28">
        <v>31</v>
      </c>
      <c r="G118" s="27">
        <v>120</v>
      </c>
      <c r="H118" s="31">
        <v>8.1999999999999993</v>
      </c>
      <c r="I118" s="27">
        <v>93</v>
      </c>
      <c r="J118" s="28">
        <v>19</v>
      </c>
      <c r="K118" s="27">
        <v>5444</v>
      </c>
      <c r="L118" s="27">
        <v>7899</v>
      </c>
      <c r="M118" s="27">
        <v>5195</v>
      </c>
      <c r="N118" s="42">
        <v>6387</v>
      </c>
      <c r="O118" s="43" cm="1">
        <f t="array" ref="O118">IFERROR(IF(G118&gt;10,G118/C118*0.8769,""),“”)</f>
        <v>0.44588135593220335</v>
      </c>
      <c r="P118" s="43" t="str" cm="1">
        <f t="array" ref="P118">IFERROR(IF(H118&gt;10,H118/D118*0.8769,""),“”)</f>
        <v/>
      </c>
      <c r="Q118" s="43" cm="1">
        <f t="array" ref="Q118">IFERROR(IF(I118&gt;10,I118/E118*0.8769,""),“”)</f>
        <v>0.42474843750000002</v>
      </c>
      <c r="R118" s="43" cm="1">
        <f t="array" ref="R118">IFERROR(IF(J118&gt;10,J118/F118*0.8769,""),“”)</f>
        <v>0.53745483870967747</v>
      </c>
      <c r="S118" s="54">
        <f t="shared" si="9"/>
        <v>0.53809772727272731</v>
      </c>
    </row>
    <row r="119" spans="1:19">
      <c r="A119" s="53" t="s">
        <v>97</v>
      </c>
      <c r="B119" s="37">
        <v>2019</v>
      </c>
      <c r="C119" s="27">
        <v>185</v>
      </c>
      <c r="D119" s="31">
        <v>1.8</v>
      </c>
      <c r="E119" s="27">
        <v>16</v>
      </c>
      <c r="F119" s="28">
        <v>166</v>
      </c>
      <c r="G119" s="27">
        <v>52</v>
      </c>
      <c r="H119" s="31">
        <v>1.1000000000000001</v>
      </c>
      <c r="I119" s="27">
        <v>11</v>
      </c>
      <c r="J119" s="28">
        <v>40</v>
      </c>
      <c r="K119" s="27">
        <v>2879</v>
      </c>
      <c r="L119" s="27"/>
      <c r="M119" s="27">
        <v>6869</v>
      </c>
      <c r="N119" s="42">
        <v>2475</v>
      </c>
      <c r="O119" s="43" cm="1">
        <f t="array" ref="O119">IFERROR(IF(G119&gt;10,G119/C119*0.8769,""),“”)</f>
        <v>0.24648</v>
      </c>
      <c r="P119" s="43" t="str" cm="1">
        <f t="array" ref="P119">IFERROR(IF(H119&gt;10,H119/D119*0.8769,""),“”)</f>
        <v/>
      </c>
      <c r="Q119" s="43" cm="1">
        <f t="array" ref="Q119">IFERROR(IF(I119&gt;10,I119/E119*0.8769,""),“”)</f>
        <v>0.60286875000000006</v>
      </c>
      <c r="R119" s="43" cm="1">
        <f t="array" ref="R119">IFERROR(IF(J119&gt;10,J119/F119*0.8769,""),“”)</f>
        <v>0.21130120481927711</v>
      </c>
      <c r="S119" s="54">
        <f t="shared" si="9"/>
        <v>0.21273905325443787</v>
      </c>
    </row>
    <row r="120" spans="1:19">
      <c r="A120" s="53" t="s">
        <v>98</v>
      </c>
      <c r="B120" s="37">
        <v>2019</v>
      </c>
      <c r="C120" s="27">
        <v>32</v>
      </c>
      <c r="D120" s="31">
        <v>0.5</v>
      </c>
      <c r="E120" s="27">
        <v>8</v>
      </c>
      <c r="F120" s="28">
        <v>24</v>
      </c>
      <c r="G120" s="27">
        <v>20</v>
      </c>
      <c r="H120" s="31">
        <v>0.3</v>
      </c>
      <c r="I120" s="27">
        <v>5</v>
      </c>
      <c r="J120" s="28">
        <v>14</v>
      </c>
      <c r="K120" s="27">
        <v>6054</v>
      </c>
      <c r="L120" s="27"/>
      <c r="M120" s="27">
        <v>6849</v>
      </c>
      <c r="N120" s="42">
        <v>5801</v>
      </c>
      <c r="O120" s="43" cm="1">
        <f t="array" ref="O120">IFERROR(IF(G120&gt;10,G120/C120*0.8769,""),“”)</f>
        <v>0.54806250000000001</v>
      </c>
      <c r="P120" s="43" t="str" cm="1">
        <f t="array" ref="P120">IFERROR(IF(H120&gt;10,H120/D120*0.8769,""),“”)</f>
        <v/>
      </c>
      <c r="Q120" s="43" t="str" cm="1">
        <f t="array" ref="Q120">IFERROR(IF(I120&gt;10,I120/E120*0.8769,""),“”)</f>
        <v/>
      </c>
      <c r="R120" s="43" cm="1">
        <f t="array" ref="R120">IFERROR(IF(J120&gt;10,J120/F120*0.8769,""),“”)</f>
        <v>0.51152500000000001</v>
      </c>
      <c r="S120" s="54">
        <f t="shared" si="9"/>
        <v>0.54806250000000001</v>
      </c>
    </row>
    <row r="121" spans="1:19">
      <c r="A121" s="53" t="s">
        <v>99</v>
      </c>
      <c r="B121" s="37">
        <v>2019</v>
      </c>
      <c r="C121" s="27">
        <v>33</v>
      </c>
      <c r="D121" s="31">
        <v>0.6</v>
      </c>
      <c r="E121" s="27">
        <v>25</v>
      </c>
      <c r="F121" s="28">
        <v>7</v>
      </c>
      <c r="G121" s="27">
        <v>19</v>
      </c>
      <c r="H121" s="31">
        <v>0.1</v>
      </c>
      <c r="I121" s="27">
        <v>17</v>
      </c>
      <c r="J121" s="28">
        <v>2</v>
      </c>
      <c r="K121" s="27">
        <v>5741</v>
      </c>
      <c r="L121" s="27"/>
      <c r="M121" s="27">
        <v>6579</v>
      </c>
      <c r="N121" s="42">
        <v>2864</v>
      </c>
      <c r="O121" s="43" cm="1">
        <f t="array" ref="O121">IFERROR(IF(G121&gt;10,G121/C121*0.8769,""),“”)</f>
        <v>0.50488181818181821</v>
      </c>
      <c r="P121" s="43" t="str" cm="1">
        <f t="array" ref="P121">IFERROR(IF(H121&gt;10,H121/D121*0.8769,""),“”)</f>
        <v/>
      </c>
      <c r="Q121" s="43" cm="1">
        <f t="array" ref="Q121">IFERROR(IF(I121&gt;10,I121/E121*0.8769,""),“”)</f>
        <v>0.59629200000000004</v>
      </c>
      <c r="R121" s="43" t="str" cm="1">
        <f t="array" ref="R121">IFERROR(IF(J121&gt;10,J121/F121*0.8769,""),“”)</f>
        <v/>
      </c>
      <c r="S121" s="54" t="str">
        <f t="shared" si="9"/>
        <v/>
      </c>
    </row>
    <row r="122" spans="1:19">
      <c r="A122" s="53" t="s">
        <v>100</v>
      </c>
      <c r="B122" s="37">
        <v>2019</v>
      </c>
      <c r="C122" s="27">
        <v>65</v>
      </c>
      <c r="D122" s="31">
        <v>3.5</v>
      </c>
      <c r="E122" s="27">
        <v>47</v>
      </c>
      <c r="F122" s="28">
        <v>15</v>
      </c>
      <c r="G122" s="27">
        <v>40</v>
      </c>
      <c r="H122" s="31">
        <v>2.5</v>
      </c>
      <c r="I122" s="27">
        <v>28</v>
      </c>
      <c r="J122" s="28">
        <v>9</v>
      </c>
      <c r="K122" s="27">
        <v>6982</v>
      </c>
      <c r="L122" s="27">
        <v>7830</v>
      </c>
      <c r="M122" s="27">
        <v>6811</v>
      </c>
      <c r="N122" s="42">
        <v>7335</v>
      </c>
      <c r="O122" s="43" cm="1">
        <f t="array" ref="O122">IFERROR(IF(G122&gt;10,G122/C122*0.8769,""),“”)</f>
        <v>0.53963076923076925</v>
      </c>
      <c r="P122" s="43" t="str" cm="1">
        <f t="array" ref="P122">IFERROR(IF(H122&gt;10,H122/D122*0.8769,""),“”)</f>
        <v/>
      </c>
      <c r="Q122" s="43" cm="1">
        <f t="array" ref="Q122">IFERROR(IF(I122&gt;10,I122/E122*0.8769,""),“”)</f>
        <v>0.52240851063829785</v>
      </c>
      <c r="R122" s="43" t="str" cm="1">
        <f t="array" ref="R122">IFERROR(IF(J122&gt;10,J122/F122*0.8769,""),“”)</f>
        <v/>
      </c>
      <c r="S122" s="54">
        <f t="shared" si="9"/>
        <v>0.58460000000000001</v>
      </c>
    </row>
    <row r="123" spans="1:19">
      <c r="A123" s="53" t="s">
        <v>101</v>
      </c>
      <c r="B123" s="37">
        <v>2019</v>
      </c>
      <c r="C123" s="27">
        <v>26</v>
      </c>
      <c r="D123" s="31"/>
      <c r="E123" s="28">
        <v>17</v>
      </c>
      <c r="F123" s="28">
        <v>9</v>
      </c>
      <c r="G123" s="27">
        <v>8</v>
      </c>
      <c r="H123" s="31"/>
      <c r="I123" s="28">
        <v>7</v>
      </c>
      <c r="J123" s="28">
        <v>1</v>
      </c>
      <c r="K123" s="27">
        <v>3978</v>
      </c>
      <c r="L123" s="27"/>
      <c r="M123" s="28">
        <v>6193</v>
      </c>
      <c r="N123" s="42">
        <v>902</v>
      </c>
      <c r="O123" s="43" t="str" cm="1">
        <f t="array" ref="O123">IFERROR(IF(G123&gt;10,G123/C123*0.8769,""),“”)</f>
        <v/>
      </c>
      <c r="P123" s="43" t="str" cm="1">
        <f t="array" ref="P123">IFERROR(IF(H123&gt;10,H123/D123*0.8769,""),“”)</f>
        <v/>
      </c>
      <c r="Q123" s="43" t="str" cm="1">
        <f t="array" ref="Q123">IFERROR(IF(I123&gt;10,I123/E123*0.8769,""),“”)</f>
        <v/>
      </c>
      <c r="R123" s="43" t="str" cm="1">
        <f t="array" ref="R123">IFERROR(IF(J123&gt;10,J123/F123*0.8769,""),“”)</f>
        <v/>
      </c>
      <c r="S123" s="54" t="str">
        <f t="shared" si="9"/>
        <v/>
      </c>
    </row>
    <row r="124" spans="1:19">
      <c r="A124" s="53" t="s">
        <v>102</v>
      </c>
      <c r="B124" s="37">
        <v>2019</v>
      </c>
      <c r="C124" s="27">
        <v>44</v>
      </c>
      <c r="D124" s="31"/>
      <c r="E124" s="27">
        <v>17</v>
      </c>
      <c r="F124" s="28">
        <v>27</v>
      </c>
      <c r="G124" s="27">
        <v>9</v>
      </c>
      <c r="H124" s="31"/>
      <c r="I124" s="29">
        <v>6</v>
      </c>
      <c r="J124" s="28">
        <v>3</v>
      </c>
      <c r="K124" s="27">
        <v>2150</v>
      </c>
      <c r="L124" s="27"/>
      <c r="M124" s="27">
        <v>3498</v>
      </c>
      <c r="N124" s="42">
        <v>998</v>
      </c>
      <c r="O124" s="43" t="str" cm="1">
        <f t="array" ref="O124">IFERROR(IF(G124&gt;10,G124/C124*0.8769,""),“”)</f>
        <v/>
      </c>
      <c r="P124" s="43" t="str" cm="1">
        <f t="array" ref="P124">IFERROR(IF(H124&gt;10,H124/D124*0.8769,""),“”)</f>
        <v/>
      </c>
      <c r="Q124" s="43" t="str" cm="1">
        <f t="array" ref="Q124">IFERROR(IF(I124&gt;10,I124/E124*0.8769,""),“”)</f>
        <v/>
      </c>
      <c r="R124" s="43" t="str" cm="1">
        <f t="array" ref="R124">IFERROR(IF(J124&gt;10,J124/F124*0.8769,""),“”)</f>
        <v/>
      </c>
      <c r="S124" s="54" t="str">
        <f t="shared" si="9"/>
        <v/>
      </c>
    </row>
    <row r="125" spans="1:19">
      <c r="A125" s="53" t="s">
        <v>103</v>
      </c>
      <c r="B125" s="37">
        <v>2019</v>
      </c>
      <c r="C125" s="27">
        <v>2</v>
      </c>
      <c r="D125" s="32"/>
      <c r="E125" s="28">
        <v>2</v>
      </c>
      <c r="F125" s="27"/>
      <c r="G125" s="27">
        <v>1</v>
      </c>
      <c r="H125" s="32"/>
      <c r="I125" s="28">
        <v>1</v>
      </c>
      <c r="J125" s="29"/>
      <c r="K125" s="27">
        <v>5272</v>
      </c>
      <c r="L125" s="28"/>
      <c r="M125" s="28">
        <v>5272</v>
      </c>
      <c r="N125" s="41"/>
      <c r="O125" s="43" t="str" cm="1">
        <f t="array" ref="O125">IFERROR(IF(G125&gt;10,G125/C125*0.8769,""),“”)</f>
        <v/>
      </c>
      <c r="P125" s="43" t="str" cm="1">
        <f t="array" ref="P125">IFERROR(IF(H125&gt;10,H125/D125*0.8769,""),“”)</f>
        <v/>
      </c>
      <c r="Q125" s="43" t="str" cm="1">
        <f t="array" ref="Q125">IFERROR(IF(I125&gt;10,I125/E125*0.8769,""),“”)</f>
        <v/>
      </c>
      <c r="R125" s="43" t="str" cm="1">
        <f t="array" ref="R125">IFERROR(IF(J125&gt;10,J125/F125*0.8769,""),“”)</f>
        <v/>
      </c>
      <c r="S125" s="54" t="str">
        <f t="shared" si="9"/>
        <v/>
      </c>
    </row>
    <row r="126" spans="1:19">
      <c r="A126" s="53" t="s">
        <v>104</v>
      </c>
      <c r="B126" s="37">
        <v>2019</v>
      </c>
      <c r="C126" s="27">
        <v>16</v>
      </c>
      <c r="D126" s="31">
        <v>1.7</v>
      </c>
      <c r="E126" s="27">
        <v>7</v>
      </c>
      <c r="F126" s="28">
        <v>7</v>
      </c>
      <c r="G126" s="27">
        <v>3</v>
      </c>
      <c r="H126" s="31">
        <v>1.3</v>
      </c>
      <c r="I126" s="27">
        <v>1</v>
      </c>
      <c r="J126" s="28">
        <v>11</v>
      </c>
      <c r="K126" s="27"/>
      <c r="L126" s="27"/>
      <c r="M126" s="28"/>
      <c r="N126" s="42"/>
      <c r="O126" s="43" t="str" cm="1">
        <f t="array" ref="O126">IFERROR(IF(G126&gt;10,G126/C126*0.8769,""),“”)</f>
        <v/>
      </c>
      <c r="P126" s="43" t="str" cm="1">
        <f t="array" ref="P126">IFERROR(IF(H126&gt;10,H126/D126*0.8769,""),“”)</f>
        <v/>
      </c>
      <c r="Q126" s="43" t="str" cm="1">
        <f t="array" ref="Q126">IFERROR(IF(I126&gt;10,I126/E126*0.8769,""),“”)</f>
        <v/>
      </c>
      <c r="R126" s="43" cm="1">
        <f t="array" ref="R126">IFERROR(IF(J126&gt;10,J126/F126*0.8769,""),“”)</f>
        <v>1.3779857142857144</v>
      </c>
      <c r="S126" s="54" t="str">
        <f t="shared" si="9"/>
        <v/>
      </c>
    </row>
    <row r="127" spans="1:19">
      <c r="A127" s="53" t="s">
        <v>105</v>
      </c>
      <c r="B127" s="37">
        <v>2019</v>
      </c>
      <c r="C127" s="27">
        <v>10</v>
      </c>
      <c r="D127" s="31"/>
      <c r="E127" s="27">
        <v>7</v>
      </c>
      <c r="F127" s="28">
        <v>3</v>
      </c>
      <c r="G127" s="27">
        <v>6</v>
      </c>
      <c r="H127" s="31"/>
      <c r="I127" s="28">
        <v>5</v>
      </c>
      <c r="J127" s="28">
        <v>1</v>
      </c>
      <c r="K127" s="27">
        <v>5881</v>
      </c>
      <c r="L127" s="27"/>
      <c r="M127" s="28">
        <v>7056</v>
      </c>
      <c r="N127" s="42">
        <v>3140</v>
      </c>
      <c r="O127" s="43" t="str" cm="1">
        <f t="array" ref="O127">IFERROR(IF(G127&gt;10,G127/C127*0.8769,""),“”)</f>
        <v/>
      </c>
      <c r="P127" s="43" t="str" cm="1">
        <f t="array" ref="P127">IFERROR(IF(H127&gt;10,H127/D127*0.8769,""),“”)</f>
        <v/>
      </c>
      <c r="Q127" s="43" t="str" cm="1">
        <f t="array" ref="Q127">IFERROR(IF(I127&gt;10,I127/E127*0.8769,""),“”)</f>
        <v/>
      </c>
      <c r="R127" s="43" t="str" cm="1">
        <f t="array" ref="R127">IFERROR(IF(J127&gt;10,J127/F127*0.8769,""),“”)</f>
        <v/>
      </c>
      <c r="S127" s="54" t="str">
        <f t="shared" si="9"/>
        <v/>
      </c>
    </row>
    <row r="128" spans="1:19">
      <c r="A128" s="53" t="s">
        <v>106</v>
      </c>
      <c r="B128" s="37">
        <v>2019</v>
      </c>
      <c r="C128" s="27">
        <v>0.4</v>
      </c>
      <c r="D128" s="31">
        <v>0.4</v>
      </c>
      <c r="E128" s="29"/>
      <c r="F128" s="28"/>
      <c r="G128" s="27">
        <v>0.1</v>
      </c>
      <c r="H128" s="31">
        <v>0.1</v>
      </c>
      <c r="I128" s="35"/>
      <c r="J128" s="28"/>
      <c r="K128" s="27"/>
      <c r="L128" s="27"/>
      <c r="M128" s="28"/>
      <c r="N128" s="42"/>
      <c r="O128" s="43" t="str" cm="1">
        <f t="array" ref="O128">IFERROR(IF(G128&gt;10,G128/C128*0.8769,""),“”)</f>
        <v/>
      </c>
      <c r="P128" s="43" t="str" cm="1">
        <f t="array" ref="P128">IFERROR(IF(H128&gt;10,H128/D128*0.8769,""),“”)</f>
        <v/>
      </c>
      <c r="Q128" s="43" t="str" cm="1">
        <f t="array" ref="Q128">IFERROR(IF(I128&gt;10,I128/E128*0.8769,""),“”)</f>
        <v/>
      </c>
      <c r="R128" s="43" t="str" cm="1">
        <f t="array" ref="R128">IFERROR(IF(J128&gt;10,J128/F128*0.8769,""),“”)</f>
        <v/>
      </c>
      <c r="S128" s="54" t="str">
        <f t="shared" si="9"/>
        <v/>
      </c>
    </row>
    <row r="129" spans="1:19">
      <c r="A129" s="53" t="s">
        <v>107</v>
      </c>
      <c r="B129" s="37">
        <v>2019</v>
      </c>
      <c r="C129" s="27">
        <v>10</v>
      </c>
      <c r="D129" s="31"/>
      <c r="E129" s="27">
        <v>5</v>
      </c>
      <c r="F129" s="28">
        <v>5</v>
      </c>
      <c r="G129" s="27">
        <v>2</v>
      </c>
      <c r="H129" s="31"/>
      <c r="I129" s="27">
        <v>2</v>
      </c>
      <c r="J129" s="28">
        <v>0.02</v>
      </c>
      <c r="K129" s="27">
        <v>2379</v>
      </c>
      <c r="L129" s="27"/>
      <c r="M129" s="27">
        <v>4965</v>
      </c>
      <c r="N129" s="42"/>
      <c r="O129" s="43" t="str" cm="1">
        <f t="array" ref="O129">IFERROR(IF(G129&gt;10,G129/C129*0.8769,""),“”)</f>
        <v/>
      </c>
      <c r="P129" s="43" t="str" cm="1">
        <f t="array" ref="P129">IFERROR(IF(H129&gt;10,H129/D129*0.8769,""),“”)</f>
        <v/>
      </c>
      <c r="Q129" s="43" t="str" cm="1">
        <f t="array" ref="Q129">IFERROR(IF(I129&gt;10,I129/E129*0.8769,""),“”)</f>
        <v/>
      </c>
      <c r="R129" s="43" t="str" cm="1">
        <f t="array" ref="R129">IFERROR(IF(J129&gt;10,J129/F129*0.8769,""),“”)</f>
        <v/>
      </c>
      <c r="S129" s="54" t="str">
        <f t="shared" si="9"/>
        <v/>
      </c>
    </row>
    <row r="130" spans="1:19" ht="13.5" thickBot="1">
      <c r="A130" s="84" t="s">
        <v>108</v>
      </c>
      <c r="B130" s="44">
        <v>2019</v>
      </c>
      <c r="C130" s="64">
        <v>8</v>
      </c>
      <c r="D130" s="63">
        <v>0.3</v>
      </c>
      <c r="E130" s="64">
        <v>5</v>
      </c>
      <c r="F130" s="65">
        <v>2</v>
      </c>
      <c r="G130" s="64">
        <v>3</v>
      </c>
      <c r="H130" s="63">
        <v>0.1</v>
      </c>
      <c r="I130" s="64">
        <v>1</v>
      </c>
      <c r="J130" s="65">
        <v>2</v>
      </c>
      <c r="K130" s="64">
        <v>6029</v>
      </c>
      <c r="L130" s="64">
        <v>4017</v>
      </c>
      <c r="M130" s="64">
        <v>3886</v>
      </c>
      <c r="N130" s="66">
        <v>7774</v>
      </c>
      <c r="O130" s="45" t="str" cm="1">
        <f t="array" ref="O130">IFERROR(IF(G130&gt;10,G130/C130*0.8769,""),“”)</f>
        <v/>
      </c>
      <c r="P130" s="45" t="str" cm="1">
        <f t="array" ref="P130">IFERROR(IF(H130&gt;10,H130/D130*0.8769,""),“”)</f>
        <v/>
      </c>
      <c r="Q130" s="45" t="str" cm="1">
        <f t="array" ref="Q130">IFERROR(IF(I130&gt;10,I130/E130*0.8769,""),“”)</f>
        <v/>
      </c>
      <c r="R130" s="45" t="str" cm="1">
        <f t="array" ref="R130">IFERROR(IF(J130&gt;10,J130/F130*0.8769,""),“”)</f>
        <v/>
      </c>
      <c r="S130" s="85" t="str">
        <f t="shared" si="9"/>
        <v/>
      </c>
    </row>
    <row r="131" spans="1:19">
      <c r="A131" s="46" t="s">
        <v>77</v>
      </c>
      <c r="B131" s="47">
        <v>2020</v>
      </c>
      <c r="C131" s="48">
        <v>2987</v>
      </c>
      <c r="D131" s="48">
        <v>90</v>
      </c>
      <c r="E131" s="48">
        <v>1535</v>
      </c>
      <c r="F131" s="48">
        <v>1363</v>
      </c>
      <c r="G131" s="48">
        <v>1355</v>
      </c>
      <c r="H131" s="48">
        <v>38</v>
      </c>
      <c r="I131" s="48">
        <v>785</v>
      </c>
      <c r="J131" s="48">
        <v>533</v>
      </c>
      <c r="K131" s="48">
        <v>5196</v>
      </c>
      <c r="L131" s="48">
        <v>4890</v>
      </c>
      <c r="M131" s="48">
        <v>5896</v>
      </c>
      <c r="N131" s="48">
        <v>4430</v>
      </c>
      <c r="O131" s="51" cm="1">
        <f t="array" ref="O131">IFERROR(IF(G131&gt;10,G131/C131*0.8769,""),“”)</f>
        <v>0.39779025778372951</v>
      </c>
      <c r="P131" s="51" cm="1">
        <f t="array" ref="P131">IFERROR(IF(H131&gt;10,H131/D131*0.8769,""),“”)</f>
        <v>0.37024666666666667</v>
      </c>
      <c r="Q131" s="51" cm="1">
        <f t="array" ref="Q131">IFERROR(IF(I131&gt;10,I131/E131*0.8769,""),“”)</f>
        <v>0.44844723127035829</v>
      </c>
      <c r="R131" s="51" cm="1">
        <f t="array" ref="R131">IFERROR(IF(J131&gt;10,J131/F131*0.8769,""),“”)</f>
        <v>0.34291100513573003</v>
      </c>
      <c r="S131" s="52">
        <f t="shared" si="9"/>
        <v>0.34423760330578518</v>
      </c>
    </row>
    <row r="132" spans="1:19">
      <c r="A132" s="53" t="s">
        <v>78</v>
      </c>
      <c r="B132" s="37">
        <v>2020</v>
      </c>
      <c r="C132" s="36">
        <v>39</v>
      </c>
      <c r="D132" s="36">
        <v>2</v>
      </c>
      <c r="E132" s="36">
        <v>37</v>
      </c>
      <c r="F132" s="27"/>
      <c r="G132" s="36">
        <v>24</v>
      </c>
      <c r="H132" s="36">
        <v>1</v>
      </c>
      <c r="I132" s="36">
        <v>23</v>
      </c>
      <c r="J132" s="27"/>
      <c r="K132" s="36">
        <v>6332</v>
      </c>
      <c r="L132" s="36">
        <v>5030</v>
      </c>
      <c r="M132" s="36">
        <v>6369</v>
      </c>
      <c r="N132" s="27"/>
      <c r="O132" s="43" cm="1">
        <f t="array" ref="O132">IFERROR(IF(G132&gt;10,G132/C132*0.8769,""),“”)</f>
        <v>0.53963076923076925</v>
      </c>
      <c r="P132" s="43" t="str" cm="1">
        <f t="array" ref="P132">IFERROR(IF(H132&gt;10,H132/D132*0.8769,""),“”)</f>
        <v/>
      </c>
      <c r="Q132" s="43" cm="1">
        <f t="array" ref="Q132">IFERROR(IF(I132&gt;10,I132/E132*0.8769,""),“”)</f>
        <v>0.54510000000000003</v>
      </c>
      <c r="R132" s="43" t="str" cm="1">
        <f t="array" ref="R132">IFERROR(IF(J132&gt;10,J132/F132*0.8769,""),“”)</f>
        <v/>
      </c>
      <c r="S132" s="54" t="str">
        <f t="shared" ref="S132:S162" si="10">IFERROR(IF((G132-I132)&gt;10,(G132-I132)/(C132-E132)*0.8769,""),"")</f>
        <v/>
      </c>
    </row>
    <row r="133" spans="1:19">
      <c r="A133" s="53" t="s">
        <v>79</v>
      </c>
      <c r="B133" s="37">
        <v>2020</v>
      </c>
      <c r="C133" s="36">
        <v>33</v>
      </c>
      <c r="D133" s="31"/>
      <c r="E133" s="36">
        <v>30</v>
      </c>
      <c r="F133" s="28">
        <v>4</v>
      </c>
      <c r="G133" s="36">
        <v>10</v>
      </c>
      <c r="H133" s="31"/>
      <c r="I133" s="36">
        <v>8</v>
      </c>
      <c r="J133" s="28">
        <v>3</v>
      </c>
      <c r="K133" s="36">
        <v>5685</v>
      </c>
      <c r="L133" s="27"/>
      <c r="M133" s="36">
        <v>5282</v>
      </c>
      <c r="N133" s="28">
        <v>7162</v>
      </c>
      <c r="O133" s="43" t="str" cm="1">
        <f t="array" ref="O133">IFERROR(IF(G133&gt;10,G133/C133*0.8769,""),“”)</f>
        <v/>
      </c>
      <c r="P133" s="43" t="str" cm="1">
        <f t="array" ref="P133">IFERROR(IF(H133&gt;10,H133/D133*0.8769,""),“”)</f>
        <v/>
      </c>
      <c r="Q133" s="43" t="str" cm="1">
        <f t="array" ref="Q133">IFERROR(IF(I133&gt;10,I133/E133*0.8769,""),“”)</f>
        <v/>
      </c>
      <c r="R133" s="43" t="str" cm="1">
        <f t="array" ref="R133">IFERROR(IF(J133&gt;10,J133/F133*0.8769,""),“”)</f>
        <v/>
      </c>
      <c r="S133" s="54" t="str">
        <f t="shared" si="10"/>
        <v/>
      </c>
    </row>
    <row r="134" spans="1:19">
      <c r="A134" s="53" t="s">
        <v>80</v>
      </c>
      <c r="B134" s="37">
        <v>2020</v>
      </c>
      <c r="C134" s="36">
        <v>115</v>
      </c>
      <c r="D134" s="36">
        <v>2</v>
      </c>
      <c r="E134" s="36">
        <v>46</v>
      </c>
      <c r="F134" s="28">
        <v>67</v>
      </c>
      <c r="G134" s="36">
        <v>51</v>
      </c>
      <c r="H134" s="31"/>
      <c r="I134" s="36">
        <v>22</v>
      </c>
      <c r="J134" s="28">
        <v>29</v>
      </c>
      <c r="K134" s="36">
        <v>5184</v>
      </c>
      <c r="L134" s="27"/>
      <c r="M134" s="28">
        <v>5870</v>
      </c>
      <c r="N134" s="28">
        <v>4755</v>
      </c>
      <c r="O134" s="43" cm="1">
        <f t="array" ref="O134">IFERROR(IF(G134&gt;10,G134/C134*0.8769,""),“”)</f>
        <v>0.38888608695652171</v>
      </c>
      <c r="P134" s="43" t="str" cm="1">
        <f t="array" ref="P134">IFERROR(IF(H134&gt;10,H134/D134*0.8769,""),“”)</f>
        <v/>
      </c>
      <c r="Q134" s="43" cm="1">
        <f t="array" ref="Q134">IFERROR(IF(I134&gt;10,I134/E134*0.8769,""),“”)</f>
        <v>0.41938695652173913</v>
      </c>
      <c r="R134" s="43" cm="1">
        <f t="array" ref="R134">IFERROR(IF(J134&gt;10,J134/F134*0.8769,""),“”)</f>
        <v>0.37955373134328357</v>
      </c>
      <c r="S134" s="54">
        <f t="shared" si="10"/>
        <v>0.36855217391304346</v>
      </c>
    </row>
    <row r="135" spans="1:19">
      <c r="A135" s="53" t="s">
        <v>81</v>
      </c>
      <c r="B135" s="37">
        <v>2020</v>
      </c>
      <c r="C135" s="36">
        <v>64</v>
      </c>
      <c r="D135" s="36">
        <v>1</v>
      </c>
      <c r="E135" s="36">
        <v>26</v>
      </c>
      <c r="F135" s="28">
        <v>38</v>
      </c>
      <c r="G135" s="36">
        <v>27</v>
      </c>
      <c r="H135" s="36">
        <v>0.2</v>
      </c>
      <c r="I135" s="36">
        <v>9</v>
      </c>
      <c r="J135" s="28">
        <v>18</v>
      </c>
      <c r="K135" s="36">
        <v>4976</v>
      </c>
      <c r="L135" s="27"/>
      <c r="M135" s="36">
        <v>4421</v>
      </c>
      <c r="N135" s="28">
        <v>5280</v>
      </c>
      <c r="O135" s="43" cm="1">
        <f t="array" ref="O135">IFERROR(IF(G135&gt;10,G135/C135*0.8769,""),“”)</f>
        <v>0.36994218750000002</v>
      </c>
      <c r="P135" s="43" t="str" cm="1">
        <f t="array" ref="P135">IFERROR(IF(H135&gt;10,H135/D135*0.8769,""),“”)</f>
        <v/>
      </c>
      <c r="Q135" s="43" t="str" cm="1">
        <f t="array" ref="Q135">IFERROR(IF(I135&gt;10,I135/E135*0.8769,""),“”)</f>
        <v/>
      </c>
      <c r="R135" s="43" cm="1">
        <f t="array" ref="R135">IFERROR(IF(J135&gt;10,J135/F135*0.8769,""),“”)</f>
        <v>0.41537368421052628</v>
      </c>
      <c r="S135" s="54">
        <f t="shared" si="10"/>
        <v>0.41537368421052628</v>
      </c>
    </row>
    <row r="136" spans="1:19">
      <c r="A136" s="53" t="s">
        <v>82</v>
      </c>
      <c r="B136" s="37">
        <v>2020</v>
      </c>
      <c r="C136" s="36">
        <v>33</v>
      </c>
      <c r="D136" s="31">
        <v>0.1</v>
      </c>
      <c r="E136" s="36">
        <v>6</v>
      </c>
      <c r="F136" s="28">
        <v>27</v>
      </c>
      <c r="G136" s="36">
        <v>10</v>
      </c>
      <c r="H136" s="38">
        <v>0.1</v>
      </c>
      <c r="I136" s="36">
        <v>2</v>
      </c>
      <c r="J136" s="28">
        <v>8</v>
      </c>
      <c r="K136" s="36">
        <v>3517</v>
      </c>
      <c r="L136" s="27"/>
      <c r="M136" s="36">
        <v>3814</v>
      </c>
      <c r="N136" s="28">
        <v>3450</v>
      </c>
      <c r="O136" s="43" t="str" cm="1">
        <f t="array" ref="O136">IFERROR(IF(G136&gt;10,G136/C136*0.8769,""),“”)</f>
        <v/>
      </c>
      <c r="P136" s="43" t="str" cm="1">
        <f t="array" ref="P136">IFERROR(IF(H136&gt;10,H136/D136*0.8769,""),“”)</f>
        <v/>
      </c>
      <c r="Q136" s="43" t="str" cm="1">
        <f t="array" ref="Q136">IFERROR(IF(I136&gt;10,I136/E136*0.8769,""),“”)</f>
        <v/>
      </c>
      <c r="R136" s="43" t="str" cm="1">
        <f t="array" ref="R136">IFERROR(IF(J136&gt;10,J136/F136*0.8769,""),“”)</f>
        <v/>
      </c>
      <c r="S136" s="54" t="str">
        <f t="shared" si="10"/>
        <v/>
      </c>
    </row>
    <row r="137" spans="1:19">
      <c r="A137" s="53" t="s">
        <v>83</v>
      </c>
      <c r="B137" s="37">
        <v>2020</v>
      </c>
      <c r="C137" s="36">
        <v>45</v>
      </c>
      <c r="D137" s="36">
        <v>2</v>
      </c>
      <c r="E137" s="36">
        <v>23</v>
      </c>
      <c r="F137" s="36">
        <v>20</v>
      </c>
      <c r="G137" s="36">
        <v>25</v>
      </c>
      <c r="H137" s="36">
        <v>1</v>
      </c>
      <c r="I137" s="36">
        <v>15</v>
      </c>
      <c r="J137" s="36">
        <v>9</v>
      </c>
      <c r="K137" s="36">
        <v>6095</v>
      </c>
      <c r="L137" s="36">
        <v>6521</v>
      </c>
      <c r="M137" s="36">
        <v>7043</v>
      </c>
      <c r="N137" s="36">
        <v>4999</v>
      </c>
      <c r="O137" s="43" cm="1">
        <f t="array" ref="O137">IFERROR(IF(G137&gt;10,G137/C137*0.8769,""),“”)</f>
        <v>0.48716666666666669</v>
      </c>
      <c r="P137" s="43" t="str" cm="1">
        <f t="array" ref="P137">IFERROR(IF(H137&gt;10,H137/D137*0.8769,""),“”)</f>
        <v/>
      </c>
      <c r="Q137" s="43" cm="1">
        <f t="array" ref="Q137">IFERROR(IF(I137&gt;10,I137/E137*0.8769,""),“”)</f>
        <v>0.57189130434782609</v>
      </c>
      <c r="R137" s="43" t="str" cm="1">
        <f t="array" ref="R137">IFERROR(IF(J137&gt;10,J137/F137*0.8769,""),“”)</f>
        <v/>
      </c>
      <c r="S137" s="54" t="str">
        <f t="shared" si="10"/>
        <v/>
      </c>
    </row>
    <row r="138" spans="1:19">
      <c r="A138" s="53" t="s">
        <v>84</v>
      </c>
      <c r="B138" s="37">
        <v>2020</v>
      </c>
      <c r="C138" s="36">
        <v>80</v>
      </c>
      <c r="D138" s="36">
        <v>1</v>
      </c>
      <c r="E138" s="36">
        <v>19</v>
      </c>
      <c r="F138" s="28">
        <v>61</v>
      </c>
      <c r="G138" s="36">
        <v>33</v>
      </c>
      <c r="H138" s="36">
        <v>0.03</v>
      </c>
      <c r="I138" s="35">
        <v>9</v>
      </c>
      <c r="J138" s="28">
        <v>24</v>
      </c>
      <c r="K138" s="36">
        <v>4399</v>
      </c>
      <c r="L138" s="36">
        <v>72</v>
      </c>
      <c r="M138" s="36">
        <v>5097</v>
      </c>
      <c r="N138" s="28">
        <v>4216</v>
      </c>
      <c r="O138" s="43" cm="1">
        <f t="array" ref="O138">IFERROR(IF(G138&gt;10,G138/C138*0.8769,""),“”)</f>
        <v>0.36172124999999999</v>
      </c>
      <c r="P138" s="43" t="str" cm="1">
        <f t="array" ref="P138">IFERROR(IF(H138&gt;10,H138/D138*0.8769,""),“”)</f>
        <v/>
      </c>
      <c r="Q138" s="43" t="str" cm="1">
        <f t="array" ref="Q138">IFERROR(IF(I138&gt;10,I138/E138*0.8769,""),“”)</f>
        <v/>
      </c>
      <c r="R138" s="43" cm="1">
        <f t="array" ref="R138">IFERROR(IF(J138&gt;10,J138/F138*0.8769,""),“”)</f>
        <v>0.34500983606557378</v>
      </c>
      <c r="S138" s="54">
        <f t="shared" si="10"/>
        <v>0.34500983606557378</v>
      </c>
    </row>
    <row r="139" spans="1:19">
      <c r="A139" s="53" t="s">
        <v>85</v>
      </c>
      <c r="B139" s="37">
        <v>2020</v>
      </c>
      <c r="C139" s="36">
        <v>150</v>
      </c>
      <c r="D139" s="36">
        <v>2</v>
      </c>
      <c r="E139" s="36">
        <v>15</v>
      </c>
      <c r="F139" s="36">
        <v>133</v>
      </c>
      <c r="G139" s="36">
        <v>65</v>
      </c>
      <c r="H139" s="36">
        <v>0.3</v>
      </c>
      <c r="I139" s="36">
        <v>5</v>
      </c>
      <c r="J139" s="28">
        <v>59</v>
      </c>
      <c r="K139" s="36">
        <v>5550</v>
      </c>
      <c r="L139" s="27"/>
      <c r="M139" s="36">
        <v>4388</v>
      </c>
      <c r="N139" s="28">
        <v>5689</v>
      </c>
      <c r="O139" s="43" cm="1">
        <f t="array" ref="O139">IFERROR(IF(G139&gt;10,G139/C139*0.8769,""),“”)</f>
        <v>0.37998999999999999</v>
      </c>
      <c r="P139" s="43" t="str" cm="1">
        <f t="array" ref="P139">IFERROR(IF(H139&gt;10,H139/D139*0.8769,""),“”)</f>
        <v/>
      </c>
      <c r="Q139" s="43" t="str" cm="1">
        <f t="array" ref="Q139">IFERROR(IF(I139&gt;10,I139/E139*0.8769,""),“”)</f>
        <v/>
      </c>
      <c r="R139" s="43" cm="1">
        <f t="array" ref="R139">IFERROR(IF(J139&gt;10,J139/F139*0.8769,""),“”)</f>
        <v>0.38900075187969924</v>
      </c>
      <c r="S139" s="54">
        <f t="shared" si="10"/>
        <v>0.38973333333333332</v>
      </c>
    </row>
    <row r="140" spans="1:19">
      <c r="A140" s="53" t="s">
        <v>86</v>
      </c>
      <c r="B140" s="37">
        <v>2020</v>
      </c>
      <c r="C140" s="36">
        <v>43</v>
      </c>
      <c r="D140" s="36">
        <v>2</v>
      </c>
      <c r="E140" s="36">
        <v>41</v>
      </c>
      <c r="F140" s="27"/>
      <c r="G140" s="36">
        <v>33</v>
      </c>
      <c r="H140" s="36">
        <v>1</v>
      </c>
      <c r="I140" s="36">
        <v>32</v>
      </c>
      <c r="J140" s="27"/>
      <c r="K140" s="36">
        <v>7769</v>
      </c>
      <c r="L140" s="36">
        <v>6810</v>
      </c>
      <c r="M140" s="36">
        <v>7804</v>
      </c>
      <c r="N140" s="27"/>
      <c r="O140" s="43" cm="1">
        <f t="array" ref="O140">IFERROR(IF(G140&gt;10,G140/C140*0.8769,""),“”)</f>
        <v>0.67296976744186054</v>
      </c>
      <c r="P140" s="43" t="str" cm="1">
        <f t="array" ref="P140">IFERROR(IF(H140&gt;10,H140/D140*0.8769,""),“”)</f>
        <v/>
      </c>
      <c r="Q140" s="43" cm="1">
        <f t="array" ref="Q140">IFERROR(IF(I140&gt;10,I140/E140*0.8769,""),“”)</f>
        <v>0.68440975609756105</v>
      </c>
      <c r="R140" s="43" t="str" cm="1">
        <f t="array" ref="R140">IFERROR(IF(J140&gt;10,J140/F140*0.8769,""),“”)</f>
        <v/>
      </c>
      <c r="S140" s="54" t="str">
        <f t="shared" si="10"/>
        <v/>
      </c>
    </row>
    <row r="141" spans="1:19">
      <c r="A141" s="53" t="s">
        <v>87</v>
      </c>
      <c r="B141" s="37">
        <v>2020</v>
      </c>
      <c r="C141" s="36">
        <v>242</v>
      </c>
      <c r="D141" s="36">
        <v>8</v>
      </c>
      <c r="E141" s="36">
        <v>154</v>
      </c>
      <c r="F141" s="28">
        <v>80</v>
      </c>
      <c r="G141" s="36">
        <v>126</v>
      </c>
      <c r="H141" s="36">
        <v>2</v>
      </c>
      <c r="I141" s="36">
        <v>86</v>
      </c>
      <c r="J141" s="28">
        <v>37</v>
      </c>
      <c r="K141" s="36">
        <v>5950</v>
      </c>
      <c r="L141" s="36">
        <v>2900</v>
      </c>
      <c r="M141" s="36">
        <v>6052</v>
      </c>
      <c r="N141" s="28">
        <v>5857</v>
      </c>
      <c r="O141" s="43" cm="1">
        <f t="array" ref="O141">IFERROR(IF(G141&gt;10,G141/C141*0.8769,""),“”)</f>
        <v>0.45656776859504139</v>
      </c>
      <c r="P141" s="43" t="str" cm="1">
        <f t="array" ref="P141">IFERROR(IF(H141&gt;10,H141/D141*0.8769,""),“”)</f>
        <v/>
      </c>
      <c r="Q141" s="43" cm="1">
        <f t="array" ref="Q141">IFERROR(IF(I141&gt;10,I141/E141*0.8769,""),“”)</f>
        <v>0.48969740259740258</v>
      </c>
      <c r="R141" s="43" cm="1">
        <f t="array" ref="R141">IFERROR(IF(J141&gt;10,J141/F141*0.8769,""),“”)</f>
        <v>0.40556625000000002</v>
      </c>
      <c r="S141" s="54">
        <f t="shared" si="10"/>
        <v>0.39859090909090911</v>
      </c>
    </row>
    <row r="142" spans="1:19">
      <c r="A142" s="53" t="s">
        <v>88</v>
      </c>
      <c r="B142" s="37">
        <v>2020</v>
      </c>
      <c r="C142" s="36">
        <v>240</v>
      </c>
      <c r="D142" s="36">
        <v>6</v>
      </c>
      <c r="E142" s="36">
        <v>210</v>
      </c>
      <c r="F142" s="36">
        <v>24</v>
      </c>
      <c r="G142" s="36">
        <v>111</v>
      </c>
      <c r="H142" s="36">
        <v>3</v>
      </c>
      <c r="I142" s="36">
        <v>96</v>
      </c>
      <c r="J142" s="35">
        <v>13</v>
      </c>
      <c r="K142" s="36">
        <v>5377</v>
      </c>
      <c r="L142" s="36">
        <v>7658</v>
      </c>
      <c r="M142" s="36">
        <v>5336</v>
      </c>
      <c r="N142" s="28">
        <v>5530</v>
      </c>
      <c r="O142" s="43" cm="1">
        <f t="array" ref="O142">IFERROR(IF(G142&gt;10,G142/C142*0.8769,""),“”)</f>
        <v>0.40556625000000002</v>
      </c>
      <c r="P142" s="43" t="str" cm="1">
        <f t="array" ref="P142">IFERROR(IF(H142&gt;10,H142/D142*0.8769,""),“”)</f>
        <v/>
      </c>
      <c r="Q142" s="43" cm="1">
        <f t="array" ref="Q142">IFERROR(IF(I142&gt;10,I142/E142*0.8769,""),“”)</f>
        <v>0.40086857142857141</v>
      </c>
      <c r="R142" s="43" cm="1">
        <f t="array" ref="R142">IFERROR(IF(J142&gt;10,J142/F142*0.8769,""),“”)</f>
        <v>0.47498749999999995</v>
      </c>
      <c r="S142" s="54">
        <f t="shared" si="10"/>
        <v>0.43845000000000001</v>
      </c>
    </row>
    <row r="143" spans="1:19">
      <c r="A143" s="53" t="s">
        <v>89</v>
      </c>
      <c r="B143" s="37">
        <v>2020</v>
      </c>
      <c r="C143" s="36">
        <v>214</v>
      </c>
      <c r="D143" s="31">
        <v>1</v>
      </c>
      <c r="E143" s="36">
        <v>73</v>
      </c>
      <c r="F143" s="28">
        <v>139</v>
      </c>
      <c r="G143" s="36">
        <v>111</v>
      </c>
      <c r="H143" s="36">
        <v>0.4</v>
      </c>
      <c r="I143" s="36">
        <v>42</v>
      </c>
      <c r="J143" s="28">
        <v>69</v>
      </c>
      <c r="K143" s="36">
        <v>5543</v>
      </c>
      <c r="L143" s="27"/>
      <c r="M143" s="36">
        <v>6089</v>
      </c>
      <c r="N143" s="28">
        <v>5273</v>
      </c>
      <c r="O143" s="43" cm="1">
        <f t="array" ref="O143">IFERROR(IF(G143&gt;10,G143/C143*0.8769,""),“”)</f>
        <v>0.45484065420560749</v>
      </c>
      <c r="P143" s="43" t="str" cm="1">
        <f t="array" ref="P143">IFERROR(IF(H143&gt;10,H143/D143*0.8769,""),“”)</f>
        <v/>
      </c>
      <c r="Q143" s="43" cm="1">
        <f t="array" ref="Q143">IFERROR(IF(I143&gt;10,I143/E143*0.8769,""),“”)</f>
        <v>0.50451780821917802</v>
      </c>
      <c r="R143" s="43" cm="1">
        <f t="array" ref="R143">IFERROR(IF(J143&gt;10,J143/F143*0.8769,""),“”)</f>
        <v>0.43529568345323744</v>
      </c>
      <c r="S143" s="54">
        <f t="shared" si="10"/>
        <v>0.42912127659574467</v>
      </c>
    </row>
    <row r="144" spans="1:19">
      <c r="A144" s="53" t="s">
        <v>90</v>
      </c>
      <c r="B144" s="37">
        <v>2020</v>
      </c>
      <c r="C144" s="36">
        <v>80</v>
      </c>
      <c r="D144" s="36">
        <v>2</v>
      </c>
      <c r="E144" s="36">
        <v>72</v>
      </c>
      <c r="F144" s="36">
        <v>6</v>
      </c>
      <c r="G144" s="36">
        <v>39</v>
      </c>
      <c r="H144" s="36">
        <v>1</v>
      </c>
      <c r="I144" s="36">
        <v>35</v>
      </c>
      <c r="J144" s="36">
        <v>4</v>
      </c>
      <c r="K144" s="36">
        <v>6097</v>
      </c>
      <c r="L144" s="36">
        <v>2020</v>
      </c>
      <c r="M144" s="36">
        <v>6161</v>
      </c>
      <c r="N144" s="28">
        <v>6234</v>
      </c>
      <c r="O144" s="43" cm="1">
        <f t="array" ref="O144">IFERROR(IF(G144&gt;10,G144/C144*0.8769,""),“”)</f>
        <v>0.42748874999999997</v>
      </c>
      <c r="P144" s="43" t="str" cm="1">
        <f t="array" ref="P144">IFERROR(IF(H144&gt;10,H144/D144*0.8769,""),“”)</f>
        <v/>
      </c>
      <c r="Q144" s="43" cm="1">
        <f t="array" ref="Q144">IFERROR(IF(I144&gt;10,I144/E144*0.8769,""),“”)</f>
        <v>0.42627083333333332</v>
      </c>
      <c r="R144" s="43" t="str" cm="1">
        <f t="array" ref="R144">IFERROR(IF(J144&gt;10,J144/F144*0.8769,""),“”)</f>
        <v/>
      </c>
      <c r="S144" s="54" t="str">
        <f t="shared" si="10"/>
        <v/>
      </c>
    </row>
    <row r="145" spans="1:19">
      <c r="A145" s="53" t="s">
        <v>91</v>
      </c>
      <c r="B145" s="37">
        <v>2020</v>
      </c>
      <c r="C145" s="36">
        <v>80</v>
      </c>
      <c r="D145" s="36">
        <v>4</v>
      </c>
      <c r="E145" s="36">
        <v>43</v>
      </c>
      <c r="F145" s="28">
        <v>33</v>
      </c>
      <c r="G145" s="36">
        <v>32</v>
      </c>
      <c r="H145" s="36">
        <v>2</v>
      </c>
      <c r="I145" s="36">
        <v>17</v>
      </c>
      <c r="J145" s="28">
        <v>13</v>
      </c>
      <c r="K145" s="36">
        <v>5058</v>
      </c>
      <c r="L145" s="36">
        <v>2743</v>
      </c>
      <c r="M145" s="36">
        <v>5488</v>
      </c>
      <c r="N145" s="28">
        <v>4687</v>
      </c>
      <c r="O145" s="43" cm="1">
        <f t="array" ref="O145">IFERROR(IF(G145&gt;10,G145/C145*0.8769,""),“”)</f>
        <v>0.35076000000000002</v>
      </c>
      <c r="P145" s="43" t="str" cm="1">
        <f t="array" ref="P145">IFERROR(IF(H145&gt;10,H145/D145*0.8769,""),“”)</f>
        <v/>
      </c>
      <c r="Q145" s="43" cm="1">
        <f t="array" ref="Q145">IFERROR(IF(I145&gt;10,I145/E145*0.8769,""),“”)</f>
        <v>0.34668139534883718</v>
      </c>
      <c r="R145" s="43" cm="1">
        <f t="array" ref="R145">IFERROR(IF(J145&gt;10,J145/F145*0.8769,""),“”)</f>
        <v>0.34544545454545456</v>
      </c>
      <c r="S145" s="54">
        <f t="shared" si="10"/>
        <v>0.35550000000000004</v>
      </c>
    </row>
    <row r="146" spans="1:19">
      <c r="A146" s="53" t="s">
        <v>92</v>
      </c>
      <c r="B146" s="37">
        <v>2020</v>
      </c>
      <c r="C146" s="36">
        <v>365</v>
      </c>
      <c r="D146" s="36">
        <v>10</v>
      </c>
      <c r="E146" s="36">
        <v>170</v>
      </c>
      <c r="F146" s="28">
        <v>185</v>
      </c>
      <c r="G146" s="36">
        <v>159</v>
      </c>
      <c r="H146" s="36">
        <v>3</v>
      </c>
      <c r="I146" s="36">
        <v>81</v>
      </c>
      <c r="J146" s="28">
        <v>75</v>
      </c>
      <c r="K146" s="36">
        <v>5083</v>
      </c>
      <c r="L146" s="36">
        <v>4353</v>
      </c>
      <c r="M146" s="36">
        <v>5374</v>
      </c>
      <c r="N146" s="28">
        <v>4811</v>
      </c>
      <c r="O146" s="43" cm="1">
        <f t="array" ref="O146">IFERROR(IF(G146&gt;10,G146/C146*0.8769,""),“”)</f>
        <v>0.38199205479452053</v>
      </c>
      <c r="P146" s="43" t="str" cm="1">
        <f t="array" ref="P146">IFERROR(IF(H146&gt;10,H146/D146*0.8769,""),“”)</f>
        <v/>
      </c>
      <c r="Q146" s="43" cm="1">
        <f t="array" ref="Q146">IFERROR(IF(I146&gt;10,I146/E146*0.8769,""),“”)</f>
        <v>0.41781705882352937</v>
      </c>
      <c r="R146" s="43" cm="1">
        <f t="array" ref="R146">IFERROR(IF(J146&gt;10,J146/F146*0.8769,""),“”)</f>
        <v>0.35550000000000004</v>
      </c>
      <c r="S146" s="54">
        <f t="shared" si="10"/>
        <v>0.35076000000000002</v>
      </c>
    </row>
    <row r="147" spans="1:19">
      <c r="A147" s="53" t="s">
        <v>93</v>
      </c>
      <c r="B147" s="37">
        <v>2020</v>
      </c>
      <c r="C147" s="36">
        <v>150</v>
      </c>
      <c r="D147" s="36">
        <v>9</v>
      </c>
      <c r="E147" s="36">
        <v>44</v>
      </c>
      <c r="F147" s="28">
        <v>98</v>
      </c>
      <c r="G147" s="36">
        <v>51</v>
      </c>
      <c r="H147" s="36">
        <v>2</v>
      </c>
      <c r="I147" s="36">
        <v>12</v>
      </c>
      <c r="J147" s="28">
        <v>37</v>
      </c>
      <c r="K147" s="36">
        <v>4838</v>
      </c>
      <c r="L147" s="27"/>
      <c r="M147" s="36">
        <v>5172</v>
      </c>
      <c r="N147" s="28">
        <v>4967</v>
      </c>
      <c r="O147" s="43" cm="1">
        <f t="array" ref="O147">IFERROR(IF(G147&gt;10,G147/C147*0.8769,""),“”)</f>
        <v>0.29814600000000002</v>
      </c>
      <c r="P147" s="43" t="str" cm="1">
        <f t="array" ref="P147">IFERROR(IF(H147&gt;10,H147/D147*0.8769,""),“”)</f>
        <v/>
      </c>
      <c r="Q147" s="43" cm="1">
        <f t="array" ref="Q147">IFERROR(IF(I147&gt;10,I147/E147*0.8769,""),“”)</f>
        <v>0.23915454545454545</v>
      </c>
      <c r="R147" s="43" cm="1">
        <f t="array" ref="R147">IFERROR(IF(J147&gt;10,J147/F147*0.8769,""),“”)</f>
        <v>0.33107448979591836</v>
      </c>
      <c r="S147" s="54">
        <f t="shared" si="10"/>
        <v>0.3226330188679245</v>
      </c>
    </row>
    <row r="148" spans="1:19">
      <c r="A148" s="53" t="s">
        <v>94</v>
      </c>
      <c r="B148" s="37">
        <v>2020</v>
      </c>
      <c r="C148" s="36">
        <v>110</v>
      </c>
      <c r="D148" s="36">
        <v>4</v>
      </c>
      <c r="E148" s="36">
        <v>38</v>
      </c>
      <c r="F148" s="28">
        <v>68</v>
      </c>
      <c r="G148" s="36">
        <v>37</v>
      </c>
      <c r="H148" s="36">
        <v>2</v>
      </c>
      <c r="I148" s="36">
        <v>19</v>
      </c>
      <c r="J148" s="28">
        <v>17</v>
      </c>
      <c r="K148" s="36">
        <v>3814</v>
      </c>
      <c r="L148" s="27"/>
      <c r="M148" s="36">
        <v>6081</v>
      </c>
      <c r="N148" s="28">
        <v>2706</v>
      </c>
      <c r="O148" s="43" cm="1">
        <f t="array" ref="O148">IFERROR(IF(G148&gt;10,G148/C148*0.8769,""),“”)</f>
        <v>0.29495727272727273</v>
      </c>
      <c r="P148" s="43" t="str" cm="1">
        <f t="array" ref="P148">IFERROR(IF(H148&gt;10,H148/D148*0.8769,""),“”)</f>
        <v/>
      </c>
      <c r="Q148" s="43" cm="1">
        <f t="array" ref="Q148">IFERROR(IF(I148&gt;10,I148/E148*0.8769,""),“”)</f>
        <v>0.43845000000000001</v>
      </c>
      <c r="R148" s="43" cm="1">
        <f t="array" ref="R148">IFERROR(IF(J148&gt;10,J148/F148*0.8769,""),“”)</f>
        <v>0.219225</v>
      </c>
      <c r="S148" s="54">
        <f t="shared" si="10"/>
        <v>0.219225</v>
      </c>
    </row>
    <row r="149" spans="1:19">
      <c r="A149" s="53" t="s">
        <v>95</v>
      </c>
      <c r="B149" s="37">
        <v>2020</v>
      </c>
      <c r="C149" s="36">
        <v>85</v>
      </c>
      <c r="D149" s="36">
        <v>6</v>
      </c>
      <c r="E149" s="36">
        <v>35</v>
      </c>
      <c r="F149" s="36">
        <v>43</v>
      </c>
      <c r="G149" s="36">
        <v>39</v>
      </c>
      <c r="H149" s="36">
        <v>2</v>
      </c>
      <c r="I149" s="36">
        <v>25</v>
      </c>
      <c r="J149" s="36">
        <v>12</v>
      </c>
      <c r="K149" s="36">
        <v>4790</v>
      </c>
      <c r="L149" s="36">
        <v>3517</v>
      </c>
      <c r="M149" s="36">
        <v>7684</v>
      </c>
      <c r="N149" s="36">
        <v>2662</v>
      </c>
      <c r="O149" s="43" cm="1">
        <f t="array" ref="O149">IFERROR(IF(G149&gt;10,G149/C149*0.8769,""),“”)</f>
        <v>0.40234235294117648</v>
      </c>
      <c r="P149" s="43" t="str" cm="1">
        <f t="array" ref="P149">IFERROR(IF(H149&gt;10,H149/D149*0.8769,""),“”)</f>
        <v/>
      </c>
      <c r="Q149" s="43" cm="1">
        <f t="array" ref="Q149">IFERROR(IF(I149&gt;10,I149/E149*0.8769,""),“”)</f>
        <v>0.62635714285714283</v>
      </c>
      <c r="R149" s="43" cm="1">
        <f t="array" ref="R149">IFERROR(IF(J149&gt;10,J149/F149*0.8769,""),“”)</f>
        <v>0.24471627906976745</v>
      </c>
      <c r="S149" s="54">
        <f t="shared" si="10"/>
        <v>0.24553200000000003</v>
      </c>
    </row>
    <row r="150" spans="1:19">
      <c r="A150" s="53" t="s">
        <v>96</v>
      </c>
      <c r="B150" s="37">
        <v>2020</v>
      </c>
      <c r="C150" s="36">
        <v>282</v>
      </c>
      <c r="D150" s="36">
        <v>16</v>
      </c>
      <c r="E150" s="36">
        <v>224</v>
      </c>
      <c r="F150" s="28">
        <v>43</v>
      </c>
      <c r="G150" s="36">
        <v>166</v>
      </c>
      <c r="H150" s="36">
        <v>10</v>
      </c>
      <c r="I150" s="36">
        <v>131</v>
      </c>
      <c r="J150" s="28">
        <v>25</v>
      </c>
      <c r="K150" s="36">
        <v>6035</v>
      </c>
      <c r="L150" s="36">
        <v>7039</v>
      </c>
      <c r="M150" s="36">
        <v>6017</v>
      </c>
      <c r="N150" s="28">
        <v>5908</v>
      </c>
      <c r="O150" s="43" cm="1">
        <f t="array" ref="O150">IFERROR(IF(G150&gt;10,G150/C150*0.8769,""),“”)</f>
        <v>0.51618936170212759</v>
      </c>
      <c r="P150" s="43" t="str" cm="1">
        <f t="array" ref="P150">IFERROR(IF(H150&gt;10,H150/D150*0.8769,""),“”)</f>
        <v/>
      </c>
      <c r="Q150" s="43" cm="1">
        <f t="array" ref="Q150">IFERROR(IF(I150&gt;10,I150/E150*0.8769,""),“”)</f>
        <v>0.51282991071428574</v>
      </c>
      <c r="R150" s="43" cm="1">
        <f t="array" ref="R150">IFERROR(IF(J150&gt;10,J150/F150*0.8769,""),“”)</f>
        <v>0.50982558139534884</v>
      </c>
      <c r="S150" s="54">
        <f t="shared" si="10"/>
        <v>0.5291637931034483</v>
      </c>
    </row>
    <row r="151" spans="1:19">
      <c r="A151" s="53" t="s">
        <v>97</v>
      </c>
      <c r="B151" s="37">
        <v>2020</v>
      </c>
      <c r="C151" s="36">
        <v>207</v>
      </c>
      <c r="D151" s="36">
        <v>3</v>
      </c>
      <c r="E151" s="36">
        <v>23</v>
      </c>
      <c r="F151" s="28">
        <v>181</v>
      </c>
      <c r="G151" s="36">
        <v>58</v>
      </c>
      <c r="H151" s="36">
        <v>1</v>
      </c>
      <c r="I151" s="36">
        <v>13</v>
      </c>
      <c r="J151" s="28">
        <v>43</v>
      </c>
      <c r="K151" s="36">
        <v>2855</v>
      </c>
      <c r="L151" s="27"/>
      <c r="M151" s="36">
        <v>6685</v>
      </c>
      <c r="N151" s="28">
        <v>2410</v>
      </c>
      <c r="O151" s="43" cm="1">
        <f t="array" ref="O151">IFERROR(IF(G151&gt;10,G151/C151*0.8769,""),“”)</f>
        <v>0.24570144927536233</v>
      </c>
      <c r="P151" s="43" t="str" cm="1">
        <f t="array" ref="P151">IFERROR(IF(H151&gt;10,H151/D151*0.8769,""),“”)</f>
        <v/>
      </c>
      <c r="Q151" s="43" cm="1">
        <f t="array" ref="Q151">IFERROR(IF(I151&gt;10,I151/E151*0.8769,""),“”)</f>
        <v>0.49563913043478258</v>
      </c>
      <c r="R151" s="43" cm="1">
        <f t="array" ref="R151">IFERROR(IF(J151&gt;10,J151/F151*0.8769,""),“”)</f>
        <v>0.20832430939226521</v>
      </c>
      <c r="S151" s="54">
        <f t="shared" si="10"/>
        <v>0.2144592391304348</v>
      </c>
    </row>
    <row r="152" spans="1:19">
      <c r="A152" s="53" t="s">
        <v>98</v>
      </c>
      <c r="B152" s="37">
        <v>2020</v>
      </c>
      <c r="C152" s="36">
        <v>45</v>
      </c>
      <c r="D152" s="31">
        <v>1</v>
      </c>
      <c r="E152" s="36">
        <v>21</v>
      </c>
      <c r="F152" s="28">
        <v>24</v>
      </c>
      <c r="G152" s="36">
        <v>22</v>
      </c>
      <c r="H152" s="36">
        <v>0.4</v>
      </c>
      <c r="I152" s="36">
        <v>7</v>
      </c>
      <c r="J152" s="28">
        <v>14</v>
      </c>
      <c r="K152" s="36">
        <v>5593</v>
      </c>
      <c r="L152" s="27"/>
      <c r="M152" s="36">
        <v>5349</v>
      </c>
      <c r="N152" s="28">
        <v>5735</v>
      </c>
      <c r="O152" s="43" cm="1">
        <f t="array" ref="O152">IFERROR(IF(G152&gt;10,G152/C152*0.8769,""),“”)</f>
        <v>0.42870666666666668</v>
      </c>
      <c r="P152" s="43" t="str" cm="1">
        <f t="array" ref="P152">IFERROR(IF(H152&gt;10,H152/D152*0.8769,""),“”)</f>
        <v/>
      </c>
      <c r="Q152" s="43" t="str" cm="1">
        <f t="array" ref="Q152">IFERROR(IF(I152&gt;10,I152/E152*0.8769,""),“”)</f>
        <v/>
      </c>
      <c r="R152" s="43" cm="1">
        <f t="array" ref="R152">IFERROR(IF(J152&gt;10,J152/F152*0.8769,""),“”)</f>
        <v>0.51152500000000001</v>
      </c>
      <c r="S152" s="54">
        <f t="shared" si="10"/>
        <v>0.54806250000000001</v>
      </c>
    </row>
    <row r="153" spans="1:19">
      <c r="A153" s="53" t="s">
        <v>99</v>
      </c>
      <c r="B153" s="37">
        <v>2020</v>
      </c>
      <c r="C153" s="36">
        <v>35</v>
      </c>
      <c r="D153" s="36">
        <v>1</v>
      </c>
      <c r="E153" s="36">
        <v>28</v>
      </c>
      <c r="F153" s="28">
        <v>7</v>
      </c>
      <c r="G153" s="36">
        <v>21</v>
      </c>
      <c r="H153" s="31">
        <v>0.1</v>
      </c>
      <c r="I153" s="36">
        <v>19</v>
      </c>
      <c r="J153" s="28">
        <v>2</v>
      </c>
      <c r="K153" s="36">
        <v>6480</v>
      </c>
      <c r="L153" s="27"/>
      <c r="M153" s="36">
        <v>7466</v>
      </c>
      <c r="N153" s="28">
        <v>3062</v>
      </c>
      <c r="O153" s="43" cm="1">
        <f t="array" ref="O153">IFERROR(IF(G153&gt;10,G153/C153*0.8769,""),“”)</f>
        <v>0.52613999999999994</v>
      </c>
      <c r="P153" s="43" t="str" cm="1">
        <f t="array" ref="P153">IFERROR(IF(H153&gt;10,H153/D153*0.8769,""),“”)</f>
        <v/>
      </c>
      <c r="Q153" s="43" cm="1">
        <f t="array" ref="Q153">IFERROR(IF(I153&gt;10,I153/E153*0.8769,""),“”)</f>
        <v>0.59503928571428577</v>
      </c>
      <c r="R153" s="43" t="str" cm="1">
        <f t="array" ref="R153">IFERROR(IF(J153&gt;10,J153/F153*0.8769,""),“”)</f>
        <v/>
      </c>
      <c r="S153" s="54" t="str">
        <f t="shared" si="10"/>
        <v/>
      </c>
    </row>
    <row r="154" spans="1:19">
      <c r="A154" s="53" t="s">
        <v>100</v>
      </c>
      <c r="B154" s="37">
        <v>2020</v>
      </c>
      <c r="C154" s="36">
        <v>84</v>
      </c>
      <c r="D154" s="36">
        <v>5</v>
      </c>
      <c r="E154" s="36">
        <v>61</v>
      </c>
      <c r="F154" s="28">
        <v>18</v>
      </c>
      <c r="G154" s="36">
        <v>50</v>
      </c>
      <c r="H154" s="36">
        <v>3</v>
      </c>
      <c r="I154" s="36">
        <v>35</v>
      </c>
      <c r="J154" s="28">
        <v>12</v>
      </c>
      <c r="K154" s="36">
        <v>6933</v>
      </c>
      <c r="L154" s="36">
        <v>6748</v>
      </c>
      <c r="M154" s="36">
        <v>6859</v>
      </c>
      <c r="N154" s="28">
        <v>7203</v>
      </c>
      <c r="O154" s="43" cm="1">
        <f t="array" ref="O154">IFERROR(IF(G154&gt;10,G154/C154*0.8769,""),“”)</f>
        <v>0.52196428571428577</v>
      </c>
      <c r="P154" s="43" t="str" cm="1">
        <f t="array" ref="P154">IFERROR(IF(H154&gt;10,H154/D154*0.8769,""),“”)</f>
        <v/>
      </c>
      <c r="Q154" s="43" cm="1">
        <f t="array" ref="Q154">IFERROR(IF(I154&gt;10,I154/E154*0.8769,""),“”)</f>
        <v>0.50313934426229512</v>
      </c>
      <c r="R154" s="43" cm="1">
        <f t="array" ref="R154">IFERROR(IF(J154&gt;10,J154/F154*0.8769,""),“”)</f>
        <v>0.58460000000000001</v>
      </c>
      <c r="S154" s="54">
        <f t="shared" si="10"/>
        <v>0.57189130434782609</v>
      </c>
    </row>
    <row r="155" spans="1:19">
      <c r="A155" s="53" t="s">
        <v>101</v>
      </c>
      <c r="B155" s="37">
        <v>2020</v>
      </c>
      <c r="C155" s="36">
        <v>35</v>
      </c>
      <c r="D155" s="31"/>
      <c r="E155" s="28">
        <v>23</v>
      </c>
      <c r="F155" s="28">
        <v>12</v>
      </c>
      <c r="G155" s="36">
        <v>12</v>
      </c>
      <c r="H155" s="31"/>
      <c r="I155" s="28">
        <v>11</v>
      </c>
      <c r="J155" s="28">
        <v>1</v>
      </c>
      <c r="K155" s="36">
        <v>3808</v>
      </c>
      <c r="L155" s="27"/>
      <c r="M155" s="28">
        <v>5670</v>
      </c>
      <c r="N155" s="28">
        <v>829</v>
      </c>
      <c r="O155" s="43" cm="1">
        <f t="array" ref="O155">IFERROR(IF(G155&gt;10,G155/C155*0.8769,""),“”)</f>
        <v>0.30065142857142857</v>
      </c>
      <c r="P155" s="43" t="str" cm="1">
        <f t="array" ref="P155">IFERROR(IF(H155&gt;10,H155/D155*0.8769,""),“”)</f>
        <v/>
      </c>
      <c r="Q155" s="43" cm="1">
        <f t="array" ref="Q155">IFERROR(IF(I155&gt;10,I155/E155*0.8769,""),“”)</f>
        <v>0.41938695652173913</v>
      </c>
      <c r="R155" s="43" t="str" cm="1">
        <f t="array" ref="R155">IFERROR(IF(J155&gt;10,J155/F155*0.8769,""),“”)</f>
        <v/>
      </c>
      <c r="S155" s="54" t="str">
        <f t="shared" si="10"/>
        <v/>
      </c>
    </row>
    <row r="156" spans="1:19">
      <c r="A156" s="53" t="s">
        <v>102</v>
      </c>
      <c r="B156" s="37">
        <v>2020</v>
      </c>
      <c r="C156" s="36">
        <v>49</v>
      </c>
      <c r="D156" s="36">
        <v>0.2</v>
      </c>
      <c r="E156" s="36">
        <v>22</v>
      </c>
      <c r="F156" s="28">
        <v>27</v>
      </c>
      <c r="G156" s="36">
        <v>14</v>
      </c>
      <c r="H156" s="31">
        <v>0.1</v>
      </c>
      <c r="I156" s="36">
        <v>7</v>
      </c>
      <c r="J156" s="28">
        <v>7</v>
      </c>
      <c r="K156" s="36">
        <v>3455</v>
      </c>
      <c r="L156" s="27"/>
      <c r="M156" s="36">
        <v>3686</v>
      </c>
      <c r="N156" s="28">
        <v>3242</v>
      </c>
      <c r="O156" s="43" cm="1">
        <f t="array" ref="O156">IFERROR(IF(G156&gt;10,G156/C156*0.8769,""),“”)</f>
        <v>0.25054285714285712</v>
      </c>
      <c r="P156" s="43" t="str" cm="1">
        <f t="array" ref="P156">IFERROR(IF(H156&gt;10,H156/D156*0.8769,""),“”)</f>
        <v/>
      </c>
      <c r="Q156" s="43" t="str" cm="1">
        <f t="array" ref="Q156">IFERROR(IF(I156&gt;10,I156/E156*0.8769,""),“”)</f>
        <v/>
      </c>
      <c r="R156" s="43" t="str" cm="1">
        <f t="array" ref="R156">IFERROR(IF(J156&gt;10,J156/F156*0.8769,""),“”)</f>
        <v/>
      </c>
      <c r="S156" s="54" t="str">
        <f t="shared" si="10"/>
        <v/>
      </c>
    </row>
    <row r="157" spans="1:19">
      <c r="A157" s="53" t="s">
        <v>103</v>
      </c>
      <c r="B157" s="37">
        <v>2020</v>
      </c>
      <c r="C157" s="36">
        <v>2</v>
      </c>
      <c r="D157" s="32"/>
      <c r="E157" s="28">
        <v>2</v>
      </c>
      <c r="F157" s="27"/>
      <c r="G157" s="36">
        <v>1</v>
      </c>
      <c r="H157" s="32"/>
      <c r="I157" s="28">
        <v>1</v>
      </c>
      <c r="J157" s="29"/>
      <c r="K157" s="36">
        <v>3644</v>
      </c>
      <c r="L157" s="28"/>
      <c r="M157" s="28">
        <v>3644</v>
      </c>
      <c r="N157" s="27"/>
      <c r="O157" s="43" t="str" cm="1">
        <f t="array" ref="O157">IFERROR(IF(G157&gt;10,G157/C157*0.8769,""),“”)</f>
        <v/>
      </c>
      <c r="P157" s="43" t="str" cm="1">
        <f t="array" ref="P157">IFERROR(IF(H157&gt;10,H157/D157*0.8769,""),“”)</f>
        <v/>
      </c>
      <c r="Q157" s="43" t="str" cm="1">
        <f t="array" ref="Q157">IFERROR(IF(I157&gt;10,I157/E157*0.8769,""),“”)</f>
        <v/>
      </c>
      <c r="R157" s="43" t="str" cm="1">
        <f t="array" ref="R157">IFERROR(IF(J157&gt;10,J157/F157*0.8769,""),“”)</f>
        <v/>
      </c>
      <c r="S157" s="54" t="str">
        <f t="shared" si="10"/>
        <v/>
      </c>
    </row>
    <row r="158" spans="1:19">
      <c r="A158" s="53" t="s">
        <v>104</v>
      </c>
      <c r="B158" s="37">
        <v>2020</v>
      </c>
      <c r="C158" s="36">
        <v>42</v>
      </c>
      <c r="D158" s="36">
        <v>2</v>
      </c>
      <c r="E158" s="36">
        <v>33</v>
      </c>
      <c r="F158" s="28">
        <v>7</v>
      </c>
      <c r="G158" s="36">
        <v>16</v>
      </c>
      <c r="H158" s="36">
        <v>1</v>
      </c>
      <c r="I158" s="36">
        <v>13</v>
      </c>
      <c r="J158" s="28">
        <v>1</v>
      </c>
      <c r="K158" s="36">
        <v>4445</v>
      </c>
      <c r="L158" s="27"/>
      <c r="M158" s="28">
        <v>5487</v>
      </c>
      <c r="N158" s="28">
        <v>1652</v>
      </c>
      <c r="O158" s="43" cm="1">
        <f t="array" ref="O158">IFERROR(IF(G158&gt;10,G158/C158*0.8769,""),“”)</f>
        <v>0.33405714285714283</v>
      </c>
      <c r="P158" s="43" t="str" cm="1">
        <f t="array" ref="P158">IFERROR(IF(H158&gt;10,H158/D158*0.8769,""),“”)</f>
        <v/>
      </c>
      <c r="Q158" s="43" cm="1">
        <f t="array" ref="Q158">IFERROR(IF(I158&gt;10,I158/E158*0.8769,""),“”)</f>
        <v>0.34544545454545456</v>
      </c>
      <c r="R158" s="43" t="str" cm="1">
        <f t="array" ref="R158">IFERROR(IF(J158&gt;10,J158/F158*0.8769,""),“”)</f>
        <v/>
      </c>
      <c r="S158" s="54" t="str">
        <f t="shared" si="10"/>
        <v/>
      </c>
    </row>
    <row r="159" spans="1:19">
      <c r="A159" s="53" t="s">
        <v>105</v>
      </c>
      <c r="B159" s="37">
        <v>2020</v>
      </c>
      <c r="C159" s="36">
        <v>14</v>
      </c>
      <c r="D159" s="31"/>
      <c r="E159" s="36">
        <v>8</v>
      </c>
      <c r="F159" s="28">
        <v>6</v>
      </c>
      <c r="G159" s="36">
        <v>6</v>
      </c>
      <c r="H159" s="31"/>
      <c r="I159" s="28">
        <v>6</v>
      </c>
      <c r="J159" s="28">
        <v>0.1</v>
      </c>
      <c r="K159" s="36">
        <v>5776</v>
      </c>
      <c r="L159" s="27"/>
      <c r="M159" s="28">
        <v>6851</v>
      </c>
      <c r="N159" s="28">
        <v>362</v>
      </c>
      <c r="O159" s="43" t="str" cm="1">
        <f t="array" ref="O159">IFERROR(IF(G159&gt;10,G159/C159*0.8769,""),“”)</f>
        <v/>
      </c>
      <c r="P159" s="43" t="str" cm="1">
        <f t="array" ref="P159">IFERROR(IF(H159&gt;10,H159/D159*0.8769,""),“”)</f>
        <v/>
      </c>
      <c r="Q159" s="43" t="str" cm="1">
        <f t="array" ref="Q159">IFERROR(IF(I159&gt;10,I159/E159*0.8769,""),“”)</f>
        <v/>
      </c>
      <c r="R159" s="43" t="str" cm="1">
        <f t="array" ref="R159">IFERROR(IF(J159&gt;10,J159/F159*0.8769,""),“”)</f>
        <v/>
      </c>
      <c r="S159" s="54" t="str">
        <f t="shared" si="10"/>
        <v/>
      </c>
    </row>
    <row r="160" spans="1:19">
      <c r="A160" s="53" t="s">
        <v>106</v>
      </c>
      <c r="B160" s="37">
        <v>2020</v>
      </c>
      <c r="C160" s="36">
        <v>0.5</v>
      </c>
      <c r="D160" s="36">
        <v>1</v>
      </c>
      <c r="E160" s="29"/>
      <c r="F160" s="28"/>
      <c r="G160" s="27">
        <v>0.1</v>
      </c>
      <c r="H160" s="31">
        <v>0.1</v>
      </c>
      <c r="I160" s="37"/>
      <c r="J160" s="37"/>
      <c r="K160" s="37"/>
      <c r="L160" s="37"/>
      <c r="M160" s="37"/>
      <c r="N160" s="37"/>
      <c r="O160" s="43" t="str" cm="1">
        <f t="array" ref="O160">IFERROR(IF(G160&gt;10,G160/C160*0.8769,""),“”)</f>
        <v/>
      </c>
      <c r="P160" s="43" t="str" cm="1">
        <f t="array" ref="P160">IFERROR(IF(H160&gt;10,H160/D160*0.8769,""),“”)</f>
        <v/>
      </c>
      <c r="Q160" s="43" t="str" cm="1">
        <f t="array" ref="Q160">IFERROR(IF(I160&gt;10,I160/E160*0.8769,""),“”)</f>
        <v/>
      </c>
      <c r="R160" s="43" t="str" cm="1">
        <f t="array" ref="R160">IFERROR(IF(J160&gt;10,J160/F160*0.8769,""),“”)</f>
        <v/>
      </c>
      <c r="S160" s="54" t="str">
        <f t="shared" si="10"/>
        <v/>
      </c>
    </row>
    <row r="161" spans="1:19">
      <c r="A161" s="53" t="s">
        <v>107</v>
      </c>
      <c r="B161" s="37">
        <v>2020</v>
      </c>
      <c r="C161" s="36">
        <v>13</v>
      </c>
      <c r="D161" s="31"/>
      <c r="E161" s="36">
        <v>5</v>
      </c>
      <c r="F161" s="28">
        <v>8</v>
      </c>
      <c r="G161" s="36">
        <v>3</v>
      </c>
      <c r="H161" s="37"/>
      <c r="I161" s="35">
        <v>3</v>
      </c>
      <c r="J161" s="28">
        <v>0.1</v>
      </c>
      <c r="K161" s="36">
        <v>2483</v>
      </c>
      <c r="L161" s="27"/>
      <c r="M161" s="28">
        <v>5776</v>
      </c>
      <c r="N161" s="28">
        <v>155</v>
      </c>
      <c r="O161" s="43" t="str" cm="1">
        <f t="array" ref="O161">IFERROR(IF(G161&gt;10,G161/C161*0.8769,""),“”)</f>
        <v/>
      </c>
      <c r="P161" s="43" t="str" cm="1">
        <f t="array" ref="P161">IFERROR(IF(H161&gt;10,H161/D161*0.8769,""),“”)</f>
        <v/>
      </c>
      <c r="Q161" s="43" t="str" cm="1">
        <f t="array" ref="Q161">IFERROR(IF(I161&gt;10,I161/E161*0.8769,""),“”)</f>
        <v/>
      </c>
      <c r="R161" s="43" t="str" cm="1">
        <f t="array" ref="R161">IFERROR(IF(J161&gt;10,J161/F161*0.8769,""),“”)</f>
        <v/>
      </c>
      <c r="S161" s="54" t="str">
        <f t="shared" si="10"/>
        <v/>
      </c>
    </row>
    <row r="162" spans="1:19" ht="13.5" thickBot="1">
      <c r="A162" s="55" t="s">
        <v>108</v>
      </c>
      <c r="B162" s="56">
        <v>2020</v>
      </c>
      <c r="C162" s="57">
        <v>9</v>
      </c>
      <c r="D162" s="57">
        <v>0.3</v>
      </c>
      <c r="E162" s="57">
        <v>6</v>
      </c>
      <c r="F162" s="58">
        <v>2</v>
      </c>
      <c r="G162" s="57">
        <v>4</v>
      </c>
      <c r="H162" s="59">
        <v>0.1</v>
      </c>
      <c r="I162" s="57">
        <v>2</v>
      </c>
      <c r="J162" s="60">
        <v>2</v>
      </c>
      <c r="K162" s="57">
        <v>4916</v>
      </c>
      <c r="L162" s="57">
        <v>3988</v>
      </c>
      <c r="M162" s="57">
        <v>3798</v>
      </c>
      <c r="N162" s="60">
        <v>7910</v>
      </c>
      <c r="O162" s="61" t="str" cm="1">
        <f t="array" ref="O162">IFERROR(IF(G162&gt;10,G162/C162*0.8769,""),“”)</f>
        <v/>
      </c>
      <c r="P162" s="61" t="str" cm="1">
        <f t="array" ref="P162">IFERROR(IF(H162&gt;10,H162/D162*0.8769,""),“”)</f>
        <v/>
      </c>
      <c r="Q162" s="61" t="str" cm="1">
        <f t="array" ref="Q162">IFERROR(IF(I162&gt;10,I162/E162*0.8769,""),“”)</f>
        <v/>
      </c>
      <c r="R162" s="61" t="str" cm="1">
        <f t="array" ref="R162">IFERROR(IF(J162&gt;10,J162/F162*0.8769,""),“”)</f>
        <v/>
      </c>
      <c r="S162" s="62" t="str">
        <f t="shared" si="10"/>
        <v/>
      </c>
    </row>
  </sheetData>
  <mergeCells count="9">
    <mergeCell ref="V1:Z1"/>
    <mergeCell ref="AA1:AE1"/>
    <mergeCell ref="O1:S1"/>
    <mergeCell ref="U1:U2"/>
    <mergeCell ref="A1:A2"/>
    <mergeCell ref="C1:F1"/>
    <mergeCell ref="G1:J1"/>
    <mergeCell ref="K1:N1"/>
    <mergeCell ref="B1:B2"/>
  </mergeCells>
  <phoneticPr fontId="3" type="noConversion"/>
  <conditionalFormatting sqref="C3:J16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:N162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V3:AE34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AA995-E6BC-4ED1-A462-AA4E4A87A4E4}">
  <dimension ref="A1:AM163"/>
  <sheetViews>
    <sheetView zoomScale="55" zoomScaleNormal="55" workbookViewId="0">
      <selection activeCell="K139" sqref="K139"/>
    </sheetView>
  </sheetViews>
  <sheetFormatPr defaultRowHeight="12.75"/>
  <cols>
    <col min="25" max="25" width="9.85546875" bestFit="1" customWidth="1"/>
    <col min="30" max="30" width="9.85546875" bestFit="1" customWidth="1"/>
  </cols>
  <sheetData>
    <row r="1" spans="1:39" ht="13.5" customHeight="1">
      <c r="A1" s="138" t="s">
        <v>69</v>
      </c>
      <c r="B1" s="140" t="s">
        <v>110</v>
      </c>
      <c r="C1" s="142" t="s">
        <v>70</v>
      </c>
      <c r="D1" s="142"/>
      <c r="E1" s="142"/>
      <c r="F1" s="142"/>
      <c r="G1" s="89"/>
      <c r="H1" s="143" t="s">
        <v>71</v>
      </c>
      <c r="I1" s="143"/>
      <c r="J1" s="143"/>
      <c r="K1" s="143"/>
      <c r="L1" s="90"/>
      <c r="M1" s="144" t="s">
        <v>72</v>
      </c>
      <c r="N1" s="144"/>
      <c r="O1" s="144"/>
      <c r="P1" s="144"/>
      <c r="Q1" s="91"/>
      <c r="R1" s="145" t="s">
        <v>111</v>
      </c>
      <c r="S1" s="145"/>
      <c r="T1" s="145"/>
      <c r="U1" s="145"/>
      <c r="V1" s="146"/>
      <c r="X1" s="129"/>
      <c r="Y1" s="125" t="s">
        <v>120</v>
      </c>
      <c r="Z1" s="126"/>
      <c r="AA1" s="126"/>
      <c r="AB1" s="126"/>
      <c r="AC1" s="126"/>
      <c r="AD1" s="127" t="s">
        <v>121</v>
      </c>
      <c r="AE1" s="128"/>
      <c r="AF1" s="128"/>
      <c r="AG1" s="128"/>
      <c r="AH1" s="128"/>
      <c r="AI1" s="127" t="s">
        <v>122</v>
      </c>
      <c r="AJ1" s="128"/>
      <c r="AK1" s="128"/>
      <c r="AL1" s="128"/>
      <c r="AM1" s="128"/>
    </row>
    <row r="2" spans="1:39" ht="13.5" thickBot="1">
      <c r="A2" s="139"/>
      <c r="B2" s="141"/>
      <c r="C2" s="92" t="s">
        <v>73</v>
      </c>
      <c r="D2" s="92" t="s">
        <v>116</v>
      </c>
      <c r="E2" s="92" t="s">
        <v>117</v>
      </c>
      <c r="F2" s="92" t="s">
        <v>118</v>
      </c>
      <c r="G2" s="92" t="s">
        <v>119</v>
      </c>
      <c r="H2" s="92" t="s">
        <v>73</v>
      </c>
      <c r="I2" s="92" t="s">
        <v>116</v>
      </c>
      <c r="J2" s="92" t="s">
        <v>117</v>
      </c>
      <c r="K2" s="92" t="s">
        <v>118</v>
      </c>
      <c r="L2" s="92" t="s">
        <v>119</v>
      </c>
      <c r="M2" s="92" t="s">
        <v>73</v>
      </c>
      <c r="N2" s="92" t="s">
        <v>116</v>
      </c>
      <c r="O2" s="92" t="s">
        <v>117</v>
      </c>
      <c r="P2" s="92" t="s">
        <v>118</v>
      </c>
      <c r="Q2" s="92" t="s">
        <v>119</v>
      </c>
      <c r="R2" s="92" t="s">
        <v>73</v>
      </c>
      <c r="S2" s="92" t="s">
        <v>116</v>
      </c>
      <c r="T2" s="92" t="s">
        <v>117</v>
      </c>
      <c r="U2" s="92" t="s">
        <v>118</v>
      </c>
      <c r="V2" s="93" t="s">
        <v>119</v>
      </c>
      <c r="W2" s="23"/>
      <c r="X2" s="130"/>
      <c r="Y2" s="4">
        <v>2016</v>
      </c>
      <c r="Z2" s="4">
        <v>2017</v>
      </c>
      <c r="AA2" s="4">
        <v>2018</v>
      </c>
      <c r="AB2" s="4">
        <v>2019</v>
      </c>
      <c r="AC2" s="4">
        <v>2020</v>
      </c>
      <c r="AD2" s="4">
        <v>2016</v>
      </c>
      <c r="AE2" s="4">
        <v>2017</v>
      </c>
      <c r="AF2" s="4">
        <v>2018</v>
      </c>
      <c r="AG2" s="4">
        <v>2019</v>
      </c>
      <c r="AH2" s="4">
        <v>2020</v>
      </c>
      <c r="AI2" s="4">
        <v>2016</v>
      </c>
      <c r="AJ2" s="4">
        <v>2017</v>
      </c>
      <c r="AK2" s="4">
        <v>2018</v>
      </c>
      <c r="AL2" s="4">
        <v>2019</v>
      </c>
      <c r="AM2" s="4">
        <v>2020</v>
      </c>
    </row>
    <row r="3" spans="1:39">
      <c r="A3" s="46" t="s">
        <v>77</v>
      </c>
      <c r="B3" s="47">
        <v>2016</v>
      </c>
      <c r="C3" s="48">
        <f>SUM(D3:G3)</f>
        <v>106095</v>
      </c>
      <c r="D3" s="86">
        <v>94654</v>
      </c>
      <c r="E3" s="86">
        <v>7011</v>
      </c>
      <c r="F3" s="86">
        <v>210</v>
      </c>
      <c r="G3" s="86">
        <v>4220</v>
      </c>
      <c r="H3" s="48">
        <f>SUM(I3:L3)</f>
        <v>43273</v>
      </c>
      <c r="I3" s="86">
        <v>39462</v>
      </c>
      <c r="J3" s="86">
        <v>1883</v>
      </c>
      <c r="K3" s="86">
        <v>28</v>
      </c>
      <c r="L3" s="86">
        <v>1900</v>
      </c>
      <c r="M3" s="48"/>
      <c r="N3" s="86">
        <v>4275</v>
      </c>
      <c r="O3" s="86">
        <v>2701</v>
      </c>
      <c r="P3" s="86">
        <v>1317</v>
      </c>
      <c r="Q3" s="86">
        <v>4877</v>
      </c>
      <c r="R3" s="51" cm="1">
        <f t="array" ref="R3">IFERROR(IF(H3&gt;10,H3/C3*0.8769,""),“”)</f>
        <v>0.35766147038031953</v>
      </c>
      <c r="S3" s="51" cm="1">
        <f t="array" ref="S3">IFERROR(IF(I3&gt;10,I3/D3*0.8769,""),“”)</f>
        <v>0.36558653411371944</v>
      </c>
      <c r="T3" s="51" cm="1">
        <f t="array" ref="T3">IFERROR(IF(J3&gt;10,J3/E3*0.8769,""),“”)</f>
        <v>0.23551600342319215</v>
      </c>
      <c r="U3" s="51" cm="1">
        <f t="array" ref="U3">IFERROR(IF(K3&gt;10,K3/F3*0.8769,""),“”)</f>
        <v>0.11692</v>
      </c>
      <c r="V3" s="52">
        <f t="shared" ref="V3:V34" si="0">IFERROR(IF((H3-J3)&gt;10,(H3-J3)/(C3-E3)*0.8769,""),"")</f>
        <v>0.3663042569940656</v>
      </c>
      <c r="X3" s="37" t="s">
        <v>77</v>
      </c>
      <c r="Y3" s="43">
        <f>SUMIFS($N$3:$N$162,$A$3:$A$162,$X3,$B$3:$B$162,Y$2)/8760</f>
        <v>0.48801369863013699</v>
      </c>
      <c r="Z3" s="43">
        <f t="shared" ref="Z3:AC18" si="1">SUMIFS($N$3:$N$162,$A$3:$A$162,$X3,$B$3:$B$162,Z$2)/8760</f>
        <v>0.49223744292237442</v>
      </c>
      <c r="AA3" s="43">
        <f t="shared" si="1"/>
        <v>0.51312785388127857</v>
      </c>
      <c r="AB3" s="43">
        <f t="shared" si="1"/>
        <v>0.50559360730593605</v>
      </c>
      <c r="AC3" s="43">
        <f t="shared" si="1"/>
        <v>0.49349315068493149</v>
      </c>
      <c r="AD3" s="43">
        <f t="shared" ref="AD3:AD34" si="2">SUMIFS($O$3:$O$162,$A$3:$A$162,$X3,$B$3:$B$162,Y$2)/8760</f>
        <v>0.30833333333333335</v>
      </c>
      <c r="AE3" s="43">
        <f t="shared" ref="AE3:AE34" si="3">SUMIFS($O$3:$O$162,$A$3:$A$162,$X3,$B$3:$B$162,Z$2)/8760</f>
        <v>0.31518264840182647</v>
      </c>
      <c r="AF3" s="43">
        <f t="shared" ref="AF3:AF34" si="4">SUMIFS($O$3:$O$162,$A$3:$A$162,$X3,$B$3:$B$162,AA$2)/8760</f>
        <v>0.31586757990867581</v>
      </c>
      <c r="AG3" s="43">
        <f t="shared" ref="AG3:AG34" si="5">SUMIFS($O$3:$O$162,$A$3:$A$162,$X3,$B$3:$B$162,AB$2)/8760</f>
        <v>0.30205479452054795</v>
      </c>
      <c r="AH3" s="43">
        <f t="shared" ref="AH3:AH34" si="6">SUMIFS($O$3:$O$162,$A$3:$A$162,$X3,$B$3:$B$162,AC$2)/8760</f>
        <v>0.29794520547945208</v>
      </c>
      <c r="AI3" s="43">
        <f>SUMIFS($P$3:$P$162,$A$3:$A$162,$X3,$B$3:$B$162,AD$2)/8760</f>
        <v>0.15034246575342466</v>
      </c>
      <c r="AJ3" s="43">
        <f t="shared" ref="AJ3:AM3" si="7">SUMIFS($P$3:$P$162,$A$3:$A$162,$X3,$B$3:$B$162,AE$2)/8760</f>
        <v>0.1574200913242009</v>
      </c>
      <c r="AK3" s="43">
        <f t="shared" si="7"/>
        <v>0.10308219178082192</v>
      </c>
      <c r="AL3" s="43">
        <f t="shared" si="7"/>
        <v>8.6757990867579904E-2</v>
      </c>
      <c r="AM3" s="43">
        <f t="shared" si="7"/>
        <v>9.851598173515981E-2</v>
      </c>
    </row>
    <row r="4" spans="1:39">
      <c r="A4" s="53" t="s">
        <v>78</v>
      </c>
      <c r="B4" s="37">
        <v>2016</v>
      </c>
      <c r="C4" s="36">
        <f t="shared" ref="C4:C34" si="8">SUM(D4:G4)</f>
        <v>972</v>
      </c>
      <c r="D4" s="5">
        <v>85</v>
      </c>
      <c r="E4" s="5">
        <v>850</v>
      </c>
      <c r="F4" s="5">
        <v>22</v>
      </c>
      <c r="G4" s="5">
        <v>15</v>
      </c>
      <c r="H4" s="36">
        <f t="shared" ref="H4:H34" si="9">SUM(I4:L4)</f>
        <v>419</v>
      </c>
      <c r="I4" s="5">
        <v>34</v>
      </c>
      <c r="J4" s="5">
        <v>371</v>
      </c>
      <c r="K4" s="5">
        <v>6</v>
      </c>
      <c r="L4" s="5">
        <v>8</v>
      </c>
      <c r="M4" s="36"/>
      <c r="N4" s="5">
        <v>4031</v>
      </c>
      <c r="O4" s="5">
        <v>4372</v>
      </c>
      <c r="P4" s="5">
        <v>2636</v>
      </c>
      <c r="Q4" s="5">
        <v>5613</v>
      </c>
      <c r="R4" s="43" cm="1">
        <f t="array" ref="R4">IFERROR(IF(H4&gt;10,H4/C4*0.8769,""),“”)</f>
        <v>0.37800524691358028</v>
      </c>
      <c r="S4" s="43" cm="1">
        <f t="array" ref="S4">IFERROR(IF(I4&gt;10,I4/D4*0.8769,""),“”)</f>
        <v>0.35076000000000002</v>
      </c>
      <c r="T4" s="43" cm="1">
        <f t="array" ref="T4">IFERROR(IF(J4&gt;10,J4/E4*0.8769,""),“”)</f>
        <v>0.38274105882352943</v>
      </c>
      <c r="U4" s="43" t="str" cm="1">
        <f t="array" ref="U4">IFERROR(IF(K4&gt;10,K4/F4*0.8769,""),“”)</f>
        <v/>
      </c>
      <c r="V4" s="54">
        <f t="shared" si="0"/>
        <v>0.34500983606557378</v>
      </c>
      <c r="X4" s="37" t="s">
        <v>78</v>
      </c>
      <c r="Y4" s="43">
        <f t="shared" ref="Y4:AC34" si="10">SUMIFS($N$3:$N$162,$A$3:$A$162,$X4,$B$3:$B$162,Y$2)/8760</f>
        <v>0.46015981735159817</v>
      </c>
      <c r="Z4" s="43">
        <f t="shared" si="1"/>
        <v>0.18093607305936074</v>
      </c>
      <c r="AA4" s="43">
        <f t="shared" si="1"/>
        <v>0.22865296803652968</v>
      </c>
      <c r="AB4" s="43">
        <f t="shared" si="1"/>
        <v>0.19668949771689498</v>
      </c>
      <c r="AC4" s="43">
        <f>SUMIFS($N$3:$N$162,$A$3:$A$162,$X4,$B$3:$B$162,AC$2)/8760</f>
        <v>0.14634703196347032</v>
      </c>
      <c r="AD4" s="43">
        <f t="shared" si="2"/>
        <v>0.4990867579908676</v>
      </c>
      <c r="AE4" s="43">
        <f t="shared" si="3"/>
        <v>0.45159817351598175</v>
      </c>
      <c r="AF4" s="43">
        <f t="shared" si="4"/>
        <v>0.46586757990867578</v>
      </c>
      <c r="AG4" s="43">
        <f t="shared" si="5"/>
        <v>0.466324200913242</v>
      </c>
      <c r="AH4" s="43">
        <f t="shared" si="6"/>
        <v>0.45365296803652966</v>
      </c>
      <c r="AI4" s="43">
        <f t="shared" ref="AI4:AI34" si="11">SUMIFS($P$3:$P$162,$A$3:$A$162,$X4,$B$3:$B$162,AD$2)/8760</f>
        <v>0.30091324200913244</v>
      </c>
      <c r="AJ4" s="43">
        <f t="shared" ref="AJ4:AJ34" si="12">SUMIFS($P$3:$P$162,$A$3:$A$162,$X4,$B$3:$B$162,AE$2)/8760</f>
        <v>0.2134703196347032</v>
      </c>
      <c r="AK4" s="43">
        <f t="shared" ref="AK4:AK34" si="13">SUMIFS($P$3:$P$162,$A$3:$A$162,$X4,$B$3:$B$162,AF$2)/8760</f>
        <v>0.27431506849315068</v>
      </c>
      <c r="AL4" s="43">
        <f t="shared" ref="AL4:AL34" si="14">SUMIFS($P$3:$P$162,$A$3:$A$162,$X4,$B$3:$B$162,AG$2)/8760</f>
        <v>0.26289954337899546</v>
      </c>
      <c r="AM4" s="43">
        <f t="shared" ref="AM4:AM34" si="15">SUMIFS($P$3:$P$162,$A$3:$A$162,$X4,$B$3:$B$162,AH$2)/8760</f>
        <v>0.20136986301369864</v>
      </c>
    </row>
    <row r="5" spans="1:39">
      <c r="A5" s="53" t="s">
        <v>79</v>
      </c>
      <c r="B5" s="37">
        <v>2016</v>
      </c>
      <c r="C5" s="36">
        <f t="shared" si="8"/>
        <v>1378</v>
      </c>
      <c r="D5" s="5">
        <v>1076</v>
      </c>
      <c r="E5" s="5">
        <v>277</v>
      </c>
      <c r="F5" s="34"/>
      <c r="G5" s="5">
        <v>25</v>
      </c>
      <c r="H5" s="36">
        <f t="shared" si="9"/>
        <v>591</v>
      </c>
      <c r="I5" s="5">
        <v>476</v>
      </c>
      <c r="J5" s="5">
        <v>104</v>
      </c>
      <c r="K5" s="34"/>
      <c r="L5" s="5">
        <v>11</v>
      </c>
      <c r="M5" s="36"/>
      <c r="N5" s="5">
        <v>4382</v>
      </c>
      <c r="O5" s="5">
        <v>4001</v>
      </c>
      <c r="P5" s="34"/>
      <c r="Q5" s="5">
        <v>4487</v>
      </c>
      <c r="R5" s="43" cm="1">
        <f t="array" ref="R5">IFERROR(IF(H5&gt;10,H5/C5*0.8769,""),“”)</f>
        <v>0.37608701015965168</v>
      </c>
      <c r="S5" s="43" cm="1">
        <f t="array" ref="S5">IFERROR(IF(I5&gt;10,I5/D5*0.8769,""),“”)</f>
        <v>0.38792230483271373</v>
      </c>
      <c r="T5" s="43" cm="1">
        <f t="array" ref="T5">IFERROR(IF(J5&gt;10,J5/E5*0.8769,""),“”)</f>
        <v>0.32923321299638991</v>
      </c>
      <c r="U5" s="43" t="str" cm="1">
        <f t="array" ref="U5">IFERROR(IF(K5&gt;10,K5/F5*0.8769,""),“”)</f>
        <v/>
      </c>
      <c r="V5" s="54">
        <f t="shared" si="0"/>
        <v>0.38787493188010896</v>
      </c>
      <c r="X5" s="37" t="s">
        <v>79</v>
      </c>
      <c r="Y5" s="43">
        <f t="shared" si="10"/>
        <v>0.50022831050228311</v>
      </c>
      <c r="Z5" s="43">
        <f t="shared" si="1"/>
        <v>0.49406392694063928</v>
      </c>
      <c r="AA5" s="43">
        <f t="shared" si="1"/>
        <v>0.54337899543378998</v>
      </c>
      <c r="AB5" s="43">
        <f t="shared" si="1"/>
        <v>0.48938356164383562</v>
      </c>
      <c r="AC5" s="43">
        <f t="shared" si="1"/>
        <v>0.47431506849315069</v>
      </c>
      <c r="AD5" s="43">
        <f t="shared" si="2"/>
        <v>0.45673515981735158</v>
      </c>
      <c r="AE5" s="43">
        <f t="shared" si="3"/>
        <v>0.39748858447488583</v>
      </c>
      <c r="AF5" s="43">
        <f t="shared" si="4"/>
        <v>0.3969178082191781</v>
      </c>
      <c r="AG5" s="43">
        <f t="shared" si="5"/>
        <v>0.35285388127853884</v>
      </c>
      <c r="AH5" s="43">
        <f t="shared" si="6"/>
        <v>0.392351598173516</v>
      </c>
      <c r="AI5" s="43">
        <f t="shared" si="11"/>
        <v>0</v>
      </c>
      <c r="AJ5" s="43">
        <f t="shared" si="12"/>
        <v>0</v>
      </c>
      <c r="AK5" s="43">
        <f t="shared" si="13"/>
        <v>0</v>
      </c>
      <c r="AL5" s="43">
        <f t="shared" si="14"/>
        <v>0</v>
      </c>
      <c r="AM5" s="43">
        <f t="shared" si="15"/>
        <v>0</v>
      </c>
    </row>
    <row r="6" spans="1:39">
      <c r="A6" s="53" t="s">
        <v>80</v>
      </c>
      <c r="B6" s="37">
        <v>2016</v>
      </c>
      <c r="C6" s="36">
        <f t="shared" si="8"/>
        <v>4511</v>
      </c>
      <c r="D6" s="5">
        <v>4251</v>
      </c>
      <c r="E6" s="5">
        <v>3</v>
      </c>
      <c r="F6" s="34"/>
      <c r="G6" s="5">
        <v>257</v>
      </c>
      <c r="H6" s="36">
        <f t="shared" si="9"/>
        <v>2195</v>
      </c>
      <c r="I6" s="5">
        <v>2092</v>
      </c>
      <c r="J6" s="5">
        <v>0</v>
      </c>
      <c r="K6" s="34"/>
      <c r="L6" s="5">
        <v>103</v>
      </c>
      <c r="M6" s="36"/>
      <c r="N6" s="5">
        <v>5021</v>
      </c>
      <c r="O6" s="5">
        <v>651</v>
      </c>
      <c r="P6" s="34"/>
      <c r="Q6" s="5">
        <v>4211</v>
      </c>
      <c r="R6" s="43" cm="1">
        <f t="array" ref="R6">IFERROR(IF(H6&gt;10,H6/C6*0.8769,""),“”)</f>
        <v>0.42668931500775881</v>
      </c>
      <c r="S6" s="43" cm="1">
        <f t="array" ref="S6">IFERROR(IF(I6&gt;10,I6/D6*0.8769,""),“”)</f>
        <v>0.43153959068454484</v>
      </c>
      <c r="T6" s="43" t="str" cm="1">
        <f t="array" ref="T6">IFERROR(IF(J6&gt;10,J6/E6*0.8769,""),“”)</f>
        <v/>
      </c>
      <c r="U6" s="43" t="str" cm="1">
        <f t="array" ref="U6">IFERROR(IF(K6&gt;10,K6/F6*0.8769,""),“”)</f>
        <v/>
      </c>
      <c r="V6" s="54">
        <f t="shared" si="0"/>
        <v>0.42697326974267968</v>
      </c>
      <c r="X6" s="37" t="s">
        <v>80</v>
      </c>
      <c r="Y6" s="43">
        <f t="shared" si="10"/>
        <v>0.57317351598173516</v>
      </c>
      <c r="Z6" s="43">
        <f t="shared" si="1"/>
        <v>0.5876712328767123</v>
      </c>
      <c r="AA6" s="43">
        <f t="shared" si="1"/>
        <v>0.59634703196347028</v>
      </c>
      <c r="AB6" s="43">
        <f t="shared" si="1"/>
        <v>0.56529680365296808</v>
      </c>
      <c r="AC6" s="43">
        <f t="shared" si="1"/>
        <v>0.5174657534246575</v>
      </c>
      <c r="AD6" s="43">
        <f t="shared" si="2"/>
        <v>7.4315068493150685E-2</v>
      </c>
      <c r="AE6" s="43">
        <f t="shared" si="3"/>
        <v>0.1004566210045662</v>
      </c>
      <c r="AF6" s="43">
        <f t="shared" si="4"/>
        <v>1.4269406392694063E-2</v>
      </c>
      <c r="AG6" s="43">
        <f t="shared" si="5"/>
        <v>0</v>
      </c>
      <c r="AH6" s="43">
        <f t="shared" si="6"/>
        <v>0.13196347031963471</v>
      </c>
      <c r="AI6" s="43">
        <f t="shared" si="11"/>
        <v>0</v>
      </c>
      <c r="AJ6" s="43">
        <f t="shared" si="12"/>
        <v>0</v>
      </c>
      <c r="AK6" s="43">
        <f t="shared" si="13"/>
        <v>0</v>
      </c>
      <c r="AL6" s="43">
        <f t="shared" si="14"/>
        <v>0</v>
      </c>
      <c r="AM6" s="43">
        <f t="shared" si="15"/>
        <v>0</v>
      </c>
    </row>
    <row r="7" spans="1:39">
      <c r="A7" s="53" t="s">
        <v>81</v>
      </c>
      <c r="B7" s="37">
        <v>2016</v>
      </c>
      <c r="C7" s="36">
        <f t="shared" si="8"/>
        <v>6328</v>
      </c>
      <c r="D7" s="5">
        <v>6003</v>
      </c>
      <c r="E7" s="5">
        <v>279</v>
      </c>
      <c r="F7" s="34"/>
      <c r="G7" s="5">
        <v>46</v>
      </c>
      <c r="H7" s="36">
        <f t="shared" si="9"/>
        <v>2309</v>
      </c>
      <c r="I7" s="5">
        <v>2191</v>
      </c>
      <c r="J7" s="5">
        <v>95</v>
      </c>
      <c r="K7" s="34"/>
      <c r="L7" s="5">
        <v>23</v>
      </c>
      <c r="M7" s="36"/>
      <c r="N7" s="5">
        <v>3803</v>
      </c>
      <c r="O7" s="5">
        <v>3468</v>
      </c>
      <c r="P7" s="34"/>
      <c r="Q7" s="5">
        <v>5369</v>
      </c>
      <c r="R7" s="43" cm="1">
        <f t="array" ref="R7">IFERROR(IF(H7&gt;10,H7/C7*0.8769,""),“”)</f>
        <v>0.31996872629582807</v>
      </c>
      <c r="S7" s="43" cm="1">
        <f t="array" ref="S7">IFERROR(IF(I7&gt;10,I7/D7*0.8769,""),“”)</f>
        <v>0.3200546226886557</v>
      </c>
      <c r="T7" s="43" cm="1">
        <f t="array" ref="T7">IFERROR(IF(J7&gt;10,J7/E7*0.8769,""),“”)</f>
        <v>0.29858602150537633</v>
      </c>
      <c r="U7" s="43" t="str" cm="1">
        <f t="array" ref="U7">IFERROR(IF(K7&gt;10,K7/F7*0.8769,""),“”)</f>
        <v/>
      </c>
      <c r="V7" s="54">
        <f t="shared" si="0"/>
        <v>0.32095496776326665</v>
      </c>
      <c r="X7" s="37" t="s">
        <v>81</v>
      </c>
      <c r="Y7" s="43">
        <f t="shared" si="10"/>
        <v>0.43413242009132419</v>
      </c>
      <c r="Z7" s="43">
        <f t="shared" si="1"/>
        <v>0.45970319634703194</v>
      </c>
      <c r="AA7" s="43">
        <f t="shared" si="1"/>
        <v>0.50285388127853881</v>
      </c>
      <c r="AB7" s="43">
        <f t="shared" si="1"/>
        <v>0.51552511415525115</v>
      </c>
      <c r="AC7" s="43">
        <f t="shared" si="1"/>
        <v>0.51084474885844744</v>
      </c>
      <c r="AD7" s="43">
        <f t="shared" si="2"/>
        <v>0.39589041095890409</v>
      </c>
      <c r="AE7" s="43">
        <f t="shared" si="3"/>
        <v>0.44657534246575342</v>
      </c>
      <c r="AF7" s="43">
        <f t="shared" si="4"/>
        <v>0.38801369863013696</v>
      </c>
      <c r="AG7" s="43">
        <f t="shared" si="5"/>
        <v>0.38904109589041097</v>
      </c>
      <c r="AH7" s="43">
        <f t="shared" si="6"/>
        <v>0.38732876712328768</v>
      </c>
      <c r="AI7" s="43">
        <f t="shared" si="11"/>
        <v>0</v>
      </c>
      <c r="AJ7" s="43">
        <f t="shared" si="12"/>
        <v>0</v>
      </c>
      <c r="AK7" s="43">
        <f t="shared" si="13"/>
        <v>0</v>
      </c>
      <c r="AL7" s="43">
        <f t="shared" si="14"/>
        <v>0</v>
      </c>
      <c r="AM7" s="43">
        <f t="shared" si="15"/>
        <v>0</v>
      </c>
    </row>
    <row r="8" spans="1:39">
      <c r="A8" s="53" t="s">
        <v>82</v>
      </c>
      <c r="B8" s="37">
        <v>2016</v>
      </c>
      <c r="C8" s="36">
        <f t="shared" si="8"/>
        <v>7609</v>
      </c>
      <c r="D8" s="5">
        <v>7542</v>
      </c>
      <c r="E8" s="5">
        <v>42</v>
      </c>
      <c r="F8" s="34"/>
      <c r="G8" s="5">
        <v>25</v>
      </c>
      <c r="H8" s="36">
        <f t="shared" si="9"/>
        <v>3375</v>
      </c>
      <c r="I8" s="5">
        <v>3364</v>
      </c>
      <c r="J8" s="5">
        <v>0</v>
      </c>
      <c r="K8" s="34"/>
      <c r="L8" s="5">
        <v>11</v>
      </c>
      <c r="M8" s="36"/>
      <c r="N8" s="5">
        <v>4558</v>
      </c>
      <c r="O8" s="5">
        <v>116</v>
      </c>
      <c r="P8" s="34"/>
      <c r="Q8" s="5">
        <v>4135</v>
      </c>
      <c r="R8" s="43" cm="1">
        <f t="array" ref="R8">IFERROR(IF(H8&gt;10,H8/C8*0.8769,""),“”)</f>
        <v>0.38895222762518072</v>
      </c>
      <c r="S8" s="43" cm="1">
        <f t="array" ref="S8">IFERROR(IF(I8&gt;10,I8/D8*0.8769,""),“”)</f>
        <v>0.3911285600636436</v>
      </c>
      <c r="T8" s="43" t="str" cm="1">
        <f t="array" ref="T8">IFERROR(IF(J8&gt;10,J8/E8*0.8769,""),“”)</f>
        <v/>
      </c>
      <c r="U8" s="43" t="str" cm="1">
        <f t="array" ref="U8">IFERROR(IF(K8&gt;10,K8/F8*0.8769,""),“”)</f>
        <v/>
      </c>
      <c r="V8" s="54">
        <f t="shared" si="0"/>
        <v>0.39111107440200876</v>
      </c>
      <c r="X8" s="37" t="s">
        <v>82</v>
      </c>
      <c r="Y8" s="43">
        <f t="shared" si="10"/>
        <v>0.52031963470319631</v>
      </c>
      <c r="Z8" s="43">
        <f t="shared" si="1"/>
        <v>0.53116438356164386</v>
      </c>
      <c r="AA8" s="43">
        <f t="shared" si="1"/>
        <v>0.5884703196347032</v>
      </c>
      <c r="AB8" s="43">
        <f t="shared" si="1"/>
        <v>0.60468036529680369</v>
      </c>
      <c r="AC8" s="43">
        <f t="shared" si="1"/>
        <v>0.58162100456621002</v>
      </c>
      <c r="AD8" s="43">
        <f t="shared" si="2"/>
        <v>1.3242009132420091E-2</v>
      </c>
      <c r="AE8" s="43">
        <f t="shared" si="3"/>
        <v>1.1529680365296804E-2</v>
      </c>
      <c r="AF8" s="43">
        <f t="shared" si="4"/>
        <v>1.0159817351598174E-2</v>
      </c>
      <c r="AG8" s="43">
        <f t="shared" si="5"/>
        <v>9.0182648401826489E-3</v>
      </c>
      <c r="AH8" s="43">
        <f t="shared" si="6"/>
        <v>0.44771689497716893</v>
      </c>
      <c r="AI8" s="43">
        <f t="shared" si="11"/>
        <v>0</v>
      </c>
      <c r="AJ8" s="43">
        <f t="shared" si="12"/>
        <v>0</v>
      </c>
      <c r="AK8" s="43">
        <f t="shared" si="13"/>
        <v>0</v>
      </c>
      <c r="AL8" s="43">
        <f t="shared" si="14"/>
        <v>0</v>
      </c>
      <c r="AM8" s="43">
        <f t="shared" si="15"/>
        <v>0</v>
      </c>
    </row>
    <row r="9" spans="1:39">
      <c r="A9" s="53" t="s">
        <v>83</v>
      </c>
      <c r="B9" s="37">
        <v>2016</v>
      </c>
      <c r="C9" s="36">
        <f t="shared" si="8"/>
        <v>3115</v>
      </c>
      <c r="D9" s="5">
        <v>3024</v>
      </c>
      <c r="E9" s="5">
        <v>4</v>
      </c>
      <c r="F9" s="5">
        <v>15</v>
      </c>
      <c r="G9" s="5">
        <v>72</v>
      </c>
      <c r="H9" s="36">
        <f t="shared" si="9"/>
        <v>1345</v>
      </c>
      <c r="I9" s="5">
        <v>1306</v>
      </c>
      <c r="J9" s="5">
        <v>1</v>
      </c>
      <c r="K9" s="5">
        <v>5</v>
      </c>
      <c r="L9" s="5">
        <v>33</v>
      </c>
      <c r="M9" s="36"/>
      <c r="N9" s="5">
        <v>4332</v>
      </c>
      <c r="O9" s="5">
        <v>1993</v>
      </c>
      <c r="P9" s="5">
        <v>3309</v>
      </c>
      <c r="Q9" s="5">
        <v>4635</v>
      </c>
      <c r="R9" s="43" cm="1">
        <f t="array" ref="R9">IFERROR(IF(H9&gt;10,H9/C9*0.8769,""),“”)</f>
        <v>0.37862937399678975</v>
      </c>
      <c r="S9" s="43" cm="1">
        <f t="array" ref="S9">IFERROR(IF(I9&gt;10,I9/D9*0.8769,""),“”)</f>
        <v>0.37871408730158729</v>
      </c>
      <c r="T9" s="43" t="str" cm="1">
        <f t="array" ref="T9">IFERROR(IF(J9&gt;10,J9/E9*0.8769,""),“”)</f>
        <v/>
      </c>
      <c r="U9" s="43" t="str" cm="1">
        <f t="array" ref="U9">IFERROR(IF(K9&gt;10,K9/F9*0.8769,""),“”)</f>
        <v/>
      </c>
      <c r="V9" s="54">
        <f t="shared" si="0"/>
        <v>0.37883432979749276</v>
      </c>
      <c r="X9" s="37" t="s">
        <v>83</v>
      </c>
      <c r="Y9" s="43">
        <f t="shared" si="10"/>
        <v>0.4945205479452055</v>
      </c>
      <c r="Z9" s="43">
        <f t="shared" si="1"/>
        <v>0.48447488584474885</v>
      </c>
      <c r="AA9" s="43">
        <f t="shared" si="1"/>
        <v>0.47773972602739728</v>
      </c>
      <c r="AB9" s="43">
        <f t="shared" si="1"/>
        <v>0.4617579908675799</v>
      </c>
      <c r="AC9" s="43">
        <f t="shared" si="1"/>
        <v>0.44623287671232875</v>
      </c>
      <c r="AD9" s="43">
        <f t="shared" si="2"/>
        <v>0.22751141552511417</v>
      </c>
      <c r="AE9" s="43">
        <f t="shared" si="3"/>
        <v>0.26347031963470319</v>
      </c>
      <c r="AF9" s="43">
        <f t="shared" si="4"/>
        <v>0.41541095890410956</v>
      </c>
      <c r="AG9" s="43">
        <f t="shared" si="5"/>
        <v>0.61940639269406395</v>
      </c>
      <c r="AH9" s="43">
        <f t="shared" si="6"/>
        <v>0.55433789954337898</v>
      </c>
      <c r="AI9" s="43">
        <f t="shared" si="11"/>
        <v>0.37773972602739725</v>
      </c>
      <c r="AJ9" s="43">
        <f t="shared" si="12"/>
        <v>0.38858447488584474</v>
      </c>
      <c r="AK9" s="43">
        <f t="shared" si="13"/>
        <v>0.42682648401826484</v>
      </c>
      <c r="AL9" s="43">
        <f t="shared" si="14"/>
        <v>0.30331050228310502</v>
      </c>
      <c r="AM9" s="43">
        <f t="shared" si="15"/>
        <v>0.28641552511415524</v>
      </c>
    </row>
    <row r="10" spans="1:39">
      <c r="A10" s="53" t="s">
        <v>84</v>
      </c>
      <c r="B10" s="37">
        <v>2016</v>
      </c>
      <c r="C10" s="36">
        <f t="shared" si="8"/>
        <v>1776</v>
      </c>
      <c r="D10" s="5">
        <v>1688</v>
      </c>
      <c r="E10" s="5">
        <v>0</v>
      </c>
      <c r="F10" s="34"/>
      <c r="G10" s="5">
        <v>88</v>
      </c>
      <c r="H10" s="36">
        <f t="shared" si="9"/>
        <v>588</v>
      </c>
      <c r="I10" s="5">
        <v>550</v>
      </c>
      <c r="J10" s="5">
        <v>0</v>
      </c>
      <c r="K10" s="34"/>
      <c r="L10" s="5">
        <v>38</v>
      </c>
      <c r="M10" s="36"/>
      <c r="N10" s="5">
        <v>3227</v>
      </c>
      <c r="O10" s="34"/>
      <c r="P10" s="34"/>
      <c r="Q10" s="5">
        <v>4485</v>
      </c>
      <c r="R10" s="43" cm="1">
        <f t="array" ref="R10">IFERROR(IF(H10&gt;10,H10/C10*0.8769,""),“”)</f>
        <v>0.290325</v>
      </c>
      <c r="S10" s="43" cm="1">
        <f t="array" ref="S10">IFERROR(IF(I10&gt;10,I10/D10*0.8769,""),“”)</f>
        <v>0.28571978672985782</v>
      </c>
      <c r="T10" s="43" t="str" cm="1">
        <f t="array" ref="T10">IFERROR(IF(J10&gt;10,J10/E10*0.8769,""),“”)</f>
        <v/>
      </c>
      <c r="U10" s="43" t="str" cm="1">
        <f t="array" ref="U10">IFERROR(IF(K10&gt;10,K10/F10*0.8769,""),“”)</f>
        <v/>
      </c>
      <c r="V10" s="54">
        <f t="shared" si="0"/>
        <v>0.290325</v>
      </c>
      <c r="X10" s="37" t="s">
        <v>84</v>
      </c>
      <c r="Y10" s="43">
        <f t="shared" si="10"/>
        <v>0.36837899543378994</v>
      </c>
      <c r="Z10" s="43">
        <f t="shared" si="1"/>
        <v>0.38378995433789953</v>
      </c>
      <c r="AA10" s="43">
        <f t="shared" si="1"/>
        <v>0.40810502283105021</v>
      </c>
      <c r="AB10" s="43">
        <f t="shared" si="1"/>
        <v>0.42659817351598173</v>
      </c>
      <c r="AC10" s="43">
        <f t="shared" si="1"/>
        <v>0.44600456621004564</v>
      </c>
      <c r="AD10" s="43">
        <f t="shared" si="2"/>
        <v>0</v>
      </c>
      <c r="AE10" s="43">
        <f t="shared" si="3"/>
        <v>0</v>
      </c>
      <c r="AF10" s="43">
        <f t="shared" si="4"/>
        <v>0</v>
      </c>
      <c r="AG10" s="43">
        <f t="shared" si="5"/>
        <v>5.3424657534246578E-2</v>
      </c>
      <c r="AH10" s="43">
        <f t="shared" si="6"/>
        <v>8.21917808219178E-3</v>
      </c>
      <c r="AI10" s="43">
        <f t="shared" si="11"/>
        <v>0</v>
      </c>
      <c r="AJ10" s="43">
        <f t="shared" si="12"/>
        <v>0</v>
      </c>
      <c r="AK10" s="43">
        <f t="shared" si="13"/>
        <v>0</v>
      </c>
      <c r="AL10" s="43">
        <f t="shared" si="14"/>
        <v>0</v>
      </c>
      <c r="AM10" s="43">
        <f t="shared" si="15"/>
        <v>0</v>
      </c>
    </row>
    <row r="11" spans="1:39">
      <c r="A11" s="53" t="s">
        <v>85</v>
      </c>
      <c r="B11" s="37">
        <v>2016</v>
      </c>
      <c r="C11" s="36">
        <f t="shared" si="8"/>
        <v>2104</v>
      </c>
      <c r="D11" s="5">
        <v>1991</v>
      </c>
      <c r="E11" s="5">
        <v>12</v>
      </c>
      <c r="F11" s="5">
        <v>2</v>
      </c>
      <c r="G11" s="5">
        <v>99</v>
      </c>
      <c r="H11" s="36">
        <f t="shared" si="9"/>
        <v>807</v>
      </c>
      <c r="I11" s="5">
        <v>761</v>
      </c>
      <c r="J11" s="5">
        <v>3</v>
      </c>
      <c r="K11" s="5">
        <v>0</v>
      </c>
      <c r="L11" s="5">
        <v>43</v>
      </c>
      <c r="M11" s="36"/>
      <c r="N11" s="5">
        <v>3887</v>
      </c>
      <c r="O11" s="5">
        <v>2775</v>
      </c>
      <c r="P11" s="5">
        <v>1733</v>
      </c>
      <c r="Q11" s="5">
        <v>4934</v>
      </c>
      <c r="R11" s="43" cm="1">
        <f t="array" ref="R11">IFERROR(IF(H11&gt;10,H11/C11*0.8769,""),“”)</f>
        <v>0.33633949619771863</v>
      </c>
      <c r="S11" s="43" cm="1">
        <f t="array" ref="S11">IFERROR(IF(I11&gt;10,I11/D11*0.8769,""),“”)</f>
        <v>0.3351687091913611</v>
      </c>
      <c r="T11" s="43" t="str" cm="1">
        <f t="array" ref="T11">IFERROR(IF(J11&gt;10,J11/E11*0.8769,""),“”)</f>
        <v/>
      </c>
      <c r="U11" s="43" t="str" cm="1">
        <f t="array" ref="U11">IFERROR(IF(K11&gt;10,K11/F11*0.8769,""),“”)</f>
        <v/>
      </c>
      <c r="V11" s="54">
        <f t="shared" si="0"/>
        <v>0.33701128107074568</v>
      </c>
      <c r="X11" s="37" t="s">
        <v>85</v>
      </c>
      <c r="Y11" s="43">
        <f t="shared" si="10"/>
        <v>0.44372146118721462</v>
      </c>
      <c r="Z11" s="43">
        <f t="shared" si="1"/>
        <v>0.43710045662100455</v>
      </c>
      <c r="AA11" s="43">
        <f t="shared" si="1"/>
        <v>0.43824200913242012</v>
      </c>
      <c r="AB11" s="43">
        <f t="shared" si="1"/>
        <v>0.4452054794520548</v>
      </c>
      <c r="AC11" s="43">
        <f t="shared" si="1"/>
        <v>0.42648401826484017</v>
      </c>
      <c r="AD11" s="43">
        <f t="shared" si="2"/>
        <v>0.31678082191780821</v>
      </c>
      <c r="AE11" s="43">
        <f t="shared" si="3"/>
        <v>0.21678082191780823</v>
      </c>
      <c r="AF11" s="43">
        <f t="shared" si="4"/>
        <v>0.31632420091324198</v>
      </c>
      <c r="AG11" s="43">
        <f t="shared" si="5"/>
        <v>0.30787671232876712</v>
      </c>
      <c r="AH11" s="43">
        <f t="shared" si="6"/>
        <v>0.31084474885844748</v>
      </c>
      <c r="AI11" s="43">
        <f t="shared" si="11"/>
        <v>0.19783105022831049</v>
      </c>
      <c r="AJ11" s="43">
        <f t="shared" si="12"/>
        <v>0.15376712328767123</v>
      </c>
      <c r="AK11" s="43">
        <f t="shared" si="13"/>
        <v>0.12853881278538812</v>
      </c>
      <c r="AL11" s="43">
        <f t="shared" si="14"/>
        <v>0</v>
      </c>
      <c r="AM11" s="43">
        <f t="shared" si="15"/>
        <v>0</v>
      </c>
    </row>
    <row r="12" spans="1:39">
      <c r="A12" s="53" t="s">
        <v>86</v>
      </c>
      <c r="B12" s="37">
        <v>2016</v>
      </c>
      <c r="C12" s="36">
        <f t="shared" si="8"/>
        <v>2263</v>
      </c>
      <c r="D12" s="5">
        <v>1509</v>
      </c>
      <c r="E12" s="5">
        <v>570</v>
      </c>
      <c r="F12" s="5">
        <v>86</v>
      </c>
      <c r="G12" s="5">
        <v>98</v>
      </c>
      <c r="H12" s="36">
        <f t="shared" si="9"/>
        <v>817</v>
      </c>
      <c r="I12" s="5">
        <v>663</v>
      </c>
      <c r="J12" s="5">
        <v>102</v>
      </c>
      <c r="K12" s="5">
        <v>1</v>
      </c>
      <c r="L12" s="5">
        <v>51</v>
      </c>
      <c r="M12" s="36"/>
      <c r="N12" s="5">
        <v>4382</v>
      </c>
      <c r="O12" s="5">
        <v>1798</v>
      </c>
      <c r="P12" s="5">
        <v>103</v>
      </c>
      <c r="Q12" s="5">
        <v>5314</v>
      </c>
      <c r="R12" s="43" cm="1">
        <f t="array" ref="R12">IFERROR(IF(H12&gt;10,H12/C12*0.8769,""),“”)</f>
        <v>0.31658298718515249</v>
      </c>
      <c r="S12" s="43" cm="1">
        <f t="array" ref="S12">IFERROR(IF(I12&gt;10,I12/D12*0.8769,""),“”)</f>
        <v>0.38527813121272364</v>
      </c>
      <c r="T12" s="43" cm="1">
        <f t="array" ref="T12">IFERROR(IF(J12&gt;10,J12/E12*0.8769,""),“”)</f>
        <v>0.15691894736842105</v>
      </c>
      <c r="U12" s="43" t="str" cm="1">
        <f t="array" ref="U12">IFERROR(IF(K12&gt;10,K12/F12*0.8769,""),“”)</f>
        <v/>
      </c>
      <c r="V12" s="54">
        <f t="shared" si="0"/>
        <v>0.37033874778499709</v>
      </c>
      <c r="X12" s="37" t="s">
        <v>86</v>
      </c>
      <c r="Y12" s="43">
        <f t="shared" si="10"/>
        <v>0.50022831050228311</v>
      </c>
      <c r="Z12" s="43">
        <f t="shared" si="1"/>
        <v>0.51449771689497714</v>
      </c>
      <c r="AA12" s="43">
        <f t="shared" si="1"/>
        <v>0.49052511415525113</v>
      </c>
      <c r="AB12" s="43">
        <f t="shared" si="1"/>
        <v>0.46073059360730595</v>
      </c>
      <c r="AC12" s="43">
        <f t="shared" si="1"/>
        <v>0.47031963470319632</v>
      </c>
      <c r="AD12" s="43">
        <f t="shared" si="2"/>
        <v>0.20525114155251142</v>
      </c>
      <c r="AE12" s="43">
        <f t="shared" si="3"/>
        <v>0.21894977168949772</v>
      </c>
      <c r="AF12" s="43">
        <f t="shared" si="4"/>
        <v>0.22968036529680366</v>
      </c>
      <c r="AG12" s="43">
        <f t="shared" si="5"/>
        <v>0.21289954337899544</v>
      </c>
      <c r="AH12" s="43">
        <f t="shared" si="6"/>
        <v>0.22739726027397261</v>
      </c>
      <c r="AI12" s="43">
        <f t="shared" si="11"/>
        <v>1.1757990867579908E-2</v>
      </c>
      <c r="AJ12" s="43">
        <f t="shared" si="12"/>
        <v>1.6552511415525113E-2</v>
      </c>
      <c r="AK12" s="43">
        <f t="shared" si="13"/>
        <v>1.5296803652968037E-2</v>
      </c>
      <c r="AL12" s="43">
        <f t="shared" si="14"/>
        <v>1.3242009132420091E-2</v>
      </c>
      <c r="AM12" s="43">
        <f t="shared" si="15"/>
        <v>2.2374429223744292E-2</v>
      </c>
    </row>
    <row r="13" spans="1:39">
      <c r="A13" s="53" t="s">
        <v>87</v>
      </c>
      <c r="B13" s="37">
        <v>2016</v>
      </c>
      <c r="C13" s="36">
        <f t="shared" si="8"/>
        <v>8727</v>
      </c>
      <c r="D13" s="5">
        <v>7448</v>
      </c>
      <c r="E13" s="5">
        <v>957</v>
      </c>
      <c r="F13" s="34"/>
      <c r="G13" s="5">
        <v>322</v>
      </c>
      <c r="H13" s="36">
        <f t="shared" si="9"/>
        <v>4438</v>
      </c>
      <c r="I13" s="5">
        <v>3923</v>
      </c>
      <c r="J13" s="5">
        <v>308</v>
      </c>
      <c r="K13" s="34"/>
      <c r="L13" s="5">
        <v>207</v>
      </c>
      <c r="M13" s="36"/>
      <c r="N13" s="5">
        <v>5272</v>
      </c>
      <c r="O13" s="5">
        <v>3203</v>
      </c>
      <c r="P13" s="34"/>
      <c r="Q13" s="5">
        <v>6614</v>
      </c>
      <c r="R13" s="43" cm="1">
        <f t="array" ref="R13">IFERROR(IF(H13&gt;10,H13/C13*0.8769,""),“”)</f>
        <v>0.44593585424544518</v>
      </c>
      <c r="S13" s="43" cm="1">
        <f t="array" ref="S13">IFERROR(IF(I13&gt;10,I13/D13*0.8769,""),“”)</f>
        <v>0.46187952470461874</v>
      </c>
      <c r="T13" s="43" cm="1">
        <f t="array" ref="T13">IFERROR(IF(J13&gt;10,J13/E13*0.8769,""),“”)</f>
        <v>0.28222068965517244</v>
      </c>
      <c r="U13" s="43" t="str" cm="1">
        <f t="array" ref="U13">IFERROR(IF(K13&gt;10,K13/F13*0.8769,""),“”)</f>
        <v/>
      </c>
      <c r="V13" s="54">
        <f t="shared" si="0"/>
        <v>0.46610000000000001</v>
      </c>
      <c r="X13" s="37" t="s">
        <v>87</v>
      </c>
      <c r="Y13" s="43">
        <f t="shared" si="10"/>
        <v>0.60182648401826488</v>
      </c>
      <c r="Z13" s="43">
        <f t="shared" si="1"/>
        <v>0.57625570776255708</v>
      </c>
      <c r="AA13" s="43">
        <f t="shared" si="1"/>
        <v>0.53561643835616435</v>
      </c>
      <c r="AB13" s="43">
        <f t="shared" si="1"/>
        <v>0.50582191780821917</v>
      </c>
      <c r="AC13" s="43">
        <f t="shared" si="1"/>
        <v>0.50958904109589043</v>
      </c>
      <c r="AD13" s="43">
        <f t="shared" si="2"/>
        <v>0.36563926940639269</v>
      </c>
      <c r="AE13" s="43">
        <f t="shared" si="3"/>
        <v>0.41849315068493148</v>
      </c>
      <c r="AF13" s="43">
        <f t="shared" si="4"/>
        <v>0.4197488584474886</v>
      </c>
      <c r="AG13" s="43">
        <f t="shared" si="5"/>
        <v>0.38710045662100456</v>
      </c>
      <c r="AH13" s="43">
        <f t="shared" si="6"/>
        <v>0.33493150684931505</v>
      </c>
      <c r="AI13" s="43">
        <f t="shared" si="11"/>
        <v>0</v>
      </c>
      <c r="AJ13" s="43">
        <f t="shared" si="12"/>
        <v>0</v>
      </c>
      <c r="AK13" s="43">
        <f t="shared" si="13"/>
        <v>0</v>
      </c>
      <c r="AL13" s="43">
        <f t="shared" si="14"/>
        <v>0</v>
      </c>
      <c r="AM13" s="43">
        <f t="shared" si="15"/>
        <v>0</v>
      </c>
    </row>
    <row r="14" spans="1:39">
      <c r="A14" s="53" t="s">
        <v>88</v>
      </c>
      <c r="B14" s="37">
        <v>2016</v>
      </c>
      <c r="C14" s="36">
        <f t="shared" si="8"/>
        <v>6063</v>
      </c>
      <c r="D14" s="5">
        <v>4629</v>
      </c>
      <c r="E14" s="5">
        <v>1228</v>
      </c>
      <c r="F14" s="5">
        <v>6</v>
      </c>
      <c r="G14" s="5">
        <v>200</v>
      </c>
      <c r="H14" s="36">
        <f t="shared" si="9"/>
        <v>2366</v>
      </c>
      <c r="I14" s="5">
        <v>2098</v>
      </c>
      <c r="J14" s="5">
        <v>156</v>
      </c>
      <c r="K14" s="5">
        <v>0</v>
      </c>
      <c r="L14" s="5">
        <v>112</v>
      </c>
      <c r="M14" s="36"/>
      <c r="N14" s="5">
        <v>4548</v>
      </c>
      <c r="O14" s="5">
        <v>1270</v>
      </c>
      <c r="P14" s="34"/>
      <c r="Q14" s="5">
        <v>6013</v>
      </c>
      <c r="R14" s="43" cm="1">
        <f t="array" ref="R14">IFERROR(IF(H14&gt;10,H14/C14*0.8769,""),“”)</f>
        <v>0.3421978228599703</v>
      </c>
      <c r="S14" s="43" cm="1">
        <f t="array" ref="S14">IFERROR(IF(I14&gt;10,I14/D14*0.8769,""),“”)</f>
        <v>0.39743707064160727</v>
      </c>
      <c r="T14" s="43" cm="1">
        <f t="array" ref="T14">IFERROR(IF(J14&gt;10,J14/E14*0.8769,""),“”)</f>
        <v>0.11139771986970684</v>
      </c>
      <c r="U14" s="43" t="str" cm="1">
        <f t="array" ref="U14">IFERROR(IF(K14&gt;10,K14/F14*0.8769,""),“”)</f>
        <v/>
      </c>
      <c r="V14" s="54">
        <f t="shared" si="0"/>
        <v>0.40081675284384694</v>
      </c>
      <c r="X14" s="37" t="s">
        <v>88</v>
      </c>
      <c r="Y14" s="43">
        <f t="shared" si="10"/>
        <v>0.51917808219178085</v>
      </c>
      <c r="Z14" s="43">
        <f t="shared" si="1"/>
        <v>0.55662100456621</v>
      </c>
      <c r="AA14" s="43">
        <f t="shared" si="1"/>
        <v>0.5602739726027397</v>
      </c>
      <c r="AB14" s="43">
        <f t="shared" si="1"/>
        <v>0.53881278538812782</v>
      </c>
      <c r="AC14" s="43">
        <f t="shared" si="1"/>
        <v>0.51312785388127857</v>
      </c>
      <c r="AD14" s="43">
        <f t="shared" si="2"/>
        <v>0.1449771689497717</v>
      </c>
      <c r="AE14" s="43">
        <f t="shared" si="3"/>
        <v>0.14143835616438355</v>
      </c>
      <c r="AF14" s="43">
        <f t="shared" si="4"/>
        <v>0.1428082191780822</v>
      </c>
      <c r="AG14" s="43">
        <f t="shared" si="5"/>
        <v>0.13961187214611873</v>
      </c>
      <c r="AH14" s="43">
        <f t="shared" si="6"/>
        <v>0.14691780821917808</v>
      </c>
      <c r="AI14" s="43">
        <f t="shared" si="11"/>
        <v>0</v>
      </c>
      <c r="AJ14" s="43">
        <f t="shared" si="12"/>
        <v>0</v>
      </c>
      <c r="AK14" s="43">
        <f t="shared" si="13"/>
        <v>0</v>
      </c>
      <c r="AL14" s="43">
        <f t="shared" si="14"/>
        <v>0</v>
      </c>
      <c r="AM14" s="43">
        <f t="shared" si="15"/>
        <v>0</v>
      </c>
    </row>
    <row r="15" spans="1:39">
      <c r="A15" s="53" t="s">
        <v>89</v>
      </c>
      <c r="B15" s="37">
        <v>2016</v>
      </c>
      <c r="C15" s="36">
        <f t="shared" si="8"/>
        <v>4916</v>
      </c>
      <c r="D15" s="5">
        <v>4669</v>
      </c>
      <c r="E15" s="5">
        <v>11</v>
      </c>
      <c r="F15" s="34"/>
      <c r="G15" s="5">
        <v>236</v>
      </c>
      <c r="H15" s="36">
        <f t="shared" si="9"/>
        <v>2134</v>
      </c>
      <c r="I15" s="5">
        <v>1997</v>
      </c>
      <c r="J15" s="5">
        <v>6</v>
      </c>
      <c r="K15" s="34"/>
      <c r="L15" s="5">
        <v>131</v>
      </c>
      <c r="M15" s="36"/>
      <c r="N15" s="5">
        <v>4425</v>
      </c>
      <c r="O15" s="5">
        <v>3883</v>
      </c>
      <c r="P15" s="34"/>
      <c r="Q15" s="5">
        <v>5759</v>
      </c>
      <c r="R15" s="43" cm="1">
        <f t="array" ref="R15">IFERROR(IF(H15&gt;10,H15/C15*0.8769,""),“”)</f>
        <v>0.38065593978844586</v>
      </c>
      <c r="S15" s="43" cm="1">
        <f t="array" ref="S15">IFERROR(IF(I15&gt;10,I15/D15*0.8769,""),“”)</f>
        <v>0.37506303276932962</v>
      </c>
      <c r="T15" s="43" t="str" cm="1">
        <f t="array" ref="T15">IFERROR(IF(J15&gt;10,J15/E15*0.8769,""),“”)</f>
        <v/>
      </c>
      <c r="U15" s="43" t="str" cm="1">
        <f t="array" ref="U15">IFERROR(IF(K15&gt;10,K15/F15*0.8769,""),“”)</f>
        <v/>
      </c>
      <c r="V15" s="54">
        <f t="shared" si="0"/>
        <v>0.38043694189602445</v>
      </c>
      <c r="X15" s="37" t="s">
        <v>89</v>
      </c>
      <c r="Y15" s="43">
        <f t="shared" si="10"/>
        <v>0.50513698630136983</v>
      </c>
      <c r="Z15" s="43">
        <f t="shared" si="1"/>
        <v>0.51678082191780816</v>
      </c>
      <c r="AA15" s="43">
        <f t="shared" si="1"/>
        <v>0.57077625570776258</v>
      </c>
      <c r="AB15" s="43">
        <f t="shared" si="1"/>
        <v>0.54714611872146124</v>
      </c>
      <c r="AC15" s="43">
        <f t="shared" si="1"/>
        <v>0.51472602739726026</v>
      </c>
      <c r="AD15" s="43">
        <f t="shared" si="2"/>
        <v>0.44326484018264839</v>
      </c>
      <c r="AE15" s="43">
        <f t="shared" si="3"/>
        <v>0.18105022831050227</v>
      </c>
      <c r="AF15" s="43">
        <f t="shared" si="4"/>
        <v>0.25582191780821917</v>
      </c>
      <c r="AG15" s="43">
        <f t="shared" si="5"/>
        <v>0.11712328767123288</v>
      </c>
      <c r="AH15" s="43">
        <f t="shared" si="6"/>
        <v>7.4999999999999997E-2</v>
      </c>
      <c r="AI15" s="43">
        <f t="shared" si="11"/>
        <v>0</v>
      </c>
      <c r="AJ15" s="43">
        <f t="shared" si="12"/>
        <v>0</v>
      </c>
      <c r="AK15" s="43">
        <f t="shared" si="13"/>
        <v>0</v>
      </c>
      <c r="AL15" s="43">
        <f t="shared" si="14"/>
        <v>0</v>
      </c>
      <c r="AM15" s="43">
        <f t="shared" si="15"/>
        <v>0</v>
      </c>
    </row>
    <row r="16" spans="1:39">
      <c r="A16" s="53" t="s">
        <v>90</v>
      </c>
      <c r="B16" s="37">
        <v>2016</v>
      </c>
      <c r="C16" s="36">
        <f t="shared" si="8"/>
        <v>2902</v>
      </c>
      <c r="D16" s="5">
        <v>2394</v>
      </c>
      <c r="E16" s="5">
        <v>387</v>
      </c>
      <c r="F16" s="34"/>
      <c r="G16" s="5">
        <v>121</v>
      </c>
      <c r="H16" s="36">
        <f t="shared" si="9"/>
        <v>916</v>
      </c>
      <c r="I16" s="5">
        <v>781</v>
      </c>
      <c r="J16" s="5">
        <v>67</v>
      </c>
      <c r="K16" s="5">
        <v>1</v>
      </c>
      <c r="L16" s="5">
        <v>67</v>
      </c>
      <c r="M16" s="36"/>
      <c r="N16" s="5">
        <v>3262</v>
      </c>
      <c r="O16" s="5">
        <v>1740</v>
      </c>
      <c r="P16" s="34"/>
      <c r="Q16" s="5">
        <v>6084</v>
      </c>
      <c r="R16" s="43" cm="1">
        <f t="array" ref="R16">IFERROR(IF(H16&gt;10,H16/C16*0.8769,""),“”)</f>
        <v>0.27678855961405924</v>
      </c>
      <c r="S16" s="43" cm="1">
        <f t="array" ref="S16">IFERROR(IF(I16&gt;10,I16/D16*0.8769,""),“”)</f>
        <v>0.28607305764411028</v>
      </c>
      <c r="T16" s="43" cm="1">
        <f t="array" ref="T16">IFERROR(IF(J16&gt;10,J16/E16*0.8769,""),“”)</f>
        <v>0.15181472868217055</v>
      </c>
      <c r="U16" s="43" t="str" cm="1">
        <f t="array" ref="U16">IFERROR(IF(K16&gt;10,K16/F16*0.8769,""),“”)</f>
        <v/>
      </c>
      <c r="V16" s="54">
        <f t="shared" si="0"/>
        <v>0.29601912524850899</v>
      </c>
      <c r="X16" s="37" t="s">
        <v>90</v>
      </c>
      <c r="Y16" s="43">
        <f t="shared" si="10"/>
        <v>0.37237442922374431</v>
      </c>
      <c r="Z16" s="43">
        <f t="shared" si="1"/>
        <v>0.47043378995433788</v>
      </c>
      <c r="AA16" s="43">
        <f t="shared" si="1"/>
        <v>0.55650684931506844</v>
      </c>
      <c r="AB16" s="43">
        <f t="shared" si="1"/>
        <v>0.52591324200913248</v>
      </c>
      <c r="AC16" s="43">
        <f t="shared" si="1"/>
        <v>0.56997716894977168</v>
      </c>
      <c r="AD16" s="43">
        <f t="shared" si="2"/>
        <v>0.19863013698630136</v>
      </c>
      <c r="AE16" s="43">
        <f t="shared" si="3"/>
        <v>0.18744292237442922</v>
      </c>
      <c r="AF16" s="43">
        <f t="shared" si="4"/>
        <v>0.18698630136986302</v>
      </c>
      <c r="AG16" s="43">
        <f t="shared" si="5"/>
        <v>0.19394977168949773</v>
      </c>
      <c r="AH16" s="43">
        <f t="shared" si="6"/>
        <v>0.18584474885844748</v>
      </c>
      <c r="AI16" s="43">
        <f t="shared" si="11"/>
        <v>0</v>
      </c>
      <c r="AJ16" s="43">
        <f t="shared" si="12"/>
        <v>0</v>
      </c>
      <c r="AK16" s="43">
        <f t="shared" si="13"/>
        <v>0</v>
      </c>
      <c r="AL16" s="43">
        <f t="shared" si="14"/>
        <v>0</v>
      </c>
      <c r="AM16" s="43">
        <f t="shared" si="15"/>
        <v>0</v>
      </c>
    </row>
    <row r="17" spans="1:39">
      <c r="A17" s="53" t="s">
        <v>91</v>
      </c>
      <c r="B17" s="37">
        <v>2016</v>
      </c>
      <c r="C17" s="36">
        <f t="shared" si="8"/>
        <v>1918</v>
      </c>
      <c r="D17" s="5">
        <v>1721</v>
      </c>
      <c r="E17" s="5">
        <v>10</v>
      </c>
      <c r="F17" s="34"/>
      <c r="G17" s="5">
        <v>187</v>
      </c>
      <c r="H17" s="36">
        <f t="shared" si="9"/>
        <v>856</v>
      </c>
      <c r="I17" s="5">
        <v>745</v>
      </c>
      <c r="J17" s="5">
        <v>4</v>
      </c>
      <c r="K17" s="34"/>
      <c r="L17" s="5">
        <v>107</v>
      </c>
      <c r="M17" s="36"/>
      <c r="N17" s="5">
        <v>4417</v>
      </c>
      <c r="O17" s="5">
        <v>4603</v>
      </c>
      <c r="P17" s="34"/>
      <c r="Q17" s="5">
        <v>5932</v>
      </c>
      <c r="R17" s="43" cm="1">
        <f t="array" ref="R17">IFERROR(IF(H17&gt;10,H17/C17*0.8769,""),“”)</f>
        <v>0.39135891553701774</v>
      </c>
      <c r="S17" s="43" cm="1">
        <f t="array" ref="S17">IFERROR(IF(I17&gt;10,I17/D17*0.8769,""),“”)</f>
        <v>0.37959936083672285</v>
      </c>
      <c r="T17" s="43" t="str" cm="1">
        <f t="array" ref="T17">IFERROR(IF(J17&gt;10,J17/E17*0.8769,""),“”)</f>
        <v/>
      </c>
      <c r="U17" s="43" t="str" cm="1">
        <f t="array" ref="U17">IFERROR(IF(K17&gt;10,K17/F17*0.8769,""),“”)</f>
        <v/>
      </c>
      <c r="V17" s="54">
        <f t="shared" si="0"/>
        <v>0.39157169811320758</v>
      </c>
      <c r="X17" s="37" t="s">
        <v>91</v>
      </c>
      <c r="Y17" s="43">
        <f t="shared" si="10"/>
        <v>0.50422374429223749</v>
      </c>
      <c r="Z17" s="43">
        <f t="shared" si="1"/>
        <v>0.55856164383561646</v>
      </c>
      <c r="AA17" s="43">
        <f t="shared" si="1"/>
        <v>0.59109589041095889</v>
      </c>
      <c r="AB17" s="43">
        <f t="shared" si="1"/>
        <v>0.57739726027397265</v>
      </c>
      <c r="AC17" s="43">
        <f t="shared" si="1"/>
        <v>0.58287671232876714</v>
      </c>
      <c r="AD17" s="43">
        <f t="shared" si="2"/>
        <v>0.52545662100456625</v>
      </c>
      <c r="AE17" s="43">
        <f t="shared" si="3"/>
        <v>0.54554794520547945</v>
      </c>
      <c r="AF17" s="43">
        <f t="shared" si="4"/>
        <v>0.55228310502283107</v>
      </c>
      <c r="AG17" s="43">
        <f t="shared" si="5"/>
        <v>0.47671232876712327</v>
      </c>
      <c r="AH17" s="43">
        <f t="shared" si="6"/>
        <v>0.32031963470319635</v>
      </c>
      <c r="AI17" s="43">
        <f t="shared" si="11"/>
        <v>0</v>
      </c>
      <c r="AJ17" s="43">
        <f t="shared" si="12"/>
        <v>0</v>
      </c>
      <c r="AK17" s="43">
        <f t="shared" si="13"/>
        <v>0</v>
      </c>
      <c r="AL17" s="43">
        <f t="shared" si="14"/>
        <v>0</v>
      </c>
      <c r="AM17" s="43">
        <f t="shared" si="15"/>
        <v>0</v>
      </c>
    </row>
    <row r="18" spans="1:39">
      <c r="A18" s="53" t="s">
        <v>92</v>
      </c>
      <c r="B18" s="37">
        <v>2016</v>
      </c>
      <c r="C18" s="36">
        <f t="shared" si="8"/>
        <v>9540</v>
      </c>
      <c r="D18" s="83">
        <v>9015</v>
      </c>
      <c r="E18" s="83">
        <v>6</v>
      </c>
      <c r="F18" s="34"/>
      <c r="G18" s="83">
        <v>519</v>
      </c>
      <c r="H18" s="36">
        <f t="shared" si="9"/>
        <v>4671</v>
      </c>
      <c r="I18" s="83">
        <v>4455</v>
      </c>
      <c r="J18" s="83">
        <v>3</v>
      </c>
      <c r="K18" s="34"/>
      <c r="L18" s="83">
        <v>213</v>
      </c>
      <c r="M18" s="36"/>
      <c r="N18" s="83">
        <v>5235</v>
      </c>
      <c r="O18" s="83">
        <v>6498</v>
      </c>
      <c r="P18" s="34"/>
      <c r="Q18" s="83">
        <v>4331</v>
      </c>
      <c r="R18" s="43" cm="1">
        <f t="array" ref="R18">IFERROR(IF(H18&gt;10,H18/C18*0.8769,""),“”)</f>
        <v>0.42935009433962262</v>
      </c>
      <c r="S18" s="43" cm="1">
        <f t="array" ref="S18">IFERROR(IF(I18&gt;10,I18/D18*0.8769,""),“”)</f>
        <v>0.4333432612312812</v>
      </c>
      <c r="T18" s="43" t="str" cm="1">
        <f t="array" ref="T18">IFERROR(IF(J18&gt;10,J18/E18*0.8769,""),“”)</f>
        <v/>
      </c>
      <c r="U18" s="43" t="str" cm="1">
        <f t="array" ref="U18">IFERROR(IF(K18&gt;10,K18/F18*0.8769,""),“”)</f>
        <v/>
      </c>
      <c r="V18" s="54">
        <f t="shared" si="0"/>
        <v>0.42934436752674637</v>
      </c>
      <c r="X18" s="37" t="s">
        <v>92</v>
      </c>
      <c r="Y18" s="43">
        <f t="shared" si="10"/>
        <v>0.5976027397260274</v>
      </c>
      <c r="Z18" s="43">
        <f t="shared" si="1"/>
        <v>0.53378995433789955</v>
      </c>
      <c r="AA18" s="43">
        <f t="shared" si="1"/>
        <v>0.53926940639269405</v>
      </c>
      <c r="AB18" s="43">
        <f t="shared" si="1"/>
        <v>0.50684931506849318</v>
      </c>
      <c r="AC18" s="43">
        <f t="shared" si="1"/>
        <v>0.49668949771689497</v>
      </c>
      <c r="AD18" s="43">
        <f t="shared" si="2"/>
        <v>0.74178082191780825</v>
      </c>
      <c r="AE18" s="43">
        <f t="shared" si="3"/>
        <v>0.45936073059360732</v>
      </c>
      <c r="AF18" s="43">
        <f t="shared" si="4"/>
        <v>0.38013698630136988</v>
      </c>
      <c r="AG18" s="43">
        <f t="shared" si="5"/>
        <v>0.38253424657534246</v>
      </c>
      <c r="AH18" s="43">
        <f t="shared" si="6"/>
        <v>0.38470319634703198</v>
      </c>
      <c r="AI18" s="43">
        <f t="shared" si="11"/>
        <v>0</v>
      </c>
      <c r="AJ18" s="43">
        <f t="shared" si="12"/>
        <v>0</v>
      </c>
      <c r="AK18" s="43">
        <f t="shared" si="13"/>
        <v>0</v>
      </c>
      <c r="AL18" s="43">
        <f t="shared" si="14"/>
        <v>0</v>
      </c>
      <c r="AM18" s="43">
        <f t="shared" si="15"/>
        <v>0</v>
      </c>
    </row>
    <row r="19" spans="1:39">
      <c r="A19" s="53" t="s">
        <v>93</v>
      </c>
      <c r="B19" s="37">
        <v>2016</v>
      </c>
      <c r="C19" s="36">
        <f t="shared" si="8"/>
        <v>6431</v>
      </c>
      <c r="D19" s="34">
        <v>6164</v>
      </c>
      <c r="E19" s="34">
        <v>161</v>
      </c>
      <c r="F19" s="34"/>
      <c r="G19" s="34">
        <v>106</v>
      </c>
      <c r="H19" s="36">
        <f t="shared" si="9"/>
        <v>2474</v>
      </c>
      <c r="I19" s="34">
        <v>2403</v>
      </c>
      <c r="J19" s="34">
        <v>34</v>
      </c>
      <c r="K19" s="34"/>
      <c r="L19" s="34">
        <v>37</v>
      </c>
      <c r="M19" s="36"/>
      <c r="N19" s="34">
        <v>3903</v>
      </c>
      <c r="O19" s="34">
        <v>2088</v>
      </c>
      <c r="P19" s="34"/>
      <c r="Q19" s="34">
        <v>3717</v>
      </c>
      <c r="R19" s="43" cm="1">
        <f t="array" ref="R19">IFERROR(IF(H19&gt;10,H19/C19*0.8769,""),“”)</f>
        <v>0.33734265277561809</v>
      </c>
      <c r="S19" s="43" cm="1">
        <f t="array" ref="S19">IFERROR(IF(I19&gt;10,I19/D19*0.8769,""),“”)</f>
        <v>0.34185442894224533</v>
      </c>
      <c r="T19" s="43" cm="1">
        <f t="array" ref="T19">IFERROR(IF(J19&gt;10,J19/E19*0.8769,""),“”)</f>
        <v>0.18518385093167702</v>
      </c>
      <c r="U19" s="43" t="str" cm="1">
        <f t="array" ref="U19">IFERROR(IF(K19&gt;10,K19/F19*0.8769,""),“”)</f>
        <v/>
      </c>
      <c r="V19" s="54">
        <f t="shared" si="0"/>
        <v>0.34124976076555025</v>
      </c>
      <c r="X19" s="37" t="s">
        <v>93</v>
      </c>
      <c r="Y19" s="43">
        <f t="shared" si="10"/>
        <v>0.44554794520547947</v>
      </c>
      <c r="Z19" s="43">
        <f t="shared" si="10"/>
        <v>0.44737442922374432</v>
      </c>
      <c r="AA19" s="43">
        <f t="shared" si="10"/>
        <v>0.45445205479452055</v>
      </c>
      <c r="AB19" s="43">
        <f t="shared" si="10"/>
        <v>0.41461187214611872</v>
      </c>
      <c r="AC19" s="43">
        <f t="shared" si="10"/>
        <v>0.39303652968036529</v>
      </c>
      <c r="AD19" s="43">
        <f t="shared" si="2"/>
        <v>0.23835616438356164</v>
      </c>
      <c r="AE19" s="43">
        <f t="shared" si="3"/>
        <v>0.21198630136986302</v>
      </c>
      <c r="AF19" s="43">
        <f t="shared" si="4"/>
        <v>0.18995433789954339</v>
      </c>
      <c r="AG19" s="43">
        <f t="shared" si="5"/>
        <v>9.6118721461187218E-2</v>
      </c>
      <c r="AH19" s="43">
        <f t="shared" si="6"/>
        <v>9.3150684931506855E-2</v>
      </c>
      <c r="AI19" s="43">
        <f t="shared" si="11"/>
        <v>0</v>
      </c>
      <c r="AJ19" s="43">
        <f t="shared" si="12"/>
        <v>0</v>
      </c>
      <c r="AK19" s="43">
        <f t="shared" si="13"/>
        <v>0</v>
      </c>
      <c r="AL19" s="43">
        <f t="shared" si="14"/>
        <v>0</v>
      </c>
      <c r="AM19" s="43">
        <f t="shared" si="15"/>
        <v>0</v>
      </c>
    </row>
    <row r="20" spans="1:39">
      <c r="A20" s="53" t="s">
        <v>94</v>
      </c>
      <c r="B20" s="37">
        <v>2016</v>
      </c>
      <c r="C20" s="36">
        <f t="shared" si="8"/>
        <v>2694</v>
      </c>
      <c r="D20" s="83">
        <v>2405</v>
      </c>
      <c r="E20" s="83">
        <v>76</v>
      </c>
      <c r="F20" s="34"/>
      <c r="G20" s="83">
        <v>213</v>
      </c>
      <c r="H20" s="36">
        <f t="shared" si="9"/>
        <v>1048</v>
      </c>
      <c r="I20" s="83">
        <v>928</v>
      </c>
      <c r="J20" s="83">
        <v>28</v>
      </c>
      <c r="K20" s="34"/>
      <c r="L20" s="83">
        <v>92</v>
      </c>
      <c r="M20" s="36"/>
      <c r="N20" s="83">
        <v>3957</v>
      </c>
      <c r="O20" s="83">
        <v>3662</v>
      </c>
      <c r="P20" s="34"/>
      <c r="Q20" s="83">
        <v>4424</v>
      </c>
      <c r="R20" s="43" cm="1">
        <f t="array" ref="R20">IFERROR(IF(H20&gt;10,H20/C20*0.8769,""),“”)</f>
        <v>0.34112516703786189</v>
      </c>
      <c r="S20" s="43" cm="1">
        <f t="array" ref="S20">IFERROR(IF(I20&gt;10,I20/D20*0.8769,""),“”)</f>
        <v>0.33836307692307693</v>
      </c>
      <c r="T20" s="43" cm="1">
        <f t="array" ref="T20">IFERROR(IF(J20&gt;10,J20/E20*0.8769,""),“”)</f>
        <v>0.32306842105263156</v>
      </c>
      <c r="U20" s="43" t="str" cm="1">
        <f t="array" ref="U20">IFERROR(IF(K20&gt;10,K20/F20*0.8769,""),“”)</f>
        <v/>
      </c>
      <c r="V20" s="54">
        <f t="shared" si="0"/>
        <v>0.34164935064935065</v>
      </c>
      <c r="X20" s="37" t="s">
        <v>94</v>
      </c>
      <c r="Y20" s="43">
        <f t="shared" si="10"/>
        <v>0.45171232876712331</v>
      </c>
      <c r="Z20" s="43">
        <f t="shared" si="10"/>
        <v>0.44863013698630139</v>
      </c>
      <c r="AA20" s="43">
        <f t="shared" si="10"/>
        <v>0.52808219178082194</v>
      </c>
      <c r="AB20" s="43">
        <f t="shared" si="10"/>
        <v>0.56449771689497719</v>
      </c>
      <c r="AC20" s="43">
        <f t="shared" si="10"/>
        <v>0.44394977168949773</v>
      </c>
      <c r="AD20" s="43">
        <f t="shared" si="2"/>
        <v>0.41803652968036531</v>
      </c>
      <c r="AE20" s="43">
        <f t="shared" si="3"/>
        <v>0.3713470319634703</v>
      </c>
      <c r="AF20" s="43">
        <f t="shared" si="4"/>
        <v>0.36906392694063928</v>
      </c>
      <c r="AG20" s="43">
        <f t="shared" si="5"/>
        <v>0.39143835616438355</v>
      </c>
      <c r="AH20" s="43">
        <f t="shared" si="6"/>
        <v>0.3202054794520548</v>
      </c>
      <c r="AI20" s="43">
        <f t="shared" si="11"/>
        <v>0</v>
      </c>
      <c r="AJ20" s="43">
        <f t="shared" si="12"/>
        <v>0</v>
      </c>
      <c r="AK20" s="43">
        <f t="shared" si="13"/>
        <v>0</v>
      </c>
      <c r="AL20" s="43">
        <f t="shared" si="14"/>
        <v>0</v>
      </c>
      <c r="AM20" s="43">
        <f t="shared" si="15"/>
        <v>0</v>
      </c>
    </row>
    <row r="21" spans="1:39">
      <c r="A21" s="53" t="s">
        <v>95</v>
      </c>
      <c r="B21" s="37">
        <v>2016</v>
      </c>
      <c r="C21" s="36">
        <f t="shared" si="8"/>
        <v>2321</v>
      </c>
      <c r="D21" s="34">
        <v>2113</v>
      </c>
      <c r="E21" s="34">
        <v>10</v>
      </c>
      <c r="F21" s="34">
        <v>7</v>
      </c>
      <c r="G21" s="34">
        <v>191</v>
      </c>
      <c r="H21" s="36">
        <f t="shared" si="9"/>
        <v>732</v>
      </c>
      <c r="I21" s="34">
        <v>614</v>
      </c>
      <c r="J21" s="34">
        <v>6</v>
      </c>
      <c r="K21" s="34">
        <v>3</v>
      </c>
      <c r="L21" s="34">
        <v>109</v>
      </c>
      <c r="M21" s="36"/>
      <c r="N21" s="34">
        <v>3021</v>
      </c>
      <c r="O21" s="34">
        <v>6120</v>
      </c>
      <c r="P21" s="34">
        <v>3968</v>
      </c>
      <c r="Q21" s="34">
        <v>5840</v>
      </c>
      <c r="R21" s="43" cm="1">
        <f t="array" ref="R21">IFERROR(IF(H21&gt;10,H21/C21*0.8769,""),“”)</f>
        <v>0.27655786299009044</v>
      </c>
      <c r="S21" s="43" cm="1">
        <f t="array" ref="S21">IFERROR(IF(I21&gt;10,I21/D21*0.8769,""),“”)</f>
        <v>0.25481145291055374</v>
      </c>
      <c r="T21" s="43" t="str" cm="1">
        <f t="array" ref="T21">IFERROR(IF(J21&gt;10,J21/E21*0.8769,""),“”)</f>
        <v/>
      </c>
      <c r="U21" s="43" t="str" cm="1">
        <f t="array" ref="U21">IFERROR(IF(K21&gt;10,K21/F21*0.8769,""),“”)</f>
        <v/>
      </c>
      <c r="V21" s="54">
        <f t="shared" si="0"/>
        <v>0.27547788836001735</v>
      </c>
      <c r="X21" s="37" t="s">
        <v>95</v>
      </c>
      <c r="Y21" s="43">
        <f t="shared" si="10"/>
        <v>0.34486301369863015</v>
      </c>
      <c r="Z21" s="43">
        <f t="shared" si="10"/>
        <v>0.38093607305936072</v>
      </c>
      <c r="AA21" s="43">
        <f t="shared" si="10"/>
        <v>0.44280821917808222</v>
      </c>
      <c r="AB21" s="43">
        <f t="shared" si="10"/>
        <v>0.43378995433789952</v>
      </c>
      <c r="AC21" s="43">
        <f t="shared" si="10"/>
        <v>0.4014840182648402</v>
      </c>
      <c r="AD21" s="43">
        <f t="shared" si="2"/>
        <v>0.69863013698630139</v>
      </c>
      <c r="AE21" s="43">
        <f t="shared" si="3"/>
        <v>0.76152968036529678</v>
      </c>
      <c r="AF21" s="43">
        <f t="shared" si="4"/>
        <v>0.56849315068493156</v>
      </c>
      <c r="AG21" s="43">
        <f t="shared" si="5"/>
        <v>0.36392694063926939</v>
      </c>
      <c r="AH21" s="43">
        <f t="shared" si="6"/>
        <v>0.28333333333333333</v>
      </c>
      <c r="AI21" s="43">
        <f t="shared" si="11"/>
        <v>0.45296803652968037</v>
      </c>
      <c r="AJ21" s="43">
        <f t="shared" si="12"/>
        <v>0.4598173515981735</v>
      </c>
      <c r="AK21" s="43">
        <f t="shared" si="13"/>
        <v>0.44292237442922372</v>
      </c>
      <c r="AL21" s="43">
        <f t="shared" si="14"/>
        <v>0.448972602739726</v>
      </c>
      <c r="AM21" s="43">
        <f t="shared" si="15"/>
        <v>0.61883561643835616</v>
      </c>
    </row>
    <row r="22" spans="1:39">
      <c r="A22" s="53" t="s">
        <v>96</v>
      </c>
      <c r="B22" s="37">
        <v>2016</v>
      </c>
      <c r="C22" s="36">
        <f t="shared" si="8"/>
        <v>7722</v>
      </c>
      <c r="D22" s="5">
        <v>5992</v>
      </c>
      <c r="E22" s="5">
        <v>1569</v>
      </c>
      <c r="F22" s="5">
        <v>33</v>
      </c>
      <c r="G22" s="5">
        <v>128</v>
      </c>
      <c r="H22" s="36">
        <f t="shared" si="9"/>
        <v>2850</v>
      </c>
      <c r="I22" s="5">
        <v>2297</v>
      </c>
      <c r="J22" s="5">
        <v>489</v>
      </c>
      <c r="K22" s="5">
        <v>12</v>
      </c>
      <c r="L22" s="5">
        <v>52</v>
      </c>
      <c r="M22" s="36"/>
      <c r="N22" s="5">
        <v>3854</v>
      </c>
      <c r="O22" s="5">
        <v>3164</v>
      </c>
      <c r="P22" s="5">
        <v>3815</v>
      </c>
      <c r="Q22" s="5">
        <v>4406</v>
      </c>
      <c r="R22" s="43" cm="1">
        <f t="array" ref="R22">IFERROR(IF(H22&gt;10,H22/C22*0.8769,""),“”)</f>
        <v>0.32364219114219117</v>
      </c>
      <c r="S22" s="43" cm="1">
        <f t="array" ref="S22">IFERROR(IF(I22&gt;10,I22/D22*0.8769,""),“”)</f>
        <v>0.33615475634178904</v>
      </c>
      <c r="T22" s="43" cm="1">
        <f t="array" ref="T22">IFERROR(IF(J22&gt;10,J22/E22*0.8769,""),“”)</f>
        <v>0.2732977055449331</v>
      </c>
      <c r="U22" s="43" cm="1">
        <f t="array" ref="U22">IFERROR(IF(K22&gt;10,K22/F22*0.8769,""),“”)</f>
        <v>0.31887272727272731</v>
      </c>
      <c r="V22" s="54">
        <f t="shared" si="0"/>
        <v>0.33647991223793272</v>
      </c>
      <c r="X22" s="37" t="s">
        <v>96</v>
      </c>
      <c r="Y22" s="43">
        <f t="shared" si="10"/>
        <v>0.43995433789954336</v>
      </c>
      <c r="Z22" s="43">
        <f t="shared" si="10"/>
        <v>0.49098173515981736</v>
      </c>
      <c r="AA22" s="43">
        <f t="shared" si="10"/>
        <v>0.51894977168949774</v>
      </c>
      <c r="AB22" s="43">
        <f t="shared" si="10"/>
        <v>0.47146118721461189</v>
      </c>
      <c r="AC22" s="43">
        <f t="shared" si="10"/>
        <v>0.45057077625570774</v>
      </c>
      <c r="AD22" s="43">
        <f t="shared" si="2"/>
        <v>0.36118721461187214</v>
      </c>
      <c r="AE22" s="43">
        <f t="shared" si="3"/>
        <v>0.37420091324200916</v>
      </c>
      <c r="AF22" s="43">
        <f t="shared" si="4"/>
        <v>0.34908675799086758</v>
      </c>
      <c r="AG22" s="43">
        <f t="shared" si="5"/>
        <v>0.32682648401826486</v>
      </c>
      <c r="AH22" s="43">
        <f t="shared" si="6"/>
        <v>0.33972602739726027</v>
      </c>
      <c r="AI22" s="43">
        <f t="shared" si="11"/>
        <v>0.43550228310502281</v>
      </c>
      <c r="AJ22" s="43">
        <f t="shared" si="12"/>
        <v>0.72682648401826488</v>
      </c>
      <c r="AK22" s="43">
        <f t="shared" si="13"/>
        <v>0</v>
      </c>
      <c r="AL22" s="43">
        <f t="shared" si="14"/>
        <v>0</v>
      </c>
      <c r="AM22" s="43">
        <f t="shared" si="15"/>
        <v>0</v>
      </c>
    </row>
    <row r="23" spans="1:39">
      <c r="A23" s="53" t="s">
        <v>97</v>
      </c>
      <c r="B23" s="37">
        <v>2016</v>
      </c>
      <c r="C23" s="36">
        <f t="shared" si="8"/>
        <v>2185</v>
      </c>
      <c r="D23" s="34">
        <v>1615</v>
      </c>
      <c r="E23" s="34">
        <v>12</v>
      </c>
      <c r="F23" s="34"/>
      <c r="G23" s="34">
        <v>558</v>
      </c>
      <c r="H23" s="36">
        <f t="shared" si="9"/>
        <v>558</v>
      </c>
      <c r="I23" s="34">
        <v>360</v>
      </c>
      <c r="J23" s="34">
        <v>1</v>
      </c>
      <c r="K23" s="34"/>
      <c r="L23" s="34">
        <v>197</v>
      </c>
      <c r="M23" s="36"/>
      <c r="N23" s="34">
        <v>2707</v>
      </c>
      <c r="O23" s="34">
        <v>808</v>
      </c>
      <c r="P23" s="34"/>
      <c r="Q23" s="34">
        <v>3869</v>
      </c>
      <c r="R23" s="43" cm="1">
        <f t="array" ref="R23">IFERROR(IF(H23&gt;10,H23/C23*0.8769,""),“”)</f>
        <v>0.22394059496567509</v>
      </c>
      <c r="S23" s="43" cm="1">
        <f t="array" ref="S23">IFERROR(IF(I23&gt;10,I23/D23*0.8769,""),“”)</f>
        <v>0.19546996904024769</v>
      </c>
      <c r="T23" s="43" t="str" cm="1">
        <f t="array" ref="T23">IFERROR(IF(J23&gt;10,J23/E23*0.8769,""),“”)</f>
        <v/>
      </c>
      <c r="U23" s="43" t="str" cm="1">
        <f t="array" ref="U23">IFERROR(IF(K23&gt;10,K23/F23*0.8769,""),“”)</f>
        <v/>
      </c>
      <c r="V23" s="54">
        <f t="shared" si="0"/>
        <v>0.22477372296364473</v>
      </c>
      <c r="X23" s="37" t="s">
        <v>97</v>
      </c>
      <c r="Y23" s="43">
        <f t="shared" si="10"/>
        <v>0.30901826484018263</v>
      </c>
      <c r="Z23" s="43">
        <f t="shared" si="10"/>
        <v>0.28207762557077626</v>
      </c>
      <c r="AA23" s="43">
        <f t="shared" si="10"/>
        <v>0.3949771689497717</v>
      </c>
      <c r="AB23" s="43">
        <f t="shared" si="10"/>
        <v>0.51175799086757989</v>
      </c>
      <c r="AC23" s="43">
        <f t="shared" si="10"/>
        <v>0.53139269406392697</v>
      </c>
      <c r="AD23" s="43">
        <f t="shared" si="2"/>
        <v>9.223744292237443E-2</v>
      </c>
      <c r="AE23" s="43">
        <f t="shared" si="3"/>
        <v>9.0981735159817348E-2</v>
      </c>
      <c r="AF23" s="43">
        <f t="shared" si="4"/>
        <v>0.15102739726027398</v>
      </c>
      <c r="AG23" s="43">
        <f t="shared" si="5"/>
        <v>0.13162100456621004</v>
      </c>
      <c r="AH23" s="43">
        <f t="shared" si="6"/>
        <v>0.22500000000000001</v>
      </c>
      <c r="AI23" s="43">
        <f t="shared" si="11"/>
        <v>0</v>
      </c>
      <c r="AJ23" s="43">
        <f t="shared" si="12"/>
        <v>0</v>
      </c>
      <c r="AK23" s="43">
        <f t="shared" si="13"/>
        <v>0</v>
      </c>
      <c r="AL23" s="43">
        <f t="shared" si="14"/>
        <v>0</v>
      </c>
      <c r="AM23" s="43">
        <f t="shared" si="15"/>
        <v>0</v>
      </c>
    </row>
    <row r="24" spans="1:39">
      <c r="A24" s="53" t="s">
        <v>98</v>
      </c>
      <c r="B24" s="37">
        <v>2016</v>
      </c>
      <c r="C24" s="36">
        <f t="shared" si="8"/>
        <v>464</v>
      </c>
      <c r="D24" s="5">
        <v>376</v>
      </c>
      <c r="E24" s="5">
        <v>72</v>
      </c>
      <c r="F24" s="34"/>
      <c r="G24" s="5">
        <v>16</v>
      </c>
      <c r="H24" s="36">
        <f t="shared" si="9"/>
        <v>197</v>
      </c>
      <c r="I24" s="5">
        <v>176</v>
      </c>
      <c r="J24" s="5">
        <v>10</v>
      </c>
      <c r="K24" s="34"/>
      <c r="L24" s="5">
        <v>11</v>
      </c>
      <c r="M24" s="36"/>
      <c r="N24" s="5">
        <v>4679</v>
      </c>
      <c r="O24" s="5">
        <v>1423</v>
      </c>
      <c r="P24" s="34"/>
      <c r="Q24" s="5">
        <v>6813</v>
      </c>
      <c r="R24" s="43" cm="1">
        <f t="array" ref="R24">IFERROR(IF(H24&gt;10,H24/C24*0.8769,""),“”)</f>
        <v>0.37230452586206897</v>
      </c>
      <c r="S24" s="43" cm="1">
        <f t="array" ref="S24">IFERROR(IF(I24&gt;10,I24/D24*0.8769,""),“”)</f>
        <v>0.41046382978723406</v>
      </c>
      <c r="T24" s="43" t="str" cm="1">
        <f t="array" ref="T24">IFERROR(IF(J24&gt;10,J24/E24*0.8769,""),“”)</f>
        <v/>
      </c>
      <c r="U24" s="43" t="str" cm="1">
        <f t="array" ref="U24">IFERROR(IF(K24&gt;10,K24/F24*0.8769,""),“”)</f>
        <v/>
      </c>
      <c r="V24" s="54">
        <f t="shared" si="0"/>
        <v>0.41831709183673471</v>
      </c>
      <c r="X24" s="37" t="s">
        <v>98</v>
      </c>
      <c r="Y24" s="43">
        <f t="shared" si="10"/>
        <v>0.53413242009132422</v>
      </c>
      <c r="Z24" s="43">
        <f t="shared" si="10"/>
        <v>0.52694063926940637</v>
      </c>
      <c r="AA24" s="43">
        <f t="shared" si="10"/>
        <v>0.56529680365296808</v>
      </c>
      <c r="AB24" s="43">
        <f t="shared" si="10"/>
        <v>0.56278538812785384</v>
      </c>
      <c r="AC24" s="43">
        <f t="shared" si="10"/>
        <v>0.56347031963470318</v>
      </c>
      <c r="AD24" s="43">
        <f t="shared" si="2"/>
        <v>0.16244292237442923</v>
      </c>
      <c r="AE24" s="43">
        <f t="shared" si="3"/>
        <v>0.16929223744292238</v>
      </c>
      <c r="AF24" s="43">
        <f t="shared" si="4"/>
        <v>0.18321917808219179</v>
      </c>
      <c r="AG24" s="43">
        <f t="shared" si="5"/>
        <v>0.2084474885844749</v>
      </c>
      <c r="AH24" s="43">
        <f t="shared" si="6"/>
        <v>0.19075342465753425</v>
      </c>
      <c r="AI24" s="43">
        <f t="shared" si="11"/>
        <v>0</v>
      </c>
      <c r="AJ24" s="43">
        <f t="shared" si="12"/>
        <v>0</v>
      </c>
      <c r="AK24" s="43">
        <f t="shared" si="13"/>
        <v>0</v>
      </c>
      <c r="AL24" s="43">
        <f t="shared" si="14"/>
        <v>0</v>
      </c>
      <c r="AM24" s="43">
        <f t="shared" si="15"/>
        <v>0</v>
      </c>
    </row>
    <row r="25" spans="1:39">
      <c r="A25" s="53" t="s">
        <v>99</v>
      </c>
      <c r="B25" s="37">
        <v>2016</v>
      </c>
      <c r="C25" s="36">
        <f t="shared" si="8"/>
        <v>1462</v>
      </c>
      <c r="D25" s="34">
        <v>1256</v>
      </c>
      <c r="E25" s="34">
        <v>162</v>
      </c>
      <c r="F25" s="34"/>
      <c r="G25" s="34">
        <v>44</v>
      </c>
      <c r="H25" s="36">
        <f t="shared" si="9"/>
        <v>431</v>
      </c>
      <c r="I25" s="34">
        <v>371</v>
      </c>
      <c r="J25" s="34">
        <v>36</v>
      </c>
      <c r="K25" s="34"/>
      <c r="L25" s="34">
        <v>24</v>
      </c>
      <c r="M25" s="36"/>
      <c r="N25" s="34">
        <v>3425</v>
      </c>
      <c r="O25" s="34">
        <v>2198</v>
      </c>
      <c r="P25" s="34"/>
      <c r="Q25" s="34">
        <v>5578</v>
      </c>
      <c r="R25" s="43" cm="1">
        <f t="array" ref="R25">IFERROR(IF(H25&gt;10,H25/C25*0.8769,""),“”)</f>
        <v>0.25851155950752391</v>
      </c>
      <c r="S25" s="43" cm="1">
        <f t="array" ref="S25">IFERROR(IF(I25&gt;10,I25/D25*0.8769,""),“”)</f>
        <v>0.25902062101910828</v>
      </c>
      <c r="T25" s="43" cm="1">
        <f t="array" ref="T25">IFERROR(IF(J25&gt;10,J25/E25*0.8769,""),“”)</f>
        <v>0.19486666666666666</v>
      </c>
      <c r="U25" s="43" t="str" cm="1">
        <f t="array" ref="U25">IFERROR(IF(K25&gt;10,K25/F25*0.8769,""),“”)</f>
        <v/>
      </c>
      <c r="V25" s="54">
        <f t="shared" si="0"/>
        <v>0.2664426923076923</v>
      </c>
      <c r="X25" s="37" t="s">
        <v>99</v>
      </c>
      <c r="Y25" s="43">
        <f t="shared" si="10"/>
        <v>0.39098173515981738</v>
      </c>
      <c r="Z25" s="43">
        <f t="shared" si="10"/>
        <v>0.34691780821917806</v>
      </c>
      <c r="AA25" s="43">
        <f t="shared" si="10"/>
        <v>0.40833333333333333</v>
      </c>
      <c r="AB25" s="43">
        <f t="shared" si="10"/>
        <v>0.40433789954337901</v>
      </c>
      <c r="AC25" s="43">
        <f t="shared" si="10"/>
        <v>0.38264840182648402</v>
      </c>
      <c r="AD25" s="43">
        <f t="shared" si="2"/>
        <v>0.2509132420091324</v>
      </c>
      <c r="AE25" s="43">
        <f t="shared" si="3"/>
        <v>0.25205479452054796</v>
      </c>
      <c r="AF25" s="43">
        <f t="shared" si="4"/>
        <v>0.33173515981735158</v>
      </c>
      <c r="AG25" s="43">
        <f t="shared" si="5"/>
        <v>0.34018264840182649</v>
      </c>
      <c r="AH25" s="43">
        <f t="shared" si="6"/>
        <v>0.31906392694063929</v>
      </c>
      <c r="AI25" s="43">
        <f t="shared" si="11"/>
        <v>0</v>
      </c>
      <c r="AJ25" s="43">
        <f t="shared" si="12"/>
        <v>0</v>
      </c>
      <c r="AK25" s="43">
        <f t="shared" si="13"/>
        <v>0</v>
      </c>
      <c r="AL25" s="43">
        <f t="shared" si="14"/>
        <v>0</v>
      </c>
      <c r="AM25" s="43">
        <f t="shared" si="15"/>
        <v>0</v>
      </c>
    </row>
    <row r="26" spans="1:39">
      <c r="A26" s="53" t="s">
        <v>100</v>
      </c>
      <c r="B26" s="37">
        <v>2016</v>
      </c>
      <c r="C26" s="36">
        <f t="shared" si="8"/>
        <v>1642</v>
      </c>
      <c r="D26" s="83">
        <v>1399</v>
      </c>
      <c r="E26" s="83">
        <v>122</v>
      </c>
      <c r="F26" s="34"/>
      <c r="G26" s="83">
        <v>121</v>
      </c>
      <c r="H26" s="36">
        <f t="shared" si="9"/>
        <v>349</v>
      </c>
      <c r="I26" s="83">
        <v>273</v>
      </c>
      <c r="J26" s="83">
        <v>22</v>
      </c>
      <c r="K26" s="34"/>
      <c r="L26" s="83">
        <v>54</v>
      </c>
      <c r="M26" s="36"/>
      <c r="N26" s="83">
        <v>1941</v>
      </c>
      <c r="O26" s="83">
        <v>1754</v>
      </c>
      <c r="P26" s="34"/>
      <c r="Q26" s="83">
        <v>4904</v>
      </c>
      <c r="R26" s="43" cm="1">
        <f t="array" ref="R26">IFERROR(IF(H26&gt;10,H26/C26*0.8769,""),“”)</f>
        <v>0.18638130328867236</v>
      </c>
      <c r="S26" s="43" cm="1">
        <f t="array" ref="S26">IFERROR(IF(I26&gt;10,I26/D26*0.8769,""),“”)</f>
        <v>0.17111772694781988</v>
      </c>
      <c r="T26" s="43" cm="1">
        <f t="array" ref="T26">IFERROR(IF(J26&gt;10,J26/E26*0.8769,""),“”)</f>
        <v>0.15812950819672131</v>
      </c>
      <c r="U26" s="43" t="str" cm="1">
        <f t="array" ref="U26">IFERROR(IF(K26&gt;10,K26/F26*0.8769,""),“”)</f>
        <v/>
      </c>
      <c r="V26" s="54">
        <f t="shared" si="0"/>
        <v>0.18864888157894738</v>
      </c>
      <c r="X26" s="37" t="s">
        <v>100</v>
      </c>
      <c r="Y26" s="43">
        <f t="shared" si="10"/>
        <v>0.22157534246575342</v>
      </c>
      <c r="Z26" s="43">
        <f t="shared" si="10"/>
        <v>0.21198630136986302</v>
      </c>
      <c r="AA26" s="43">
        <f t="shared" si="10"/>
        <v>0.28401826484018267</v>
      </c>
      <c r="AB26" s="43">
        <f t="shared" si="10"/>
        <v>0.32488584474885845</v>
      </c>
      <c r="AC26" s="43">
        <f t="shared" si="10"/>
        <v>0.33949771689497715</v>
      </c>
      <c r="AD26" s="43">
        <f t="shared" si="2"/>
        <v>0.2002283105022831</v>
      </c>
      <c r="AE26" s="43">
        <f t="shared" si="3"/>
        <v>0.17157534246575343</v>
      </c>
      <c r="AF26" s="43">
        <f t="shared" si="4"/>
        <v>0.19737442922374429</v>
      </c>
      <c r="AG26" s="43">
        <f t="shared" si="5"/>
        <v>0.23390410958904109</v>
      </c>
      <c r="AH26" s="43">
        <f t="shared" si="6"/>
        <v>0.23561643835616439</v>
      </c>
      <c r="AI26" s="43">
        <f t="shared" si="11"/>
        <v>0</v>
      </c>
      <c r="AJ26" s="43">
        <f t="shared" si="12"/>
        <v>0</v>
      </c>
      <c r="AK26" s="43">
        <f t="shared" si="13"/>
        <v>0</v>
      </c>
      <c r="AL26" s="43">
        <f t="shared" si="14"/>
        <v>0</v>
      </c>
      <c r="AM26" s="43">
        <f t="shared" si="15"/>
        <v>0</v>
      </c>
    </row>
    <row r="27" spans="1:39">
      <c r="A27" s="53" t="s">
        <v>101</v>
      </c>
      <c r="B27" s="37">
        <v>2016</v>
      </c>
      <c r="C27" s="36">
        <f t="shared" si="8"/>
        <v>3013</v>
      </c>
      <c r="D27" s="83">
        <v>3005</v>
      </c>
      <c r="E27" s="34"/>
      <c r="F27" s="34"/>
      <c r="G27" s="83">
        <v>8</v>
      </c>
      <c r="H27" s="36">
        <f t="shared" si="9"/>
        <v>1172</v>
      </c>
      <c r="I27" s="83">
        <v>1167</v>
      </c>
      <c r="J27" s="34"/>
      <c r="K27" s="34"/>
      <c r="L27" s="83">
        <v>5</v>
      </c>
      <c r="M27" s="36"/>
      <c r="N27" s="83">
        <v>3982</v>
      </c>
      <c r="O27" s="34"/>
      <c r="P27" s="34"/>
      <c r="Q27" s="83">
        <v>5387</v>
      </c>
      <c r="R27" s="43" cm="1">
        <f t="array" ref="R27">IFERROR(IF(H27&gt;10,H27/C27*0.8769,""),“”)</f>
        <v>0.34109751078659145</v>
      </c>
      <c r="S27" s="43" cm="1">
        <f t="array" ref="S27">IFERROR(IF(I27&gt;10,I27/D27*0.8769,""),“”)</f>
        <v>0.3405465224625624</v>
      </c>
      <c r="T27" s="43" t="str" cm="1">
        <f t="array" ref="T27">IFERROR(IF(J27&gt;10,J27/E27*0.8769,""),“”)</f>
        <v/>
      </c>
      <c r="U27" s="43" t="str" cm="1">
        <f t="array" ref="U27">IFERROR(IF(K27&gt;10,K27/F27*0.8769,""),“”)</f>
        <v/>
      </c>
      <c r="V27" s="54">
        <f t="shared" si="0"/>
        <v>0.34109751078659145</v>
      </c>
      <c r="X27" s="37" t="s">
        <v>101</v>
      </c>
      <c r="Y27" s="43">
        <f t="shared" si="10"/>
        <v>0.45456621004566211</v>
      </c>
      <c r="Z27" s="43">
        <f t="shared" si="10"/>
        <v>0.44394977168949773</v>
      </c>
      <c r="AA27" s="43">
        <f t="shared" si="10"/>
        <v>0.44931506849315067</v>
      </c>
      <c r="AB27" s="43">
        <f t="shared" si="10"/>
        <v>0.48378995433789956</v>
      </c>
      <c r="AC27" s="43">
        <f t="shared" si="10"/>
        <v>0.44326484018264839</v>
      </c>
      <c r="AD27" s="43">
        <f t="shared" si="2"/>
        <v>0</v>
      </c>
      <c r="AE27" s="43">
        <f t="shared" si="3"/>
        <v>0</v>
      </c>
      <c r="AF27" s="43">
        <f t="shared" si="4"/>
        <v>0</v>
      </c>
      <c r="AG27" s="43">
        <f t="shared" si="5"/>
        <v>0</v>
      </c>
      <c r="AH27" s="43">
        <f t="shared" si="6"/>
        <v>0</v>
      </c>
      <c r="AI27" s="43">
        <f t="shared" si="11"/>
        <v>0</v>
      </c>
      <c r="AJ27" s="43">
        <f t="shared" si="12"/>
        <v>0</v>
      </c>
      <c r="AK27" s="43">
        <f t="shared" si="13"/>
        <v>0</v>
      </c>
      <c r="AL27" s="43">
        <f t="shared" si="14"/>
        <v>0</v>
      </c>
      <c r="AM27" s="43">
        <f t="shared" si="15"/>
        <v>0</v>
      </c>
    </row>
    <row r="28" spans="1:39">
      <c r="A28" s="53" t="s">
        <v>102</v>
      </c>
      <c r="B28" s="37">
        <v>2016</v>
      </c>
      <c r="C28" s="36">
        <f t="shared" si="8"/>
        <v>1612</v>
      </c>
      <c r="D28" s="34">
        <v>1301</v>
      </c>
      <c r="E28" s="34">
        <v>2</v>
      </c>
      <c r="F28" s="34"/>
      <c r="G28" s="34">
        <v>309</v>
      </c>
      <c r="H28" s="36">
        <f t="shared" si="9"/>
        <v>252</v>
      </c>
      <c r="I28" s="34">
        <v>170</v>
      </c>
      <c r="J28" s="34">
        <v>0</v>
      </c>
      <c r="K28" s="34"/>
      <c r="L28" s="34">
        <v>82</v>
      </c>
      <c r="M28" s="36"/>
      <c r="N28" s="34">
        <v>1309</v>
      </c>
      <c r="O28" s="34">
        <v>4158</v>
      </c>
      <c r="P28" s="34"/>
      <c r="Q28" s="34">
        <v>2897</v>
      </c>
      <c r="R28" s="43" cm="1">
        <f t="array" ref="R28">IFERROR(IF(H28&gt;10,H28/C28*0.8769,""),“”)</f>
        <v>0.13708362282878411</v>
      </c>
      <c r="S28" s="43" cm="1">
        <f t="array" ref="S28">IFERROR(IF(I28&gt;10,I28/D28*0.8769,""),“”)</f>
        <v>0.11458339738662567</v>
      </c>
      <c r="T28" s="43" t="str" cm="1">
        <f t="array" ref="T28">IFERROR(IF(J28&gt;10,J28/E28*0.8769,""),“”)</f>
        <v/>
      </c>
      <c r="U28" s="43" t="str" cm="1">
        <f t="array" ref="U28">IFERROR(IF(K28&gt;10,K28/F28*0.8769,""),“”)</f>
        <v/>
      </c>
      <c r="V28" s="54">
        <f t="shared" si="0"/>
        <v>0.13725391304347828</v>
      </c>
      <c r="X28" s="37" t="s">
        <v>102</v>
      </c>
      <c r="Y28" s="43">
        <f t="shared" si="10"/>
        <v>0.14942922374429224</v>
      </c>
      <c r="Z28" s="43">
        <f t="shared" si="10"/>
        <v>0.14646118721461188</v>
      </c>
      <c r="AA28" s="43">
        <f t="shared" si="10"/>
        <v>0.18253424657534248</v>
      </c>
      <c r="AB28" s="43">
        <f t="shared" si="10"/>
        <v>0.19577625570776255</v>
      </c>
      <c r="AC28" s="43">
        <f t="shared" si="10"/>
        <v>0.27933789954337901</v>
      </c>
      <c r="AD28" s="43">
        <f t="shared" si="2"/>
        <v>0.47465753424657536</v>
      </c>
      <c r="AE28" s="43">
        <f t="shared" si="3"/>
        <v>0.55993150684931503</v>
      </c>
      <c r="AF28" s="43">
        <f t="shared" si="4"/>
        <v>0.64223744292237439</v>
      </c>
      <c r="AG28" s="43">
        <f t="shared" si="5"/>
        <v>0.72420091324200908</v>
      </c>
      <c r="AH28" s="43">
        <f t="shared" si="6"/>
        <v>0.51335616438356169</v>
      </c>
      <c r="AI28" s="43">
        <f t="shared" si="11"/>
        <v>0</v>
      </c>
      <c r="AJ28" s="43">
        <f t="shared" si="12"/>
        <v>0</v>
      </c>
      <c r="AK28" s="43">
        <f t="shared" si="13"/>
        <v>0</v>
      </c>
      <c r="AL28" s="43">
        <f t="shared" si="14"/>
        <v>0</v>
      </c>
      <c r="AM28" s="43">
        <f t="shared" si="15"/>
        <v>0</v>
      </c>
    </row>
    <row r="29" spans="1:39">
      <c r="A29" s="53" t="s">
        <v>103</v>
      </c>
      <c r="B29" s="37">
        <v>2016</v>
      </c>
      <c r="C29" s="36">
        <f t="shared" si="8"/>
        <v>41</v>
      </c>
      <c r="D29" s="34"/>
      <c r="E29" s="34"/>
      <c r="F29" s="83">
        <v>39</v>
      </c>
      <c r="G29" s="83">
        <v>2</v>
      </c>
      <c r="H29" s="36">
        <f t="shared" si="9"/>
        <v>0</v>
      </c>
      <c r="I29" s="34"/>
      <c r="J29" s="34"/>
      <c r="K29" s="83">
        <v>0</v>
      </c>
      <c r="L29" s="34"/>
      <c r="M29" s="36"/>
      <c r="N29" s="34"/>
      <c r="O29" s="34"/>
      <c r="P29" s="83">
        <v>82</v>
      </c>
      <c r="Q29" s="34"/>
      <c r="R29" s="43" t="str" cm="1">
        <f t="array" ref="R29">IFERROR(IF(H29&gt;10,H29/C29*0.8769,""),“”)</f>
        <v/>
      </c>
      <c r="S29" s="43" t="str" cm="1">
        <f t="array" ref="S29">IFERROR(IF(I29&gt;10,I29/D29*0.8769,""),“”)</f>
        <v/>
      </c>
      <c r="T29" s="43" t="str" cm="1">
        <f t="array" ref="T29">IFERROR(IF(J29&gt;10,J29/E29*0.8769,""),“”)</f>
        <v/>
      </c>
      <c r="U29" s="43" t="str" cm="1">
        <f t="array" ref="U29">IFERROR(IF(K29&gt;10,K29/F29*0.8769,""),“”)</f>
        <v/>
      </c>
      <c r="V29" s="54" t="str">
        <f t="shared" si="0"/>
        <v/>
      </c>
      <c r="X29" s="37" t="s">
        <v>103</v>
      </c>
      <c r="Y29" s="43">
        <f t="shared" si="10"/>
        <v>0</v>
      </c>
      <c r="Z29" s="43">
        <f t="shared" si="10"/>
        <v>0</v>
      </c>
      <c r="AA29" s="43">
        <f t="shared" si="10"/>
        <v>0</v>
      </c>
      <c r="AB29" s="43">
        <f t="shared" si="10"/>
        <v>0</v>
      </c>
      <c r="AC29" s="43">
        <f t="shared" si="10"/>
        <v>0</v>
      </c>
      <c r="AD29" s="43">
        <f t="shared" si="2"/>
        <v>0</v>
      </c>
      <c r="AE29" s="43">
        <f t="shared" si="3"/>
        <v>0</v>
      </c>
      <c r="AF29" s="43">
        <f t="shared" si="4"/>
        <v>0</v>
      </c>
      <c r="AG29" s="43">
        <f t="shared" si="5"/>
        <v>0</v>
      </c>
      <c r="AH29" s="43">
        <f t="shared" si="6"/>
        <v>0</v>
      </c>
      <c r="AI29" s="43">
        <f t="shared" si="11"/>
        <v>9.3607305936073051E-3</v>
      </c>
      <c r="AJ29" s="43">
        <f t="shared" si="12"/>
        <v>1.2671232876712329E-2</v>
      </c>
      <c r="AK29" s="43">
        <f t="shared" si="13"/>
        <v>1.7922374429223745E-2</v>
      </c>
      <c r="AL29" s="43">
        <f t="shared" si="14"/>
        <v>1.1301369863013699E-2</v>
      </c>
      <c r="AM29" s="43">
        <f t="shared" si="15"/>
        <v>1.9863013698630139E-2</v>
      </c>
    </row>
    <row r="30" spans="1:39">
      <c r="A30" s="53" t="s">
        <v>104</v>
      </c>
      <c r="B30" s="37">
        <v>2016</v>
      </c>
      <c r="C30" s="36">
        <f t="shared" si="8"/>
        <v>3043</v>
      </c>
      <c r="D30" s="34">
        <v>2997</v>
      </c>
      <c r="E30" s="34"/>
      <c r="F30" s="34"/>
      <c r="G30" s="34">
        <v>46</v>
      </c>
      <c r="H30" s="36">
        <f t="shared" si="9"/>
        <v>1346</v>
      </c>
      <c r="I30" s="34">
        <v>1331</v>
      </c>
      <c r="J30" s="34"/>
      <c r="K30" s="34"/>
      <c r="L30" s="34">
        <v>15</v>
      </c>
      <c r="M30" s="36"/>
      <c r="N30" s="34">
        <v>4499</v>
      </c>
      <c r="O30" s="34"/>
      <c r="P30" s="34"/>
      <c r="Q30" s="34">
        <v>3802</v>
      </c>
      <c r="R30" s="43" cm="1">
        <f t="array" ref="R30">IFERROR(IF(H30&gt;10,H30/C30*0.8769,""),“”)</f>
        <v>0.38787624055208675</v>
      </c>
      <c r="S30" s="43" cm="1">
        <f t="array" ref="S30">IFERROR(IF(I30&gt;10,I30/D30*0.8769,""),“”)</f>
        <v>0.38944074074074075</v>
      </c>
      <c r="T30" s="43" t="str" cm="1">
        <f t="array" ref="T30">IFERROR(IF(J30&gt;10,J30/E30*0.8769,""),“”)</f>
        <v/>
      </c>
      <c r="U30" s="43" t="str" cm="1">
        <f t="array" ref="U30">IFERROR(IF(K30&gt;10,K30/F30*0.8769,""),“”)</f>
        <v/>
      </c>
      <c r="V30" s="54">
        <f t="shared" si="0"/>
        <v>0.38787624055208675</v>
      </c>
      <c r="X30" s="37" t="s">
        <v>104</v>
      </c>
      <c r="Y30" s="43">
        <f t="shared" si="10"/>
        <v>0.5135844748858448</v>
      </c>
      <c r="Z30" s="43">
        <f t="shared" si="10"/>
        <v>0.5383561643835616</v>
      </c>
      <c r="AA30" s="43">
        <f t="shared" si="10"/>
        <v>0.50753424657534252</v>
      </c>
      <c r="AB30" s="43">
        <f t="shared" si="10"/>
        <v>0.50068493150684934</v>
      </c>
      <c r="AC30" s="43">
        <f t="shared" si="10"/>
        <v>0.48242009132420094</v>
      </c>
      <c r="AD30" s="43">
        <f t="shared" si="2"/>
        <v>0</v>
      </c>
      <c r="AE30" s="43">
        <f t="shared" si="3"/>
        <v>0</v>
      </c>
      <c r="AF30" s="43">
        <f t="shared" si="4"/>
        <v>0</v>
      </c>
      <c r="AG30" s="43">
        <f t="shared" si="5"/>
        <v>0</v>
      </c>
      <c r="AH30" s="43">
        <f t="shared" si="6"/>
        <v>0</v>
      </c>
      <c r="AI30" s="43">
        <f t="shared" si="11"/>
        <v>0</v>
      </c>
      <c r="AJ30" s="43">
        <f t="shared" si="12"/>
        <v>0</v>
      </c>
      <c r="AK30" s="43">
        <f t="shared" si="13"/>
        <v>0</v>
      </c>
      <c r="AL30" s="43">
        <f t="shared" si="14"/>
        <v>0</v>
      </c>
      <c r="AM30" s="43">
        <f t="shared" si="15"/>
        <v>0</v>
      </c>
    </row>
    <row r="31" spans="1:39">
      <c r="A31" s="53" t="s">
        <v>105</v>
      </c>
      <c r="B31" s="37">
        <v>2016</v>
      </c>
      <c r="C31" s="36">
        <f t="shared" si="8"/>
        <v>2002</v>
      </c>
      <c r="D31" s="34">
        <v>1966</v>
      </c>
      <c r="E31" s="34">
        <v>7</v>
      </c>
      <c r="F31" s="34"/>
      <c r="G31" s="34">
        <v>29</v>
      </c>
      <c r="H31" s="36">
        <f t="shared" si="9"/>
        <v>699</v>
      </c>
      <c r="I31" s="34">
        <v>694</v>
      </c>
      <c r="J31" s="34">
        <v>0</v>
      </c>
      <c r="K31" s="34"/>
      <c r="L31" s="34">
        <v>5</v>
      </c>
      <c r="M31" s="36"/>
      <c r="N31" s="34">
        <v>3644</v>
      </c>
      <c r="O31" s="34">
        <v>479</v>
      </c>
      <c r="P31" s="34"/>
      <c r="Q31" s="34">
        <v>1911</v>
      </c>
      <c r="R31" s="43" cm="1">
        <f t="array" ref="R31">IFERROR(IF(H31&gt;10,H31/C31*0.8769,""),“”)</f>
        <v>0.30617037962037963</v>
      </c>
      <c r="S31" s="43" cm="1">
        <f t="array" ref="S31">IFERROR(IF(I31&gt;10,I31/D31*0.8769,""),“”)</f>
        <v>0.30954659206510682</v>
      </c>
      <c r="T31" s="43" t="str" cm="1">
        <f t="array" ref="T31">IFERROR(IF(J31&gt;10,J31/E31*0.8769,""),“”)</f>
        <v/>
      </c>
      <c r="U31" s="43" t="str" cm="1">
        <f t="array" ref="U31">IFERROR(IF(K31&gt;10,K31/F31*0.8769,""),“”)</f>
        <v/>
      </c>
      <c r="V31" s="54">
        <f t="shared" si="0"/>
        <v>0.30724466165413533</v>
      </c>
      <c r="X31" s="37" t="s">
        <v>105</v>
      </c>
      <c r="Y31" s="43">
        <f t="shared" si="10"/>
        <v>0.41598173515981735</v>
      </c>
      <c r="Z31" s="43">
        <f t="shared" si="10"/>
        <v>0.40296803652968038</v>
      </c>
      <c r="AA31" s="43">
        <f t="shared" si="10"/>
        <v>0.48070776255707764</v>
      </c>
      <c r="AB31" s="43">
        <f t="shared" si="10"/>
        <v>0.48470319634703196</v>
      </c>
      <c r="AC31" s="43">
        <f t="shared" si="10"/>
        <v>0.5200913242009132</v>
      </c>
      <c r="AD31" s="43">
        <f t="shared" si="2"/>
        <v>5.4680365296803653E-2</v>
      </c>
      <c r="AE31" s="43">
        <f t="shared" si="3"/>
        <v>2.1232876712328767E-2</v>
      </c>
      <c r="AF31" s="43">
        <f t="shared" si="4"/>
        <v>0</v>
      </c>
      <c r="AG31" s="43">
        <f t="shared" si="5"/>
        <v>0</v>
      </c>
      <c r="AH31" s="43">
        <f t="shared" si="6"/>
        <v>0</v>
      </c>
      <c r="AI31" s="43">
        <f t="shared" si="11"/>
        <v>0</v>
      </c>
      <c r="AJ31" s="43">
        <f t="shared" si="12"/>
        <v>0</v>
      </c>
      <c r="AK31" s="43">
        <f t="shared" si="13"/>
        <v>0</v>
      </c>
      <c r="AL31" s="43">
        <f t="shared" si="14"/>
        <v>0</v>
      </c>
      <c r="AM31" s="43">
        <f t="shared" si="15"/>
        <v>0</v>
      </c>
    </row>
    <row r="32" spans="1:39">
      <c r="A32" s="53" t="s">
        <v>106</v>
      </c>
      <c r="B32" s="37">
        <v>2016</v>
      </c>
      <c r="C32" s="36">
        <f t="shared" si="8"/>
        <v>403</v>
      </c>
      <c r="D32" s="5">
        <v>370</v>
      </c>
      <c r="E32" s="5">
        <v>33</v>
      </c>
      <c r="F32" s="34"/>
      <c r="G32" s="34"/>
      <c r="H32" s="36">
        <f t="shared" si="9"/>
        <v>151</v>
      </c>
      <c r="I32" s="5">
        <v>150</v>
      </c>
      <c r="J32" s="5">
        <v>1</v>
      </c>
      <c r="K32" s="5">
        <v>0</v>
      </c>
      <c r="L32" s="34"/>
      <c r="M32" s="36"/>
      <c r="N32" s="5">
        <v>4362</v>
      </c>
      <c r="O32" s="5">
        <v>190</v>
      </c>
      <c r="P32" s="34"/>
      <c r="Q32" s="34"/>
      <c r="R32" s="43" cm="1">
        <f t="array" ref="R32">IFERROR(IF(H32&gt;10,H32/C32*0.8769,""),“”)</f>
        <v>0.32856550868486351</v>
      </c>
      <c r="S32" s="43" cm="1">
        <f t="array" ref="S32">IFERROR(IF(I32&gt;10,I32/D32*0.8769,""),“”)</f>
        <v>0.35550000000000004</v>
      </c>
      <c r="T32" s="43" t="str" cm="1">
        <f t="array" ref="T32">IFERROR(IF(J32&gt;10,J32/E32*0.8769,""),“”)</f>
        <v/>
      </c>
      <c r="U32" s="43" t="str" cm="1">
        <f t="array" ref="U32">IFERROR(IF(K32&gt;10,K32/F32*0.8769,""),“”)</f>
        <v/>
      </c>
      <c r="V32" s="54">
        <f t="shared" si="0"/>
        <v>0.35550000000000004</v>
      </c>
      <c r="X32" s="37" t="s">
        <v>106</v>
      </c>
      <c r="Y32" s="43">
        <f t="shared" si="10"/>
        <v>0.49794520547945204</v>
      </c>
      <c r="Z32" s="43">
        <f t="shared" si="10"/>
        <v>0.49337899543378994</v>
      </c>
      <c r="AA32" s="43">
        <f t="shared" si="10"/>
        <v>0.36027397260273974</v>
      </c>
      <c r="AB32" s="43">
        <f t="shared" si="10"/>
        <v>0.30422374429223742</v>
      </c>
      <c r="AC32" s="43">
        <f t="shared" si="10"/>
        <v>0.30342465753424658</v>
      </c>
      <c r="AD32" s="43">
        <f t="shared" si="2"/>
        <v>2.1689497716894976E-2</v>
      </c>
      <c r="AE32" s="43">
        <f t="shared" si="3"/>
        <v>0</v>
      </c>
      <c r="AF32" s="43">
        <f t="shared" si="4"/>
        <v>0</v>
      </c>
      <c r="AG32" s="43">
        <f t="shared" si="5"/>
        <v>0</v>
      </c>
      <c r="AH32" s="43">
        <f t="shared" si="6"/>
        <v>0</v>
      </c>
      <c r="AI32" s="43">
        <f t="shared" si="11"/>
        <v>0</v>
      </c>
      <c r="AJ32" s="43">
        <f t="shared" si="12"/>
        <v>0</v>
      </c>
      <c r="AK32" s="43">
        <f t="shared" si="13"/>
        <v>0</v>
      </c>
      <c r="AL32" s="43">
        <f t="shared" si="14"/>
        <v>0</v>
      </c>
      <c r="AM32" s="43">
        <f t="shared" si="15"/>
        <v>0</v>
      </c>
    </row>
    <row r="33" spans="1:39">
      <c r="A33" s="53" t="s">
        <v>107</v>
      </c>
      <c r="B33" s="37">
        <v>2016</v>
      </c>
      <c r="C33" s="36">
        <f t="shared" si="8"/>
        <v>2164</v>
      </c>
      <c r="D33" s="34">
        <v>2008</v>
      </c>
      <c r="E33" s="34">
        <v>81</v>
      </c>
      <c r="F33" s="34"/>
      <c r="G33" s="34">
        <v>75</v>
      </c>
      <c r="H33" s="36">
        <f t="shared" si="9"/>
        <v>989</v>
      </c>
      <c r="I33" s="34">
        <v>943</v>
      </c>
      <c r="J33" s="34">
        <v>15</v>
      </c>
      <c r="K33" s="34"/>
      <c r="L33" s="34">
        <v>31</v>
      </c>
      <c r="M33" s="36"/>
      <c r="N33" s="34">
        <v>5045</v>
      </c>
      <c r="O33" s="34">
        <v>1813</v>
      </c>
      <c r="P33" s="34"/>
      <c r="Q33" s="34">
        <v>4737</v>
      </c>
      <c r="R33" s="43" cm="1">
        <f t="array" ref="R33">IFERROR(IF(H33&gt;10,H33/C33*0.8769,""),“”)</f>
        <v>0.40076437153419597</v>
      </c>
      <c r="S33" s="43" cm="1">
        <f t="array" ref="S33">IFERROR(IF(I33&gt;10,I33/D33*0.8769,""),“”)</f>
        <v>0.4118111055776893</v>
      </c>
      <c r="T33" s="43" cm="1">
        <f t="array" ref="T33">IFERROR(IF(J33&gt;10,J33/E33*0.8769,""),“”)</f>
        <v>0.16238888888888889</v>
      </c>
      <c r="U33" s="43" t="str" cm="1">
        <f t="array" ref="U33">IFERROR(IF(K33&gt;10,K33/F33*0.8769,""),“”)</f>
        <v/>
      </c>
      <c r="V33" s="54">
        <f t="shared" si="0"/>
        <v>0.41003389342294772</v>
      </c>
      <c r="X33" s="37" t="s">
        <v>107</v>
      </c>
      <c r="Y33" s="43">
        <f t="shared" si="10"/>
        <v>0.57591324200913241</v>
      </c>
      <c r="Z33" s="43">
        <f t="shared" si="10"/>
        <v>0.59109589041095889</v>
      </c>
      <c r="AA33" s="43">
        <f t="shared" si="10"/>
        <v>0.56324200913242006</v>
      </c>
      <c r="AB33" s="43">
        <f t="shared" si="10"/>
        <v>0.5318493150684932</v>
      </c>
      <c r="AC33" s="43">
        <f t="shared" si="10"/>
        <v>0.51050228310502288</v>
      </c>
      <c r="AD33" s="43">
        <f t="shared" si="2"/>
        <v>0.20696347031963469</v>
      </c>
      <c r="AE33" s="43">
        <f t="shared" si="3"/>
        <v>0.15079908675799086</v>
      </c>
      <c r="AF33" s="43">
        <f t="shared" si="4"/>
        <v>0.26484018264840181</v>
      </c>
      <c r="AG33" s="43">
        <f t="shared" si="5"/>
        <v>0.20833333333333334</v>
      </c>
      <c r="AH33" s="43">
        <f t="shared" si="6"/>
        <v>0.20194063926940639</v>
      </c>
      <c r="AI33" s="43">
        <f t="shared" si="11"/>
        <v>0</v>
      </c>
      <c r="AJ33" s="43">
        <f t="shared" si="12"/>
        <v>0</v>
      </c>
      <c r="AK33" s="43">
        <f t="shared" si="13"/>
        <v>0</v>
      </c>
      <c r="AL33" s="43">
        <f t="shared" si="14"/>
        <v>0</v>
      </c>
      <c r="AM33" s="43">
        <f t="shared" si="15"/>
        <v>0</v>
      </c>
    </row>
    <row r="34" spans="1:39" ht="13.5" thickBot="1">
      <c r="A34" s="55" t="s">
        <v>108</v>
      </c>
      <c r="B34" s="56">
        <v>2016</v>
      </c>
      <c r="C34" s="57">
        <f t="shared" si="8"/>
        <v>4775</v>
      </c>
      <c r="D34" s="87">
        <v>4642</v>
      </c>
      <c r="E34" s="87">
        <v>68</v>
      </c>
      <c r="F34" s="88"/>
      <c r="G34" s="87">
        <v>65</v>
      </c>
      <c r="H34" s="57">
        <f t="shared" si="9"/>
        <v>2194</v>
      </c>
      <c r="I34" s="87">
        <v>2149</v>
      </c>
      <c r="J34" s="87">
        <v>17</v>
      </c>
      <c r="K34" s="88"/>
      <c r="L34" s="87">
        <v>28</v>
      </c>
      <c r="M34" s="57"/>
      <c r="N34" s="87">
        <v>4780</v>
      </c>
      <c r="O34" s="87">
        <v>3794</v>
      </c>
      <c r="P34" s="88"/>
      <c r="Q34" s="87">
        <v>4638</v>
      </c>
      <c r="R34" s="61" cm="1">
        <f t="array" ref="R34">IFERROR(IF(H34&gt;10,H34/C34*0.8769,""),“”)</f>
        <v>0.40291489005235603</v>
      </c>
      <c r="S34" s="61" cm="1">
        <f t="array" ref="S34">IFERROR(IF(I34&gt;10,I34/D34*0.8769,""),“”)</f>
        <v>0.40595822921154673</v>
      </c>
      <c r="T34" s="61" cm="1">
        <f t="array" ref="T34">IFERROR(IF(J34&gt;10,J34/E34*0.8769,""),“”)</f>
        <v>0.219225</v>
      </c>
      <c r="U34" s="61" t="str" cm="1">
        <f t="array" ref="U34">IFERROR(IF(K34&gt;10,K34/F34*0.8769,""),“”)</f>
        <v/>
      </c>
      <c r="V34" s="62">
        <f t="shared" si="0"/>
        <v>0.40556857871255581</v>
      </c>
      <c r="X34" s="37" t="s">
        <v>108</v>
      </c>
      <c r="Y34" s="43">
        <f t="shared" si="10"/>
        <v>0.545662100456621</v>
      </c>
      <c r="Z34" s="43">
        <f t="shared" si="10"/>
        <v>0.54292237442922375</v>
      </c>
      <c r="AA34" s="43">
        <f t="shared" si="10"/>
        <v>0.53515981735159812</v>
      </c>
      <c r="AB34" s="43">
        <f t="shared" si="10"/>
        <v>0.58515981735159817</v>
      </c>
      <c r="AC34" s="43">
        <f t="shared" si="10"/>
        <v>0.60776255707762561</v>
      </c>
      <c r="AD34" s="43">
        <f t="shared" si="2"/>
        <v>0.43310502283105023</v>
      </c>
      <c r="AE34" s="43">
        <f t="shared" si="3"/>
        <v>0.28047945205479452</v>
      </c>
      <c r="AF34" s="43">
        <f t="shared" si="4"/>
        <v>0.22579908675799087</v>
      </c>
      <c r="AG34" s="43">
        <f t="shared" si="5"/>
        <v>0.26141552511415528</v>
      </c>
      <c r="AH34" s="43">
        <f t="shared" si="6"/>
        <v>0.24771689497716895</v>
      </c>
      <c r="AI34" s="43">
        <f t="shared" si="11"/>
        <v>0</v>
      </c>
      <c r="AJ34" s="43">
        <f t="shared" si="12"/>
        <v>0</v>
      </c>
      <c r="AK34" s="43">
        <f t="shared" si="13"/>
        <v>0</v>
      </c>
      <c r="AL34" s="43">
        <f t="shared" si="14"/>
        <v>0</v>
      </c>
      <c r="AM34" s="43">
        <f t="shared" si="15"/>
        <v>0</v>
      </c>
    </row>
    <row r="35" spans="1:39">
      <c r="A35" s="46" t="s">
        <v>77</v>
      </c>
      <c r="B35" s="47">
        <v>2017</v>
      </c>
      <c r="C35" s="48">
        <f>SUM(D35:G35)</f>
        <v>110495</v>
      </c>
      <c r="D35" s="48">
        <v>98130</v>
      </c>
      <c r="E35" s="48">
        <v>7570</v>
      </c>
      <c r="F35" s="48">
        <v>197</v>
      </c>
      <c r="G35" s="48">
        <v>4598</v>
      </c>
      <c r="H35" s="48">
        <f>SUM(I35:L35)</f>
        <v>45558</v>
      </c>
      <c r="I35" s="48">
        <v>41498</v>
      </c>
      <c r="J35" s="48">
        <v>2028</v>
      </c>
      <c r="K35" s="48">
        <v>27</v>
      </c>
      <c r="L35" s="48">
        <v>2005</v>
      </c>
      <c r="M35" s="48"/>
      <c r="N35" s="48">
        <v>4312</v>
      </c>
      <c r="O35" s="48">
        <v>2761</v>
      </c>
      <c r="P35" s="48">
        <v>1379</v>
      </c>
      <c r="Q35" s="48">
        <v>4760</v>
      </c>
      <c r="R35" s="51" cm="1">
        <f t="array" ref="R35">IFERROR(IF(H35&gt;10,H35/C35*0.8769,""),“”)</f>
        <v>0.36155310376035116</v>
      </c>
      <c r="S35" s="51" cm="1">
        <f t="array" ref="S35">IFERROR(IF(I35&gt;10,I35/D35*0.8769,""),“”)</f>
        <v>0.37083049220421888</v>
      </c>
      <c r="T35" s="51" cm="1">
        <f t="array" ref="T35">IFERROR(IF(J35&gt;10,J35/E35*0.8769,""),“”)</f>
        <v>0.23492116248348746</v>
      </c>
      <c r="U35" s="51" cm="1">
        <f t="array" ref="U35">IFERROR(IF(K35&gt;10,K35/F35*0.8769,""),“”)</f>
        <v>0.12018426395939086</v>
      </c>
      <c r="V35" s="52">
        <f t="shared" ref="V35:V66" si="16">IFERROR(IF((H35-J35)&gt;10,(H35-J35)/(C35-E35)*0.8769,""),"")</f>
        <v>0.37086671848433328</v>
      </c>
    </row>
    <row r="36" spans="1:39">
      <c r="A36" s="53" t="s">
        <v>78</v>
      </c>
      <c r="B36" s="37">
        <v>2017</v>
      </c>
      <c r="C36" s="36">
        <f t="shared" ref="C36:C66" si="17">SUM(D36:G36)</f>
        <v>1077</v>
      </c>
      <c r="D36" s="36">
        <v>85</v>
      </c>
      <c r="E36" s="36">
        <v>950</v>
      </c>
      <c r="F36" s="36">
        <v>22</v>
      </c>
      <c r="G36" s="36">
        <v>20</v>
      </c>
      <c r="H36" s="36">
        <f t="shared" ref="H36:H66" si="18">SUM(I36:L36)</f>
        <v>377</v>
      </c>
      <c r="I36" s="36">
        <v>13</v>
      </c>
      <c r="J36" s="36">
        <v>347</v>
      </c>
      <c r="K36" s="36">
        <v>4</v>
      </c>
      <c r="L36" s="36">
        <v>13</v>
      </c>
      <c r="M36" s="36"/>
      <c r="N36" s="36">
        <v>1585</v>
      </c>
      <c r="O36" s="36">
        <v>3956</v>
      </c>
      <c r="P36" s="36">
        <v>1870</v>
      </c>
      <c r="Q36" s="36">
        <v>6178</v>
      </c>
      <c r="R36" s="43" cm="1">
        <f t="array" ref="R36">IFERROR(IF(H36&gt;10,H36/C36*0.8769,""),“”)</f>
        <v>0.30695571030640667</v>
      </c>
      <c r="S36" s="43" cm="1">
        <f t="array" ref="S36">IFERROR(IF(I36&gt;10,I36/D36*0.8769,""),“”)</f>
        <v>0.13411411764705883</v>
      </c>
      <c r="T36" s="43" cm="1">
        <f t="array" ref="T36">IFERROR(IF(J36&gt;10,J36/E36*0.8769,""),“”)</f>
        <v>0.32029926315789475</v>
      </c>
      <c r="U36" s="43" t="str" cm="1">
        <f t="array" ref="U36">IFERROR(IF(K36&gt;10,K36/F36*0.8769,""),“”)</f>
        <v/>
      </c>
      <c r="V36" s="54">
        <f t="shared" si="16"/>
        <v>0.20714173228346458</v>
      </c>
    </row>
    <row r="37" spans="1:39">
      <c r="A37" s="53" t="s">
        <v>79</v>
      </c>
      <c r="B37" s="37">
        <v>2017</v>
      </c>
      <c r="C37" s="36">
        <f t="shared" si="17"/>
        <v>1403</v>
      </c>
      <c r="D37" s="36">
        <v>1072</v>
      </c>
      <c r="E37" s="36">
        <v>304</v>
      </c>
      <c r="F37" s="28"/>
      <c r="G37" s="36">
        <v>27</v>
      </c>
      <c r="H37" s="36">
        <f t="shared" si="18"/>
        <v>584</v>
      </c>
      <c r="I37" s="36">
        <v>467</v>
      </c>
      <c r="J37" s="36">
        <v>106</v>
      </c>
      <c r="K37" s="28"/>
      <c r="L37" s="36">
        <v>11</v>
      </c>
      <c r="M37" s="36"/>
      <c r="N37" s="36">
        <v>4328</v>
      </c>
      <c r="O37" s="36">
        <v>3482</v>
      </c>
      <c r="P37" s="28"/>
      <c r="Q37" s="36">
        <v>4394</v>
      </c>
      <c r="R37" s="43" cm="1">
        <f t="array" ref="R37">IFERROR(IF(H37&gt;10,H37/C37*0.8769,""),“”)</f>
        <v>0.36501040627227371</v>
      </c>
      <c r="S37" s="43" cm="1">
        <f t="array" ref="S37">IFERROR(IF(I37&gt;10,I37/D37*0.8769,""),“”)</f>
        <v>0.38200774253731345</v>
      </c>
      <c r="T37" s="43" cm="1">
        <f t="array" ref="T37">IFERROR(IF(J37&gt;10,J37/E37*0.8769,""),“”)</f>
        <v>0.30576118421052628</v>
      </c>
      <c r="U37" s="43" t="str" cm="1">
        <f t="array" ref="U37">IFERROR(IF(K37&gt;10,K37/F37*0.8769,""),“”)</f>
        <v/>
      </c>
      <c r="V37" s="54">
        <f t="shared" si="16"/>
        <v>0.38139963603275706</v>
      </c>
    </row>
    <row r="38" spans="1:39">
      <c r="A38" s="53" t="s">
        <v>80</v>
      </c>
      <c r="B38" s="37">
        <v>2017</v>
      </c>
      <c r="C38" s="36">
        <f t="shared" si="17"/>
        <v>4574</v>
      </c>
      <c r="D38" s="36">
        <v>4282</v>
      </c>
      <c r="E38" s="36">
        <v>3</v>
      </c>
      <c r="F38" s="28"/>
      <c r="G38" s="36">
        <v>289</v>
      </c>
      <c r="H38" s="36">
        <f t="shared" si="18"/>
        <v>2295.4</v>
      </c>
      <c r="I38" s="36">
        <v>2194</v>
      </c>
      <c r="J38" s="36">
        <v>0.4</v>
      </c>
      <c r="K38" s="28"/>
      <c r="L38" s="36">
        <v>101</v>
      </c>
      <c r="M38" s="36"/>
      <c r="N38" s="36">
        <v>5148</v>
      </c>
      <c r="O38" s="28">
        <v>880</v>
      </c>
      <c r="P38" s="28"/>
      <c r="Q38" s="36">
        <v>3663</v>
      </c>
      <c r="R38" s="43" cm="1">
        <f t="array" ref="R38">IFERROR(IF(H38&gt;10,H38/C38*0.8769,""),“”)</f>
        <v>0.44006039790118062</v>
      </c>
      <c r="S38" s="43" cm="1">
        <f t="array" ref="S38">IFERROR(IF(I38&gt;10,I38/D38*0.8769,""),“”)</f>
        <v>0.44930373657169542</v>
      </c>
      <c r="T38" s="43" t="str" cm="1">
        <f t="array" ref="T38">IFERROR(IF(J38&gt;10,J38/E38*0.8769,""),“”)</f>
        <v/>
      </c>
      <c r="U38" s="43" t="str" cm="1">
        <f t="array" ref="U38">IFERROR(IF(K38&gt;10,K38/F38*0.8769,""),“”)</f>
        <v/>
      </c>
      <c r="V38" s="54">
        <f t="shared" si="16"/>
        <v>0.44027247866987529</v>
      </c>
    </row>
    <row r="39" spans="1:39">
      <c r="A39" s="53" t="s">
        <v>81</v>
      </c>
      <c r="B39" s="37">
        <v>2017</v>
      </c>
      <c r="C39" s="36">
        <f t="shared" si="17"/>
        <v>6367</v>
      </c>
      <c r="D39" s="36">
        <v>5887</v>
      </c>
      <c r="E39" s="36">
        <v>291</v>
      </c>
      <c r="F39" s="28"/>
      <c r="G39" s="36">
        <v>189</v>
      </c>
      <c r="H39" s="36">
        <f t="shared" si="18"/>
        <v>2502</v>
      </c>
      <c r="I39" s="36">
        <v>2335</v>
      </c>
      <c r="J39" s="36">
        <v>110</v>
      </c>
      <c r="K39" s="28"/>
      <c r="L39" s="36">
        <v>57</v>
      </c>
      <c r="M39" s="36"/>
      <c r="N39" s="36">
        <v>4027</v>
      </c>
      <c r="O39" s="36">
        <v>3912</v>
      </c>
      <c r="P39" s="28"/>
      <c r="Q39" s="36">
        <v>3126</v>
      </c>
      <c r="R39" s="43" cm="1">
        <f t="array" ref="R39">IFERROR(IF(H39&gt;10,H39/C39*0.8769,""),“”)</f>
        <v>0.34458988534631696</v>
      </c>
      <c r="S39" s="43" cm="1">
        <f t="array" ref="S39">IFERROR(IF(I39&gt;10,I39/D39*0.8769,""),“”)</f>
        <v>0.34781068455919822</v>
      </c>
      <c r="T39" s="43" cm="1">
        <f t="array" ref="T39">IFERROR(IF(J39&gt;10,J39/E39*0.8769,""),“”)</f>
        <v>0.3314742268041237</v>
      </c>
      <c r="U39" s="43" t="str" cm="1">
        <f t="array" ref="U39">IFERROR(IF(K39&gt;10,K39/F39*0.8769,""),“”)</f>
        <v/>
      </c>
      <c r="V39" s="54">
        <f t="shared" si="16"/>
        <v>0.34521803818301516</v>
      </c>
    </row>
    <row r="40" spans="1:39">
      <c r="A40" s="53" t="s">
        <v>82</v>
      </c>
      <c r="B40" s="37">
        <v>2017</v>
      </c>
      <c r="C40" s="36">
        <f t="shared" si="17"/>
        <v>8170</v>
      </c>
      <c r="D40" s="36">
        <v>8103</v>
      </c>
      <c r="E40" s="36">
        <v>42</v>
      </c>
      <c r="F40" s="28"/>
      <c r="G40" s="36">
        <v>25</v>
      </c>
      <c r="H40" s="36">
        <f t="shared" si="18"/>
        <v>3736.5</v>
      </c>
      <c r="I40" s="36">
        <v>3726</v>
      </c>
      <c r="J40" s="36">
        <v>0.5</v>
      </c>
      <c r="K40" s="28"/>
      <c r="L40" s="36">
        <v>10</v>
      </c>
      <c r="M40" s="36"/>
      <c r="N40" s="36">
        <v>4653</v>
      </c>
      <c r="O40" s="36">
        <v>101</v>
      </c>
      <c r="P40" s="28"/>
      <c r="Q40" s="36">
        <v>4043</v>
      </c>
      <c r="R40" s="43" cm="1">
        <f t="array" ref="R40">IFERROR(IF(H40&gt;10,H40/C40*0.8769,""),“”)</f>
        <v>0.40104490208078336</v>
      </c>
      <c r="S40" s="43" cm="1">
        <f t="array" ref="S40">IFERROR(IF(I40&gt;10,I40/D40*0.8769,""),“”)</f>
        <v>0.40322465753424658</v>
      </c>
      <c r="T40" s="43" t="str" cm="1">
        <f t="array" ref="T40">IFERROR(IF(J40&gt;10,J40/E40*0.8769,""),“”)</f>
        <v/>
      </c>
      <c r="U40" s="43" t="str" cm="1">
        <f t="array" ref="U40">IFERROR(IF(K40&gt;10,K40/F40*0.8769,""),“”)</f>
        <v/>
      </c>
      <c r="V40" s="54">
        <f t="shared" si="16"/>
        <v>0.40306328740157482</v>
      </c>
    </row>
    <row r="41" spans="1:39">
      <c r="A41" s="53" t="s">
        <v>83</v>
      </c>
      <c r="B41" s="37">
        <v>2017</v>
      </c>
      <c r="C41" s="36">
        <f t="shared" si="17"/>
        <v>3193</v>
      </c>
      <c r="D41" s="36">
        <v>3093</v>
      </c>
      <c r="E41" s="36">
        <v>5</v>
      </c>
      <c r="F41" s="36">
        <v>15</v>
      </c>
      <c r="G41" s="36">
        <v>80</v>
      </c>
      <c r="H41" s="36">
        <f t="shared" si="18"/>
        <v>1348</v>
      </c>
      <c r="I41" s="36">
        <v>1306</v>
      </c>
      <c r="J41" s="36">
        <v>1</v>
      </c>
      <c r="K41" s="36">
        <v>5</v>
      </c>
      <c r="L41" s="36">
        <v>36</v>
      </c>
      <c r="M41" s="36"/>
      <c r="N41" s="36">
        <v>4244</v>
      </c>
      <c r="O41" s="36">
        <v>2308</v>
      </c>
      <c r="P41" s="36">
        <v>3404</v>
      </c>
      <c r="Q41" s="36">
        <v>4797</v>
      </c>
      <c r="R41" s="43" cm="1">
        <f t="array" ref="R41">IFERROR(IF(H41&gt;10,H41/C41*0.8769,""),“”)</f>
        <v>0.37020394613216412</v>
      </c>
      <c r="S41" s="43" cm="1">
        <f t="array" ref="S41">IFERROR(IF(I41&gt;10,I41/D41*0.8769,""),“”)</f>
        <v>0.37026556741028127</v>
      </c>
      <c r="T41" s="43" t="str" cm="1">
        <f t="array" ref="T41">IFERROR(IF(J41&gt;10,J41/E41*0.8769,""),“”)</f>
        <v/>
      </c>
      <c r="U41" s="43" t="str" cm="1">
        <f t="array" ref="U41">IFERROR(IF(K41&gt;10,K41/F41*0.8769,""),“”)</f>
        <v/>
      </c>
      <c r="V41" s="54">
        <f t="shared" si="16"/>
        <v>0.37050950439146801</v>
      </c>
    </row>
    <row r="42" spans="1:39">
      <c r="A42" s="53" t="s">
        <v>84</v>
      </c>
      <c r="B42" s="37">
        <v>2017</v>
      </c>
      <c r="C42" s="36">
        <f t="shared" si="17"/>
        <v>1819.5</v>
      </c>
      <c r="D42" s="36">
        <v>1728</v>
      </c>
      <c r="E42" s="36">
        <v>0.5</v>
      </c>
      <c r="F42" s="28"/>
      <c r="G42" s="36">
        <v>91</v>
      </c>
      <c r="H42" s="36">
        <f t="shared" si="18"/>
        <v>606</v>
      </c>
      <c r="I42" s="36">
        <v>568</v>
      </c>
      <c r="J42" s="35" t="s">
        <v>68</v>
      </c>
      <c r="K42" s="28"/>
      <c r="L42" s="36">
        <v>38</v>
      </c>
      <c r="M42" s="36"/>
      <c r="N42" s="36">
        <v>3362</v>
      </c>
      <c r="O42" s="27"/>
      <c r="P42" s="28"/>
      <c r="Q42" s="36">
        <v>4246</v>
      </c>
      <c r="R42" s="43" cm="1">
        <f t="array" ref="R42">IFERROR(IF(H42&gt;10,H42/C42*0.8769,""),“”)</f>
        <v>0.29205902720527616</v>
      </c>
      <c r="S42" s="43" cm="1">
        <f t="array" ref="S42">IFERROR(IF(I42&gt;10,I42/D42*0.8769,""),“”)</f>
        <v>0.28824027777777778</v>
      </c>
      <c r="T42" s="43" t="e" cm="1">
        <f t="array" ref="T42">IFERROR(IF(J42&gt;10,J42/E42*0.8769,""),“”)</f>
        <v>#NAME?</v>
      </c>
      <c r="U42" s="43" t="str" cm="1">
        <f t="array" ref="U42">IFERROR(IF(K42&gt;10,K42/F42*0.8769,""),“”)</f>
        <v/>
      </c>
      <c r="V42" s="54" t="str">
        <f t="shared" si="16"/>
        <v/>
      </c>
    </row>
    <row r="43" spans="1:39">
      <c r="A43" s="53" t="s">
        <v>85</v>
      </c>
      <c r="B43" s="37">
        <v>2017</v>
      </c>
      <c r="C43" s="36">
        <f t="shared" si="17"/>
        <v>2202</v>
      </c>
      <c r="D43" s="36">
        <v>2078</v>
      </c>
      <c r="E43" s="36">
        <v>12</v>
      </c>
      <c r="F43" s="36">
        <v>2</v>
      </c>
      <c r="G43" s="36">
        <v>110</v>
      </c>
      <c r="H43" s="36">
        <f t="shared" si="18"/>
        <v>815.3</v>
      </c>
      <c r="I43" s="36">
        <v>762</v>
      </c>
      <c r="J43" s="36">
        <v>2</v>
      </c>
      <c r="K43" s="28">
        <v>0.3</v>
      </c>
      <c r="L43" s="36">
        <v>51</v>
      </c>
      <c r="M43" s="36"/>
      <c r="N43" s="36">
        <v>3829</v>
      </c>
      <c r="O43" s="36">
        <v>1899</v>
      </c>
      <c r="P43" s="28">
        <v>1347</v>
      </c>
      <c r="Q43" s="36">
        <v>4850</v>
      </c>
      <c r="R43" s="43" cm="1">
        <f t="array" ref="R43">IFERROR(IF(H43&gt;10,H43/C43*0.8769,""),“”)</f>
        <v>0.32467600817438691</v>
      </c>
      <c r="S43" s="43" cm="1">
        <f t="array" ref="S43">IFERROR(IF(I43&gt;10,I43/D43*0.8769,""),“”)</f>
        <v>0.32155813282001927</v>
      </c>
      <c r="T43" s="43" t="str" cm="1">
        <f t="array" ref="T43">IFERROR(IF(J43&gt;10,J43/E43*0.8769,""),“”)</f>
        <v/>
      </c>
      <c r="U43" s="43" t="str" cm="1">
        <f t="array" ref="U43">IFERROR(IF(K43&gt;10,K43/F43*0.8769,""),“”)</f>
        <v/>
      </c>
      <c r="V43" s="54">
        <f t="shared" si="16"/>
        <v>0.3256542328767123</v>
      </c>
    </row>
    <row r="44" spans="1:39">
      <c r="A44" s="53" t="s">
        <v>86</v>
      </c>
      <c r="B44" s="37">
        <v>2017</v>
      </c>
      <c r="C44" s="36">
        <f t="shared" si="17"/>
        <v>2270</v>
      </c>
      <c r="D44" s="36">
        <v>1509</v>
      </c>
      <c r="E44" s="36">
        <v>573</v>
      </c>
      <c r="F44" s="36">
        <v>86</v>
      </c>
      <c r="G44" s="36">
        <v>102</v>
      </c>
      <c r="H44" s="36">
        <f t="shared" si="18"/>
        <v>846</v>
      </c>
      <c r="I44" s="36">
        <v>680</v>
      </c>
      <c r="J44" s="36">
        <v>110</v>
      </c>
      <c r="K44" s="36">
        <v>1</v>
      </c>
      <c r="L44" s="36">
        <v>55</v>
      </c>
      <c r="M44" s="36"/>
      <c r="N44" s="36">
        <v>4507</v>
      </c>
      <c r="O44" s="36">
        <v>1918</v>
      </c>
      <c r="P44" s="36">
        <v>145</v>
      </c>
      <c r="Q44" s="36">
        <v>5456</v>
      </c>
      <c r="R44" s="43" cm="1">
        <f t="array" ref="R44">IFERROR(IF(H44&gt;10,H44/C44*0.8769,""),“”)</f>
        <v>0.32680942731277535</v>
      </c>
      <c r="S44" s="43" cm="1">
        <f t="array" ref="S44">IFERROR(IF(I44&gt;10,I44/D44*0.8769,""),“”)</f>
        <v>0.39515705765407555</v>
      </c>
      <c r="T44" s="43" cm="1">
        <f t="array" ref="T44">IFERROR(IF(J44&gt;10,J44/E44*0.8769,""),“”)</f>
        <v>0.16834031413612566</v>
      </c>
      <c r="U44" s="43" t="str" cm="1">
        <f t="array" ref="U44">IFERROR(IF(K44&gt;10,K44/F44*0.8769,""),“”)</f>
        <v/>
      </c>
      <c r="V44" s="54">
        <f t="shared" si="16"/>
        <v>0.38031726576311137</v>
      </c>
    </row>
    <row r="45" spans="1:39">
      <c r="A45" s="53" t="s">
        <v>87</v>
      </c>
      <c r="B45" s="37">
        <v>2017</v>
      </c>
      <c r="C45" s="36">
        <f t="shared" si="17"/>
        <v>9429</v>
      </c>
      <c r="D45" s="36">
        <v>7741</v>
      </c>
      <c r="E45" s="36">
        <v>1348</v>
      </c>
      <c r="F45" s="28"/>
      <c r="G45" s="36">
        <v>340</v>
      </c>
      <c r="H45" s="36">
        <f t="shared" si="18"/>
        <v>4481</v>
      </c>
      <c r="I45" s="36">
        <v>3823</v>
      </c>
      <c r="J45" s="36">
        <v>449</v>
      </c>
      <c r="K45" s="28"/>
      <c r="L45" s="36">
        <v>209</v>
      </c>
      <c r="M45" s="36"/>
      <c r="N45" s="36">
        <v>5048</v>
      </c>
      <c r="O45" s="36">
        <v>3666</v>
      </c>
      <c r="P45" s="28"/>
      <c r="Q45" s="36">
        <v>6300</v>
      </c>
      <c r="R45" s="43" cm="1">
        <f t="array" ref="R45">IFERROR(IF(H45&gt;10,H45/C45*0.8769,""),“”)</f>
        <v>0.41673442570792235</v>
      </c>
      <c r="S45" s="43" cm="1">
        <f t="array" ref="S45">IFERROR(IF(I45&gt;10,I45/D45*0.8769,""),“”)</f>
        <v>0.43306920294535589</v>
      </c>
      <c r="T45" s="43" cm="1">
        <f t="array" ref="T45">IFERROR(IF(J45&gt;10,J45/E45*0.8769,""),“”)</f>
        <v>0.29208316023738873</v>
      </c>
      <c r="U45" s="43" t="str" cm="1">
        <f t="array" ref="U45">IFERROR(IF(K45&gt;10,K45/F45*0.8769,""),“”)</f>
        <v/>
      </c>
      <c r="V45" s="54">
        <f t="shared" si="16"/>
        <v>0.43752763271872291</v>
      </c>
    </row>
    <row r="46" spans="1:39">
      <c r="A46" s="53" t="s">
        <v>88</v>
      </c>
      <c r="B46" s="37">
        <v>2017</v>
      </c>
      <c r="C46" s="36">
        <f t="shared" si="17"/>
        <v>6134</v>
      </c>
      <c r="D46" s="36">
        <v>4663</v>
      </c>
      <c r="E46" s="36">
        <v>1230</v>
      </c>
      <c r="F46" s="36">
        <v>6</v>
      </c>
      <c r="G46" s="36">
        <v>235</v>
      </c>
      <c r="H46" s="36">
        <f t="shared" si="18"/>
        <v>2543</v>
      </c>
      <c r="I46" s="36">
        <v>2268</v>
      </c>
      <c r="J46" s="36">
        <v>153</v>
      </c>
      <c r="K46" s="35" t="s">
        <v>115</v>
      </c>
      <c r="L46" s="36">
        <v>122</v>
      </c>
      <c r="M46" s="36"/>
      <c r="N46" s="36">
        <v>4876</v>
      </c>
      <c r="O46" s="36">
        <v>1239</v>
      </c>
      <c r="P46" s="28"/>
      <c r="Q46" s="36">
        <v>5603</v>
      </c>
      <c r="R46" s="43" cm="1">
        <f t="array" ref="R46">IFERROR(IF(H46&gt;10,H46/C46*0.8769,""),“”)</f>
        <v>0.3635403814802739</v>
      </c>
      <c r="S46" s="43" cm="1">
        <f t="array" ref="S46">IFERROR(IF(I46&gt;10,I46/D46*0.8769,""),“”)</f>
        <v>0.42650851383229682</v>
      </c>
      <c r="T46" s="43" cm="1">
        <f t="array" ref="T46">IFERROR(IF(J46&gt;10,J46/E46*0.8769,""),“”)</f>
        <v>0.10907780487804879</v>
      </c>
      <c r="U46" s="43" t="e" cm="1">
        <f t="array" ref="U46">IFERROR(IF(K46&gt;10,K46/F46*0.8769,""),“”)</f>
        <v>#NAME?</v>
      </c>
      <c r="V46" s="54">
        <f t="shared" si="16"/>
        <v>0.42736358075040787</v>
      </c>
    </row>
    <row r="47" spans="1:39">
      <c r="A47" s="53" t="s">
        <v>89</v>
      </c>
      <c r="B47" s="37">
        <v>2017</v>
      </c>
      <c r="C47" s="36">
        <f t="shared" si="17"/>
        <v>5053</v>
      </c>
      <c r="D47" s="36">
        <v>4760</v>
      </c>
      <c r="E47" s="36">
        <v>12</v>
      </c>
      <c r="F47" s="28"/>
      <c r="G47" s="36">
        <v>281</v>
      </c>
      <c r="H47" s="36">
        <f t="shared" si="18"/>
        <v>2311</v>
      </c>
      <c r="I47" s="36">
        <v>2151</v>
      </c>
      <c r="J47" s="36">
        <v>5</v>
      </c>
      <c r="K47" s="28"/>
      <c r="L47" s="36">
        <v>155</v>
      </c>
      <c r="M47" s="36"/>
      <c r="N47" s="36">
        <v>4527</v>
      </c>
      <c r="O47" s="36">
        <v>1586</v>
      </c>
      <c r="P47" s="28"/>
      <c r="Q47" s="36">
        <v>5875</v>
      </c>
      <c r="R47" s="43" cm="1">
        <f t="array" ref="R47">IFERROR(IF(H47&gt;10,H47/C47*0.8769,""),“”)</f>
        <v>0.40105202849792204</v>
      </c>
      <c r="S47" s="43" cm="1">
        <f t="array" ref="S47">IFERROR(IF(I47&gt;10,I47/D47*0.8769,""),“”)</f>
        <v>0.3962630042016807</v>
      </c>
      <c r="T47" s="43" t="str" cm="1">
        <f t="array" ref="T47">IFERROR(IF(J47&gt;10,J47/E47*0.8769,""),“”)</f>
        <v/>
      </c>
      <c r="U47" s="43" t="str" cm="1">
        <f t="array" ref="U47">IFERROR(IF(K47&gt;10,K47/F47*0.8769,""),“”)</f>
        <v/>
      </c>
      <c r="V47" s="54">
        <f t="shared" si="16"/>
        <v>0.40113695695298551</v>
      </c>
    </row>
    <row r="48" spans="1:39">
      <c r="A48" s="53" t="s">
        <v>90</v>
      </c>
      <c r="B48" s="37">
        <v>2017</v>
      </c>
      <c r="C48" s="36">
        <f t="shared" si="17"/>
        <v>3074</v>
      </c>
      <c r="D48" s="36">
        <v>2545</v>
      </c>
      <c r="E48" s="36">
        <v>390</v>
      </c>
      <c r="F48" s="36">
        <v>1</v>
      </c>
      <c r="G48" s="36">
        <v>138</v>
      </c>
      <c r="H48" s="36">
        <f t="shared" si="18"/>
        <v>1139.04</v>
      </c>
      <c r="I48" s="36">
        <v>1007</v>
      </c>
      <c r="J48" s="36">
        <v>60</v>
      </c>
      <c r="K48" s="36">
        <v>0.04</v>
      </c>
      <c r="L48" s="36">
        <v>72</v>
      </c>
      <c r="M48" s="36"/>
      <c r="N48" s="36">
        <v>4121</v>
      </c>
      <c r="O48" s="36">
        <v>1642</v>
      </c>
      <c r="P48" s="28"/>
      <c r="Q48" s="36">
        <v>5739</v>
      </c>
      <c r="R48" s="43" cm="1">
        <f t="array" ref="R48">IFERROR(IF(H48&gt;10,H48/C48*0.8769,""),“”)</f>
        <v>0.32492653741054001</v>
      </c>
      <c r="S48" s="43" cm="1">
        <f t="array" ref="S48">IFERROR(IF(I48&gt;10,I48/D48*0.8769,""),“”)</f>
        <v>0.34696986247544204</v>
      </c>
      <c r="T48" s="43" cm="1">
        <f t="array" ref="T48">IFERROR(IF(J48&gt;10,J48/E48*0.8769,""),“”)</f>
        <v>0.13490769230769231</v>
      </c>
      <c r="U48" s="43" t="str" cm="1">
        <f t="array" ref="U48">IFERROR(IF(K48&gt;10,K48/F48*0.8769,""),“”)</f>
        <v/>
      </c>
      <c r="V48" s="54">
        <f t="shared" si="16"/>
        <v>0.35253732339791355</v>
      </c>
    </row>
    <row r="49" spans="1:22">
      <c r="A49" s="53" t="s">
        <v>91</v>
      </c>
      <c r="B49" s="37">
        <v>2017</v>
      </c>
      <c r="C49" s="36">
        <f t="shared" si="17"/>
        <v>1933</v>
      </c>
      <c r="D49" s="36">
        <v>1721</v>
      </c>
      <c r="E49" s="36">
        <v>10</v>
      </c>
      <c r="F49" s="28"/>
      <c r="G49" s="36">
        <v>202</v>
      </c>
      <c r="H49" s="36">
        <f t="shared" si="18"/>
        <v>967</v>
      </c>
      <c r="I49" s="36">
        <v>842</v>
      </c>
      <c r="J49" s="36">
        <v>5</v>
      </c>
      <c r="K49" s="28"/>
      <c r="L49" s="36">
        <v>120</v>
      </c>
      <c r="M49" s="36"/>
      <c r="N49" s="36">
        <v>4893</v>
      </c>
      <c r="O49" s="36">
        <v>4779</v>
      </c>
      <c r="P49" s="28"/>
      <c r="Q49" s="36">
        <v>6214</v>
      </c>
      <c r="R49" s="43" cm="1">
        <f t="array" ref="R49">IFERROR(IF(H49&gt;10,H49/C49*0.8769,""),“”)</f>
        <v>0.43867682359027421</v>
      </c>
      <c r="S49" s="43" cm="1">
        <f t="array" ref="S49">IFERROR(IF(I49&gt;10,I49/D49*0.8769,""),“”)</f>
        <v>0.42902370714700755</v>
      </c>
      <c r="T49" s="43" t="str" cm="1">
        <f t="array" ref="T49">IFERROR(IF(J49&gt;10,J49/E49*0.8769,""),“”)</f>
        <v/>
      </c>
      <c r="U49" s="43" t="str" cm="1">
        <f t="array" ref="U49">IFERROR(IF(K49&gt;10,K49/F49*0.8769,""),“”)</f>
        <v/>
      </c>
      <c r="V49" s="54">
        <f t="shared" si="16"/>
        <v>0.43867800312012478</v>
      </c>
    </row>
    <row r="50" spans="1:22">
      <c r="A50" s="53" t="s">
        <v>92</v>
      </c>
      <c r="B50" s="37">
        <v>2017</v>
      </c>
      <c r="C50" s="36">
        <f t="shared" si="17"/>
        <v>10334</v>
      </c>
      <c r="D50" s="36">
        <v>9762</v>
      </c>
      <c r="E50" s="36">
        <v>5</v>
      </c>
      <c r="F50" s="28"/>
      <c r="G50" s="36">
        <v>567</v>
      </c>
      <c r="H50" s="36">
        <f t="shared" si="18"/>
        <v>4614</v>
      </c>
      <c r="I50" s="36">
        <v>4378</v>
      </c>
      <c r="J50" s="36">
        <v>1</v>
      </c>
      <c r="K50" s="28"/>
      <c r="L50" s="36">
        <v>235</v>
      </c>
      <c r="M50" s="36"/>
      <c r="N50" s="36">
        <v>4676</v>
      </c>
      <c r="O50" s="36">
        <v>4024</v>
      </c>
      <c r="P50" s="28"/>
      <c r="Q50" s="36">
        <v>4375</v>
      </c>
      <c r="R50" s="43" cm="1">
        <f t="array" ref="R50">IFERROR(IF(H50&gt;10,H50/C50*0.8769,""),“”)</f>
        <v>0.39152473388813624</v>
      </c>
      <c r="S50" s="43" cm="1">
        <f t="array" ref="S50">IFERROR(IF(I50&gt;10,I50/D50*0.8769,""),“”)</f>
        <v>0.3932665642286417</v>
      </c>
      <c r="T50" s="43" t="str" cm="1">
        <f t="array" ref="T50">IFERROR(IF(J50&gt;10,J50/E50*0.8769,""),“”)</f>
        <v/>
      </c>
      <c r="U50" s="43" t="str" cm="1">
        <f t="array" ref="U50">IFERROR(IF(K50&gt;10,K50/F50*0.8769,""),“”)</f>
        <v/>
      </c>
      <c r="V50" s="54">
        <f t="shared" si="16"/>
        <v>0.39162936392680803</v>
      </c>
    </row>
    <row r="51" spans="1:22">
      <c r="A51" s="53" t="s">
        <v>93</v>
      </c>
      <c r="B51" s="37">
        <v>2017</v>
      </c>
      <c r="C51" s="36">
        <f t="shared" si="17"/>
        <v>6544</v>
      </c>
      <c r="D51" s="36">
        <v>6239</v>
      </c>
      <c r="E51" s="36">
        <v>164</v>
      </c>
      <c r="F51" s="28"/>
      <c r="G51" s="36">
        <v>141</v>
      </c>
      <c r="H51" s="36">
        <f t="shared" si="18"/>
        <v>2528</v>
      </c>
      <c r="I51" s="36">
        <v>2457</v>
      </c>
      <c r="J51" s="36">
        <v>31</v>
      </c>
      <c r="K51" s="28"/>
      <c r="L51" s="36">
        <v>40</v>
      </c>
      <c r="M51" s="36"/>
      <c r="N51" s="36">
        <v>3919</v>
      </c>
      <c r="O51" s="36">
        <v>1857</v>
      </c>
      <c r="P51" s="28"/>
      <c r="Q51" s="36">
        <v>3480</v>
      </c>
      <c r="R51" s="43" cm="1">
        <f t="array" ref="R51">IFERROR(IF(H51&gt;10,H51/C51*0.8769,""),“”)</f>
        <v>0.33875354523227386</v>
      </c>
      <c r="S51" s="43" cm="1">
        <f t="array" ref="S51">IFERROR(IF(I51&gt;10,I51/D51*0.8769,""),“”)</f>
        <v>0.34533471710209973</v>
      </c>
      <c r="T51" s="43" cm="1">
        <f t="array" ref="T51">IFERROR(IF(J51&gt;10,J51/E51*0.8769,""),“”)</f>
        <v>0.16575548780487806</v>
      </c>
      <c r="U51" s="43" t="str" cm="1">
        <f t="array" ref="U51">IFERROR(IF(K51&gt;10,K51/F51*0.8769,""),“”)</f>
        <v/>
      </c>
      <c r="V51" s="54">
        <f t="shared" si="16"/>
        <v>0.34320051724137934</v>
      </c>
    </row>
    <row r="52" spans="1:22">
      <c r="A52" s="53" t="s">
        <v>94</v>
      </c>
      <c r="B52" s="37">
        <v>2017</v>
      </c>
      <c r="C52" s="36">
        <f t="shared" si="17"/>
        <v>2787</v>
      </c>
      <c r="D52" s="36">
        <v>2450</v>
      </c>
      <c r="E52" s="36">
        <v>96</v>
      </c>
      <c r="F52" s="28"/>
      <c r="G52" s="36">
        <v>241</v>
      </c>
      <c r="H52" s="36">
        <f t="shared" si="18"/>
        <v>1075</v>
      </c>
      <c r="I52" s="36">
        <v>945</v>
      </c>
      <c r="J52" s="36">
        <v>28</v>
      </c>
      <c r="K52" s="28"/>
      <c r="L52" s="36">
        <v>102</v>
      </c>
      <c r="M52" s="36"/>
      <c r="N52" s="36">
        <v>3930</v>
      </c>
      <c r="O52" s="36">
        <v>3253</v>
      </c>
      <c r="P52" s="28"/>
      <c r="Q52" s="36">
        <v>4515</v>
      </c>
      <c r="R52" s="43" cm="1">
        <f t="array" ref="R52">IFERROR(IF(H52&gt;10,H52/C52*0.8769,""),“”)</f>
        <v>0.3382373519913886</v>
      </c>
      <c r="S52" s="43" cm="1">
        <f t="array" ref="S52">IFERROR(IF(I52&gt;10,I52/D52*0.8769,""),“”)</f>
        <v>0.33823285714285717</v>
      </c>
      <c r="T52" s="43" cm="1">
        <f t="array" ref="T52">IFERROR(IF(J52&gt;10,J52/E52*0.8769,""),“”)</f>
        <v>0.2557625</v>
      </c>
      <c r="U52" s="43" t="str" cm="1">
        <f t="array" ref="U52">IFERROR(IF(K52&gt;10,K52/F52*0.8769,""),“”)</f>
        <v/>
      </c>
      <c r="V52" s="54">
        <f t="shared" si="16"/>
        <v>0.34117959866220737</v>
      </c>
    </row>
    <row r="53" spans="1:22">
      <c r="A53" s="53" t="s">
        <v>95</v>
      </c>
      <c r="B53" s="37">
        <v>2017</v>
      </c>
      <c r="C53" s="36">
        <f t="shared" si="17"/>
        <v>2267</v>
      </c>
      <c r="D53" s="36">
        <v>2053</v>
      </c>
      <c r="E53" s="36">
        <v>3</v>
      </c>
      <c r="F53" s="36">
        <v>7</v>
      </c>
      <c r="G53" s="36">
        <v>204</v>
      </c>
      <c r="H53" s="36">
        <f t="shared" si="18"/>
        <v>786</v>
      </c>
      <c r="I53" s="36">
        <v>667</v>
      </c>
      <c r="J53" s="36">
        <v>1</v>
      </c>
      <c r="K53" s="36">
        <v>3</v>
      </c>
      <c r="L53" s="36">
        <v>115</v>
      </c>
      <c r="M53" s="36"/>
      <c r="N53" s="36">
        <v>3337</v>
      </c>
      <c r="O53" s="36">
        <v>6671</v>
      </c>
      <c r="P53" s="36">
        <v>4028</v>
      </c>
      <c r="Q53" s="36">
        <v>5889</v>
      </c>
      <c r="R53" s="43" cm="1">
        <f t="array" ref="R53">IFERROR(IF(H53&gt;10,H53/C53*0.8769,""),“”)</f>
        <v>0.30403325981473311</v>
      </c>
      <c r="S53" s="43" cm="1">
        <f t="array" ref="S53">IFERROR(IF(I53&gt;10,I53/D53*0.8769,""),“”)</f>
        <v>0.28489639551875307</v>
      </c>
      <c r="T53" s="43" t="str" cm="1">
        <f t="array" ref="T53">IFERROR(IF(J53&gt;10,J53/E53*0.8769,""),“”)</f>
        <v/>
      </c>
      <c r="U53" s="43" t="str" cm="1">
        <f t="array" ref="U53">IFERROR(IF(K53&gt;10,K53/F53*0.8769,""),“”)</f>
        <v/>
      </c>
      <c r="V53" s="54">
        <f t="shared" si="16"/>
        <v>0.30404880742049473</v>
      </c>
    </row>
    <row r="54" spans="1:22">
      <c r="A54" s="53" t="s">
        <v>96</v>
      </c>
      <c r="B54" s="37">
        <v>2017</v>
      </c>
      <c r="C54" s="36">
        <f t="shared" si="17"/>
        <v>7768</v>
      </c>
      <c r="D54" s="36">
        <v>6035</v>
      </c>
      <c r="E54" s="36">
        <v>1571</v>
      </c>
      <c r="F54" s="28">
        <v>21</v>
      </c>
      <c r="G54" s="36">
        <v>141</v>
      </c>
      <c r="H54" s="36">
        <f t="shared" si="18"/>
        <v>3164</v>
      </c>
      <c r="I54" s="36">
        <v>2578</v>
      </c>
      <c r="J54" s="36">
        <v>515</v>
      </c>
      <c r="K54" s="28">
        <v>13</v>
      </c>
      <c r="L54" s="36">
        <v>58</v>
      </c>
      <c r="M54" s="36"/>
      <c r="N54" s="36">
        <v>4301</v>
      </c>
      <c r="O54" s="36">
        <v>3278</v>
      </c>
      <c r="P54" s="28">
        <v>6367</v>
      </c>
      <c r="Q54" s="36">
        <v>4517</v>
      </c>
      <c r="R54" s="43" cm="1">
        <f t="array" ref="R54">IFERROR(IF(H54&gt;10,H54/C54*0.8769,""),“”)</f>
        <v>0.35717193614830073</v>
      </c>
      <c r="S54" s="43" cm="1">
        <f t="array" ref="S54">IFERROR(IF(I54&gt;10,I54/D54*0.8769,""),“”)</f>
        <v>0.37458959403479702</v>
      </c>
      <c r="T54" s="43" cm="1">
        <f t="array" ref="T54">IFERROR(IF(J54&gt;10,J54/E54*0.8769,""),“”)</f>
        <v>0.28746244430299173</v>
      </c>
      <c r="U54" s="43" cm="1">
        <f t="array" ref="U54">IFERROR(IF(K54&gt;10,K54/F54*0.8769,""),“”)</f>
        <v>0.54284285714285718</v>
      </c>
      <c r="V54" s="54">
        <f t="shared" si="16"/>
        <v>0.37484397289010812</v>
      </c>
    </row>
    <row r="55" spans="1:22">
      <c r="A55" s="53" t="s">
        <v>97</v>
      </c>
      <c r="B55" s="37">
        <v>2017</v>
      </c>
      <c r="C55" s="36">
        <f t="shared" si="17"/>
        <v>2218</v>
      </c>
      <c r="D55" s="36">
        <v>1797</v>
      </c>
      <c r="E55" s="36">
        <v>35</v>
      </c>
      <c r="F55" s="28"/>
      <c r="G55" s="36">
        <v>386</v>
      </c>
      <c r="H55" s="36">
        <f t="shared" si="18"/>
        <v>575</v>
      </c>
      <c r="I55" s="36">
        <v>444</v>
      </c>
      <c r="J55" s="36">
        <v>2</v>
      </c>
      <c r="K55" s="28"/>
      <c r="L55" s="36">
        <v>129</v>
      </c>
      <c r="M55" s="36"/>
      <c r="N55" s="36">
        <v>2471</v>
      </c>
      <c r="O55" s="36">
        <v>797</v>
      </c>
      <c r="P55" s="28"/>
      <c r="Q55" s="36">
        <v>3657</v>
      </c>
      <c r="R55" s="43" cm="1">
        <f t="array" ref="R55">IFERROR(IF(H55&gt;10,H55/C55*0.8769,""),“”)</f>
        <v>0.22732980162308386</v>
      </c>
      <c r="S55" s="43" cm="1">
        <f t="array" ref="S55">IFERROR(IF(I55&gt;10,I55/D55*0.8769,""),“”)</f>
        <v>0.21666310517529216</v>
      </c>
      <c r="T55" s="43" t="str" cm="1">
        <f t="array" ref="T55">IFERROR(IF(J55&gt;10,J55/E55*0.8769,""),“”)</f>
        <v/>
      </c>
      <c r="U55" s="43" t="str" cm="1">
        <f t="array" ref="U55">IFERROR(IF(K55&gt;10,K55/F55*0.8769,""),“”)</f>
        <v/>
      </c>
      <c r="V55" s="54">
        <f t="shared" si="16"/>
        <v>0.23017118644067797</v>
      </c>
    </row>
    <row r="56" spans="1:22">
      <c r="A56" s="53" t="s">
        <v>98</v>
      </c>
      <c r="B56" s="37">
        <v>2017</v>
      </c>
      <c r="C56" s="36">
        <f t="shared" si="17"/>
        <v>466</v>
      </c>
      <c r="D56" s="36">
        <v>376</v>
      </c>
      <c r="E56" s="36">
        <v>73</v>
      </c>
      <c r="F56" s="28"/>
      <c r="G56" s="36">
        <v>17</v>
      </c>
      <c r="H56" s="36">
        <f t="shared" si="18"/>
        <v>195</v>
      </c>
      <c r="I56" s="36">
        <v>173</v>
      </c>
      <c r="J56" s="36">
        <v>11</v>
      </c>
      <c r="K56" s="28"/>
      <c r="L56" s="36">
        <v>11</v>
      </c>
      <c r="M56" s="36"/>
      <c r="N56" s="36">
        <v>4616</v>
      </c>
      <c r="O56" s="36">
        <v>1483</v>
      </c>
      <c r="P56" s="28"/>
      <c r="Q56" s="36">
        <v>6806</v>
      </c>
      <c r="R56" s="43" cm="1">
        <f t="array" ref="R56">IFERROR(IF(H56&gt;10,H56/C56*0.8769,""),“”)</f>
        <v>0.36694313304721032</v>
      </c>
      <c r="S56" s="43" cm="1">
        <f t="array" ref="S56">IFERROR(IF(I56&gt;10,I56/D56*0.8769,""),“”)</f>
        <v>0.40346728723404257</v>
      </c>
      <c r="T56" s="43" cm="1">
        <f t="array" ref="T56">IFERROR(IF(J56&gt;10,J56/E56*0.8769,""),“”)</f>
        <v>0.13213561643835617</v>
      </c>
      <c r="U56" s="43" t="str" cm="1">
        <f t="array" ref="U56">IFERROR(IF(K56&gt;10,K56/F56*0.8769,""),“”)</f>
        <v/>
      </c>
      <c r="V56" s="54">
        <f t="shared" si="16"/>
        <v>0.41055877862595425</v>
      </c>
    </row>
    <row r="57" spans="1:22">
      <c r="A57" s="53" t="s">
        <v>99</v>
      </c>
      <c r="B57" s="37">
        <v>2017</v>
      </c>
      <c r="C57" s="36">
        <f t="shared" si="17"/>
        <v>1545</v>
      </c>
      <c r="D57" s="36">
        <v>1332</v>
      </c>
      <c r="E57" s="36">
        <v>168</v>
      </c>
      <c r="F57" s="28"/>
      <c r="G57" s="36">
        <v>45</v>
      </c>
      <c r="H57" s="36">
        <f t="shared" si="18"/>
        <v>467</v>
      </c>
      <c r="I57" s="36">
        <v>405</v>
      </c>
      <c r="J57" s="36">
        <v>37</v>
      </c>
      <c r="K57" s="28"/>
      <c r="L57" s="36">
        <v>25</v>
      </c>
      <c r="M57" s="36"/>
      <c r="N57" s="36">
        <v>3039</v>
      </c>
      <c r="O57" s="36">
        <v>2208</v>
      </c>
      <c r="P57" s="28"/>
      <c r="Q57" s="36">
        <v>5742</v>
      </c>
      <c r="R57" s="43" cm="1">
        <f t="array" ref="R57">IFERROR(IF(H57&gt;10,H57/C57*0.8769,""),“”)</f>
        <v>0.26505650485436894</v>
      </c>
      <c r="S57" s="43" cm="1">
        <f t="array" ref="S57">IFERROR(IF(I57&gt;10,I57/D57*0.8769,""),“”)</f>
        <v>0.266625</v>
      </c>
      <c r="T57" s="43" cm="1">
        <f t="array" ref="T57">IFERROR(IF(J57&gt;10,J57/E57*0.8769,""),“”)</f>
        <v>0.19312678571428571</v>
      </c>
      <c r="U57" s="43" t="str" cm="1">
        <f t="array" ref="U57">IFERROR(IF(K57&gt;10,K57/F57*0.8769,""),“”)</f>
        <v/>
      </c>
      <c r="V57" s="54">
        <f t="shared" si="16"/>
        <v>0.27383224400871459</v>
      </c>
    </row>
    <row r="58" spans="1:22">
      <c r="A58" s="53" t="s">
        <v>100</v>
      </c>
      <c r="B58" s="37">
        <v>2017</v>
      </c>
      <c r="C58" s="36">
        <f t="shared" si="17"/>
        <v>1662</v>
      </c>
      <c r="D58" s="36">
        <v>1336</v>
      </c>
      <c r="E58" s="36">
        <v>126</v>
      </c>
      <c r="F58" s="28"/>
      <c r="G58" s="36">
        <v>200</v>
      </c>
      <c r="H58" s="36">
        <f t="shared" si="18"/>
        <v>354</v>
      </c>
      <c r="I58" s="36">
        <v>249</v>
      </c>
      <c r="J58" s="36">
        <v>19</v>
      </c>
      <c r="K58" s="28"/>
      <c r="L58" s="36">
        <v>86</v>
      </c>
      <c r="M58" s="36"/>
      <c r="N58" s="36">
        <v>1857</v>
      </c>
      <c r="O58" s="36">
        <v>1503</v>
      </c>
      <c r="P58" s="28"/>
      <c r="Q58" s="36">
        <v>4710</v>
      </c>
      <c r="R58" s="43" cm="1">
        <f t="array" ref="R58">IFERROR(IF(H58&gt;10,H58/C58*0.8769,""),“”)</f>
        <v>0.18677653429602889</v>
      </c>
      <c r="S58" s="43" cm="1">
        <f t="array" ref="S58">IFERROR(IF(I58&gt;10,I58/D58*0.8769,""),“”)</f>
        <v>0.16343420658682636</v>
      </c>
      <c r="T58" s="43" cm="1">
        <f t="array" ref="T58">IFERROR(IF(J58&gt;10,J58/E58*0.8769,""),“”)</f>
        <v>0.13223095238095237</v>
      </c>
      <c r="U58" s="43" t="str" cm="1">
        <f t="array" ref="U58">IFERROR(IF(K58&gt;10,K58/F58*0.8769,""),“”)</f>
        <v/>
      </c>
      <c r="V58" s="54">
        <f t="shared" si="16"/>
        <v>0.19125097656250001</v>
      </c>
    </row>
    <row r="59" spans="1:22">
      <c r="A59" s="53" t="s">
        <v>101</v>
      </c>
      <c r="B59" s="37">
        <v>2017</v>
      </c>
      <c r="C59" s="36">
        <f t="shared" si="17"/>
        <v>3161</v>
      </c>
      <c r="D59" s="36">
        <v>3146</v>
      </c>
      <c r="E59" s="28"/>
      <c r="F59" s="28"/>
      <c r="G59" s="36">
        <v>15</v>
      </c>
      <c r="H59" s="36">
        <f t="shared" si="18"/>
        <v>1210</v>
      </c>
      <c r="I59" s="36">
        <v>1201</v>
      </c>
      <c r="J59" s="28"/>
      <c r="K59" s="28"/>
      <c r="L59" s="36">
        <v>9</v>
      </c>
      <c r="M59" s="36"/>
      <c r="N59" s="36">
        <v>3889</v>
      </c>
      <c r="O59" s="28"/>
      <c r="P59" s="28"/>
      <c r="Q59" s="36">
        <v>6126</v>
      </c>
      <c r="R59" s="43" cm="1">
        <f t="array" ref="R59">IFERROR(IF(H59&gt;10,H59/C59*0.8769,""),“”)</f>
        <v>0.33566877570389114</v>
      </c>
      <c r="S59" s="43" cm="1">
        <f t="array" ref="S59">IFERROR(IF(I59&gt;10,I59/D59*0.8769,""),“”)</f>
        <v>0.33476061665607121</v>
      </c>
      <c r="T59" s="43" t="str" cm="1">
        <f t="array" ref="T59">IFERROR(IF(J59&gt;10,J59/E59*0.8769,""),“”)</f>
        <v/>
      </c>
      <c r="U59" s="43" t="str" cm="1">
        <f t="array" ref="U59">IFERROR(IF(K59&gt;10,K59/F59*0.8769,""),“”)</f>
        <v/>
      </c>
      <c r="V59" s="54">
        <f t="shared" si="16"/>
        <v>0.33566877570389114</v>
      </c>
    </row>
    <row r="60" spans="1:22">
      <c r="A60" s="53" t="s">
        <v>102</v>
      </c>
      <c r="B60" s="37">
        <v>2017</v>
      </c>
      <c r="C60" s="36">
        <f t="shared" si="17"/>
        <v>1613</v>
      </c>
      <c r="D60" s="36">
        <v>1301</v>
      </c>
      <c r="E60" s="36">
        <v>2</v>
      </c>
      <c r="F60" s="28"/>
      <c r="G60" s="36">
        <v>310</v>
      </c>
      <c r="H60" s="36">
        <f t="shared" si="18"/>
        <v>240</v>
      </c>
      <c r="I60" s="36">
        <v>167</v>
      </c>
      <c r="J60" s="36">
        <v>1</v>
      </c>
      <c r="K60" s="28"/>
      <c r="L60" s="36">
        <v>72</v>
      </c>
      <c r="M60" s="36"/>
      <c r="N60" s="36">
        <v>1283</v>
      </c>
      <c r="O60" s="36">
        <v>4905</v>
      </c>
      <c r="P60" s="28"/>
      <c r="Q60" s="36">
        <v>3009</v>
      </c>
      <c r="R60" s="43" cm="1">
        <f t="array" ref="R60">IFERROR(IF(H60&gt;10,H60/C60*0.8769,""),“”)</f>
        <v>0.13047489150650959</v>
      </c>
      <c r="S60" s="43" cm="1">
        <f t="array" ref="S60">IFERROR(IF(I60&gt;10,I60/D60*0.8769,""),“”)</f>
        <v>0.11256133743274405</v>
      </c>
      <c r="T60" s="43" t="str" cm="1">
        <f t="array" ref="T60">IFERROR(IF(J60&gt;10,J60/E60*0.8769,""),“”)</f>
        <v/>
      </c>
      <c r="U60" s="43" t="str" cm="1">
        <f t="array" ref="U60">IFERROR(IF(K60&gt;10,K60/F60*0.8769,""),“”)</f>
        <v/>
      </c>
      <c r="V60" s="54">
        <f t="shared" si="16"/>
        <v>0.13009255121042831</v>
      </c>
    </row>
    <row r="61" spans="1:22">
      <c r="A61" s="53" t="s">
        <v>103</v>
      </c>
      <c r="B61" s="37">
        <v>2017</v>
      </c>
      <c r="C61" s="36">
        <f t="shared" si="17"/>
        <v>40</v>
      </c>
      <c r="D61" s="28"/>
      <c r="E61" s="28"/>
      <c r="F61" s="36">
        <v>38</v>
      </c>
      <c r="G61" s="36">
        <v>2</v>
      </c>
      <c r="H61" s="36">
        <f t="shared" si="18"/>
        <v>0.4</v>
      </c>
      <c r="I61" s="28"/>
      <c r="J61" s="28"/>
      <c r="K61" s="36">
        <v>0.4</v>
      </c>
      <c r="L61" s="36"/>
      <c r="M61" s="36"/>
      <c r="N61" s="28"/>
      <c r="O61" s="28"/>
      <c r="P61" s="36">
        <v>111</v>
      </c>
      <c r="Q61" s="36"/>
      <c r="R61" s="43" t="str" cm="1">
        <f t="array" ref="R61">IFERROR(IF(H61&gt;10,H61/C61*0.8769,""),“”)</f>
        <v/>
      </c>
      <c r="S61" s="43" t="str" cm="1">
        <f t="array" ref="S61">IFERROR(IF(I61&gt;10,I61/D61*0.8769,""),“”)</f>
        <v/>
      </c>
      <c r="T61" s="43" t="str" cm="1">
        <f t="array" ref="T61">IFERROR(IF(J61&gt;10,J61/E61*0.8769,""),“”)</f>
        <v/>
      </c>
      <c r="U61" s="43" t="str" cm="1">
        <f t="array" ref="U61">IFERROR(IF(K61&gt;10,K61/F61*0.8769,""),“”)</f>
        <v/>
      </c>
      <c r="V61" s="54" t="str">
        <f t="shared" si="16"/>
        <v/>
      </c>
    </row>
    <row r="62" spans="1:22">
      <c r="A62" s="53" t="s">
        <v>104</v>
      </c>
      <c r="B62" s="37">
        <v>2017</v>
      </c>
      <c r="C62" s="36">
        <f t="shared" si="17"/>
        <v>3143</v>
      </c>
      <c r="D62" s="36">
        <v>3087</v>
      </c>
      <c r="E62" s="36"/>
      <c r="F62" s="28"/>
      <c r="G62" s="36">
        <v>56</v>
      </c>
      <c r="H62" s="36">
        <f t="shared" si="18"/>
        <v>1427</v>
      </c>
      <c r="I62" s="36">
        <v>1404</v>
      </c>
      <c r="J62" s="36"/>
      <c r="K62" s="28"/>
      <c r="L62" s="36">
        <v>23</v>
      </c>
      <c r="M62" s="36"/>
      <c r="N62" s="36">
        <v>4716</v>
      </c>
      <c r="O62" s="28"/>
      <c r="P62" s="28"/>
      <c r="Q62" s="36">
        <v>4411</v>
      </c>
      <c r="R62" s="43" cm="1">
        <f t="array" ref="R62">IFERROR(IF(H62&gt;10,H62/C62*0.8769,""),“”)</f>
        <v>0.39813436207445119</v>
      </c>
      <c r="S62" s="43" cm="1">
        <f t="array" ref="S62">IFERROR(IF(I62&gt;10,I62/D62*0.8769,""),“”)</f>
        <v>0.39882332361516032</v>
      </c>
      <c r="T62" s="43" t="str" cm="1">
        <f t="array" ref="T62">IFERROR(IF(J62&gt;10,J62/E62*0.8769,""),“”)</f>
        <v/>
      </c>
      <c r="U62" s="43" t="str" cm="1">
        <f t="array" ref="U62">IFERROR(IF(K62&gt;10,K62/F62*0.8769,""),“”)</f>
        <v/>
      </c>
      <c r="V62" s="54">
        <f t="shared" si="16"/>
        <v>0.39813436207445119</v>
      </c>
    </row>
    <row r="63" spans="1:22">
      <c r="A63" s="53" t="s">
        <v>105</v>
      </c>
      <c r="B63" s="37">
        <v>2017</v>
      </c>
      <c r="C63" s="36">
        <f t="shared" si="17"/>
        <v>2059</v>
      </c>
      <c r="D63" s="36">
        <v>2020</v>
      </c>
      <c r="E63" s="36">
        <v>6</v>
      </c>
      <c r="F63" s="28"/>
      <c r="G63" s="36">
        <v>33</v>
      </c>
      <c r="H63" s="36">
        <f t="shared" si="18"/>
        <v>707</v>
      </c>
      <c r="I63" s="36">
        <v>696</v>
      </c>
      <c r="J63" s="28" t="s">
        <v>68</v>
      </c>
      <c r="K63" s="28"/>
      <c r="L63" s="36">
        <v>11</v>
      </c>
      <c r="M63" s="36"/>
      <c r="N63" s="36">
        <v>3530</v>
      </c>
      <c r="O63" s="28">
        <v>186</v>
      </c>
      <c r="P63" s="28"/>
      <c r="Q63" s="36">
        <v>2870</v>
      </c>
      <c r="R63" s="43" cm="1">
        <f t="array" ref="R63">IFERROR(IF(H63&gt;10,H63/C63*0.8769,""),“”)</f>
        <v>0.30110165128703253</v>
      </c>
      <c r="S63" s="43" cm="1">
        <f t="array" ref="S63">IFERROR(IF(I63&gt;10,I63/D63*0.8769,""),“”)</f>
        <v>0.30213980198019802</v>
      </c>
      <c r="T63" s="43" t="e" cm="1">
        <f t="array" ref="T63">IFERROR(IF(J63&gt;10,J63/E63*0.8769,""),“”)</f>
        <v>#NAME?</v>
      </c>
      <c r="U63" s="43" t="str" cm="1">
        <f t="array" ref="U63">IFERROR(IF(K63&gt;10,K63/F63*0.8769,""),“”)</f>
        <v/>
      </c>
      <c r="V63" s="54" t="str">
        <f t="shared" si="16"/>
        <v/>
      </c>
    </row>
    <row r="64" spans="1:22">
      <c r="A64" s="53" t="s">
        <v>106</v>
      </c>
      <c r="B64" s="37">
        <v>2017</v>
      </c>
      <c r="C64" s="36">
        <f t="shared" si="17"/>
        <v>399</v>
      </c>
      <c r="D64" s="36">
        <v>375</v>
      </c>
      <c r="E64" s="36"/>
      <c r="F64" s="28"/>
      <c r="G64" s="36">
        <v>24</v>
      </c>
      <c r="H64" s="36">
        <f t="shared" si="18"/>
        <v>153</v>
      </c>
      <c r="I64" s="36">
        <v>152</v>
      </c>
      <c r="J64" s="35"/>
      <c r="K64" s="28"/>
      <c r="L64" s="36">
        <v>1</v>
      </c>
      <c r="M64" s="36"/>
      <c r="N64" s="36">
        <v>4322</v>
      </c>
      <c r="O64" s="28"/>
      <c r="P64" s="28"/>
      <c r="Q64" s="36">
        <v>2604</v>
      </c>
      <c r="R64" s="43" cm="1">
        <f t="array" ref="R64">IFERROR(IF(H64&gt;10,H64/C64*0.8769,""),“”)</f>
        <v>0.33625488721804508</v>
      </c>
      <c r="S64" s="43" cm="1">
        <f t="array" ref="S64">IFERROR(IF(I64&gt;10,I64/D64*0.8769,""),“”)</f>
        <v>0.3554368</v>
      </c>
      <c r="T64" s="43" t="str" cm="1">
        <f t="array" ref="T64">IFERROR(IF(J64&gt;10,J64/E64*0.8769,""),“”)</f>
        <v/>
      </c>
      <c r="U64" s="43" t="str" cm="1">
        <f t="array" ref="U64">IFERROR(IF(K64&gt;10,K64/F64*0.8769,""),“”)</f>
        <v/>
      </c>
      <c r="V64" s="54">
        <f t="shared" si="16"/>
        <v>0.33625488721804508</v>
      </c>
    </row>
    <row r="65" spans="1:22">
      <c r="A65" s="53" t="s">
        <v>107</v>
      </c>
      <c r="B65" s="37">
        <v>2017</v>
      </c>
      <c r="C65" s="36">
        <f t="shared" si="17"/>
        <v>2584</v>
      </c>
      <c r="D65" s="36">
        <v>2432</v>
      </c>
      <c r="E65" s="36">
        <v>70</v>
      </c>
      <c r="F65" s="28"/>
      <c r="G65" s="36">
        <v>82</v>
      </c>
      <c r="H65" s="36">
        <f t="shared" si="18"/>
        <v>1159</v>
      </c>
      <c r="I65" s="36">
        <v>1113</v>
      </c>
      <c r="J65" s="36">
        <v>11</v>
      </c>
      <c r="K65" s="28"/>
      <c r="L65" s="36">
        <v>35</v>
      </c>
      <c r="M65" s="36"/>
      <c r="N65" s="36">
        <v>5178</v>
      </c>
      <c r="O65" s="36">
        <v>1321</v>
      </c>
      <c r="P65" s="28"/>
      <c r="Q65" s="36">
        <v>4470</v>
      </c>
      <c r="R65" s="43" cm="1">
        <f t="array" ref="R65">IFERROR(IF(H65&gt;10,H65/C65*0.8769,""),“”)</f>
        <v>0.3933154411764706</v>
      </c>
      <c r="S65" s="43" cm="1">
        <f t="array" ref="S65">IFERROR(IF(I65&gt;10,I65/D65*0.8769,""),“”)</f>
        <v>0.40131155427631582</v>
      </c>
      <c r="T65" s="43" cm="1">
        <f t="array" ref="T65">IFERROR(IF(J65&gt;10,J65/E65*0.8769,""),“”)</f>
        <v>0.13779857142857144</v>
      </c>
      <c r="U65" s="43" t="str" cm="1">
        <f t="array" ref="U65">IFERROR(IF(K65&gt;10,K65/F65*0.8769,""),“”)</f>
        <v/>
      </c>
      <c r="V65" s="54">
        <f t="shared" si="16"/>
        <v>0.40043007159904537</v>
      </c>
    </row>
    <row r="66" spans="1:22" ht="13.5" thickBot="1">
      <c r="A66" s="55" t="s">
        <v>108</v>
      </c>
      <c r="B66" s="56">
        <v>2017</v>
      </c>
      <c r="C66" s="57">
        <f t="shared" si="17"/>
        <v>5207</v>
      </c>
      <c r="D66" s="57">
        <v>5122</v>
      </c>
      <c r="E66" s="57">
        <v>83</v>
      </c>
      <c r="F66" s="58"/>
      <c r="G66" s="57">
        <v>2</v>
      </c>
      <c r="H66" s="57">
        <f t="shared" si="18"/>
        <v>2348</v>
      </c>
      <c r="I66" s="57">
        <v>2326</v>
      </c>
      <c r="J66" s="57">
        <v>20</v>
      </c>
      <c r="K66" s="58"/>
      <c r="L66" s="57">
        <v>2</v>
      </c>
      <c r="M66" s="57"/>
      <c r="N66" s="57">
        <v>4756</v>
      </c>
      <c r="O66" s="57">
        <v>2457</v>
      </c>
      <c r="P66" s="58"/>
      <c r="Q66" s="57">
        <v>7016</v>
      </c>
      <c r="R66" s="61" cm="1">
        <f t="array" ref="R66">IFERROR(IF(H66&gt;10,H66/C66*0.8769,""),“”)</f>
        <v>0.39542177837526404</v>
      </c>
      <c r="S66" s="61" cm="1">
        <f t="array" ref="S66">IFERROR(IF(I66&gt;10,I66/D66*0.8769,""),“”)</f>
        <v>0.39821737602499024</v>
      </c>
      <c r="T66" s="61" cm="1">
        <f t="array" ref="T66">IFERROR(IF(J66&gt;10,J66/E66*0.8769,""),“”)</f>
        <v>0.21130120481927711</v>
      </c>
      <c r="U66" s="61" t="str" cm="1">
        <f t="array" ref="U66">IFERROR(IF(K66&gt;10,K66/F66*0.8769,""),“”)</f>
        <v/>
      </c>
      <c r="V66" s="62">
        <f t="shared" si="16"/>
        <v>0.39840421545667448</v>
      </c>
    </row>
    <row r="67" spans="1:22">
      <c r="A67" s="46" t="s">
        <v>77</v>
      </c>
      <c r="B67" s="47">
        <v>2018</v>
      </c>
      <c r="C67" s="48">
        <v>114408</v>
      </c>
      <c r="D67" s="48">
        <v>100835</v>
      </c>
      <c r="E67" s="48">
        <v>8375</v>
      </c>
      <c r="F67" s="48">
        <v>173</v>
      </c>
      <c r="G67" s="48">
        <v>5024</v>
      </c>
      <c r="H67" s="48">
        <v>49249</v>
      </c>
      <c r="I67" s="48">
        <v>44829</v>
      </c>
      <c r="J67" s="48">
        <v>2155</v>
      </c>
      <c r="K67" s="48">
        <v>15</v>
      </c>
      <c r="L67" s="48">
        <v>2249</v>
      </c>
      <c r="M67" s="48">
        <v>4378</v>
      </c>
      <c r="N67" s="48">
        <v>4495</v>
      </c>
      <c r="O67" s="48">
        <v>2767</v>
      </c>
      <c r="P67" s="48">
        <v>903</v>
      </c>
      <c r="Q67" s="48">
        <v>4680</v>
      </c>
      <c r="R67" s="51" cm="1">
        <f t="array" ref="R67">IFERROR(IF(H67&gt;10,H67/C67*0.8769,""),“”)</f>
        <v>0.37747751992867629</v>
      </c>
      <c r="S67" s="51" cm="1">
        <f t="array" ref="S67">IFERROR(IF(I67&gt;10,I67/D67*0.8769,""),“”)</f>
        <v>0.38985025140080332</v>
      </c>
      <c r="T67" s="51" cm="1">
        <f t="array" ref="T67">IFERROR(IF(J67&gt;10,J67/E67*0.8769,""),“”)</f>
        <v>0.22563814925373138</v>
      </c>
      <c r="U67" s="51" cm="1">
        <f t="array" ref="U67">IFERROR(IF(K67&gt;10,K67/F67*0.8769,""),“”)</f>
        <v>7.6031791907514454E-2</v>
      </c>
      <c r="V67" s="52">
        <f t="shared" ref="V67:V98" si="19">IFERROR(IF((H67-J67)&gt;10,(H67-J67)/(C67-E67)*0.8769,""),"")</f>
        <v>0.389470528986259</v>
      </c>
    </row>
    <row r="68" spans="1:22">
      <c r="A68" s="53" t="s">
        <v>78</v>
      </c>
      <c r="B68" s="37">
        <v>2018</v>
      </c>
      <c r="C68" s="36">
        <v>1119</v>
      </c>
      <c r="D68" s="36">
        <v>85</v>
      </c>
      <c r="E68" s="36">
        <v>985</v>
      </c>
      <c r="F68" s="36">
        <v>22</v>
      </c>
      <c r="G68" s="36">
        <v>27</v>
      </c>
      <c r="H68" s="36">
        <v>433</v>
      </c>
      <c r="I68" s="36">
        <v>17</v>
      </c>
      <c r="J68" s="36">
        <v>395</v>
      </c>
      <c r="K68" s="36">
        <v>5</v>
      </c>
      <c r="L68" s="36">
        <v>15</v>
      </c>
      <c r="M68" s="36">
        <v>3939</v>
      </c>
      <c r="N68" s="36">
        <v>2003</v>
      </c>
      <c r="O68" s="36">
        <v>4081</v>
      </c>
      <c r="P68" s="36">
        <v>2403</v>
      </c>
      <c r="Q68" s="36">
        <v>6675</v>
      </c>
      <c r="R68" s="43" cm="1">
        <f t="array" ref="R68">IFERROR(IF(H68&gt;10,H68/C68*0.8769,""),“”)</f>
        <v>0.33931876675603218</v>
      </c>
      <c r="S68" s="43" cm="1">
        <f t="array" ref="S68">IFERROR(IF(I68&gt;10,I68/D68*0.8769,""),“”)</f>
        <v>0.17538000000000001</v>
      </c>
      <c r="T68" s="43" cm="1">
        <f t="array" ref="T68">IFERROR(IF(J68&gt;10,J68/E68*0.8769,""),“”)</f>
        <v>0.35165025380710657</v>
      </c>
      <c r="U68" s="43" t="str" cm="1">
        <f t="array" ref="U68">IFERROR(IF(K68&gt;10,K68/F68*0.8769,""),“”)</f>
        <v/>
      </c>
      <c r="V68" s="54">
        <f t="shared" si="19"/>
        <v>0.24867313432835819</v>
      </c>
    </row>
    <row r="69" spans="1:22">
      <c r="A69" s="53" t="s">
        <v>79</v>
      </c>
      <c r="B69" s="37">
        <v>2018</v>
      </c>
      <c r="C69" s="36">
        <v>1529</v>
      </c>
      <c r="D69" s="36">
        <v>1187</v>
      </c>
      <c r="E69" s="36">
        <v>317</v>
      </c>
      <c r="F69" s="28"/>
      <c r="G69" s="36">
        <v>25</v>
      </c>
      <c r="H69" s="36">
        <v>654</v>
      </c>
      <c r="I69" s="36">
        <v>531</v>
      </c>
      <c r="J69" s="36">
        <v>112</v>
      </c>
      <c r="K69" s="28"/>
      <c r="L69" s="36">
        <v>11</v>
      </c>
      <c r="M69" s="36">
        <v>4471</v>
      </c>
      <c r="N69" s="36">
        <v>4760</v>
      </c>
      <c r="O69" s="36">
        <v>3477</v>
      </c>
      <c r="P69" s="28"/>
      <c r="Q69" s="36">
        <v>4434</v>
      </c>
      <c r="R69" s="43" cm="1">
        <f t="array" ref="R69">IFERROR(IF(H69&gt;10,H69/C69*0.8769,""),“”)</f>
        <v>0.37507691301504253</v>
      </c>
      <c r="S69" s="43" cm="1">
        <f t="array" ref="S69">IFERROR(IF(I69&gt;10,I69/D69*0.8769,""),“”)</f>
        <v>0.39227792754844143</v>
      </c>
      <c r="T69" s="43" cm="1">
        <f t="array" ref="T69">IFERROR(IF(J69&gt;10,J69/E69*0.8769,""),“”)</f>
        <v>0.30981955835962149</v>
      </c>
      <c r="U69" s="43" t="str" cm="1">
        <f t="array" ref="U69">IFERROR(IF(K69&gt;10,K69/F69*0.8769,""),“”)</f>
        <v/>
      </c>
      <c r="V69" s="54">
        <f t="shared" si="19"/>
        <v>0.39214504950495055</v>
      </c>
    </row>
    <row r="70" spans="1:22">
      <c r="A70" s="53" t="s">
        <v>80</v>
      </c>
      <c r="B70" s="37">
        <v>2018</v>
      </c>
      <c r="C70" s="36">
        <v>4617</v>
      </c>
      <c r="D70" s="36">
        <v>4308</v>
      </c>
      <c r="E70" s="36">
        <v>3</v>
      </c>
      <c r="F70" s="28"/>
      <c r="G70" s="36">
        <v>306</v>
      </c>
      <c r="H70" s="36">
        <v>2361</v>
      </c>
      <c r="I70" s="36">
        <v>2266</v>
      </c>
      <c r="J70" s="36">
        <v>0.6</v>
      </c>
      <c r="K70" s="28"/>
      <c r="L70" s="36">
        <v>94</v>
      </c>
      <c r="M70" s="36">
        <v>5090</v>
      </c>
      <c r="N70" s="36">
        <v>5224</v>
      </c>
      <c r="O70" s="28">
        <v>125</v>
      </c>
      <c r="P70" s="28"/>
      <c r="Q70" s="36">
        <v>3146</v>
      </c>
      <c r="R70" s="43" cm="1">
        <f t="array" ref="R70">IFERROR(IF(H70&gt;10,H70/C70*0.8769,""),“”)</f>
        <v>0.44842124756335283</v>
      </c>
      <c r="S70" s="43" cm="1">
        <f t="array" ref="S70">IFERROR(IF(I70&gt;10,I70/D70*0.8769,""),“”)</f>
        <v>0.46124777158774372</v>
      </c>
      <c r="T70" s="43" t="str" cm="1">
        <f t="array" ref="T70">IFERROR(IF(J70&gt;10,J70/E70*0.8769,""),“”)</f>
        <v/>
      </c>
      <c r="U70" s="43" t="str" cm="1">
        <f t="array" ref="U70">IFERROR(IF(K70&gt;10,K70/F70*0.8769,""),“”)</f>
        <v/>
      </c>
      <c r="V70" s="54">
        <f t="shared" si="19"/>
        <v>0.44859877763329004</v>
      </c>
    </row>
    <row r="71" spans="1:22">
      <c r="A71" s="53" t="s">
        <v>81</v>
      </c>
      <c r="B71" s="37">
        <v>2018</v>
      </c>
      <c r="C71" s="36">
        <v>6628</v>
      </c>
      <c r="D71" s="36">
        <v>6108</v>
      </c>
      <c r="E71" s="36">
        <v>301</v>
      </c>
      <c r="F71" s="28"/>
      <c r="G71" s="36">
        <v>218</v>
      </c>
      <c r="H71" s="36">
        <v>2739</v>
      </c>
      <c r="I71" s="36">
        <v>2574</v>
      </c>
      <c r="J71" s="36">
        <v>100</v>
      </c>
      <c r="K71" s="28"/>
      <c r="L71" s="36">
        <v>64</v>
      </c>
      <c r="M71" s="36">
        <v>4318</v>
      </c>
      <c r="N71" s="36">
        <v>4405</v>
      </c>
      <c r="O71" s="36">
        <v>3399</v>
      </c>
      <c r="P71" s="28"/>
      <c r="Q71" s="36">
        <v>3136</v>
      </c>
      <c r="R71" s="43" cm="1">
        <f t="array" ref="R71">IFERROR(IF(H71&gt;10,H71/C71*0.8769,""),“”)</f>
        <v>0.36237614665057333</v>
      </c>
      <c r="S71" s="43" cm="1">
        <f t="array" ref="S71">IFERROR(IF(I71&gt;10,I71/D71*0.8769,""),“”)</f>
        <v>0.3695384086444008</v>
      </c>
      <c r="T71" s="43" cm="1">
        <f t="array" ref="T71">IFERROR(IF(J71&gt;10,J71/E71*0.8769,""),“”)</f>
        <v>0.29132890365448505</v>
      </c>
      <c r="U71" s="43" t="str" cm="1">
        <f t="array" ref="U71">IFERROR(IF(K71&gt;10,K71/F71*0.8769,""),“”)</f>
        <v/>
      </c>
      <c r="V71" s="54">
        <f t="shared" si="19"/>
        <v>0.36575614035087722</v>
      </c>
    </row>
    <row r="72" spans="1:22">
      <c r="A72" s="53" t="s">
        <v>82</v>
      </c>
      <c r="B72" s="37">
        <v>2018</v>
      </c>
      <c r="C72" s="36">
        <v>8229</v>
      </c>
      <c r="D72" s="36">
        <v>8158</v>
      </c>
      <c r="E72" s="36">
        <v>42</v>
      </c>
      <c r="F72" s="28"/>
      <c r="G72" s="36">
        <v>29</v>
      </c>
      <c r="H72" s="36">
        <v>4198</v>
      </c>
      <c r="I72" s="36">
        <v>4187</v>
      </c>
      <c r="J72" s="36">
        <v>0.4</v>
      </c>
      <c r="K72" s="28"/>
      <c r="L72" s="36">
        <v>11</v>
      </c>
      <c r="M72" s="36">
        <v>5124</v>
      </c>
      <c r="N72" s="36">
        <v>5155</v>
      </c>
      <c r="O72" s="36">
        <v>89</v>
      </c>
      <c r="P72" s="28"/>
      <c r="Q72" s="36">
        <v>3687</v>
      </c>
      <c r="R72" s="43" cm="1">
        <f t="array" ref="R72">IFERROR(IF(H72&gt;10,H72/C72*0.8769,""),“”)</f>
        <v>0.4473479402114473</v>
      </c>
      <c r="S72" s="43" cm="1">
        <f t="array" ref="S72">IFERROR(IF(I72&gt;10,I72/D72*0.8769,""),“”)</f>
        <v>0.45005887472419709</v>
      </c>
      <c r="T72" s="43" t="str" cm="1">
        <f t="array" ref="T72">IFERROR(IF(J72&gt;10,J72/E72*0.8769,""),“”)</f>
        <v/>
      </c>
      <c r="U72" s="43" t="str" cm="1">
        <f t="array" ref="U72">IFERROR(IF(K72&gt;10,K72/F72*0.8769,""),“”)</f>
        <v/>
      </c>
      <c r="V72" s="54">
        <f t="shared" si="19"/>
        <v>0.44960002931476739</v>
      </c>
    </row>
    <row r="73" spans="1:22">
      <c r="A73" s="53" t="s">
        <v>83</v>
      </c>
      <c r="B73" s="37">
        <v>2018</v>
      </c>
      <c r="C73" s="36">
        <v>3383</v>
      </c>
      <c r="D73" s="36">
        <v>3283</v>
      </c>
      <c r="E73" s="36">
        <v>5</v>
      </c>
      <c r="F73" s="36">
        <v>15</v>
      </c>
      <c r="G73" s="36">
        <v>81</v>
      </c>
      <c r="H73" s="36">
        <v>1381</v>
      </c>
      <c r="I73" s="36">
        <v>1335</v>
      </c>
      <c r="J73" s="36">
        <v>2</v>
      </c>
      <c r="K73" s="36">
        <v>6</v>
      </c>
      <c r="L73" s="36">
        <v>39</v>
      </c>
      <c r="M73" s="36">
        <v>4199</v>
      </c>
      <c r="N73" s="36">
        <v>4185</v>
      </c>
      <c r="O73" s="36">
        <v>3639</v>
      </c>
      <c r="P73" s="36">
        <v>3739</v>
      </c>
      <c r="Q73" s="36">
        <v>4892</v>
      </c>
      <c r="R73" s="43" cm="1">
        <f t="array" ref="R73">IFERROR(IF(H73&gt;10,H73/C73*0.8769,""),“”)</f>
        <v>0.35796597694354121</v>
      </c>
      <c r="S73" s="43" cm="1">
        <f t="array" ref="S73">IFERROR(IF(I73&gt;10,I73/D73*0.8769,""),“”)</f>
        <v>0.35658285105086812</v>
      </c>
      <c r="T73" s="43" t="str" cm="1">
        <f t="array" ref="T73">IFERROR(IF(J73&gt;10,J73/E73*0.8769,""),“”)</f>
        <v/>
      </c>
      <c r="U73" s="43" t="str" cm="1">
        <f t="array" ref="U73">IFERROR(IF(K73&gt;10,K73/F73*0.8769,""),“”)</f>
        <v/>
      </c>
      <c r="V73" s="54">
        <f t="shared" si="19"/>
        <v>0.35797664298401422</v>
      </c>
    </row>
    <row r="74" spans="1:22">
      <c r="A74" s="53" t="s">
        <v>84</v>
      </c>
      <c r="B74" s="37">
        <v>2018</v>
      </c>
      <c r="C74" s="36">
        <v>1892</v>
      </c>
      <c r="D74" s="36">
        <v>1788</v>
      </c>
      <c r="E74" s="36">
        <v>0.5</v>
      </c>
      <c r="F74" s="28"/>
      <c r="G74" s="36">
        <v>103</v>
      </c>
      <c r="H74" s="36">
        <v>664</v>
      </c>
      <c r="I74" s="36">
        <v>627</v>
      </c>
      <c r="J74" s="35" t="s">
        <v>68</v>
      </c>
      <c r="K74" s="28"/>
      <c r="L74" s="36">
        <v>37</v>
      </c>
      <c r="M74" s="36">
        <v>3590</v>
      </c>
      <c r="N74" s="36">
        <v>3575</v>
      </c>
      <c r="O74" s="27"/>
      <c r="P74" s="28"/>
      <c r="Q74" s="36">
        <v>3871</v>
      </c>
      <c r="R74" s="43" cm="1">
        <f t="array" ref="R74">IFERROR(IF(H74&gt;10,H74/C74*0.8769,""),“”)</f>
        <v>0.30774926004228326</v>
      </c>
      <c r="S74" s="43" cm="1">
        <f t="array" ref="S74">IFERROR(IF(I74&gt;10,I74/D74*0.8769,""),“”)</f>
        <v>0.30750352348993293</v>
      </c>
      <c r="T74" s="43" t="e" cm="1">
        <f t="array" ref="T74">IFERROR(IF(J74&gt;10,J74/E74*0.8769,""),“”)</f>
        <v>#NAME?</v>
      </c>
      <c r="U74" s="43" t="str" cm="1">
        <f t="array" ref="U74">IFERROR(IF(K74&gt;10,K74/F74*0.8769,""),“”)</f>
        <v/>
      </c>
      <c r="V74" s="54" t="str">
        <f t="shared" si="19"/>
        <v/>
      </c>
    </row>
    <row r="75" spans="1:22">
      <c r="A75" s="53" t="s">
        <v>85</v>
      </c>
      <c r="B75" s="37">
        <v>2018</v>
      </c>
      <c r="C75" s="36">
        <v>2212</v>
      </c>
      <c r="D75" s="36">
        <v>2082</v>
      </c>
      <c r="E75" s="36">
        <v>12</v>
      </c>
      <c r="F75" s="36">
        <v>2</v>
      </c>
      <c r="G75" s="36">
        <v>116</v>
      </c>
      <c r="H75" s="36">
        <v>859</v>
      </c>
      <c r="I75" s="36">
        <v>801</v>
      </c>
      <c r="J75" s="36">
        <v>3</v>
      </c>
      <c r="K75" s="28">
        <v>0.3</v>
      </c>
      <c r="L75" s="36">
        <v>54</v>
      </c>
      <c r="M75" s="36">
        <v>3886</v>
      </c>
      <c r="N75" s="36">
        <v>3839</v>
      </c>
      <c r="O75" s="36">
        <v>2771</v>
      </c>
      <c r="P75" s="28">
        <v>1126</v>
      </c>
      <c r="Q75" s="36">
        <v>4972</v>
      </c>
      <c r="R75" s="43" cm="1">
        <f t="array" ref="R75">IFERROR(IF(H75&gt;10,H75/C75*0.8769,""),“”)</f>
        <v>0.34053214285714284</v>
      </c>
      <c r="S75" s="43" cm="1">
        <f t="array" ref="S75">IFERROR(IF(I75&gt;10,I75/D75*0.8769,""),“”)</f>
        <v>0.33736642651296828</v>
      </c>
      <c r="T75" s="43" t="str" cm="1">
        <f t="array" ref="T75">IFERROR(IF(J75&gt;10,J75/E75*0.8769,""),“”)</f>
        <v/>
      </c>
      <c r="U75" s="43" t="str" cm="1">
        <f t="array" ref="U75">IFERROR(IF(K75&gt;10,K75/F75*0.8769,""),“”)</f>
        <v/>
      </c>
      <c r="V75" s="54">
        <f t="shared" si="19"/>
        <v>0.34119381818181821</v>
      </c>
    </row>
    <row r="76" spans="1:22">
      <c r="A76" s="53" t="s">
        <v>86</v>
      </c>
      <c r="B76" s="37">
        <v>2018</v>
      </c>
      <c r="C76" s="36">
        <v>2365</v>
      </c>
      <c r="D76" s="36">
        <v>1511</v>
      </c>
      <c r="E76" s="36">
        <v>662</v>
      </c>
      <c r="F76" s="36">
        <v>86</v>
      </c>
      <c r="G76" s="36">
        <v>106</v>
      </c>
      <c r="H76" s="36">
        <v>833</v>
      </c>
      <c r="I76" s="36">
        <v>649</v>
      </c>
      <c r="J76" s="36">
        <v>128</v>
      </c>
      <c r="K76" s="36">
        <v>1</v>
      </c>
      <c r="L76" s="36">
        <v>55</v>
      </c>
      <c r="M76" s="36">
        <v>3571</v>
      </c>
      <c r="N76" s="36">
        <v>4297</v>
      </c>
      <c r="O76" s="36">
        <v>2012</v>
      </c>
      <c r="P76" s="36">
        <v>134</v>
      </c>
      <c r="Q76" s="36">
        <v>5228</v>
      </c>
      <c r="R76" s="43" cm="1">
        <f t="array" ref="R76">IFERROR(IF(H76&gt;10,H76/C76*0.8769,""),“”)</f>
        <v>0.3088616067653277</v>
      </c>
      <c r="S76" s="43" cm="1">
        <f t="array" ref="S76">IFERROR(IF(I76&gt;10,I76/D76*0.8769,""),“”)</f>
        <v>0.37664334877564526</v>
      </c>
      <c r="T76" s="43" cm="1">
        <f t="array" ref="T76">IFERROR(IF(J76&gt;10,J76/E76*0.8769,""),“”)</f>
        <v>0.16955166163141994</v>
      </c>
      <c r="U76" s="43" t="str" cm="1">
        <f t="array" ref="U76">IFERROR(IF(K76&gt;10,K76/F76*0.8769,""),“”)</f>
        <v/>
      </c>
      <c r="V76" s="54">
        <f t="shared" si="19"/>
        <v>0.36301497357604229</v>
      </c>
    </row>
    <row r="77" spans="1:22">
      <c r="A77" s="53" t="s">
        <v>87</v>
      </c>
      <c r="B77" s="37">
        <v>2018</v>
      </c>
      <c r="C77" s="36">
        <v>9749</v>
      </c>
      <c r="D77" s="36">
        <v>7885</v>
      </c>
      <c r="E77" s="36">
        <v>1502</v>
      </c>
      <c r="F77" s="28"/>
      <c r="G77" s="36">
        <v>362</v>
      </c>
      <c r="H77" s="36">
        <v>4462</v>
      </c>
      <c r="I77" s="36">
        <v>3711</v>
      </c>
      <c r="J77" s="36">
        <v>549</v>
      </c>
      <c r="K77" s="28"/>
      <c r="L77" s="36">
        <v>203</v>
      </c>
      <c r="M77" s="36">
        <v>4576</v>
      </c>
      <c r="N77" s="36">
        <v>4692</v>
      </c>
      <c r="O77" s="36">
        <v>3677</v>
      </c>
      <c r="P77" s="28"/>
      <c r="Q77" s="36">
        <v>5807</v>
      </c>
      <c r="R77" s="43" cm="1">
        <f t="array" ref="R77">IFERROR(IF(H77&gt;10,H77/C77*0.8769,""),“”)</f>
        <v>0.40134657913632171</v>
      </c>
      <c r="S77" s="43" cm="1">
        <f t="array" ref="S77">IFERROR(IF(I77&gt;10,I77/D77*0.8769,""),“”)</f>
        <v>0.41270461636017758</v>
      </c>
      <c r="T77" s="43" cm="1">
        <f t="array" ref="T77">IFERROR(IF(J77&gt;10,J77/E77*0.8769,""),“”)</f>
        <v>0.32051804260985356</v>
      </c>
      <c r="U77" s="43" t="str" cm="1">
        <f t="array" ref="U77">IFERROR(IF(K77&gt;10,K77/F77*0.8769,""),“”)</f>
        <v/>
      </c>
      <c r="V77" s="54">
        <f t="shared" si="19"/>
        <v>0.4160676245907603</v>
      </c>
    </row>
    <row r="78" spans="1:22">
      <c r="A78" s="53" t="s">
        <v>88</v>
      </c>
      <c r="B78" s="37">
        <v>2018</v>
      </c>
      <c r="C78" s="36">
        <v>6209</v>
      </c>
      <c r="D78" s="36">
        <v>4680</v>
      </c>
      <c r="E78" s="36">
        <v>1259</v>
      </c>
      <c r="F78" s="36">
        <v>2</v>
      </c>
      <c r="G78" s="36">
        <v>267</v>
      </c>
      <c r="H78" s="36">
        <v>2598</v>
      </c>
      <c r="I78" s="36">
        <v>2298</v>
      </c>
      <c r="J78" s="36">
        <v>157</v>
      </c>
      <c r="K78" s="35">
        <v>0.01</v>
      </c>
      <c r="L78" s="36">
        <v>143</v>
      </c>
      <c r="M78" s="36">
        <v>4201</v>
      </c>
      <c r="N78" s="36">
        <v>4908</v>
      </c>
      <c r="O78" s="36">
        <v>1251</v>
      </c>
      <c r="P78" s="28"/>
      <c r="Q78" s="36">
        <v>5781</v>
      </c>
      <c r="R78" s="43" cm="1">
        <f t="array" ref="R78">IFERROR(IF(H78&gt;10,H78/C78*0.8769,""),“”)</f>
        <v>0.36691676598486073</v>
      </c>
      <c r="S78" s="43" cm="1">
        <f t="array" ref="S78">IFERROR(IF(I78&gt;10,I78/D78*0.8769,""),“”)</f>
        <v>0.43058038461538461</v>
      </c>
      <c r="T78" s="43" cm="1">
        <f t="array" ref="T78">IFERROR(IF(J78&gt;10,J78/E78*0.8769,""),“”)</f>
        <v>0.10935131056393964</v>
      </c>
      <c r="U78" s="43" t="str" cm="1">
        <f t="array" ref="U78">IFERROR(IF(K78&gt;10,K78/F78*0.8769,""),“”)</f>
        <v/>
      </c>
      <c r="V78" s="54">
        <f t="shared" si="19"/>
        <v>0.43242684848484853</v>
      </c>
    </row>
    <row r="79" spans="1:22">
      <c r="A79" s="53" t="s">
        <v>89</v>
      </c>
      <c r="B79" s="37">
        <v>2018</v>
      </c>
      <c r="C79" s="36">
        <v>5413</v>
      </c>
      <c r="D79" s="36">
        <v>5071</v>
      </c>
      <c r="E79" s="36">
        <v>14</v>
      </c>
      <c r="F79" s="28"/>
      <c r="G79" s="36">
        <v>329</v>
      </c>
      <c r="H79" s="36">
        <v>2519</v>
      </c>
      <c r="I79" s="36">
        <v>2353</v>
      </c>
      <c r="J79" s="36">
        <v>4</v>
      </c>
      <c r="K79" s="28"/>
      <c r="L79" s="36">
        <v>161</v>
      </c>
      <c r="M79" s="36">
        <v>5005</v>
      </c>
      <c r="N79" s="36">
        <v>5000</v>
      </c>
      <c r="O79" s="36">
        <v>2241</v>
      </c>
      <c r="P79" s="28"/>
      <c r="Q79" s="36">
        <v>5092</v>
      </c>
      <c r="R79" s="43" cm="1">
        <f t="array" ref="R79">IFERROR(IF(H79&gt;10,H79/C79*0.8769,""),“”)</f>
        <v>0.40807520783299467</v>
      </c>
      <c r="S79" s="43" cm="1">
        <f t="array" ref="S79">IFERROR(IF(I79&gt;10,I79/D79*0.8769,""),“”)</f>
        <v>0.40689128377045947</v>
      </c>
      <c r="T79" s="43" t="str" cm="1">
        <f t="array" ref="T79">IFERROR(IF(J79&gt;10,J79/E79*0.8769,""),“”)</f>
        <v/>
      </c>
      <c r="U79" s="43" t="str" cm="1">
        <f t="array" ref="U79">IFERROR(IF(K79&gt;10,K79/F79*0.8769,""),“”)</f>
        <v/>
      </c>
      <c r="V79" s="54">
        <f t="shared" si="19"/>
        <v>0.40848370068531209</v>
      </c>
    </row>
    <row r="80" spans="1:22">
      <c r="A80" s="53" t="s">
        <v>90</v>
      </c>
      <c r="B80" s="37">
        <v>2018</v>
      </c>
      <c r="C80" s="36">
        <v>3128</v>
      </c>
      <c r="D80" s="36">
        <v>2574</v>
      </c>
      <c r="E80" s="36">
        <v>391</v>
      </c>
      <c r="F80" s="36">
        <v>1</v>
      </c>
      <c r="G80" s="36">
        <v>163</v>
      </c>
      <c r="H80" s="36">
        <v>1405</v>
      </c>
      <c r="I80" s="36">
        <v>1252</v>
      </c>
      <c r="J80" s="36">
        <v>64</v>
      </c>
      <c r="K80" s="39"/>
      <c r="L80" s="36">
        <v>89</v>
      </c>
      <c r="M80" s="36">
        <v>4507</v>
      </c>
      <c r="N80" s="36">
        <v>4875</v>
      </c>
      <c r="O80" s="36">
        <v>1638</v>
      </c>
      <c r="P80" s="28"/>
      <c r="Q80" s="36">
        <v>5724</v>
      </c>
      <c r="R80" s="43" cm="1">
        <f t="array" ref="R80">IFERROR(IF(H80&gt;10,H80/C80*0.8769,""),“”)</f>
        <v>0.39387611892583119</v>
      </c>
      <c r="S80" s="43" cm="1">
        <f t="array" ref="S80">IFERROR(IF(I80&gt;10,I80/D80*0.8769,""),“”)</f>
        <v>0.42652634032634035</v>
      </c>
      <c r="T80" s="43" cm="1">
        <f t="array" ref="T80">IFERROR(IF(J80&gt;10,J80/E80*0.8769,""),“”)</f>
        <v>0.14353350383631716</v>
      </c>
      <c r="U80" s="43" t="str" cm="1">
        <f t="array" ref="U80">IFERROR(IF(K80&gt;10,K80/F80*0.8769,""),“”)</f>
        <v/>
      </c>
      <c r="V80" s="54">
        <f t="shared" si="19"/>
        <v>0.42963934965290462</v>
      </c>
    </row>
    <row r="81" spans="1:22">
      <c r="A81" s="53" t="s">
        <v>91</v>
      </c>
      <c r="B81" s="37">
        <v>2018</v>
      </c>
      <c r="C81" s="36">
        <v>2165</v>
      </c>
      <c r="D81" s="36">
        <v>1925</v>
      </c>
      <c r="E81" s="36">
        <v>10</v>
      </c>
      <c r="F81" s="28"/>
      <c r="G81" s="36">
        <v>230</v>
      </c>
      <c r="H81" s="36">
        <v>1093</v>
      </c>
      <c r="I81" s="36">
        <v>956</v>
      </c>
      <c r="J81" s="36">
        <v>5</v>
      </c>
      <c r="K81" s="28"/>
      <c r="L81" s="36">
        <v>131</v>
      </c>
      <c r="M81" s="36">
        <v>5269</v>
      </c>
      <c r="N81" s="36">
        <v>5178</v>
      </c>
      <c r="O81" s="36">
        <v>4838</v>
      </c>
      <c r="P81" s="28"/>
      <c r="Q81" s="36">
        <v>6068</v>
      </c>
      <c r="R81" s="43" cm="1">
        <f t="array" ref="R81">IFERROR(IF(H81&gt;10,H81/C81*0.8769,""),“”)</f>
        <v>0.44270286374133949</v>
      </c>
      <c r="S81" s="43" cm="1">
        <f t="array" ref="S81">IFERROR(IF(I81&gt;10,I81/D81*0.8769,""),“”)</f>
        <v>0.43548903896103897</v>
      </c>
      <c r="T81" s="43" t="str" cm="1">
        <f t="array" ref="T81">IFERROR(IF(J81&gt;10,J81/E81*0.8769,""),“”)</f>
        <v/>
      </c>
      <c r="U81" s="43" t="str" cm="1">
        <f t="array" ref="U81">IFERROR(IF(K81&gt;10,K81/F81*0.8769,""),“”)</f>
        <v/>
      </c>
      <c r="V81" s="54">
        <f t="shared" si="19"/>
        <v>0.44272259860788865</v>
      </c>
    </row>
    <row r="82" spans="1:22">
      <c r="A82" s="53" t="s">
        <v>92</v>
      </c>
      <c r="B82" s="37">
        <v>2018</v>
      </c>
      <c r="C82" s="36">
        <v>10367</v>
      </c>
      <c r="D82" s="36">
        <v>9723</v>
      </c>
      <c r="E82" s="36">
        <v>8</v>
      </c>
      <c r="F82" s="28"/>
      <c r="G82" s="36">
        <v>636</v>
      </c>
      <c r="H82" s="36">
        <v>4824</v>
      </c>
      <c r="I82" s="36">
        <v>4558</v>
      </c>
      <c r="J82" s="36">
        <v>2</v>
      </c>
      <c r="K82" s="28"/>
      <c r="L82" s="36">
        <v>264</v>
      </c>
      <c r="M82" s="36">
        <v>4707</v>
      </c>
      <c r="N82" s="36">
        <v>4724</v>
      </c>
      <c r="O82" s="36">
        <v>3330</v>
      </c>
      <c r="P82" s="28"/>
      <c r="Q82" s="36">
        <v>4433</v>
      </c>
      <c r="R82" s="43" cm="1">
        <f t="array" ref="R82">IFERROR(IF(H82&gt;10,H82/C82*0.8769,""),“”)</f>
        <v>0.4080414391820199</v>
      </c>
      <c r="S82" s="43" cm="1">
        <f t="array" ref="S82">IFERROR(IF(I82&gt;10,I82/D82*0.8769,""),“”)</f>
        <v>0.41107787719839556</v>
      </c>
      <c r="T82" s="43" t="str" cm="1">
        <f t="array" ref="T82">IFERROR(IF(J82&gt;10,J82/E82*0.8769,""),“”)</f>
        <v/>
      </c>
      <c r="U82" s="43" t="str" cm="1">
        <f t="array" ref="U82">IFERROR(IF(K82&gt;10,K82/F82*0.8769,""),“”)</f>
        <v/>
      </c>
      <c r="V82" s="54">
        <f t="shared" si="19"/>
        <v>0.40818725745728357</v>
      </c>
    </row>
    <row r="83" spans="1:22">
      <c r="A83" s="53" t="s">
        <v>93</v>
      </c>
      <c r="B83" s="37">
        <v>2018</v>
      </c>
      <c r="C83" s="36">
        <v>6821</v>
      </c>
      <c r="D83" s="36">
        <v>6446</v>
      </c>
      <c r="E83" s="36">
        <v>229</v>
      </c>
      <c r="F83" s="28"/>
      <c r="G83" s="36">
        <v>146</v>
      </c>
      <c r="H83" s="36">
        <v>2689</v>
      </c>
      <c r="I83" s="36">
        <v>2601</v>
      </c>
      <c r="J83" s="36">
        <v>39</v>
      </c>
      <c r="K83" s="28"/>
      <c r="L83" s="36">
        <v>49</v>
      </c>
      <c r="M83" s="36">
        <v>3893</v>
      </c>
      <c r="N83" s="36">
        <v>3981</v>
      </c>
      <c r="O83" s="36">
        <v>1664</v>
      </c>
      <c r="P83" s="28"/>
      <c r="Q83" s="36">
        <v>3404</v>
      </c>
      <c r="R83" s="43" cm="1">
        <f t="array" ref="R83">IFERROR(IF(H83&gt;10,H83/C83*0.8769,""),“”)</f>
        <v>0.34569478082392613</v>
      </c>
      <c r="S83" s="43" cm="1">
        <f t="array" ref="S83">IFERROR(IF(I83&gt;10,I83/D83*0.8769,""),“”)</f>
        <v>0.35383445547626435</v>
      </c>
      <c r="T83" s="43" cm="1">
        <f t="array" ref="T83">IFERROR(IF(J83&gt;10,J83/E83*0.8769,""),“”)</f>
        <v>0.1493410480349345</v>
      </c>
      <c r="U83" s="43" t="str" cm="1">
        <f t="array" ref="U83">IFERROR(IF(K83&gt;10,K83/F83*0.8769,""),“”)</f>
        <v/>
      </c>
      <c r="V83" s="54">
        <f t="shared" si="19"/>
        <v>0.35251592839805823</v>
      </c>
    </row>
    <row r="84" spans="1:22">
      <c r="A84" s="53" t="s">
        <v>94</v>
      </c>
      <c r="B84" s="37">
        <v>2018</v>
      </c>
      <c r="C84" s="36">
        <v>2884</v>
      </c>
      <c r="D84" s="36">
        <v>2546</v>
      </c>
      <c r="E84" s="36">
        <v>94</v>
      </c>
      <c r="F84" s="28"/>
      <c r="G84" s="36">
        <v>244</v>
      </c>
      <c r="H84" s="36">
        <v>1267</v>
      </c>
      <c r="I84" s="36">
        <v>1139</v>
      </c>
      <c r="J84" s="36">
        <v>31</v>
      </c>
      <c r="K84" s="28"/>
      <c r="L84" s="36">
        <v>97</v>
      </c>
      <c r="M84" s="36">
        <v>4527</v>
      </c>
      <c r="N84" s="36">
        <v>4626</v>
      </c>
      <c r="O84" s="36">
        <v>3233</v>
      </c>
      <c r="P84" s="28"/>
      <c r="Q84" s="36">
        <v>3994</v>
      </c>
      <c r="R84" s="43" cm="1">
        <f t="array" ref="R84">IFERROR(IF(H84&gt;10,H84/C84*0.8769,""),“”)</f>
        <v>0.38524004854368937</v>
      </c>
      <c r="S84" s="43" cm="1">
        <f t="array" ref="S84">IFERROR(IF(I84&gt;10,I84/D84*0.8769,""),“”)</f>
        <v>0.39229736842105262</v>
      </c>
      <c r="T84" s="43" cm="1">
        <f t="array" ref="T84">IFERROR(IF(J84&gt;10,J84/E84*0.8769,""),“”)</f>
        <v>0.28919042553191487</v>
      </c>
      <c r="U84" s="43" t="str" cm="1">
        <f t="array" ref="U84">IFERROR(IF(K84&gt;10,K84/F84*0.8769,""),“”)</f>
        <v/>
      </c>
      <c r="V84" s="54">
        <f t="shared" si="19"/>
        <v>0.38847612903225803</v>
      </c>
    </row>
    <row r="85" spans="1:22">
      <c r="A85" s="53" t="s">
        <v>95</v>
      </c>
      <c r="B85" s="37">
        <v>2018</v>
      </c>
      <c r="C85" s="36">
        <v>2284</v>
      </c>
      <c r="D85" s="36">
        <v>2046</v>
      </c>
      <c r="E85" s="36">
        <v>7</v>
      </c>
      <c r="F85" s="36">
        <v>7</v>
      </c>
      <c r="G85" s="36">
        <v>224</v>
      </c>
      <c r="H85" s="36">
        <v>919</v>
      </c>
      <c r="I85" s="36">
        <v>792</v>
      </c>
      <c r="J85" s="36">
        <v>2</v>
      </c>
      <c r="K85" s="36">
        <v>3</v>
      </c>
      <c r="L85" s="36">
        <v>122</v>
      </c>
      <c r="M85" s="36">
        <v>4048</v>
      </c>
      <c r="N85" s="36">
        <v>3879</v>
      </c>
      <c r="O85" s="36">
        <v>4980</v>
      </c>
      <c r="P85" s="36">
        <v>3880</v>
      </c>
      <c r="Q85" s="36">
        <v>5685</v>
      </c>
      <c r="R85" s="43" cm="1">
        <f t="array" ref="R85">IFERROR(IF(H85&gt;10,H85/C85*0.8769,""),“”)</f>
        <v>0.35283323117338006</v>
      </c>
      <c r="S85" s="43" cm="1">
        <f t="array" ref="S85">IFERROR(IF(I85&gt;10,I85/D85*0.8769,""),“”)</f>
        <v>0.33944516129032259</v>
      </c>
      <c r="T85" s="43" t="str" cm="1">
        <f t="array" ref="T85">IFERROR(IF(J85&gt;10,J85/E85*0.8769,""),“”)</f>
        <v/>
      </c>
      <c r="U85" s="43" t="str" cm="1">
        <f t="array" ref="U85">IFERROR(IF(K85&gt;10,K85/F85*0.8769,""),“”)</f>
        <v/>
      </c>
      <c r="V85" s="54">
        <f t="shared" si="19"/>
        <v>0.35314769433465082</v>
      </c>
    </row>
    <row r="86" spans="1:22">
      <c r="A86" s="53" t="s">
        <v>96</v>
      </c>
      <c r="B86" s="37">
        <v>2018</v>
      </c>
      <c r="C86" s="36">
        <v>8137</v>
      </c>
      <c r="D86" s="36">
        <v>5994</v>
      </c>
      <c r="E86" s="36">
        <v>1963</v>
      </c>
      <c r="F86" s="28"/>
      <c r="G86" s="36">
        <v>180</v>
      </c>
      <c r="H86" s="36">
        <v>3283</v>
      </c>
      <c r="I86" s="36">
        <v>2766</v>
      </c>
      <c r="J86" s="36">
        <v>434</v>
      </c>
      <c r="K86" s="28"/>
      <c r="L86" s="36">
        <v>83</v>
      </c>
      <c r="M86" s="36">
        <v>4290</v>
      </c>
      <c r="N86" s="36">
        <v>4546</v>
      </c>
      <c r="O86" s="36">
        <v>3058</v>
      </c>
      <c r="P86" s="28"/>
      <c r="Q86" s="36">
        <v>5215</v>
      </c>
      <c r="R86" s="43" cm="1">
        <f t="array" ref="R86">IFERROR(IF(H86&gt;10,H86/C86*0.8769,""),“”)</f>
        <v>0.35379902912621358</v>
      </c>
      <c r="S86" s="43" cm="1">
        <f t="array" ref="S86">IFERROR(IF(I86&gt;10,I86/D86*0.8769,""),“”)</f>
        <v>0.40465555555555555</v>
      </c>
      <c r="T86" s="43" cm="1">
        <f t="array" ref="T86">IFERROR(IF(J86&gt;10,J86/E86*0.8769,""),“”)</f>
        <v>0.19387396841569027</v>
      </c>
      <c r="U86" s="43" t="str" cm="1">
        <f t="array" ref="U86">IFERROR(IF(K86&gt;10,K86/F86*0.8769,""),“”)</f>
        <v/>
      </c>
      <c r="V86" s="54">
        <f t="shared" si="19"/>
        <v>0.40464659863945579</v>
      </c>
    </row>
    <row r="87" spans="1:22">
      <c r="A87" s="53" t="s">
        <v>97</v>
      </c>
      <c r="B87" s="37">
        <v>2018</v>
      </c>
      <c r="C87" s="36">
        <v>2288</v>
      </c>
      <c r="D87" s="36">
        <v>1858</v>
      </c>
      <c r="E87" s="36">
        <v>35</v>
      </c>
      <c r="F87" s="28"/>
      <c r="G87" s="36">
        <v>395</v>
      </c>
      <c r="H87" s="36">
        <v>796</v>
      </c>
      <c r="I87" s="36">
        <v>649</v>
      </c>
      <c r="J87" s="36">
        <v>6</v>
      </c>
      <c r="K87" s="28"/>
      <c r="L87" s="36">
        <v>141</v>
      </c>
      <c r="M87" s="36">
        <v>3502</v>
      </c>
      <c r="N87" s="36">
        <v>3460</v>
      </c>
      <c r="O87" s="36">
        <v>1323</v>
      </c>
      <c r="P87" s="28"/>
      <c r="Q87" s="36">
        <v>3919</v>
      </c>
      <c r="R87" s="43" cm="1">
        <f t="array" ref="R87">IFERROR(IF(H87&gt;10,H87/C87*0.8769,""),“”)</f>
        <v>0.30507534965034966</v>
      </c>
      <c r="S87" s="43" cm="1">
        <f t="array" ref="S87">IFERROR(IF(I87&gt;10,I87/D87*0.8769,""),“”)</f>
        <v>0.30630145317545748</v>
      </c>
      <c r="T87" s="43" t="str" cm="1">
        <f t="array" ref="T87">IFERROR(IF(J87&gt;10,J87/E87*0.8769,""),“”)</f>
        <v/>
      </c>
      <c r="U87" s="43" t="str" cm="1">
        <f t="array" ref="U87">IFERROR(IF(K87&gt;10,K87/F87*0.8769,""),“”)</f>
        <v/>
      </c>
      <c r="V87" s="54">
        <f t="shared" si="19"/>
        <v>0.30747936085219707</v>
      </c>
    </row>
    <row r="88" spans="1:22">
      <c r="A88" s="53" t="s">
        <v>98</v>
      </c>
      <c r="B88" s="37">
        <v>2018</v>
      </c>
      <c r="C88" s="36">
        <v>465</v>
      </c>
      <c r="D88" s="36">
        <v>352</v>
      </c>
      <c r="E88" s="36">
        <v>73</v>
      </c>
      <c r="F88" s="28"/>
      <c r="G88" s="36">
        <v>41</v>
      </c>
      <c r="H88" s="36">
        <v>211</v>
      </c>
      <c r="I88" s="36">
        <v>174</v>
      </c>
      <c r="J88" s="36">
        <v>12</v>
      </c>
      <c r="K88" s="28"/>
      <c r="L88" s="36">
        <v>26</v>
      </c>
      <c r="M88" s="36">
        <v>4549</v>
      </c>
      <c r="N88" s="36">
        <v>4952</v>
      </c>
      <c r="O88" s="36">
        <v>1605</v>
      </c>
      <c r="P88" s="28"/>
      <c r="Q88" s="36">
        <v>6310</v>
      </c>
      <c r="R88" s="43" cm="1">
        <f t="array" ref="R88">IFERROR(IF(H88&gt;10,H88/C88*0.8769,""),“”)</f>
        <v>0.39790516129032255</v>
      </c>
      <c r="S88" s="43" cm="1">
        <f t="array" ref="S88">IFERROR(IF(I88&gt;10,I88/D88*0.8769,""),“”)</f>
        <v>0.43346761363636366</v>
      </c>
      <c r="T88" s="43" cm="1">
        <f t="array" ref="T88">IFERROR(IF(J88&gt;10,J88/E88*0.8769,""),“”)</f>
        <v>0.14414794520547944</v>
      </c>
      <c r="U88" s="43" t="str" cm="1">
        <f t="array" ref="U88">IFERROR(IF(K88&gt;10,K88/F88*0.8769,""),“”)</f>
        <v/>
      </c>
      <c r="V88" s="54">
        <f t="shared" si="19"/>
        <v>0.44516096938775512</v>
      </c>
    </row>
    <row r="89" spans="1:22">
      <c r="A89" s="53" t="s">
        <v>99</v>
      </c>
      <c r="B89" s="37">
        <v>2018</v>
      </c>
      <c r="C89" s="36">
        <v>1537</v>
      </c>
      <c r="D89" s="36">
        <v>1312</v>
      </c>
      <c r="E89" s="36">
        <v>168</v>
      </c>
      <c r="F89" s="28"/>
      <c r="G89" s="36">
        <v>57</v>
      </c>
      <c r="H89" s="36">
        <v>547</v>
      </c>
      <c r="I89" s="36">
        <v>469</v>
      </c>
      <c r="J89" s="36">
        <v>49</v>
      </c>
      <c r="K89" s="28"/>
      <c r="L89" s="36">
        <v>29</v>
      </c>
      <c r="M89" s="36">
        <v>3572</v>
      </c>
      <c r="N89" s="36">
        <v>3577</v>
      </c>
      <c r="O89" s="36">
        <v>2906</v>
      </c>
      <c r="P89" s="28"/>
      <c r="Q89" s="36">
        <v>5680</v>
      </c>
      <c r="R89" s="43" cm="1">
        <f t="array" ref="R89">IFERROR(IF(H89&gt;10,H89/C89*0.8769,""),“”)</f>
        <v>0.31207826935588806</v>
      </c>
      <c r="S89" s="43" cm="1">
        <f t="array" ref="S89">IFERROR(IF(I89&gt;10,I89/D89*0.8769,""),“”)</f>
        <v>0.31346501524390247</v>
      </c>
      <c r="T89" s="43" cm="1">
        <f t="array" ref="T89">IFERROR(IF(J89&gt;10,J89/E89*0.8769,""),“”)</f>
        <v>0.2557625</v>
      </c>
      <c r="U89" s="43" t="str" cm="1">
        <f t="array" ref="U89">IFERROR(IF(K89&gt;10,K89/F89*0.8769,""),“”)</f>
        <v/>
      </c>
      <c r="V89" s="54">
        <f t="shared" si="19"/>
        <v>0.31898918918918917</v>
      </c>
    </row>
    <row r="90" spans="1:22">
      <c r="A90" s="53" t="s">
        <v>100</v>
      </c>
      <c r="B90" s="37">
        <v>2018</v>
      </c>
      <c r="C90" s="36">
        <v>1575</v>
      </c>
      <c r="D90" s="36">
        <v>1240</v>
      </c>
      <c r="E90" s="36">
        <v>126</v>
      </c>
      <c r="F90" s="28"/>
      <c r="G90" s="36">
        <v>209</v>
      </c>
      <c r="H90" s="36">
        <v>435</v>
      </c>
      <c r="I90" s="36">
        <v>315</v>
      </c>
      <c r="J90" s="36">
        <v>22</v>
      </c>
      <c r="K90" s="28"/>
      <c r="L90" s="36">
        <v>97</v>
      </c>
      <c r="M90" s="36">
        <v>2713</v>
      </c>
      <c r="N90" s="36">
        <v>2488</v>
      </c>
      <c r="O90" s="36">
        <v>1729</v>
      </c>
      <c r="P90" s="28"/>
      <c r="Q90" s="36">
        <v>4978</v>
      </c>
      <c r="R90" s="43" cm="1">
        <f t="array" ref="R90">IFERROR(IF(H90&gt;10,H90/C90*0.8769,""),“”)</f>
        <v>0.24219142857142859</v>
      </c>
      <c r="S90" s="43" cm="1">
        <f t="array" ref="S90">IFERROR(IF(I90&gt;10,I90/D90*0.8769,""),“”)</f>
        <v>0.22276088709677419</v>
      </c>
      <c r="T90" s="43" cm="1">
        <f t="array" ref="T90">IFERROR(IF(J90&gt;10,J90/E90*0.8769,""),“”)</f>
        <v>0.15310952380952381</v>
      </c>
      <c r="U90" s="43" t="str" cm="1">
        <f t="array" ref="U90">IFERROR(IF(K90&gt;10,K90/F90*0.8769,""),“”)</f>
        <v/>
      </c>
      <c r="V90" s="54">
        <f t="shared" si="19"/>
        <v>0.24993768115942028</v>
      </c>
    </row>
    <row r="91" spans="1:22">
      <c r="A91" s="53" t="s">
        <v>101</v>
      </c>
      <c r="B91" s="37">
        <v>2018</v>
      </c>
      <c r="C91" s="36">
        <v>3263</v>
      </c>
      <c r="D91" s="36">
        <v>3242</v>
      </c>
      <c r="E91" s="28"/>
      <c r="F91" s="28"/>
      <c r="G91" s="36">
        <v>21</v>
      </c>
      <c r="H91" s="36">
        <v>1263</v>
      </c>
      <c r="I91" s="36">
        <v>1254</v>
      </c>
      <c r="J91" s="28"/>
      <c r="K91" s="28"/>
      <c r="L91" s="36">
        <v>9</v>
      </c>
      <c r="M91" s="36">
        <v>3938</v>
      </c>
      <c r="N91" s="36">
        <v>3936</v>
      </c>
      <c r="O91" s="28"/>
      <c r="P91" s="28"/>
      <c r="Q91" s="36">
        <v>4298</v>
      </c>
      <c r="R91" s="43" cm="1">
        <f t="array" ref="R91">IFERROR(IF(H91&gt;10,H91/C91*0.8769,""),“”)</f>
        <v>0.33941915415262031</v>
      </c>
      <c r="S91" s="43" cm="1">
        <f t="array" ref="S91">IFERROR(IF(I91&gt;10,I91/D91*0.8769,""),“”)</f>
        <v>0.33918340530536706</v>
      </c>
      <c r="T91" s="43" t="str" cm="1">
        <f t="array" ref="T91">IFERROR(IF(J91&gt;10,J91/E91*0.8769,""),“”)</f>
        <v/>
      </c>
      <c r="U91" s="43" t="str" cm="1">
        <f t="array" ref="U91">IFERROR(IF(K91&gt;10,K91/F91*0.8769,""),“”)</f>
        <v/>
      </c>
      <c r="V91" s="54">
        <f t="shared" si="19"/>
        <v>0.33941915415262031</v>
      </c>
    </row>
    <row r="92" spans="1:22">
      <c r="A92" s="53" t="s">
        <v>102</v>
      </c>
      <c r="B92" s="37">
        <v>2018</v>
      </c>
      <c r="C92" s="36">
        <v>1508</v>
      </c>
      <c r="D92" s="36">
        <v>1298</v>
      </c>
      <c r="E92" s="36">
        <v>3</v>
      </c>
      <c r="F92" s="28"/>
      <c r="G92" s="36">
        <v>207</v>
      </c>
      <c r="H92" s="36">
        <v>290</v>
      </c>
      <c r="I92" s="36">
        <v>207</v>
      </c>
      <c r="J92" s="36">
        <v>0.5</v>
      </c>
      <c r="K92" s="28"/>
      <c r="L92" s="36">
        <v>82</v>
      </c>
      <c r="M92" s="36">
        <v>1928</v>
      </c>
      <c r="N92" s="36">
        <v>1599</v>
      </c>
      <c r="O92" s="36">
        <v>5626</v>
      </c>
      <c r="P92" s="28"/>
      <c r="Q92" s="36">
        <v>4263</v>
      </c>
      <c r="R92" s="43" cm="1">
        <f t="array" ref="R92">IFERROR(IF(H92&gt;10,H92/C92*0.8769,""),“”)</f>
        <v>0.16863461538461538</v>
      </c>
      <c r="S92" s="43" cm="1">
        <f t="array" ref="S92">IFERROR(IF(I92&gt;10,I92/D92*0.8769,""),“”)</f>
        <v>0.13984460708782742</v>
      </c>
      <c r="T92" s="43" t="str" cm="1">
        <f t="array" ref="T92">IFERROR(IF(J92&gt;10,J92/E92*0.8769,""),“”)</f>
        <v/>
      </c>
      <c r="U92" s="43" t="str" cm="1">
        <f t="array" ref="U92">IFERROR(IF(K92&gt;10,K92/F92*0.8769,""),“”)</f>
        <v/>
      </c>
      <c r="V92" s="54">
        <f t="shared" si="19"/>
        <v>0.16867943521594683</v>
      </c>
    </row>
    <row r="93" spans="1:22">
      <c r="A93" s="53" t="s">
        <v>103</v>
      </c>
      <c r="B93" s="37">
        <v>2018</v>
      </c>
      <c r="C93" s="36">
        <v>42</v>
      </c>
      <c r="D93" s="28"/>
      <c r="E93" s="28"/>
      <c r="F93" s="36">
        <v>38</v>
      </c>
      <c r="G93" s="36">
        <v>4</v>
      </c>
      <c r="H93" s="36">
        <v>1.2</v>
      </c>
      <c r="I93" s="28"/>
      <c r="J93" s="28"/>
      <c r="K93" s="36">
        <v>0.6</v>
      </c>
      <c r="L93" s="36">
        <v>1</v>
      </c>
      <c r="M93" s="36">
        <v>304</v>
      </c>
      <c r="N93" s="28"/>
      <c r="O93" s="28"/>
      <c r="P93" s="36">
        <v>157</v>
      </c>
      <c r="Q93" s="36">
        <v>4363</v>
      </c>
      <c r="R93" s="43" t="str" cm="1">
        <f t="array" ref="R93">IFERROR(IF(H93&gt;10,H93/C93*0.8769,""),“”)</f>
        <v/>
      </c>
      <c r="S93" s="43" t="str" cm="1">
        <f t="array" ref="S93">IFERROR(IF(I93&gt;10,I93/D93*0.8769,""),“”)</f>
        <v/>
      </c>
      <c r="T93" s="43" t="str" cm="1">
        <f t="array" ref="T93">IFERROR(IF(J93&gt;10,J93/E93*0.8769,""),“”)</f>
        <v/>
      </c>
      <c r="U93" s="43" t="str" cm="1">
        <f t="array" ref="U93">IFERROR(IF(K93&gt;10,K93/F93*0.8769,""),“”)</f>
        <v/>
      </c>
      <c r="V93" s="54" t="str">
        <f t="shared" si="19"/>
        <v/>
      </c>
    </row>
    <row r="94" spans="1:22">
      <c r="A94" s="53" t="s">
        <v>104</v>
      </c>
      <c r="B94" s="37">
        <v>2018</v>
      </c>
      <c r="C94" s="36">
        <v>3937</v>
      </c>
      <c r="D94" s="36">
        <v>3789</v>
      </c>
      <c r="E94" s="36">
        <v>11</v>
      </c>
      <c r="F94" s="28"/>
      <c r="G94" s="36">
        <v>137</v>
      </c>
      <c r="H94" s="36">
        <v>1761</v>
      </c>
      <c r="I94" s="36">
        <v>1679</v>
      </c>
      <c r="J94" s="36">
        <v>5</v>
      </c>
      <c r="K94" s="28"/>
      <c r="L94" s="36">
        <v>78</v>
      </c>
      <c r="M94" s="36">
        <v>4428</v>
      </c>
      <c r="N94" s="36">
        <v>4446</v>
      </c>
      <c r="O94" s="28"/>
      <c r="P94" s="28"/>
      <c r="Q94" s="36">
        <v>3546</v>
      </c>
      <c r="R94" s="43" cm="1">
        <f t="array" ref="R94">IFERROR(IF(H94&gt;10,H94/C94*0.8769,""),“”)</f>
        <v>0.39223289306578613</v>
      </c>
      <c r="S94" s="43" cm="1">
        <f t="array" ref="S94">IFERROR(IF(I94&gt;10,I94/D94*0.8769,""),“”)</f>
        <v>0.38857616785431515</v>
      </c>
      <c r="T94" s="43" t="str" cm="1">
        <f t="array" ref="T94">IFERROR(IF(J94&gt;10,J94/E94*0.8769,""),“”)</f>
        <v/>
      </c>
      <c r="U94" s="43" t="str" cm="1">
        <f t="array" ref="U94">IFERROR(IF(K94&gt;10,K94/F94*0.8769,""),“”)</f>
        <v/>
      </c>
      <c r="V94" s="54">
        <f t="shared" si="19"/>
        <v>0.39221507896077434</v>
      </c>
    </row>
    <row r="95" spans="1:22">
      <c r="A95" s="53" t="s">
        <v>105</v>
      </c>
      <c r="B95" s="37">
        <v>2018</v>
      </c>
      <c r="C95" s="36">
        <v>2064</v>
      </c>
      <c r="D95" s="36">
        <v>2021</v>
      </c>
      <c r="E95" s="36">
        <v>6</v>
      </c>
      <c r="F95" s="28"/>
      <c r="G95" s="36">
        <v>36</v>
      </c>
      <c r="H95" s="36">
        <v>830</v>
      </c>
      <c r="I95" s="36">
        <v>821</v>
      </c>
      <c r="J95" s="28"/>
      <c r="K95" s="28"/>
      <c r="L95" s="36">
        <v>9</v>
      </c>
      <c r="M95" s="36">
        <v>4178</v>
      </c>
      <c r="N95" s="36">
        <v>4211</v>
      </c>
      <c r="O95" s="28"/>
      <c r="P95" s="28"/>
      <c r="Q95" s="36">
        <v>2518</v>
      </c>
      <c r="R95" s="43" cm="1">
        <f t="array" ref="R95">IFERROR(IF(H95&gt;10,H95/C95*0.8769,""),“”)</f>
        <v>0.35262936046511628</v>
      </c>
      <c r="S95" s="43" cm="1">
        <f t="array" ref="S95">IFERROR(IF(I95&gt;10,I95/D95*0.8769,""),“”)</f>
        <v>0.35622706580900543</v>
      </c>
      <c r="T95" s="43" t="str" cm="1">
        <f t="array" ref="T95">IFERROR(IF(J95&gt;10,J95/E95*0.8769,""),“”)</f>
        <v/>
      </c>
      <c r="U95" s="43" t="str" cm="1">
        <f t="array" ref="U95">IFERROR(IF(K95&gt;10,K95/F95*0.8769,""),“”)</f>
        <v/>
      </c>
      <c r="V95" s="54">
        <f t="shared" si="19"/>
        <v>0.35365743440233238</v>
      </c>
    </row>
    <row r="96" spans="1:22">
      <c r="A96" s="53" t="s">
        <v>106</v>
      </c>
      <c r="B96" s="37">
        <v>2018</v>
      </c>
      <c r="C96" s="36">
        <v>379</v>
      </c>
      <c r="D96" s="36">
        <v>375</v>
      </c>
      <c r="E96" s="36">
        <v>0.4</v>
      </c>
      <c r="F96" s="28"/>
      <c r="G96" s="36">
        <v>3</v>
      </c>
      <c r="H96" s="36">
        <v>120</v>
      </c>
      <c r="I96" s="36">
        <v>118</v>
      </c>
      <c r="J96" s="35">
        <v>0.2</v>
      </c>
      <c r="K96" s="28"/>
      <c r="L96" s="36">
        <v>1</v>
      </c>
      <c r="M96" s="36">
        <v>3156</v>
      </c>
      <c r="N96" s="36">
        <v>3156</v>
      </c>
      <c r="O96" s="28"/>
      <c r="P96" s="28"/>
      <c r="Q96" s="36">
        <v>3139</v>
      </c>
      <c r="R96" s="43" cm="1">
        <f t="array" ref="R96">IFERROR(IF(H96&gt;10,H96/C96*0.8769,""),“”)</f>
        <v>0.27764643799472299</v>
      </c>
      <c r="S96" s="43" cm="1">
        <f t="array" ref="S96">IFERROR(IF(I96&gt;10,I96/D96*0.8769,""),“”)</f>
        <v>0.27593119999999999</v>
      </c>
      <c r="T96" s="43" t="str" cm="1">
        <f t="array" ref="T96">IFERROR(IF(J96&gt;10,J96/E96*0.8769,""),“”)</f>
        <v/>
      </c>
      <c r="U96" s="43" t="str" cm="1">
        <f t="array" ref="U96">IFERROR(IF(K96&gt;10,K96/F96*0.8769,""),“”)</f>
        <v/>
      </c>
      <c r="V96" s="54">
        <f t="shared" si="19"/>
        <v>0.27747654516640252</v>
      </c>
    </row>
    <row r="97" spans="1:22">
      <c r="A97" s="53" t="s">
        <v>107</v>
      </c>
      <c r="B97" s="37">
        <v>2018</v>
      </c>
      <c r="C97" s="36">
        <v>2845</v>
      </c>
      <c r="D97" s="36">
        <v>2658</v>
      </c>
      <c r="E97" s="36">
        <v>70</v>
      </c>
      <c r="F97" s="28"/>
      <c r="G97" s="36">
        <v>117</v>
      </c>
      <c r="H97" s="36">
        <v>1310</v>
      </c>
      <c r="I97" s="36">
        <v>1240</v>
      </c>
      <c r="J97" s="36">
        <v>16</v>
      </c>
      <c r="K97" s="28"/>
      <c r="L97" s="36">
        <v>54</v>
      </c>
      <c r="M97" s="36">
        <v>4865</v>
      </c>
      <c r="N97" s="36">
        <v>4934</v>
      </c>
      <c r="O97" s="36">
        <v>2320</v>
      </c>
      <c r="P97" s="28"/>
      <c r="Q97" s="36">
        <v>4899</v>
      </c>
      <c r="R97" s="43" cm="1">
        <f t="array" ref="R97">IFERROR(IF(H97&gt;10,H97/C97*0.8769,""),“”)</f>
        <v>0.40377469244288228</v>
      </c>
      <c r="S97" s="43" cm="1">
        <f t="array" ref="S97">IFERROR(IF(I97&gt;10,I97/D97*0.8769,""),“”)</f>
        <v>0.40908803611738148</v>
      </c>
      <c r="T97" s="43" cm="1">
        <f t="array" ref="T97">IFERROR(IF(J97&gt;10,J97/E97*0.8769,""),“”)</f>
        <v>0.2004342857142857</v>
      </c>
      <c r="U97" s="43" t="str" cm="1">
        <f t="array" ref="U97">IFERROR(IF(K97&gt;10,K97/F97*0.8769,""),“”)</f>
        <v/>
      </c>
      <c r="V97" s="54">
        <f t="shared" si="19"/>
        <v>0.40890399999999999</v>
      </c>
    </row>
    <row r="98" spans="1:22" ht="13.5" thickBot="1">
      <c r="A98" s="55" t="s">
        <v>108</v>
      </c>
      <c r="B98" s="56">
        <v>2018</v>
      </c>
      <c r="C98" s="57">
        <v>5377</v>
      </c>
      <c r="D98" s="57">
        <v>5292</v>
      </c>
      <c r="E98" s="57">
        <v>83</v>
      </c>
      <c r="F98" s="58"/>
      <c r="G98" s="57">
        <v>2</v>
      </c>
      <c r="H98" s="57">
        <v>2506</v>
      </c>
      <c r="I98" s="57">
        <v>2488</v>
      </c>
      <c r="J98" s="57">
        <v>16</v>
      </c>
      <c r="K98" s="58"/>
      <c r="L98" s="57">
        <v>2</v>
      </c>
      <c r="M98" s="57">
        <v>4647</v>
      </c>
      <c r="N98" s="57">
        <v>4688</v>
      </c>
      <c r="O98" s="57">
        <v>1978</v>
      </c>
      <c r="P98" s="58"/>
      <c r="Q98" s="57">
        <v>7068</v>
      </c>
      <c r="R98" s="61" cm="1">
        <f t="array" ref="R98">IFERROR(IF(H98&gt;10,H98/C98*0.8769,""),“”)</f>
        <v>0.40868726055421239</v>
      </c>
      <c r="S98" s="61" cm="1">
        <f t="array" ref="S98">IFERROR(IF(I98&gt;10,I98/D98*0.8769,""),“”)</f>
        <v>0.41226893424036282</v>
      </c>
      <c r="T98" s="61" cm="1">
        <f t="array" ref="T98">IFERROR(IF(J98&gt;10,J98/E98*0.8769,""),“”)</f>
        <v>0.16904096385542169</v>
      </c>
      <c r="U98" s="61" t="str" cm="1">
        <f t="array" ref="U98">IFERROR(IF(K98&gt;10,K98/F98*0.8769,""),“”)</f>
        <v/>
      </c>
      <c r="V98" s="62">
        <f t="shared" si="19"/>
        <v>0.41244446543256513</v>
      </c>
    </row>
    <row r="99" spans="1:22">
      <c r="A99" s="46" t="s">
        <v>77</v>
      </c>
      <c r="B99" s="47">
        <v>2019</v>
      </c>
      <c r="C99" s="49">
        <v>118957</v>
      </c>
      <c r="D99" s="49">
        <v>104063</v>
      </c>
      <c r="E99" s="49">
        <v>9024</v>
      </c>
      <c r="F99" s="49">
        <v>175</v>
      </c>
      <c r="G99" s="49">
        <v>5696</v>
      </c>
      <c r="H99" s="49">
        <v>50465</v>
      </c>
      <c r="I99" s="49">
        <v>45538</v>
      </c>
      <c r="J99" s="49">
        <v>2325</v>
      </c>
      <c r="K99" s="49">
        <v>13</v>
      </c>
      <c r="L99" s="49">
        <v>2589</v>
      </c>
      <c r="M99" s="49">
        <v>4307</v>
      </c>
      <c r="N99" s="49">
        <v>4429</v>
      </c>
      <c r="O99" s="49">
        <v>2646</v>
      </c>
      <c r="P99" s="49">
        <v>760</v>
      </c>
      <c r="Q99" s="49">
        <v>4806</v>
      </c>
      <c r="R99" s="51" cm="1">
        <f t="array" ref="R99">IFERROR(IF(H99&gt;10,H99/C99*0.8769,""),“”)</f>
        <v>0.37200634262800841</v>
      </c>
      <c r="S99" s="51" cm="1">
        <f t="array" ref="S99">IFERROR(IF(I99&gt;10,I99/D99*0.8769,""),“”)</f>
        <v>0.38373170291073677</v>
      </c>
      <c r="T99" s="51" cm="1">
        <f t="array" ref="T99">IFERROR(IF(J99&gt;10,J99/E99*0.8769,""),“”)</f>
        <v>0.2259300199468085</v>
      </c>
      <c r="U99" s="51" cm="1">
        <f t="array" ref="U99">IFERROR(IF(K99&gt;10,K99/F99*0.8769,""),“”)</f>
        <v>6.5141142857142856E-2</v>
      </c>
      <c r="V99" s="52">
        <f t="shared" ref="V99:V130" si="20">IFERROR(IF((H99-J99)&gt;10,(H99-J99)/(C99-E99)*0.8769,""),"")</f>
        <v>0.38399721648640539</v>
      </c>
    </row>
    <row r="100" spans="1:22">
      <c r="A100" s="53" t="s">
        <v>78</v>
      </c>
      <c r="B100" s="37">
        <v>2019</v>
      </c>
      <c r="C100" s="27">
        <v>1135</v>
      </c>
      <c r="D100" s="27">
        <v>85</v>
      </c>
      <c r="E100" s="27">
        <v>993</v>
      </c>
      <c r="F100" s="27">
        <v>22</v>
      </c>
      <c r="G100" s="27">
        <v>36</v>
      </c>
      <c r="H100" s="27">
        <v>443</v>
      </c>
      <c r="I100" s="27">
        <v>15</v>
      </c>
      <c r="J100" s="27">
        <v>404</v>
      </c>
      <c r="K100" s="27">
        <v>5</v>
      </c>
      <c r="L100" s="27">
        <v>20</v>
      </c>
      <c r="M100" s="27">
        <v>3931</v>
      </c>
      <c r="N100" s="27">
        <v>1723</v>
      </c>
      <c r="O100" s="27">
        <v>4085</v>
      </c>
      <c r="P100" s="27">
        <v>2303</v>
      </c>
      <c r="Q100" s="27">
        <v>6267</v>
      </c>
      <c r="R100" s="43" cm="1">
        <f t="array" ref="R100">IFERROR(IF(H100&gt;10,H100/C100*0.8769,""),“”)</f>
        <v>0.34226140969162999</v>
      </c>
      <c r="S100" s="43" cm="1">
        <f t="array" ref="S100">IFERROR(IF(I100&gt;10,I100/D100*0.8769,""),“”)</f>
        <v>0.15474705882352943</v>
      </c>
      <c r="T100" s="43" cm="1">
        <f t="array" ref="T100">IFERROR(IF(J100&gt;10,J100/E100*0.8769,""),“”)</f>
        <v>0.35676495468277947</v>
      </c>
      <c r="U100" s="43" t="str" cm="1">
        <f t="array" ref="U100">IFERROR(IF(K100&gt;10,K100/F100*0.8769,""),“”)</f>
        <v/>
      </c>
      <c r="V100" s="54">
        <f t="shared" si="20"/>
        <v>0.24083873239436623</v>
      </c>
    </row>
    <row r="101" spans="1:22">
      <c r="A101" s="53" t="s">
        <v>79</v>
      </c>
      <c r="B101" s="37">
        <v>2019</v>
      </c>
      <c r="C101" s="27">
        <v>1639</v>
      </c>
      <c r="D101" s="27">
        <v>1225</v>
      </c>
      <c r="E101" s="27">
        <v>382</v>
      </c>
      <c r="F101" s="28"/>
      <c r="G101" s="27">
        <v>32</v>
      </c>
      <c r="H101" s="27">
        <v>647</v>
      </c>
      <c r="I101" s="27">
        <v>518</v>
      </c>
      <c r="J101" s="27">
        <v>114</v>
      </c>
      <c r="K101" s="28"/>
      <c r="L101" s="27">
        <v>14</v>
      </c>
      <c r="M101" s="27">
        <v>4028</v>
      </c>
      <c r="N101" s="27">
        <v>4287</v>
      </c>
      <c r="O101" s="27">
        <v>3091</v>
      </c>
      <c r="P101" s="28"/>
      <c r="Q101" s="27">
        <v>4666</v>
      </c>
      <c r="R101" s="43" cm="1">
        <f t="array" ref="R101">IFERROR(IF(H101&gt;10,H101/C101*0.8769,""),“”)</f>
        <v>0.34615881635143381</v>
      </c>
      <c r="S101" s="43" cm="1">
        <f t="array" ref="S101">IFERROR(IF(I101&gt;10,I101/D101*0.8769,""),“”)</f>
        <v>0.37080342857142862</v>
      </c>
      <c r="T101" s="43" cm="1">
        <f t="array" ref="T101">IFERROR(IF(J101&gt;10,J101/E101*0.8769,""),“”)</f>
        <v>0.26169267015706804</v>
      </c>
      <c r="U101" s="43" t="str" cm="1">
        <f t="array" ref="U101">IFERROR(IF(K101&gt;10,K101/F101*0.8769,""),“”)</f>
        <v/>
      </c>
      <c r="V101" s="54">
        <f t="shared" si="20"/>
        <v>0.37182792362768496</v>
      </c>
    </row>
    <row r="102" spans="1:22">
      <c r="A102" s="53" t="s">
        <v>80</v>
      </c>
      <c r="B102" s="37">
        <v>2019</v>
      </c>
      <c r="C102" s="27">
        <v>5021</v>
      </c>
      <c r="D102" s="27">
        <v>4705</v>
      </c>
      <c r="E102" s="27">
        <v>3</v>
      </c>
      <c r="F102" s="28"/>
      <c r="G102" s="27">
        <v>312</v>
      </c>
      <c r="H102" s="27">
        <v>2377</v>
      </c>
      <c r="I102" s="27">
        <v>2274</v>
      </c>
      <c r="J102" s="27">
        <v>1</v>
      </c>
      <c r="K102" s="28"/>
      <c r="L102" s="27">
        <v>102</v>
      </c>
      <c r="M102" s="27">
        <v>4851</v>
      </c>
      <c r="N102" s="27">
        <v>4952</v>
      </c>
      <c r="O102" s="28"/>
      <c r="P102" s="28"/>
      <c r="Q102" s="27">
        <v>3356</v>
      </c>
      <c r="R102" s="43" cm="1">
        <f t="array" ref="R102">IFERROR(IF(H102&gt;10,H102/C102*0.8769,""),“”)</f>
        <v>0.41513469428400718</v>
      </c>
      <c r="S102" s="43" cm="1">
        <f t="array" ref="S102">IFERROR(IF(I102&gt;10,I102/D102*0.8769,""),“”)</f>
        <v>0.42381946865037196</v>
      </c>
      <c r="T102" s="43" t="str" cm="1">
        <f t="array" ref="T102">IFERROR(IF(J102&gt;10,J102/E102*0.8769,""),“”)</f>
        <v/>
      </c>
      <c r="U102" s="43" t="str" cm="1">
        <f t="array" ref="U102">IFERROR(IF(K102&gt;10,K102/F102*0.8769,""),“”)</f>
        <v/>
      </c>
      <c r="V102" s="54">
        <f t="shared" si="20"/>
        <v>0.41520813072937424</v>
      </c>
    </row>
    <row r="103" spans="1:22">
      <c r="A103" s="53" t="s">
        <v>81</v>
      </c>
      <c r="B103" s="37">
        <v>2019</v>
      </c>
      <c r="C103" s="27">
        <v>6687</v>
      </c>
      <c r="D103" s="27">
        <v>6112</v>
      </c>
      <c r="E103" s="27">
        <v>334</v>
      </c>
      <c r="F103" s="28"/>
      <c r="G103" s="27">
        <v>242</v>
      </c>
      <c r="H103" s="27">
        <v>2852</v>
      </c>
      <c r="I103" s="27">
        <v>2666</v>
      </c>
      <c r="J103" s="27">
        <v>105</v>
      </c>
      <c r="K103" s="28"/>
      <c r="L103" s="27">
        <v>82</v>
      </c>
      <c r="M103" s="27">
        <v>4426</v>
      </c>
      <c r="N103" s="27">
        <v>4516</v>
      </c>
      <c r="O103" s="27">
        <v>3408</v>
      </c>
      <c r="P103" s="28"/>
      <c r="Q103" s="27">
        <v>3436</v>
      </c>
      <c r="R103" s="43" cm="1">
        <f t="array" ref="R103">IFERROR(IF(H103&gt;10,H103/C103*0.8769,""),“”)</f>
        <v>0.3739971287572903</v>
      </c>
      <c r="S103" s="43" cm="1">
        <f t="array" ref="S103">IFERROR(IF(I103&gt;10,I103/D103*0.8769,""),“”)</f>
        <v>0.38249597513089006</v>
      </c>
      <c r="T103" s="43" cm="1">
        <f t="array" ref="T103">IFERROR(IF(J103&gt;10,J103/E103*0.8769,""),“”)</f>
        <v>0.27567215568862274</v>
      </c>
      <c r="U103" s="43" t="str" cm="1">
        <f t="array" ref="U103">IFERROR(IF(K103&gt;10,K103/F103*0.8769,""),“”)</f>
        <v/>
      </c>
      <c r="V103" s="54">
        <f t="shared" si="20"/>
        <v>0.37916642531087674</v>
      </c>
    </row>
    <row r="104" spans="1:22">
      <c r="A104" s="53" t="s">
        <v>82</v>
      </c>
      <c r="B104" s="37">
        <v>2019</v>
      </c>
      <c r="C104" s="27">
        <v>8721</v>
      </c>
      <c r="D104" s="27">
        <v>8643</v>
      </c>
      <c r="E104" s="27">
        <v>42</v>
      </c>
      <c r="F104" s="28"/>
      <c r="G104" s="27">
        <v>37</v>
      </c>
      <c r="H104" s="27">
        <v>4564</v>
      </c>
      <c r="I104" s="27">
        <v>4551</v>
      </c>
      <c r="J104" s="29">
        <v>0.3</v>
      </c>
      <c r="K104" s="28"/>
      <c r="L104" s="27">
        <v>12</v>
      </c>
      <c r="M104" s="27">
        <v>5267</v>
      </c>
      <c r="N104" s="27">
        <v>5297</v>
      </c>
      <c r="O104" s="27">
        <v>79</v>
      </c>
      <c r="P104" s="28"/>
      <c r="Q104" s="27">
        <v>3991</v>
      </c>
      <c r="R104" s="43" cm="1">
        <f t="array" ref="R104">IFERROR(IF(H104&gt;10,H104/C104*0.8769,""),“”)</f>
        <v>0.45891200550395594</v>
      </c>
      <c r="S104" s="43" cm="1">
        <f t="array" ref="S104">IFERROR(IF(I104&gt;10,I104/D104*0.8769,""),“”)</f>
        <v>0.46173457132939949</v>
      </c>
      <c r="T104" s="43" t="str" cm="1">
        <f t="array" ref="T104">IFERROR(IF(J104&gt;10,J104/E104*0.8769,""),“”)</f>
        <v/>
      </c>
      <c r="U104" s="43" t="str" cm="1">
        <f t="array" ref="U104">IFERROR(IF(K104&gt;10,K104/F104*0.8769,""),“”)</f>
        <v/>
      </c>
      <c r="V104" s="54">
        <f t="shared" si="20"/>
        <v>0.4611024922226063</v>
      </c>
    </row>
    <row r="105" spans="1:22">
      <c r="A105" s="53" t="s">
        <v>83</v>
      </c>
      <c r="B105" s="37">
        <v>2019</v>
      </c>
      <c r="C105" s="27">
        <v>3446</v>
      </c>
      <c r="D105" s="27">
        <v>3328</v>
      </c>
      <c r="E105" s="27">
        <v>6</v>
      </c>
      <c r="F105" s="27">
        <v>15</v>
      </c>
      <c r="G105" s="27">
        <v>97</v>
      </c>
      <c r="H105" s="27">
        <v>1395</v>
      </c>
      <c r="I105" s="27">
        <v>1343</v>
      </c>
      <c r="J105" s="27">
        <v>3</v>
      </c>
      <c r="K105" s="27">
        <v>4</v>
      </c>
      <c r="L105" s="27">
        <v>46</v>
      </c>
      <c r="M105" s="27">
        <v>4070</v>
      </c>
      <c r="N105" s="27">
        <v>4045</v>
      </c>
      <c r="O105" s="27">
        <v>5426</v>
      </c>
      <c r="P105" s="27">
        <v>2657</v>
      </c>
      <c r="Q105" s="27">
        <v>5247</v>
      </c>
      <c r="R105" s="43" cm="1">
        <f t="array" ref="R105">IFERROR(IF(H105&gt;10,H105/C105*0.8769,""),“”)</f>
        <v>0.3549841845618108</v>
      </c>
      <c r="S105" s="43" cm="1">
        <f t="array" ref="S105">IFERROR(IF(I105&gt;10,I105/D105*0.8769,""),“”)</f>
        <v>0.35386920072115385</v>
      </c>
      <c r="T105" s="43" t="str" cm="1">
        <f t="array" ref="T105">IFERROR(IF(J105&gt;10,J105/E105*0.8769,""),“”)</f>
        <v/>
      </c>
      <c r="U105" s="43" t="str" cm="1">
        <f t="array" ref="U105">IFERROR(IF(K105&gt;10,K105/F105*0.8769,""),“”)</f>
        <v/>
      </c>
      <c r="V105" s="54">
        <f t="shared" si="20"/>
        <v>0.35483860465116279</v>
      </c>
    </row>
    <row r="106" spans="1:22">
      <c r="A106" s="53" t="s">
        <v>84</v>
      </c>
      <c r="B106" s="37">
        <v>2019</v>
      </c>
      <c r="C106" s="27">
        <v>1845</v>
      </c>
      <c r="D106" s="27">
        <v>1733</v>
      </c>
      <c r="E106" s="27">
        <v>1</v>
      </c>
      <c r="F106" s="28"/>
      <c r="G106" s="27">
        <v>112</v>
      </c>
      <c r="H106" s="27">
        <v>705</v>
      </c>
      <c r="I106" s="27">
        <v>659</v>
      </c>
      <c r="J106" s="35">
        <v>0.1</v>
      </c>
      <c r="K106" s="28"/>
      <c r="L106" s="27">
        <v>46</v>
      </c>
      <c r="M106" s="27">
        <v>3767</v>
      </c>
      <c r="N106" s="27">
        <v>3737</v>
      </c>
      <c r="O106" s="27">
        <v>468</v>
      </c>
      <c r="P106" s="28"/>
      <c r="Q106" s="27">
        <v>4267</v>
      </c>
      <c r="R106" s="43" cm="1">
        <f t="array" ref="R106">IFERROR(IF(H106&gt;10,H106/C106*0.8769,""),“”)</f>
        <v>0.33507560975609757</v>
      </c>
      <c r="S106" s="43" cm="1">
        <f t="array" ref="S106">IFERROR(IF(I106&gt;10,I106/D106*0.8769,""),“”)</f>
        <v>0.33345476053087131</v>
      </c>
      <c r="T106" s="43" t="str" cm="1">
        <f t="array" ref="T106">IFERROR(IF(J106&gt;10,J106/E106*0.8769,""),“”)</f>
        <v/>
      </c>
      <c r="U106" s="43" t="str" cm="1">
        <f t="array" ref="U106">IFERROR(IF(K106&gt;10,K106/F106*0.8769,""),“”)</f>
        <v/>
      </c>
      <c r="V106" s="54">
        <f t="shared" si="20"/>
        <v>0.33520976681127984</v>
      </c>
    </row>
    <row r="107" spans="1:22">
      <c r="A107" s="53" t="s">
        <v>85</v>
      </c>
      <c r="B107" s="37">
        <v>2019</v>
      </c>
      <c r="C107" s="27">
        <v>2253</v>
      </c>
      <c r="D107" s="27">
        <v>2097</v>
      </c>
      <c r="E107" s="27">
        <v>12</v>
      </c>
      <c r="F107" s="27">
        <v>2</v>
      </c>
      <c r="G107" s="27">
        <v>141</v>
      </c>
      <c r="H107" s="27">
        <v>887</v>
      </c>
      <c r="I107" s="27">
        <v>818</v>
      </c>
      <c r="J107" s="27">
        <v>3</v>
      </c>
      <c r="K107" s="28"/>
      <c r="L107" s="27">
        <v>66</v>
      </c>
      <c r="M107" s="27">
        <v>3963</v>
      </c>
      <c r="N107" s="27">
        <v>3900</v>
      </c>
      <c r="O107" s="27">
        <v>2697</v>
      </c>
      <c r="P107" s="28"/>
      <c r="Q107" s="27">
        <v>5221</v>
      </c>
      <c r="R107" s="43" cm="1">
        <f t="array" ref="R107">IFERROR(IF(H107&gt;10,H107/C107*0.8769,""),“”)</f>
        <v>0.34523315579227698</v>
      </c>
      <c r="S107" s="43" cm="1">
        <f t="array" ref="S107">IFERROR(IF(I107&gt;10,I107/D107*0.8769,""),“”)</f>
        <v>0.3420620886981402</v>
      </c>
      <c r="T107" s="43" t="str" cm="1">
        <f t="array" ref="T107">IFERROR(IF(J107&gt;10,J107/E107*0.8769,""),“”)</f>
        <v/>
      </c>
      <c r="U107" s="43" t="str" cm="1">
        <f t="array" ref="U107">IFERROR(IF(K107&gt;10,K107/F107*0.8769,""),“”)</f>
        <v/>
      </c>
      <c r="V107" s="54">
        <f t="shared" si="20"/>
        <v>0.34590789825970547</v>
      </c>
    </row>
    <row r="108" spans="1:22">
      <c r="A108" s="53" t="s">
        <v>86</v>
      </c>
      <c r="B108" s="37">
        <v>2019</v>
      </c>
      <c r="C108" s="27">
        <v>2475</v>
      </c>
      <c r="D108" s="27">
        <v>1502</v>
      </c>
      <c r="E108" s="27">
        <v>765</v>
      </c>
      <c r="F108" s="27">
        <v>86</v>
      </c>
      <c r="G108" s="27">
        <v>121</v>
      </c>
      <c r="H108" s="27">
        <v>812</v>
      </c>
      <c r="I108" s="27">
        <v>607</v>
      </c>
      <c r="J108" s="27">
        <v>149</v>
      </c>
      <c r="K108" s="27">
        <v>1</v>
      </c>
      <c r="L108" s="27">
        <v>55</v>
      </c>
      <c r="M108" s="27">
        <v>3253</v>
      </c>
      <c r="N108" s="27">
        <v>4036</v>
      </c>
      <c r="O108" s="27">
        <v>1865</v>
      </c>
      <c r="P108" s="27">
        <v>116</v>
      </c>
      <c r="Q108" s="27">
        <v>4870</v>
      </c>
      <c r="R108" s="43" cm="1">
        <f t="array" ref="R108">IFERROR(IF(H108&gt;10,H108/C108*0.8769,""),“”)</f>
        <v>0.28769406060606062</v>
      </c>
      <c r="S108" s="43" cm="1">
        <f t="array" ref="S108">IFERROR(IF(I108&gt;10,I108/D108*0.8769,""),“”)</f>
        <v>0.35437969374167777</v>
      </c>
      <c r="T108" s="43" cm="1">
        <f t="array" ref="T108">IFERROR(IF(J108&gt;10,J108/E108*0.8769,""),“”)</f>
        <v>0.17079490196078431</v>
      </c>
      <c r="U108" s="43" t="str" cm="1">
        <f t="array" ref="U108">IFERROR(IF(K108&gt;10,K108/F108*0.8769,""),“”)</f>
        <v/>
      </c>
      <c r="V108" s="54">
        <f t="shared" si="20"/>
        <v>0.33999105263157892</v>
      </c>
    </row>
    <row r="109" spans="1:22">
      <c r="A109" s="53" t="s">
        <v>87</v>
      </c>
      <c r="B109" s="37">
        <v>2019</v>
      </c>
      <c r="C109" s="27">
        <v>10050</v>
      </c>
      <c r="D109" s="27">
        <v>8028</v>
      </c>
      <c r="E109" s="27">
        <v>1610</v>
      </c>
      <c r="F109" s="28"/>
      <c r="G109" s="27">
        <v>411</v>
      </c>
      <c r="H109" s="27">
        <v>4364</v>
      </c>
      <c r="I109" s="27">
        <v>3604</v>
      </c>
      <c r="J109" s="27">
        <v>532</v>
      </c>
      <c r="K109" s="28"/>
      <c r="L109" s="27">
        <v>228</v>
      </c>
      <c r="M109" s="27">
        <v>4329</v>
      </c>
      <c r="N109" s="27">
        <v>4431</v>
      </c>
      <c r="O109" s="27">
        <v>3391</v>
      </c>
      <c r="P109" s="28"/>
      <c r="Q109" s="27">
        <v>6022</v>
      </c>
      <c r="R109" s="43" cm="1">
        <f t="array" ref="R109">IFERROR(IF(H109&gt;10,H109/C109*0.8769,""),“”)</f>
        <v>0.38077528358208956</v>
      </c>
      <c r="S109" s="43" cm="1">
        <f t="array" ref="S109">IFERROR(IF(I109&gt;10,I109/D109*0.8769,""),“”)</f>
        <v>0.393665620328849</v>
      </c>
      <c r="T109" s="43" cm="1">
        <f t="array" ref="T109">IFERROR(IF(J109&gt;10,J109/E109*0.8769,""),“”)</f>
        <v>0.28975826086956519</v>
      </c>
      <c r="U109" s="43" t="str" cm="1">
        <f t="array" ref="U109">IFERROR(IF(K109&gt;10,K109/F109*0.8769,""),“”)</f>
        <v/>
      </c>
      <c r="V109" s="54">
        <f t="shared" si="20"/>
        <v>0.39813753554502374</v>
      </c>
    </row>
    <row r="110" spans="1:22">
      <c r="A110" s="53" t="s">
        <v>88</v>
      </c>
      <c r="B110" s="37">
        <v>2019</v>
      </c>
      <c r="C110" s="27">
        <v>6212</v>
      </c>
      <c r="D110" s="27">
        <v>4649</v>
      </c>
      <c r="E110" s="27">
        <v>1261</v>
      </c>
      <c r="F110" s="27">
        <v>2</v>
      </c>
      <c r="G110" s="27">
        <v>299</v>
      </c>
      <c r="H110" s="27">
        <v>2507</v>
      </c>
      <c r="I110" s="27">
        <v>2193</v>
      </c>
      <c r="J110" s="27">
        <v>150</v>
      </c>
      <c r="K110" s="35">
        <v>0.02</v>
      </c>
      <c r="L110" s="27">
        <v>164</v>
      </c>
      <c r="M110" s="27">
        <v>4075</v>
      </c>
      <c r="N110" s="27">
        <v>4720</v>
      </c>
      <c r="O110" s="27">
        <v>1223</v>
      </c>
      <c r="P110" s="28"/>
      <c r="Q110" s="27">
        <v>5787</v>
      </c>
      <c r="R110" s="43" cm="1">
        <f t="array" ref="R110">IFERROR(IF(H110&gt;10,H110/C110*0.8769,""),“”)</f>
        <v>0.35389380231809403</v>
      </c>
      <c r="S110" s="43" cm="1">
        <f t="array" ref="S110">IFERROR(IF(I110&gt;10,I110/D110*0.8769,""),“”)</f>
        <v>0.41364631103463112</v>
      </c>
      <c r="T110" s="43" cm="1">
        <f t="array" ref="T110">IFERROR(IF(J110&gt;10,J110/E110*0.8769,""),“”)</f>
        <v>0.10431007137192704</v>
      </c>
      <c r="U110" s="43" t="str" cm="1">
        <f t="array" ref="U110">IFERROR(IF(K110&gt;10,K110/F110*0.8769,""),“”)</f>
        <v/>
      </c>
      <c r="V110" s="54">
        <f t="shared" si="20"/>
        <v>0.41746178549787921</v>
      </c>
    </row>
    <row r="111" spans="1:22">
      <c r="A111" s="53" t="s">
        <v>89</v>
      </c>
      <c r="B111" s="37">
        <v>2019</v>
      </c>
      <c r="C111" s="27">
        <v>5521</v>
      </c>
      <c r="D111" s="27">
        <v>5136</v>
      </c>
      <c r="E111" s="27">
        <v>14</v>
      </c>
      <c r="F111" s="28"/>
      <c r="G111" s="27">
        <v>372</v>
      </c>
      <c r="H111" s="27">
        <v>2657</v>
      </c>
      <c r="I111" s="27">
        <v>2463</v>
      </c>
      <c r="J111" s="27">
        <v>4</v>
      </c>
      <c r="K111" s="28"/>
      <c r="L111" s="27">
        <v>190</v>
      </c>
      <c r="M111" s="27">
        <v>4838</v>
      </c>
      <c r="N111" s="27">
        <v>4793</v>
      </c>
      <c r="O111" s="27">
        <v>1026</v>
      </c>
      <c r="P111" s="28"/>
      <c r="Q111" s="27">
        <v>5573</v>
      </c>
      <c r="R111" s="43" cm="1">
        <f t="array" ref="R111">IFERROR(IF(H111&gt;10,H111/C111*0.8769,""),“”)</f>
        <v>0.42201110306103967</v>
      </c>
      <c r="S111" s="43" cm="1">
        <f t="array" ref="S111">IFERROR(IF(I111&gt;10,I111/D111*0.8769,""),“”)</f>
        <v>0.42052272196261681</v>
      </c>
      <c r="T111" s="43" t="str" cm="1">
        <f t="array" ref="T111">IFERROR(IF(J111&gt;10,J111/E111*0.8769,""),“”)</f>
        <v/>
      </c>
      <c r="U111" s="43" t="str" cm="1">
        <f t="array" ref="U111">IFERROR(IF(K111&gt;10,K111/F111*0.8769,""),“”)</f>
        <v/>
      </c>
      <c r="V111" s="54">
        <f t="shared" si="20"/>
        <v>0.42244701289268205</v>
      </c>
    </row>
    <row r="112" spans="1:22">
      <c r="A112" s="53" t="s">
        <v>90</v>
      </c>
      <c r="B112" s="37">
        <v>2019</v>
      </c>
      <c r="C112" s="27">
        <v>3172</v>
      </c>
      <c r="D112" s="27">
        <v>2586</v>
      </c>
      <c r="E112" s="27">
        <v>391</v>
      </c>
      <c r="F112" s="27">
        <v>1</v>
      </c>
      <c r="G112" s="27">
        <v>192</v>
      </c>
      <c r="H112" s="27">
        <v>1406</v>
      </c>
      <c r="I112" s="27">
        <v>1242</v>
      </c>
      <c r="J112" s="27">
        <v>67</v>
      </c>
      <c r="K112" s="39">
        <v>0.01</v>
      </c>
      <c r="L112" s="27">
        <v>98</v>
      </c>
      <c r="M112" s="27">
        <v>4299</v>
      </c>
      <c r="N112" s="27">
        <v>4607</v>
      </c>
      <c r="O112" s="27">
        <v>1699</v>
      </c>
      <c r="P112" s="28"/>
      <c r="Q112" s="27">
        <v>5632</v>
      </c>
      <c r="R112" s="43" cm="1">
        <f t="array" ref="R112">IFERROR(IF(H112&gt;10,H112/C112*0.8769,""),“”)</f>
        <v>0.38868896595208074</v>
      </c>
      <c r="S112" s="43" cm="1">
        <f t="array" ref="S112">IFERROR(IF(I112&gt;10,I112/D112*0.8769,""),“”)</f>
        <v>0.42115614849187938</v>
      </c>
      <c r="T112" s="43" cm="1">
        <f t="array" ref="T112">IFERROR(IF(J112&gt;10,J112/E112*0.8769,""),“”)</f>
        <v>0.15026163682864452</v>
      </c>
      <c r="U112" s="43" t="str" cm="1">
        <f t="array" ref="U112">IFERROR(IF(K112&gt;10,K112/F112*0.8769,""),“”)</f>
        <v/>
      </c>
      <c r="V112" s="54">
        <f t="shared" si="20"/>
        <v>0.42221111111111109</v>
      </c>
    </row>
    <row r="113" spans="1:22">
      <c r="A113" s="53" t="s">
        <v>91</v>
      </c>
      <c r="B113" s="37">
        <v>2019</v>
      </c>
      <c r="C113" s="27">
        <v>2205</v>
      </c>
      <c r="D113" s="27">
        <v>1925</v>
      </c>
      <c r="E113" s="27">
        <v>13</v>
      </c>
      <c r="F113" s="28"/>
      <c r="G113" s="27">
        <v>268</v>
      </c>
      <c r="H113" s="27">
        <v>1128</v>
      </c>
      <c r="I113" s="27">
        <v>973</v>
      </c>
      <c r="J113" s="27">
        <v>6</v>
      </c>
      <c r="K113" s="28"/>
      <c r="L113" s="27">
        <v>149</v>
      </c>
      <c r="M113" s="27">
        <v>5153</v>
      </c>
      <c r="N113" s="27">
        <v>5058</v>
      </c>
      <c r="O113" s="27">
        <v>4176</v>
      </c>
      <c r="P113" s="28"/>
      <c r="Q113" s="27">
        <v>5935</v>
      </c>
      <c r="R113" s="43" cm="1">
        <f t="array" ref="R113">IFERROR(IF(H113&gt;10,H113/C113*0.8769,""),“”)</f>
        <v>0.44859102040816329</v>
      </c>
      <c r="S113" s="43" cm="1">
        <f t="array" ref="S113">IFERROR(IF(I113&gt;10,I113/D113*0.8769,""),“”)</f>
        <v>0.44323309090909097</v>
      </c>
      <c r="T113" s="43" t="str" cm="1">
        <f t="array" ref="T113">IFERROR(IF(J113&gt;10,J113/E113*0.8769,""),“”)</f>
        <v/>
      </c>
      <c r="U113" s="43" t="str" cm="1">
        <f t="array" ref="U113">IFERROR(IF(K113&gt;10,K113/F113*0.8769,""),“”)</f>
        <v/>
      </c>
      <c r="V113" s="54">
        <f t="shared" si="20"/>
        <v>0.44885118613138686</v>
      </c>
    </row>
    <row r="114" spans="1:22">
      <c r="A114" s="53" t="s">
        <v>92</v>
      </c>
      <c r="B114" s="37">
        <v>2019</v>
      </c>
      <c r="C114" s="27">
        <v>10713</v>
      </c>
      <c r="D114" s="27">
        <v>10029</v>
      </c>
      <c r="E114" s="27">
        <v>8</v>
      </c>
      <c r="F114" s="28"/>
      <c r="G114" s="27">
        <v>676</v>
      </c>
      <c r="H114" s="27">
        <v>4680</v>
      </c>
      <c r="I114" s="27">
        <v>4381</v>
      </c>
      <c r="J114" s="27">
        <v>2</v>
      </c>
      <c r="K114" s="28"/>
      <c r="L114" s="27">
        <v>297</v>
      </c>
      <c r="M114" s="27">
        <v>4443</v>
      </c>
      <c r="N114" s="27">
        <v>4440</v>
      </c>
      <c r="O114" s="27">
        <v>3351</v>
      </c>
      <c r="P114" s="28"/>
      <c r="Q114" s="27">
        <v>4497</v>
      </c>
      <c r="R114" s="43" cm="1">
        <f t="array" ref="R114">IFERROR(IF(H114&gt;10,H114/C114*0.8769,""),“”)</f>
        <v>0.38307588910669282</v>
      </c>
      <c r="S114" s="43" cm="1">
        <f t="array" ref="S114">IFERROR(IF(I114&gt;10,I114/D114*0.8769,""),“”)</f>
        <v>0.38305901884534849</v>
      </c>
      <c r="T114" s="43" t="str" cm="1">
        <f t="array" ref="T114">IFERROR(IF(J114&gt;10,J114/E114*0.8769,""),“”)</f>
        <v/>
      </c>
      <c r="U114" s="43" t="str" cm="1">
        <f t="array" ref="U114">IFERROR(IF(K114&gt;10,K114/F114*0.8769,""),“”)</f>
        <v/>
      </c>
      <c r="V114" s="54">
        <f t="shared" si="20"/>
        <v>0.38319833722559549</v>
      </c>
    </row>
    <row r="115" spans="1:22">
      <c r="A115" s="53" t="s">
        <v>93</v>
      </c>
      <c r="B115" s="37">
        <v>2019</v>
      </c>
      <c r="C115" s="27">
        <v>7050</v>
      </c>
      <c r="D115" s="27">
        <v>6579</v>
      </c>
      <c r="E115" s="27">
        <v>295</v>
      </c>
      <c r="F115" s="28"/>
      <c r="G115" s="27">
        <v>176</v>
      </c>
      <c r="H115" s="27">
        <v>2481</v>
      </c>
      <c r="I115" s="27">
        <v>2400</v>
      </c>
      <c r="J115" s="27">
        <v>24</v>
      </c>
      <c r="K115" s="28"/>
      <c r="L115" s="27">
        <v>57</v>
      </c>
      <c r="M115" s="27">
        <v>3523</v>
      </c>
      <c r="N115" s="27">
        <v>3632</v>
      </c>
      <c r="O115" s="27">
        <v>842</v>
      </c>
      <c r="P115" s="28"/>
      <c r="Q115" s="27">
        <v>3459</v>
      </c>
      <c r="R115" s="43" cm="1">
        <f t="array" ref="R115">IFERROR(IF(H115&gt;10,H115/C115*0.8769,""),“”)</f>
        <v>0.30859417021276597</v>
      </c>
      <c r="S115" s="43" cm="1">
        <f t="array" ref="S115">IFERROR(IF(I115&gt;10,I115/D115*0.8769,""),“”)</f>
        <v>0.31989056087551299</v>
      </c>
      <c r="T115" s="43" cm="1">
        <f t="array" ref="T115">IFERROR(IF(J115&gt;10,J115/E115*0.8769,""),“”)</f>
        <v>7.1341016949152541E-2</v>
      </c>
      <c r="U115" s="43" t="str" cm="1">
        <f t="array" ref="U115">IFERROR(IF(K115&gt;10,K115/F115*0.8769,""),“”)</f>
        <v/>
      </c>
      <c r="V115" s="54">
        <f t="shared" si="20"/>
        <v>0.31895533678756477</v>
      </c>
    </row>
    <row r="116" spans="1:22">
      <c r="A116" s="53" t="s">
        <v>94</v>
      </c>
      <c r="B116" s="37">
        <v>2019</v>
      </c>
      <c r="C116" s="27">
        <v>3157</v>
      </c>
      <c r="D116" s="27">
        <v>2777</v>
      </c>
      <c r="E116" s="27">
        <v>101</v>
      </c>
      <c r="F116" s="28"/>
      <c r="G116" s="27">
        <v>279</v>
      </c>
      <c r="H116" s="27">
        <v>1485</v>
      </c>
      <c r="I116" s="27">
        <v>1351</v>
      </c>
      <c r="J116" s="27">
        <v>33</v>
      </c>
      <c r="K116" s="28"/>
      <c r="L116" s="27">
        <v>102</v>
      </c>
      <c r="M116" s="27">
        <v>4796</v>
      </c>
      <c r="N116" s="27">
        <v>4945</v>
      </c>
      <c r="O116" s="27">
        <v>3429</v>
      </c>
      <c r="P116" s="28"/>
      <c r="Q116" s="27">
        <v>3739</v>
      </c>
      <c r="R116" s="43" cm="1">
        <f t="array" ref="R116">IFERROR(IF(H116&gt;10,H116/C116*0.8769,""),“”)</f>
        <v>0.41247909407665506</v>
      </c>
      <c r="S116" s="43" cm="1">
        <f t="array" ref="S116">IFERROR(IF(I116&gt;10,I116/D116*0.8769,""),“”)</f>
        <v>0.42660853438962909</v>
      </c>
      <c r="T116" s="43" cm="1">
        <f t="array" ref="T116">IFERROR(IF(J116&gt;10,J116/E116*0.8769,""),“”)</f>
        <v>0.28651188118811882</v>
      </c>
      <c r="U116" s="43" t="str" cm="1">
        <f t="array" ref="U116">IFERROR(IF(K116&gt;10,K116/F116*0.8769,""),“”)</f>
        <v/>
      </c>
      <c r="V116" s="54">
        <f t="shared" si="20"/>
        <v>0.41664227748691102</v>
      </c>
    </row>
    <row r="117" spans="1:22">
      <c r="A117" s="53" t="s">
        <v>95</v>
      </c>
      <c r="B117" s="37">
        <v>2019</v>
      </c>
      <c r="C117" s="27">
        <v>2280</v>
      </c>
      <c r="D117" s="27">
        <v>2039</v>
      </c>
      <c r="E117" s="27">
        <v>8</v>
      </c>
      <c r="F117" s="27">
        <v>7</v>
      </c>
      <c r="G117" s="27">
        <v>226</v>
      </c>
      <c r="H117" s="27">
        <v>906</v>
      </c>
      <c r="I117" s="27">
        <v>776</v>
      </c>
      <c r="J117" s="27">
        <v>2</v>
      </c>
      <c r="K117" s="27">
        <v>3</v>
      </c>
      <c r="L117" s="27">
        <v>124</v>
      </c>
      <c r="M117" s="27">
        <v>3978</v>
      </c>
      <c r="N117" s="27">
        <v>3800</v>
      </c>
      <c r="O117" s="27">
        <v>3188</v>
      </c>
      <c r="P117" s="27">
        <v>3933</v>
      </c>
      <c r="Q117" s="27">
        <v>5710</v>
      </c>
      <c r="R117" s="43" cm="1">
        <f t="array" ref="R117">IFERROR(IF(H117&gt;10,H117/C117*0.8769,""),“”)</f>
        <v>0.34845236842105265</v>
      </c>
      <c r="S117" s="43" cm="1">
        <f t="array" ref="S117">IFERROR(IF(I117&gt;10,I117/D117*0.8769,""),“”)</f>
        <v>0.33372947523295732</v>
      </c>
      <c r="T117" s="43" t="str" cm="1">
        <f t="array" ref="T117">IFERROR(IF(J117&gt;10,J117/E117*0.8769,""),“”)</f>
        <v/>
      </c>
      <c r="U117" s="43" t="str" cm="1">
        <f t="array" ref="U117">IFERROR(IF(K117&gt;10,K117/F117*0.8769,""),“”)</f>
        <v/>
      </c>
      <c r="V117" s="54">
        <f t="shared" si="20"/>
        <v>0.34890739436619722</v>
      </c>
    </row>
    <row r="118" spans="1:22">
      <c r="A118" s="53" t="s">
        <v>96</v>
      </c>
      <c r="B118" s="37">
        <v>2019</v>
      </c>
      <c r="C118" s="27">
        <v>8628</v>
      </c>
      <c r="D118" s="27">
        <v>6141</v>
      </c>
      <c r="E118" s="27">
        <v>2217</v>
      </c>
      <c r="F118" s="28"/>
      <c r="G118" s="27">
        <v>271</v>
      </c>
      <c r="H118" s="27">
        <v>3222</v>
      </c>
      <c r="I118" s="27">
        <v>2508</v>
      </c>
      <c r="J118" s="27">
        <v>594</v>
      </c>
      <c r="K118" s="28"/>
      <c r="L118" s="27">
        <v>120</v>
      </c>
      <c r="M118" s="27">
        <v>3841</v>
      </c>
      <c r="N118" s="27">
        <v>4130</v>
      </c>
      <c r="O118" s="27">
        <v>2863</v>
      </c>
      <c r="P118" s="28"/>
      <c r="Q118" s="27">
        <v>4954</v>
      </c>
      <c r="R118" s="43" cm="1">
        <f t="array" ref="R118">IFERROR(IF(H118&gt;10,H118/C118*0.8769,""),“”)</f>
        <v>0.327465438108484</v>
      </c>
      <c r="S118" s="43" cm="1">
        <f t="array" ref="S118">IFERROR(IF(I118&gt;10,I118/D118*0.8769,""),“”)</f>
        <v>0.35812818759159748</v>
      </c>
      <c r="T118" s="43" cm="1">
        <f t="array" ref="T118">IFERROR(IF(J118&gt;10,J118/E118*0.8769,""),“”)</f>
        <v>0.23494749661705006</v>
      </c>
      <c r="U118" s="43" t="str" cm="1">
        <f t="array" ref="U118">IFERROR(IF(K118&gt;10,K118/F118*0.8769,""),“”)</f>
        <v/>
      </c>
      <c r="V118" s="54">
        <f t="shared" si="20"/>
        <v>0.35945924192793638</v>
      </c>
    </row>
    <row r="119" spans="1:22">
      <c r="A119" s="53" t="s">
        <v>97</v>
      </c>
      <c r="B119" s="37">
        <v>2019</v>
      </c>
      <c r="C119" s="27">
        <v>2294</v>
      </c>
      <c r="D119" s="27">
        <v>1858</v>
      </c>
      <c r="E119" s="27">
        <v>35</v>
      </c>
      <c r="F119" s="28"/>
      <c r="G119" s="27">
        <v>402</v>
      </c>
      <c r="H119" s="27">
        <v>988</v>
      </c>
      <c r="I119" s="27">
        <v>833</v>
      </c>
      <c r="J119" s="27">
        <v>5</v>
      </c>
      <c r="K119" s="28"/>
      <c r="L119" s="27">
        <v>150</v>
      </c>
      <c r="M119" s="27">
        <v>4353</v>
      </c>
      <c r="N119" s="27">
        <v>4483</v>
      </c>
      <c r="O119" s="27">
        <v>1153</v>
      </c>
      <c r="P119" s="28"/>
      <c r="Q119" s="27">
        <v>3987</v>
      </c>
      <c r="R119" s="43" cm="1">
        <f t="array" ref="R119">IFERROR(IF(H119&gt;10,H119/C119*0.8769,""),“”)</f>
        <v>0.37767096774193548</v>
      </c>
      <c r="S119" s="43" cm="1">
        <f t="array" ref="S119">IFERROR(IF(I119&gt;10,I119/D119*0.8769,""),“”)</f>
        <v>0.39314192680301396</v>
      </c>
      <c r="T119" s="43" t="str" cm="1">
        <f t="array" ref="T119">IFERROR(IF(J119&gt;10,J119/E119*0.8769,""),“”)</f>
        <v/>
      </c>
      <c r="U119" s="43" t="str" cm="1">
        <f t="array" ref="U119">IFERROR(IF(K119&gt;10,K119/F119*0.8769,""),“”)</f>
        <v/>
      </c>
      <c r="V119" s="54">
        <f t="shared" si="20"/>
        <v>0.38158154050464804</v>
      </c>
    </row>
    <row r="120" spans="1:22">
      <c r="A120" s="53" t="s">
        <v>98</v>
      </c>
      <c r="B120" s="37">
        <v>2019</v>
      </c>
      <c r="C120" s="27">
        <v>465</v>
      </c>
      <c r="D120" s="27">
        <v>352</v>
      </c>
      <c r="E120" s="27">
        <v>73</v>
      </c>
      <c r="F120" s="28"/>
      <c r="G120" s="27">
        <v>41</v>
      </c>
      <c r="H120" s="27">
        <v>212</v>
      </c>
      <c r="I120" s="27">
        <v>173</v>
      </c>
      <c r="J120" s="27">
        <v>14</v>
      </c>
      <c r="K120" s="28"/>
      <c r="L120" s="27">
        <v>25</v>
      </c>
      <c r="M120" s="27">
        <v>4563</v>
      </c>
      <c r="N120" s="27">
        <v>4930</v>
      </c>
      <c r="O120" s="27">
        <v>1826</v>
      </c>
      <c r="P120" s="28"/>
      <c r="Q120" s="27">
        <v>6264</v>
      </c>
      <c r="R120" s="43" cm="1">
        <f t="array" ref="R120">IFERROR(IF(H120&gt;10,H120/C120*0.8769,""),“”)</f>
        <v>0.39979096774193551</v>
      </c>
      <c r="S120" s="43" cm="1">
        <f t="array" ref="S120">IFERROR(IF(I120&gt;10,I120/D120*0.8769,""),“”)</f>
        <v>0.43097642045454543</v>
      </c>
      <c r="T120" s="43" cm="1">
        <f t="array" ref="T120">IFERROR(IF(J120&gt;10,J120/E120*0.8769,""),“”)</f>
        <v>0.16817260273972601</v>
      </c>
      <c r="U120" s="43" t="str" cm="1">
        <f t="array" ref="U120">IFERROR(IF(K120&gt;10,K120/F120*0.8769,""),“”)</f>
        <v/>
      </c>
      <c r="V120" s="54">
        <f t="shared" si="20"/>
        <v>0.44292397959183671</v>
      </c>
    </row>
    <row r="121" spans="1:22">
      <c r="A121" s="53" t="s">
        <v>99</v>
      </c>
      <c r="B121" s="37">
        <v>2019</v>
      </c>
      <c r="C121" s="27">
        <v>1548</v>
      </c>
      <c r="D121" s="27">
        <v>1319</v>
      </c>
      <c r="E121" s="27">
        <v>168</v>
      </c>
      <c r="F121" s="28"/>
      <c r="G121" s="27">
        <v>61</v>
      </c>
      <c r="H121" s="27">
        <v>554</v>
      </c>
      <c r="I121" s="27">
        <v>467</v>
      </c>
      <c r="J121" s="27">
        <v>50</v>
      </c>
      <c r="K121" s="28"/>
      <c r="L121" s="27">
        <v>37</v>
      </c>
      <c r="M121" s="27">
        <v>3584</v>
      </c>
      <c r="N121" s="27">
        <v>3542</v>
      </c>
      <c r="O121" s="27">
        <v>2980</v>
      </c>
      <c r="P121" s="28"/>
      <c r="Q121" s="27">
        <v>6243</v>
      </c>
      <c r="R121" s="43" cm="1">
        <f t="array" ref="R121">IFERROR(IF(H121&gt;10,H121/C121*0.8769,""),“”)</f>
        <v>0.31382596899224807</v>
      </c>
      <c r="S121" s="43" cm="1">
        <f t="array" ref="S121">IFERROR(IF(I121&gt;10,I121/D121*0.8769,""),“”)</f>
        <v>0.31047179681576953</v>
      </c>
      <c r="T121" s="43" cm="1">
        <f t="array" ref="T121">IFERROR(IF(J121&gt;10,J121/E121*0.8769,""),“”)</f>
        <v>0.26098214285714288</v>
      </c>
      <c r="U121" s="43" t="str" cm="1">
        <f t="array" ref="U121">IFERROR(IF(K121&gt;10,K121/F121*0.8769,""),“”)</f>
        <v/>
      </c>
      <c r="V121" s="54">
        <f t="shared" si="20"/>
        <v>0.3202591304347826</v>
      </c>
    </row>
    <row r="122" spans="1:22">
      <c r="A122" s="53" t="s">
        <v>100</v>
      </c>
      <c r="B122" s="37">
        <v>2019</v>
      </c>
      <c r="C122" s="27">
        <v>1570</v>
      </c>
      <c r="D122" s="27">
        <v>1216</v>
      </c>
      <c r="E122" s="27">
        <v>126</v>
      </c>
      <c r="F122" s="28"/>
      <c r="G122" s="27">
        <v>228</v>
      </c>
      <c r="H122" s="27">
        <v>488</v>
      </c>
      <c r="I122" s="27">
        <v>352</v>
      </c>
      <c r="J122" s="27">
        <v>26</v>
      </c>
      <c r="K122" s="28"/>
      <c r="L122" s="27">
        <v>110</v>
      </c>
      <c r="M122" s="27">
        <v>3084</v>
      </c>
      <c r="N122" s="27">
        <v>2846</v>
      </c>
      <c r="O122" s="27">
        <v>2049</v>
      </c>
      <c r="P122" s="28"/>
      <c r="Q122" s="27">
        <v>5171</v>
      </c>
      <c r="R122" s="43" cm="1">
        <f t="array" ref="R122">IFERROR(IF(H122&gt;10,H122/C122*0.8769,""),“”)</f>
        <v>0.27256509554140129</v>
      </c>
      <c r="S122" s="43" cm="1">
        <f t="array" ref="S122">IFERROR(IF(I122&gt;10,I122/D122*0.8769,""),“”)</f>
        <v>0.25383947368421056</v>
      </c>
      <c r="T122" s="43" cm="1">
        <f t="array" ref="T122">IFERROR(IF(J122&gt;10,J122/E122*0.8769,""),“”)</f>
        <v>0.18094761904761905</v>
      </c>
      <c r="U122" s="43" t="str" cm="1">
        <f t="array" ref="U122">IFERROR(IF(K122&gt;10,K122/F122*0.8769,""),“”)</f>
        <v/>
      </c>
      <c r="V122" s="54">
        <f t="shared" si="20"/>
        <v>0.28055941828254849</v>
      </c>
    </row>
    <row r="123" spans="1:22">
      <c r="A123" s="53" t="s">
        <v>101</v>
      </c>
      <c r="B123" s="37">
        <v>2019</v>
      </c>
      <c r="C123" s="27">
        <v>3410</v>
      </c>
      <c r="D123" s="27">
        <v>3384</v>
      </c>
      <c r="E123" s="28"/>
      <c r="F123" s="28"/>
      <c r="G123" s="27">
        <v>26</v>
      </c>
      <c r="H123" s="27">
        <v>1390</v>
      </c>
      <c r="I123" s="27">
        <v>1381</v>
      </c>
      <c r="J123" s="28"/>
      <c r="K123" s="28"/>
      <c r="L123" s="27">
        <v>8</v>
      </c>
      <c r="M123" s="27">
        <v>4237</v>
      </c>
      <c r="N123" s="27">
        <v>4238</v>
      </c>
      <c r="O123" s="28"/>
      <c r="P123" s="28"/>
      <c r="Q123" s="27">
        <v>3978</v>
      </c>
      <c r="R123" s="43" cm="1">
        <f t="array" ref="R123">IFERROR(IF(H123&gt;10,H123/C123*0.8769,""),“”)</f>
        <v>0.35744604105571848</v>
      </c>
      <c r="S123" s="43" cm="1">
        <f t="array" ref="S123">IFERROR(IF(I123&gt;10,I123/D123*0.8769,""),“”)</f>
        <v>0.35786019503546102</v>
      </c>
      <c r="T123" s="43" t="str" cm="1">
        <f t="array" ref="T123">IFERROR(IF(J123&gt;10,J123/E123*0.8769,""),“”)</f>
        <v/>
      </c>
      <c r="U123" s="43" t="str" cm="1">
        <f t="array" ref="U123">IFERROR(IF(K123&gt;10,K123/F123*0.8769,""),“”)</f>
        <v/>
      </c>
      <c r="V123" s="54">
        <f t="shared" si="20"/>
        <v>0.35744604105571848</v>
      </c>
    </row>
    <row r="124" spans="1:22">
      <c r="A124" s="53" t="s">
        <v>102</v>
      </c>
      <c r="B124" s="37">
        <v>2019</v>
      </c>
      <c r="C124" s="27">
        <v>1509</v>
      </c>
      <c r="D124" s="27">
        <v>1298</v>
      </c>
      <c r="E124" s="27">
        <v>3</v>
      </c>
      <c r="F124" s="28"/>
      <c r="G124" s="27">
        <v>208</v>
      </c>
      <c r="H124" s="27">
        <v>318</v>
      </c>
      <c r="I124" s="27">
        <v>223</v>
      </c>
      <c r="J124" s="29">
        <v>0.5</v>
      </c>
      <c r="K124" s="28"/>
      <c r="L124" s="27">
        <v>95</v>
      </c>
      <c r="M124" s="27">
        <v>2108</v>
      </c>
      <c r="N124" s="27">
        <v>1715</v>
      </c>
      <c r="O124" s="27">
        <v>6344</v>
      </c>
      <c r="P124" s="28"/>
      <c r="Q124" s="27">
        <v>4902</v>
      </c>
      <c r="R124" s="43" cm="1">
        <f t="array" ref="R124">IFERROR(IF(H124&gt;10,H124/C124*0.8769,""),“”)</f>
        <v>0.18479403578528827</v>
      </c>
      <c r="S124" s="43" cm="1">
        <f t="array" ref="S124">IFERROR(IF(I124&gt;10,I124/D124*0.8769,""),“”)</f>
        <v>0.15065385208012327</v>
      </c>
      <c r="T124" s="43" t="str" cm="1">
        <f t="array" ref="T124">IFERROR(IF(J124&gt;10,J124/E124*0.8769,""),“”)</f>
        <v/>
      </c>
      <c r="U124" s="43" t="str" cm="1">
        <f t="array" ref="U124">IFERROR(IF(K124&gt;10,K124/F124*0.8769,""),“”)</f>
        <v/>
      </c>
      <c r="V124" s="54">
        <f t="shared" si="20"/>
        <v>0.18487101593625499</v>
      </c>
    </row>
    <row r="125" spans="1:22">
      <c r="A125" s="53" t="s">
        <v>103</v>
      </c>
      <c r="B125" s="37">
        <v>2019</v>
      </c>
      <c r="C125" s="27">
        <v>42</v>
      </c>
      <c r="D125" s="28"/>
      <c r="E125" s="28"/>
      <c r="F125" s="27">
        <v>38</v>
      </c>
      <c r="G125" s="27">
        <v>4</v>
      </c>
      <c r="H125" s="27">
        <v>1</v>
      </c>
      <c r="I125" s="28"/>
      <c r="J125" s="28"/>
      <c r="K125" s="29">
        <v>0.4</v>
      </c>
      <c r="L125" s="27">
        <v>1</v>
      </c>
      <c r="M125" s="27">
        <v>297</v>
      </c>
      <c r="N125" s="28"/>
      <c r="O125" s="28"/>
      <c r="P125" s="27">
        <v>99</v>
      </c>
      <c r="Q125" s="27">
        <v>5272</v>
      </c>
      <c r="R125" s="43" t="str" cm="1">
        <f t="array" ref="R125">IFERROR(IF(H125&gt;10,H125/C125*0.8769,""),“”)</f>
        <v/>
      </c>
      <c r="S125" s="43" t="str" cm="1">
        <f t="array" ref="S125">IFERROR(IF(I125&gt;10,I125/D125*0.8769,""),“”)</f>
        <v/>
      </c>
      <c r="T125" s="43" t="str" cm="1">
        <f t="array" ref="T125">IFERROR(IF(J125&gt;10,J125/E125*0.8769,""),“”)</f>
        <v/>
      </c>
      <c r="U125" s="43" t="str" cm="1">
        <f t="array" ref="U125">IFERROR(IF(K125&gt;10,K125/F125*0.8769,""),“”)</f>
        <v/>
      </c>
      <c r="V125" s="54" t="str">
        <f t="shared" si="20"/>
        <v/>
      </c>
    </row>
    <row r="126" spans="1:22">
      <c r="A126" s="53" t="s">
        <v>104</v>
      </c>
      <c r="B126" s="37">
        <v>2019</v>
      </c>
      <c r="C126" s="27">
        <v>4380</v>
      </c>
      <c r="D126" s="27">
        <v>4207</v>
      </c>
      <c r="E126" s="27">
        <v>8</v>
      </c>
      <c r="F126" s="28"/>
      <c r="G126" s="27">
        <v>166</v>
      </c>
      <c r="H126" s="27">
        <v>1917</v>
      </c>
      <c r="I126" s="27">
        <v>1828</v>
      </c>
      <c r="J126" s="27">
        <v>5</v>
      </c>
      <c r="K126" s="28"/>
      <c r="L126" s="27">
        <v>84</v>
      </c>
      <c r="M126" s="27">
        <v>4383</v>
      </c>
      <c r="N126" s="27">
        <v>4386</v>
      </c>
      <c r="O126" s="28"/>
      <c r="P126" s="28"/>
      <c r="Q126" s="27">
        <v>4246</v>
      </c>
      <c r="R126" s="43" cm="1">
        <f t="array" ref="R126">IFERROR(IF(H126&gt;10,H126/C126*0.8769,""),“”)</f>
        <v>0.38379390410958908</v>
      </c>
      <c r="S126" s="43" cm="1">
        <f t="array" ref="S126">IFERROR(IF(I126&gt;10,I126/D126*0.8769,""),“”)</f>
        <v>0.38102524364154977</v>
      </c>
      <c r="T126" s="43" t="str" cm="1">
        <f t="array" ref="T126">IFERROR(IF(J126&gt;10,J126/E126*0.8769,""),“”)</f>
        <v/>
      </c>
      <c r="U126" s="43" t="str" cm="1">
        <f t="array" ref="U126">IFERROR(IF(K126&gt;10,K126/F126*0.8769,""),“”)</f>
        <v/>
      </c>
      <c r="V126" s="54">
        <f t="shared" si="20"/>
        <v>0.38349332113449219</v>
      </c>
    </row>
    <row r="127" spans="1:22">
      <c r="A127" s="53" t="s">
        <v>105</v>
      </c>
      <c r="B127" s="37">
        <v>2019</v>
      </c>
      <c r="C127" s="27">
        <v>2104</v>
      </c>
      <c r="D127" s="27">
        <v>2062</v>
      </c>
      <c r="E127" s="27">
        <v>1</v>
      </c>
      <c r="F127" s="28"/>
      <c r="G127" s="27">
        <v>40</v>
      </c>
      <c r="H127" s="27">
        <v>817</v>
      </c>
      <c r="I127" s="27">
        <v>803</v>
      </c>
      <c r="J127" s="28"/>
      <c r="K127" s="28"/>
      <c r="L127" s="27">
        <v>14</v>
      </c>
      <c r="M127" s="27">
        <v>4236</v>
      </c>
      <c r="N127" s="27">
        <v>4246</v>
      </c>
      <c r="O127" s="28"/>
      <c r="P127" s="28"/>
      <c r="Q127" s="27">
        <v>3818</v>
      </c>
      <c r="R127" s="43" cm="1">
        <f t="array" ref="R127">IFERROR(IF(H127&gt;10,H127/C127*0.8769,""),“”)</f>
        <v>0.34050727186311786</v>
      </c>
      <c r="S127" s="43" cm="1">
        <f t="array" ref="S127">IFERROR(IF(I127&gt;10,I127/D127*0.8769,""),“”)</f>
        <v>0.34148918525703198</v>
      </c>
      <c r="T127" s="43" t="str" cm="1">
        <f t="array" ref="T127">IFERROR(IF(J127&gt;10,J127/E127*0.8769,""),“”)</f>
        <v/>
      </c>
      <c r="U127" s="43" t="str" cm="1">
        <f t="array" ref="U127">IFERROR(IF(K127&gt;10,K127/F127*0.8769,""),“”)</f>
        <v/>
      </c>
      <c r="V127" s="54">
        <f t="shared" si="20"/>
        <v>0.34066918687589159</v>
      </c>
    </row>
    <row r="128" spans="1:22">
      <c r="A128" s="53" t="s">
        <v>106</v>
      </c>
      <c r="B128" s="37">
        <v>2019</v>
      </c>
      <c r="C128" s="27">
        <v>393</v>
      </c>
      <c r="D128" s="27">
        <v>375</v>
      </c>
      <c r="E128" s="29">
        <v>0.4</v>
      </c>
      <c r="F128" s="28"/>
      <c r="G128" s="27">
        <v>17</v>
      </c>
      <c r="H128" s="27">
        <v>104</v>
      </c>
      <c r="I128" s="27">
        <v>100</v>
      </c>
      <c r="J128" s="35">
        <v>0.1</v>
      </c>
      <c r="K128" s="28"/>
      <c r="L128" s="27">
        <v>4</v>
      </c>
      <c r="M128" s="27">
        <v>2667</v>
      </c>
      <c r="N128" s="27">
        <v>2665</v>
      </c>
      <c r="O128" s="28"/>
      <c r="P128" s="28"/>
      <c r="Q128" s="27">
        <v>2713</v>
      </c>
      <c r="R128" s="43" cm="1">
        <f t="array" ref="R128">IFERROR(IF(H128&gt;10,H128/C128*0.8769,""),“”)</f>
        <v>0.23205496183206106</v>
      </c>
      <c r="S128" s="43" cm="1">
        <f t="array" ref="S128">IFERROR(IF(I128&gt;10,I128/D128*0.8769,""),“”)</f>
        <v>0.23383999999999999</v>
      </c>
      <c r="T128" s="43" t="str" cm="1">
        <f t="array" ref="T128">IFERROR(IF(J128&gt;10,J128/E128*0.8769,""),“”)</f>
        <v/>
      </c>
      <c r="U128" s="43" t="str" cm="1">
        <f t="array" ref="U128">IFERROR(IF(K128&gt;10,K128/F128*0.8769,""),“”)</f>
        <v/>
      </c>
      <c r="V128" s="54">
        <f t="shared" si="20"/>
        <v>0.23206803362200715</v>
      </c>
    </row>
    <row r="129" spans="1:22">
      <c r="A129" s="53" t="s">
        <v>107</v>
      </c>
      <c r="B129" s="37">
        <v>2019</v>
      </c>
      <c r="C129" s="27">
        <v>3219</v>
      </c>
      <c r="D129" s="27">
        <v>3031</v>
      </c>
      <c r="E129" s="27">
        <v>70</v>
      </c>
      <c r="F129" s="28"/>
      <c r="G129" s="27">
        <v>118</v>
      </c>
      <c r="H129" s="27">
        <v>1381</v>
      </c>
      <c r="I129" s="27">
        <v>1310</v>
      </c>
      <c r="J129" s="27">
        <v>13</v>
      </c>
      <c r="K129" s="28"/>
      <c r="L129" s="27">
        <v>58</v>
      </c>
      <c r="M129" s="27">
        <v>4603</v>
      </c>
      <c r="N129" s="27">
        <v>4659</v>
      </c>
      <c r="O129" s="27">
        <v>1825</v>
      </c>
      <c r="P129" s="28"/>
      <c r="Q129" s="27">
        <v>4937</v>
      </c>
      <c r="R129" s="43" cm="1">
        <f t="array" ref="R129">IFERROR(IF(H129&gt;10,H129/C129*0.8769,""),“”)</f>
        <v>0.37620344827586205</v>
      </c>
      <c r="S129" s="43" cm="1">
        <f t="array" ref="S129">IFERROR(IF(I129&gt;10,I129/D129*0.8769,""),“”)</f>
        <v>0.37899670075882547</v>
      </c>
      <c r="T129" s="43" cm="1">
        <f t="array" ref="T129">IFERROR(IF(J129&gt;10,J129/E129*0.8769,""),“”)</f>
        <v>0.16285285714285716</v>
      </c>
      <c r="U129" s="43" t="str" cm="1">
        <f t="array" ref="U129">IFERROR(IF(K129&gt;10,K129/F129*0.8769,""),“”)</f>
        <v/>
      </c>
      <c r="V129" s="54">
        <f t="shared" si="20"/>
        <v>0.38094607812003811</v>
      </c>
    </row>
    <row r="130" spans="1:22" ht="13.5" thickBot="1">
      <c r="A130" s="55" t="s">
        <v>108</v>
      </c>
      <c r="B130" s="56">
        <v>2019</v>
      </c>
      <c r="C130" s="69">
        <v>5813</v>
      </c>
      <c r="D130" s="69">
        <v>5644</v>
      </c>
      <c r="E130" s="69">
        <v>85</v>
      </c>
      <c r="F130" s="58"/>
      <c r="G130" s="69">
        <v>85</v>
      </c>
      <c r="H130" s="69">
        <v>2777</v>
      </c>
      <c r="I130" s="69">
        <v>2726</v>
      </c>
      <c r="J130" s="69">
        <v>19</v>
      </c>
      <c r="K130" s="58"/>
      <c r="L130" s="69">
        <v>32</v>
      </c>
      <c r="M130" s="69">
        <v>5069</v>
      </c>
      <c r="N130" s="69">
        <v>5126</v>
      </c>
      <c r="O130" s="69">
        <v>2290</v>
      </c>
      <c r="P130" s="58"/>
      <c r="Q130" s="69">
        <v>4190</v>
      </c>
      <c r="R130" s="61" cm="1">
        <f t="array" ref="R130">IFERROR(IF(H130&gt;10,H130/C130*0.8769,""),“”)</f>
        <v>0.41891472561500087</v>
      </c>
      <c r="S130" s="61" cm="1">
        <f t="array" ref="S130">IFERROR(IF(I130&gt;10,I130/D130*0.8769,""),“”)</f>
        <v>0.42353462083628635</v>
      </c>
      <c r="T130" s="61" cm="1">
        <f t="array" ref="T130">IFERROR(IF(J130&gt;10,J130/E130*0.8769,""),“”)</f>
        <v>0.19601294117647061</v>
      </c>
      <c r="U130" s="61" t="str" cm="1">
        <f t="array" ref="U130">IFERROR(IF(K130&gt;10,K130/F130*0.8769,""),“”)</f>
        <v/>
      </c>
      <c r="V130" s="62">
        <f t="shared" si="20"/>
        <v>0.42222245111731843</v>
      </c>
    </row>
    <row r="131" spans="1:22">
      <c r="A131" s="46" t="s">
        <v>77</v>
      </c>
      <c r="B131" s="47">
        <v>2020</v>
      </c>
      <c r="C131" s="48">
        <v>124624</v>
      </c>
      <c r="D131" s="48">
        <v>107912</v>
      </c>
      <c r="E131" s="48">
        <v>9972</v>
      </c>
      <c r="F131" s="48">
        <v>147</v>
      </c>
      <c r="G131" s="48">
        <v>6593</v>
      </c>
      <c r="H131" s="48">
        <v>51770</v>
      </c>
      <c r="I131" s="48">
        <v>46296</v>
      </c>
      <c r="J131" s="48">
        <v>2525</v>
      </c>
      <c r="K131" s="48">
        <v>12</v>
      </c>
      <c r="L131" s="48">
        <v>2936</v>
      </c>
      <c r="M131" s="48">
        <v>4211</v>
      </c>
      <c r="N131" s="48">
        <v>4323</v>
      </c>
      <c r="O131" s="48">
        <v>2610</v>
      </c>
      <c r="P131" s="48">
        <v>863</v>
      </c>
      <c r="Q131" s="48">
        <v>4828</v>
      </c>
      <c r="R131" s="51" cm="1">
        <f t="array" ref="R131">IFERROR(IF(H131&gt;10,H131/C131*0.8769,""),“”)</f>
        <v>0.36427263608935678</v>
      </c>
      <c r="S131" s="51" cm="1">
        <f t="array" ref="S131">IFERROR(IF(I131&gt;10,I131/D131*0.8769,""),“”)</f>
        <v>0.37620433686707688</v>
      </c>
      <c r="T131" s="51" cm="1">
        <f t="array" ref="T131">IFERROR(IF(J131&gt;10,J131/E131*0.8769,""),“”)</f>
        <v>0.22203895908543925</v>
      </c>
      <c r="U131" s="51" cm="1">
        <f t="array" ref="U131">IFERROR(IF(K131&gt;10,K131/F131*0.8769,""),“”)</f>
        <v>7.1583673469387751E-2</v>
      </c>
      <c r="V131" s="52">
        <f t="shared" ref="V131:V162" si="21">IFERROR(IF((H131-J131)&gt;10,(H131-J131)/(C131-E131)*0.8769,""),"")</f>
        <v>0.37664358667969161</v>
      </c>
    </row>
    <row r="132" spans="1:22">
      <c r="A132" s="53" t="s">
        <v>78</v>
      </c>
      <c r="B132" s="37">
        <v>2020</v>
      </c>
      <c r="C132" s="36">
        <v>1136</v>
      </c>
      <c r="D132" s="36">
        <v>77</v>
      </c>
      <c r="E132" s="36">
        <v>1000</v>
      </c>
      <c r="F132" s="36">
        <v>22</v>
      </c>
      <c r="G132" s="36">
        <v>38</v>
      </c>
      <c r="H132" s="36">
        <v>434</v>
      </c>
      <c r="I132" s="36">
        <v>10</v>
      </c>
      <c r="J132" s="36">
        <v>397</v>
      </c>
      <c r="K132" s="36">
        <v>4</v>
      </c>
      <c r="L132" s="36">
        <v>23</v>
      </c>
      <c r="M132" s="36">
        <v>3823</v>
      </c>
      <c r="N132" s="36">
        <v>1282</v>
      </c>
      <c r="O132" s="36">
        <v>3974</v>
      </c>
      <c r="P132" s="36">
        <v>1764</v>
      </c>
      <c r="Q132" s="36">
        <v>6328</v>
      </c>
      <c r="R132" s="43" cm="1">
        <f t="array" ref="R132">IFERROR(IF(H132&gt;10,H132/C132*0.8769,""),“”)</f>
        <v>0.33501285211267606</v>
      </c>
      <c r="S132" s="43" t="str" cm="1">
        <f t="array" ref="S132">IFERROR(IF(I132&gt;10,I132/D132*0.8769,""),“”)</f>
        <v/>
      </c>
      <c r="T132" s="43" cm="1">
        <f t="array" ref="T132">IFERROR(IF(J132&gt;10,J132/E132*0.8769,""),“”)</f>
        <v>0.34812930000000003</v>
      </c>
      <c r="U132" s="43" t="str" cm="1">
        <f t="array" ref="U132">IFERROR(IF(K132&gt;10,K132/F132*0.8769,""),“”)</f>
        <v/>
      </c>
      <c r="V132" s="54">
        <f t="shared" si="21"/>
        <v>0.23856838235294117</v>
      </c>
    </row>
    <row r="133" spans="1:22">
      <c r="A133" s="53" t="s">
        <v>79</v>
      </c>
      <c r="B133" s="37">
        <v>2020</v>
      </c>
      <c r="C133" s="36">
        <v>1668</v>
      </c>
      <c r="D133" s="36">
        <v>1230</v>
      </c>
      <c r="E133" s="36">
        <v>382</v>
      </c>
      <c r="F133" s="28"/>
      <c r="G133" s="36">
        <v>56</v>
      </c>
      <c r="H133" s="36">
        <v>668</v>
      </c>
      <c r="I133" s="36">
        <v>513</v>
      </c>
      <c r="J133" s="36">
        <v>134</v>
      </c>
      <c r="K133" s="28"/>
      <c r="L133" s="36">
        <v>21</v>
      </c>
      <c r="M133" s="36">
        <v>4015</v>
      </c>
      <c r="N133" s="36">
        <v>4155</v>
      </c>
      <c r="O133" s="36">
        <v>3437</v>
      </c>
      <c r="P133" s="28"/>
      <c r="Q133" s="36">
        <v>5204</v>
      </c>
      <c r="R133" s="43" cm="1">
        <f t="array" ref="R133">IFERROR(IF(H133&gt;10,H133/C133*0.8769,""),“”)</f>
        <v>0.35118057553956838</v>
      </c>
      <c r="S133" s="43" cm="1">
        <f t="array" ref="S133">IFERROR(IF(I133&gt;10,I133/D133*0.8769,""),“”)</f>
        <v>0.36573146341463414</v>
      </c>
      <c r="T133" s="43" cm="1">
        <f t="array" ref="T133">IFERROR(IF(J133&gt;10,J133/E133*0.8769,""),“”)</f>
        <v>0.30760366492146596</v>
      </c>
      <c r="U133" s="43" t="str" cm="1">
        <f t="array" ref="U133">IFERROR(IF(K133&gt;10,K133/F133*0.8769,""),“”)</f>
        <v/>
      </c>
      <c r="V133" s="54">
        <f t="shared" si="21"/>
        <v>0.36412488335925353</v>
      </c>
    </row>
    <row r="134" spans="1:22">
      <c r="A134" s="53" t="s">
        <v>80</v>
      </c>
      <c r="B134" s="37">
        <v>2020</v>
      </c>
      <c r="C134" s="36">
        <v>5391</v>
      </c>
      <c r="D134" s="36">
        <v>4952</v>
      </c>
      <c r="E134" s="36">
        <v>94</v>
      </c>
      <c r="F134" s="28"/>
      <c r="G134" s="36">
        <v>345</v>
      </c>
      <c r="H134" s="36">
        <v>2352</v>
      </c>
      <c r="I134" s="36">
        <v>2224</v>
      </c>
      <c r="J134" s="36">
        <v>8</v>
      </c>
      <c r="K134" s="28"/>
      <c r="L134" s="36">
        <v>120</v>
      </c>
      <c r="M134" s="36">
        <v>4447</v>
      </c>
      <c r="N134" s="36">
        <v>4533</v>
      </c>
      <c r="O134" s="28">
        <v>1156</v>
      </c>
      <c r="P134" s="28"/>
      <c r="Q134" s="36">
        <v>3676</v>
      </c>
      <c r="R134" s="43" cm="1">
        <f t="array" ref="R134">IFERROR(IF(H134&gt;10,H134/C134*0.8769,""),“”)</f>
        <v>0.38257629382303837</v>
      </c>
      <c r="S134" s="43" cm="1">
        <f t="array" ref="S134">IFERROR(IF(I134&gt;10,I134/D134*0.8769,""),“”)</f>
        <v>0.39382584814216476</v>
      </c>
      <c r="T134" s="43" t="str" cm="1">
        <f t="array" ref="T134">IFERROR(IF(J134&gt;10,J134/E134*0.8769,""),“”)</f>
        <v/>
      </c>
      <c r="U134" s="43" t="str" cm="1">
        <f t="array" ref="U134">IFERROR(IF(K134&gt;10,K134/F134*0.8769,""),“”)</f>
        <v/>
      </c>
      <c r="V134" s="54">
        <f t="shared" si="21"/>
        <v>0.38804107985652259</v>
      </c>
    </row>
    <row r="135" spans="1:22">
      <c r="A135" s="53" t="s">
        <v>81</v>
      </c>
      <c r="B135" s="37">
        <v>2020</v>
      </c>
      <c r="C135" s="36">
        <v>6878</v>
      </c>
      <c r="D135" s="36">
        <v>6263</v>
      </c>
      <c r="E135" s="36">
        <v>348</v>
      </c>
      <c r="F135" s="28"/>
      <c r="G135" s="36">
        <v>267</v>
      </c>
      <c r="H135" s="36">
        <v>2924</v>
      </c>
      <c r="I135" s="36">
        <v>2722</v>
      </c>
      <c r="J135" s="36">
        <v>108</v>
      </c>
      <c r="K135" s="28"/>
      <c r="L135" s="36">
        <v>95</v>
      </c>
      <c r="M135" s="36">
        <v>4403</v>
      </c>
      <c r="N135" s="36">
        <v>4475</v>
      </c>
      <c r="O135" s="36">
        <v>3393</v>
      </c>
      <c r="P135" s="28"/>
      <c r="Q135" s="36">
        <v>3895</v>
      </c>
      <c r="R135" s="43" cm="1">
        <f t="array" ref="R135">IFERROR(IF(H135&gt;10,H135/C135*0.8769,""),“”)</f>
        <v>0.37279086943879036</v>
      </c>
      <c r="S135" s="43" cm="1">
        <f t="array" ref="S135">IFERROR(IF(I135&gt;10,I135/D135*0.8769,""),“”)</f>
        <v>0.38111476927989785</v>
      </c>
      <c r="T135" s="43" cm="1">
        <f t="array" ref="T135">IFERROR(IF(J135&gt;10,J135/E135*0.8769,""),“”)</f>
        <v>0.27214137931034482</v>
      </c>
      <c r="U135" s="43" t="str" cm="1">
        <f t="array" ref="U135">IFERROR(IF(K135&gt;10,K135/F135*0.8769,""),“”)</f>
        <v/>
      </c>
      <c r="V135" s="54">
        <f t="shared" si="21"/>
        <v>0.37815473200612559</v>
      </c>
    </row>
    <row r="136" spans="1:22">
      <c r="A136" s="53" t="s">
        <v>82</v>
      </c>
      <c r="B136" s="37">
        <v>2020</v>
      </c>
      <c r="C136" s="36">
        <v>9374</v>
      </c>
      <c r="D136" s="36">
        <v>9207</v>
      </c>
      <c r="E136" s="36">
        <v>74</v>
      </c>
      <c r="F136" s="28"/>
      <c r="G136" s="36">
        <v>93</v>
      </c>
      <c r="H136" s="36">
        <v>4731</v>
      </c>
      <c r="I136" s="36">
        <v>4677</v>
      </c>
      <c r="J136" s="36">
        <v>28.4</v>
      </c>
      <c r="K136" s="28"/>
      <c r="L136" s="36">
        <v>25</v>
      </c>
      <c r="M136" s="36">
        <v>5066</v>
      </c>
      <c r="N136" s="36">
        <v>5095</v>
      </c>
      <c r="O136" s="36">
        <v>3922</v>
      </c>
      <c r="P136" s="28"/>
      <c r="Q136" s="36">
        <v>2984</v>
      </c>
      <c r="R136" s="43" cm="1">
        <f t="array" ref="R136">IFERROR(IF(H136&gt;10,H136/C136*0.8769,""),“”)</f>
        <v>0.44256602304245785</v>
      </c>
      <c r="S136" s="43" cm="1">
        <f t="array" ref="S136">IFERROR(IF(I136&gt;10,I136/D136*0.8769,""),“”)</f>
        <v>0.44545034213098733</v>
      </c>
      <c r="T136" s="43" cm="1">
        <f t="array" ref="T136">IFERROR(IF(J136&gt;10,J136/E136*0.8769,""),“”)</f>
        <v>0.33653999999999995</v>
      </c>
      <c r="U136" s="43" t="str" cm="1">
        <f t="array" ref="U136">IFERROR(IF(K136&gt;10,K136/F136*0.8769,""),“”)</f>
        <v/>
      </c>
      <c r="V136" s="54">
        <f t="shared" si="21"/>
        <v>0.44340967096774198</v>
      </c>
    </row>
    <row r="137" spans="1:22">
      <c r="A137" s="53" t="s">
        <v>83</v>
      </c>
      <c r="B137" s="37">
        <v>2020</v>
      </c>
      <c r="C137" s="36">
        <v>3643</v>
      </c>
      <c r="D137" s="36">
        <v>3499</v>
      </c>
      <c r="E137" s="36">
        <v>6</v>
      </c>
      <c r="F137" s="36">
        <v>15</v>
      </c>
      <c r="G137" s="36">
        <v>123</v>
      </c>
      <c r="H137" s="36">
        <v>1410</v>
      </c>
      <c r="I137" s="36">
        <v>1340</v>
      </c>
      <c r="J137" s="36">
        <v>3</v>
      </c>
      <c r="K137" s="36">
        <v>4</v>
      </c>
      <c r="L137" s="36">
        <v>63</v>
      </c>
      <c r="M137" s="36">
        <v>3951</v>
      </c>
      <c r="N137" s="36">
        <v>3909</v>
      </c>
      <c r="O137" s="36">
        <v>4856</v>
      </c>
      <c r="P137" s="36">
        <v>2509</v>
      </c>
      <c r="Q137" s="36">
        <v>5381</v>
      </c>
      <c r="R137" s="43" cm="1">
        <f t="array" ref="R137">IFERROR(IF(H137&gt;10,H137/C137*0.8769,""),“”)</f>
        <v>0.3393985726049959</v>
      </c>
      <c r="S137" s="43" cm="1">
        <f t="array" ref="S137">IFERROR(IF(I137&gt;10,I137/D137*0.8769,""),“”)</f>
        <v>0.33582337810803087</v>
      </c>
      <c r="T137" s="43" t="str" cm="1">
        <f t="array" ref="T137">IFERROR(IF(J137&gt;10,J137/E137*0.8769,""),“”)</f>
        <v/>
      </c>
      <c r="U137" s="43" t="str" cm="1">
        <f t="array" ref="U137">IFERROR(IF(K137&gt;10,K137/F137*0.8769,""),“”)</f>
        <v/>
      </c>
      <c r="V137" s="54">
        <f t="shared" si="21"/>
        <v>0.33923516634588946</v>
      </c>
    </row>
    <row r="138" spans="1:22">
      <c r="A138" s="53" t="s">
        <v>84</v>
      </c>
      <c r="B138" s="37">
        <v>2020</v>
      </c>
      <c r="C138" s="36">
        <v>1852</v>
      </c>
      <c r="D138" s="36">
        <v>1733</v>
      </c>
      <c r="E138" s="36">
        <v>1</v>
      </c>
      <c r="F138" s="28"/>
      <c r="G138" s="36">
        <v>118</v>
      </c>
      <c r="H138" s="36">
        <v>721</v>
      </c>
      <c r="I138" s="36">
        <v>677</v>
      </c>
      <c r="J138" s="35">
        <v>0.1</v>
      </c>
      <c r="K138" s="28"/>
      <c r="L138" s="36">
        <v>45</v>
      </c>
      <c r="M138" s="36">
        <v>3909</v>
      </c>
      <c r="N138" s="36">
        <v>3907</v>
      </c>
      <c r="O138" s="36">
        <v>72</v>
      </c>
      <c r="P138" s="28"/>
      <c r="Q138" s="36">
        <v>3949</v>
      </c>
      <c r="R138" s="43" cm="1">
        <f t="array" ref="R138">IFERROR(IF(H138&gt;10,H138/C138*0.8769,""),“”)</f>
        <v>0.34138493520518359</v>
      </c>
      <c r="S138" s="43" cm="1">
        <f t="array" ref="S138">IFERROR(IF(I138&gt;10,I138/D138*0.8769,""),“”)</f>
        <v>0.34256278130409695</v>
      </c>
      <c r="T138" s="43" t="str" cm="1">
        <f t="array" ref="T138">IFERROR(IF(J138&gt;10,J138/E138*0.8769,""),“”)</f>
        <v/>
      </c>
      <c r="U138" s="43" t="str" cm="1">
        <f t="array" ref="U138">IFERROR(IF(K138&gt;10,K138/F138*0.8769,""),“”)</f>
        <v/>
      </c>
      <c r="V138" s="54">
        <f t="shared" si="21"/>
        <v>0.34152199351701784</v>
      </c>
    </row>
    <row r="139" spans="1:22">
      <c r="A139" s="53" t="s">
        <v>85</v>
      </c>
      <c r="B139" s="37">
        <v>2020</v>
      </c>
      <c r="C139" s="36">
        <v>2423</v>
      </c>
      <c r="D139" s="36">
        <v>2222</v>
      </c>
      <c r="E139" s="36">
        <v>14</v>
      </c>
      <c r="F139" s="36">
        <v>2</v>
      </c>
      <c r="G139" s="36">
        <v>185</v>
      </c>
      <c r="H139" s="36">
        <v>895</v>
      </c>
      <c r="I139" s="36">
        <v>815</v>
      </c>
      <c r="J139" s="27">
        <v>3</v>
      </c>
      <c r="K139" s="28"/>
      <c r="L139" s="36">
        <v>76</v>
      </c>
      <c r="M139" s="36">
        <v>3822</v>
      </c>
      <c r="N139" s="36">
        <v>3736</v>
      </c>
      <c r="O139" s="36">
        <v>2723</v>
      </c>
      <c r="P139" s="28"/>
      <c r="Q139" s="36">
        <v>5290</v>
      </c>
      <c r="R139" s="43" cm="1">
        <f t="array" ref="R139">IFERROR(IF(H139&gt;10,H139/C139*0.8769,""),“”)</f>
        <v>0.3239065208419315</v>
      </c>
      <c r="S139" s="43" cm="1">
        <f t="array" ref="S139">IFERROR(IF(I139&gt;10,I139/D139*0.8769,""),“”)</f>
        <v>0.3216352385238524</v>
      </c>
      <c r="T139" s="43" t="str" cm="1">
        <f t="array" ref="T139">IFERROR(IF(J139&gt;10,J139/E139*0.8769,""),“”)</f>
        <v/>
      </c>
      <c r="U139" s="43" t="str" cm="1">
        <f t="array" ref="U139">IFERROR(IF(K139&gt;10,K139/F139*0.8769,""),“”)</f>
        <v/>
      </c>
      <c r="V139" s="54">
        <f t="shared" si="21"/>
        <v>0.32469688667496888</v>
      </c>
    </row>
    <row r="140" spans="1:22">
      <c r="A140" s="53" t="s">
        <v>86</v>
      </c>
      <c r="B140" s="37">
        <v>2020</v>
      </c>
      <c r="C140" s="36">
        <v>2450</v>
      </c>
      <c r="D140" s="36">
        <v>1502</v>
      </c>
      <c r="E140" s="36">
        <v>766</v>
      </c>
      <c r="F140" s="36">
        <v>61</v>
      </c>
      <c r="G140" s="36">
        <v>121</v>
      </c>
      <c r="H140" s="36">
        <v>835</v>
      </c>
      <c r="I140" s="36">
        <v>619</v>
      </c>
      <c r="J140" s="36">
        <v>152</v>
      </c>
      <c r="K140" s="36">
        <v>1</v>
      </c>
      <c r="L140" s="36">
        <v>63</v>
      </c>
      <c r="M140" s="36">
        <v>3411</v>
      </c>
      <c r="N140" s="36">
        <v>4120</v>
      </c>
      <c r="O140" s="36">
        <v>1992</v>
      </c>
      <c r="P140" s="36">
        <v>196</v>
      </c>
      <c r="Q140" s="36">
        <v>5185</v>
      </c>
      <c r="R140" s="43" cm="1">
        <f t="array" ref="R140">IFERROR(IF(H140&gt;10,H140/C140*0.8769,""),“”)</f>
        <v>0.29886183673469385</v>
      </c>
      <c r="S140" s="43" cm="1">
        <f t="array" ref="S140">IFERROR(IF(I140&gt;10,I140/D140*0.8769,""),“”)</f>
        <v>0.36138555259653798</v>
      </c>
      <c r="T140" s="43" cm="1">
        <f t="array" ref="T140">IFERROR(IF(J140&gt;10,J140/E140*0.8769,""),“”)</f>
        <v>0.17400626631853786</v>
      </c>
      <c r="U140" s="43" t="str" cm="1">
        <f t="array" ref="U140">IFERROR(IF(K140&gt;10,K140/F140*0.8769,""),“”)</f>
        <v/>
      </c>
      <c r="V140" s="54">
        <f t="shared" si="21"/>
        <v>0.35565480997624704</v>
      </c>
    </row>
    <row r="141" spans="1:22">
      <c r="A141" s="53" t="s">
        <v>87</v>
      </c>
      <c r="B141" s="37">
        <v>2020</v>
      </c>
      <c r="C141" s="36">
        <v>10079</v>
      </c>
      <c r="D141" s="36">
        <v>7921</v>
      </c>
      <c r="E141" s="36">
        <v>1700</v>
      </c>
      <c r="F141" s="28"/>
      <c r="G141" s="36">
        <v>459</v>
      </c>
      <c r="H141" s="36">
        <v>4290</v>
      </c>
      <c r="I141" s="36">
        <v>3570</v>
      </c>
      <c r="J141" s="36">
        <v>477</v>
      </c>
      <c r="K141" s="28"/>
      <c r="L141" s="36">
        <v>243</v>
      </c>
      <c r="M141" s="36">
        <v>4262</v>
      </c>
      <c r="N141" s="36">
        <v>4464</v>
      </c>
      <c r="O141" s="36">
        <v>2934</v>
      </c>
      <c r="P141" s="28"/>
      <c r="Q141" s="36">
        <v>5533</v>
      </c>
      <c r="R141" s="43" cm="1">
        <f t="array" ref="R141">IFERROR(IF(H141&gt;10,H141/C141*0.8769,""),“”)</f>
        <v>0.37324149221152891</v>
      </c>
      <c r="S141" s="43" cm="1">
        <f t="array" ref="S141">IFERROR(IF(I141&gt;10,I141/D141*0.8769,""),“”)</f>
        <v>0.39521941674031058</v>
      </c>
      <c r="T141" s="43" cm="1">
        <f t="array" ref="T141">IFERROR(IF(J141&gt;10,J141/E141*0.8769,""),“”)</f>
        <v>0.24604782352941176</v>
      </c>
      <c r="U141" s="43" t="str" cm="1">
        <f t="array" ref="U141">IFERROR(IF(K141&gt;10,K141/F141*0.8769,""),“”)</f>
        <v/>
      </c>
      <c r="V141" s="54">
        <f t="shared" si="21"/>
        <v>0.39904758324382389</v>
      </c>
    </row>
    <row r="142" spans="1:22">
      <c r="A142" s="53" t="s">
        <v>88</v>
      </c>
      <c r="B142" s="37">
        <v>2020</v>
      </c>
      <c r="C142" s="36">
        <v>6358</v>
      </c>
      <c r="D142" s="36">
        <v>4738</v>
      </c>
      <c r="E142" s="36">
        <v>1262</v>
      </c>
      <c r="F142" s="36">
        <v>2</v>
      </c>
      <c r="G142" s="36">
        <v>355</v>
      </c>
      <c r="H142" s="36">
        <v>2432</v>
      </c>
      <c r="I142" s="36">
        <v>2102</v>
      </c>
      <c r="J142" s="36">
        <v>163</v>
      </c>
      <c r="K142" s="35">
        <v>0.03</v>
      </c>
      <c r="L142" s="36">
        <v>166</v>
      </c>
      <c r="M142" s="36">
        <v>3888</v>
      </c>
      <c r="N142" s="36">
        <v>4495</v>
      </c>
      <c r="O142" s="36">
        <v>1287</v>
      </c>
      <c r="P142" s="28"/>
      <c r="Q142" s="36">
        <v>5331</v>
      </c>
      <c r="R142" s="43" cm="1">
        <f t="array" ref="R142">IFERROR(IF(H142&gt;10,H142/C142*0.8769,""),“”)</f>
        <v>0.33542321484743631</v>
      </c>
      <c r="S142" s="43" cm="1">
        <f t="array" ref="S142">IFERROR(IF(I142&gt;10,I142/D142*0.8769,""),“”)</f>
        <v>0.38903414943013931</v>
      </c>
      <c r="T142" s="43" cm="1">
        <f t="array" ref="T142">IFERROR(IF(J142&gt;10,J142/E142*0.8769,""),“”)</f>
        <v>0.11326045958795562</v>
      </c>
      <c r="U142" s="43" t="str" cm="1">
        <f t="array" ref="U142">IFERROR(IF(K142&gt;10,K142/F142*0.8769,""),“”)</f>
        <v/>
      </c>
      <c r="V142" s="54">
        <f t="shared" si="21"/>
        <v>0.39044075745682888</v>
      </c>
    </row>
    <row r="143" spans="1:22">
      <c r="A143" s="53" t="s">
        <v>89</v>
      </c>
      <c r="B143" s="37">
        <v>2020</v>
      </c>
      <c r="C143" s="36">
        <v>5561</v>
      </c>
      <c r="D143" s="36">
        <v>5143</v>
      </c>
      <c r="E143" s="36">
        <v>14</v>
      </c>
      <c r="F143" s="28"/>
      <c r="G143" s="36">
        <v>404</v>
      </c>
      <c r="H143" s="36">
        <v>2531</v>
      </c>
      <c r="I143" s="36">
        <v>2314</v>
      </c>
      <c r="J143" s="36">
        <v>3</v>
      </c>
      <c r="K143" s="28"/>
      <c r="L143" s="36">
        <v>214</v>
      </c>
      <c r="M143" s="36">
        <v>4577</v>
      </c>
      <c r="N143" s="36">
        <v>4509</v>
      </c>
      <c r="O143" s="36">
        <v>657</v>
      </c>
      <c r="P143" s="28"/>
      <c r="Q143" s="36">
        <v>5544</v>
      </c>
      <c r="R143" s="43" cm="1">
        <f t="array" ref="R143">IFERROR(IF(H143&gt;10,H143/C143*0.8769,""),“”)</f>
        <v>0.39910697716238086</v>
      </c>
      <c r="S143" s="43" cm="1">
        <f t="array" ref="S143">IFERROR(IF(I143&gt;10,I143/D143*0.8769,""),“”)</f>
        <v>0.3945453237410072</v>
      </c>
      <c r="T143" s="43" t="str" cm="1">
        <f t="array" ref="T143">IFERROR(IF(J143&gt;10,J143/E143*0.8769,""),“”)</f>
        <v/>
      </c>
      <c r="U143" s="43" t="str" cm="1">
        <f t="array" ref="U143">IFERROR(IF(K143&gt;10,K143/F143*0.8769,""),“”)</f>
        <v/>
      </c>
      <c r="V143" s="54">
        <f t="shared" si="21"/>
        <v>0.39964002163331536</v>
      </c>
    </row>
    <row r="144" spans="1:22">
      <c r="A144" s="53" t="s">
        <v>90</v>
      </c>
      <c r="B144" s="37">
        <v>2020</v>
      </c>
      <c r="C144" s="36">
        <v>3478</v>
      </c>
      <c r="D144" s="36">
        <v>2862</v>
      </c>
      <c r="E144" s="36">
        <v>391</v>
      </c>
      <c r="F144" s="27"/>
      <c r="G144" s="36">
        <v>224</v>
      </c>
      <c r="H144" s="36">
        <v>1551</v>
      </c>
      <c r="I144" s="36">
        <v>1380</v>
      </c>
      <c r="J144" s="36">
        <v>64</v>
      </c>
      <c r="K144" s="39"/>
      <c r="L144" s="36">
        <v>106</v>
      </c>
      <c r="M144" s="36">
        <v>4610</v>
      </c>
      <c r="N144" s="36">
        <v>4993</v>
      </c>
      <c r="O144" s="36">
        <v>1628</v>
      </c>
      <c r="P144" s="28"/>
      <c r="Q144" s="36">
        <v>5232</v>
      </c>
      <c r="R144" s="43" cm="1">
        <f t="array" ref="R144">IFERROR(IF(H144&gt;10,H144/C144*0.8769,""),“”)</f>
        <v>0.39105000000000001</v>
      </c>
      <c r="S144" s="43" cm="1">
        <f t="array" ref="S144">IFERROR(IF(I144&gt;10,I144/D144*0.8769,""),“”)</f>
        <v>0.42282389937106923</v>
      </c>
      <c r="T144" s="43" cm="1">
        <f t="array" ref="T144">IFERROR(IF(J144&gt;10,J144/E144*0.8769,""),“”)</f>
        <v>0.14353350383631716</v>
      </c>
      <c r="U144" s="43" t="str" cm="1">
        <f t="array" ref="U144">IFERROR(IF(K144&gt;10,K144/F144*0.8769,""),“”)</f>
        <v/>
      </c>
      <c r="V144" s="54">
        <f t="shared" si="21"/>
        <v>0.42240048590864915</v>
      </c>
    </row>
    <row r="145" spans="1:22">
      <c r="A145" s="53" t="s">
        <v>91</v>
      </c>
      <c r="B145" s="37">
        <v>2020</v>
      </c>
      <c r="C145" s="36">
        <v>2455</v>
      </c>
      <c r="D145" s="36">
        <v>2056</v>
      </c>
      <c r="E145" s="36">
        <v>14</v>
      </c>
      <c r="F145" s="28"/>
      <c r="G145" s="36">
        <v>385</v>
      </c>
      <c r="H145" s="36">
        <v>1199</v>
      </c>
      <c r="I145" s="36">
        <v>1018</v>
      </c>
      <c r="J145" s="36">
        <v>4</v>
      </c>
      <c r="K145" s="28"/>
      <c r="L145" s="36">
        <v>177</v>
      </c>
      <c r="M145" s="36">
        <v>5144</v>
      </c>
      <c r="N145" s="36">
        <v>5106</v>
      </c>
      <c r="O145" s="36">
        <v>2806</v>
      </c>
      <c r="P145" s="28"/>
      <c r="Q145" s="36">
        <v>5463</v>
      </c>
      <c r="R145" s="43" cm="1">
        <f t="array" ref="R145">IFERROR(IF(H145&gt;10,H145/C145*0.8769,""),“”)</f>
        <v>0.42827010183299385</v>
      </c>
      <c r="S145" s="43" cm="1">
        <f t="array" ref="S145">IFERROR(IF(I145&gt;10,I145/D145*0.8769,""),“”)</f>
        <v>0.43418492217898835</v>
      </c>
      <c r="T145" s="43" t="str" cm="1">
        <f t="array" ref="T145">IFERROR(IF(J145&gt;10,J145/E145*0.8769,""),“”)</f>
        <v/>
      </c>
      <c r="U145" s="43" t="str" cm="1">
        <f t="array" ref="U145">IFERROR(IF(K145&gt;10,K145/F145*0.8769,""),“”)</f>
        <v/>
      </c>
      <c r="V145" s="54">
        <f t="shared" si="21"/>
        <v>0.42928943056124541</v>
      </c>
    </row>
    <row r="146" spans="1:22">
      <c r="A146" s="53" t="s">
        <v>92</v>
      </c>
      <c r="B146" s="37">
        <v>2020</v>
      </c>
      <c r="C146" s="36">
        <v>11135</v>
      </c>
      <c r="D146" s="36">
        <v>10305</v>
      </c>
      <c r="E146" s="36">
        <v>11</v>
      </c>
      <c r="F146" s="28"/>
      <c r="G146" s="36">
        <v>819</v>
      </c>
      <c r="H146" s="36">
        <v>5116</v>
      </c>
      <c r="I146" s="36">
        <v>4752</v>
      </c>
      <c r="J146" s="36">
        <v>3</v>
      </c>
      <c r="K146" s="28"/>
      <c r="L146" s="36">
        <v>362</v>
      </c>
      <c r="M146" s="36">
        <v>4377</v>
      </c>
      <c r="N146" s="36">
        <v>4351</v>
      </c>
      <c r="O146" s="36">
        <v>3370</v>
      </c>
      <c r="P146" s="28"/>
      <c r="Q146" s="36">
        <v>4761</v>
      </c>
      <c r="R146" s="43" cm="1">
        <f t="array" ref="R146">IFERROR(IF(H146&gt;10,H146/C146*0.8769,""),“”)</f>
        <v>0.40289361472833413</v>
      </c>
      <c r="S146" s="43" cm="1">
        <f t="array" ref="S146">IFERROR(IF(I146&gt;10,I146/D146*0.8769,""),“”)</f>
        <v>0.40436960698689955</v>
      </c>
      <c r="T146" s="43" t="str" cm="1">
        <f t="array" ref="T146">IFERROR(IF(J146&gt;10,J146/E146*0.8769,""),“”)</f>
        <v/>
      </c>
      <c r="U146" s="43" t="str" cm="1">
        <f t="array" ref="U146">IFERROR(IF(K146&gt;10,K146/F146*0.8769,""),“”)</f>
        <v/>
      </c>
      <c r="V146" s="54">
        <f t="shared" si="21"/>
        <v>0.40305552858683924</v>
      </c>
    </row>
    <row r="147" spans="1:22">
      <c r="A147" s="53" t="s">
        <v>93</v>
      </c>
      <c r="B147" s="37">
        <v>2020</v>
      </c>
      <c r="C147" s="36">
        <v>7068</v>
      </c>
      <c r="D147" s="36">
        <v>6482</v>
      </c>
      <c r="E147" s="36">
        <v>344</v>
      </c>
      <c r="F147" s="28"/>
      <c r="G147" s="36">
        <v>242</v>
      </c>
      <c r="H147" s="36">
        <v>2400</v>
      </c>
      <c r="I147" s="36">
        <v>2300</v>
      </c>
      <c r="J147" s="36">
        <v>29</v>
      </c>
      <c r="K147" s="28"/>
      <c r="L147" s="36">
        <v>71</v>
      </c>
      <c r="M147" s="36">
        <v>3330</v>
      </c>
      <c r="N147" s="36">
        <v>3443</v>
      </c>
      <c r="O147" s="36">
        <v>816</v>
      </c>
      <c r="P147" s="28"/>
      <c r="Q147" s="36">
        <v>3650</v>
      </c>
      <c r="R147" s="43" cm="1">
        <f t="array" ref="R147">IFERROR(IF(H147&gt;10,H147/C147*0.8769,""),“”)</f>
        <v>0.29775891341256366</v>
      </c>
      <c r="S147" s="43" cm="1">
        <f t="array" ref="S147">IFERROR(IF(I147&gt;10,I147/D147*0.8769,""),“”)</f>
        <v>0.31114933662449862</v>
      </c>
      <c r="T147" s="43" cm="1">
        <f t="array" ref="T147">IFERROR(IF(J147&gt;10,J147/E147*0.8769,""),“”)</f>
        <v>7.3924709302325586E-2</v>
      </c>
      <c r="U147" s="43" t="str" cm="1">
        <f t="array" ref="U147">IFERROR(IF(K147&gt;10,K147/F147*0.8769,""),“”)</f>
        <v/>
      </c>
      <c r="V147" s="54">
        <f t="shared" si="21"/>
        <v>0.30921027662105888</v>
      </c>
    </row>
    <row r="148" spans="1:22">
      <c r="A148" s="53" t="s">
        <v>94</v>
      </c>
      <c r="B148" s="37">
        <v>2020</v>
      </c>
      <c r="C148" s="36">
        <v>3316</v>
      </c>
      <c r="D148" s="36">
        <v>2891</v>
      </c>
      <c r="E148" s="36">
        <v>112</v>
      </c>
      <c r="F148" s="28"/>
      <c r="G148" s="36">
        <v>314</v>
      </c>
      <c r="H148" s="36">
        <v>1243</v>
      </c>
      <c r="I148" s="36">
        <v>1102</v>
      </c>
      <c r="J148" s="36">
        <v>30</v>
      </c>
      <c r="K148" s="28"/>
      <c r="L148" s="36">
        <v>111</v>
      </c>
      <c r="M148" s="36">
        <v>3851</v>
      </c>
      <c r="N148" s="36">
        <v>3889</v>
      </c>
      <c r="O148" s="36">
        <v>2805</v>
      </c>
      <c r="P148" s="28"/>
      <c r="Q148" s="36">
        <v>3840</v>
      </c>
      <c r="R148" s="43" cm="1">
        <f t="array" ref="R148">IFERROR(IF(H148&gt;10,H148/C148*0.8769,""),“”)</f>
        <v>0.32870527744270206</v>
      </c>
      <c r="S148" s="43" cm="1">
        <f t="array" ref="S148">IFERROR(IF(I148&gt;10,I148/D148*0.8769,""),“”)</f>
        <v>0.33425935662400558</v>
      </c>
      <c r="T148" s="43" cm="1">
        <f t="array" ref="T148">IFERROR(IF(J148&gt;10,J148/E148*0.8769,""),“”)</f>
        <v>0.23488392857142856</v>
      </c>
      <c r="U148" s="43" t="str" cm="1">
        <f t="array" ref="U148">IFERROR(IF(K148&gt;10,K148/F148*0.8769,""),“”)</f>
        <v/>
      </c>
      <c r="V148" s="54">
        <f t="shared" si="21"/>
        <v>0.33198492509363292</v>
      </c>
    </row>
    <row r="149" spans="1:22">
      <c r="A149" s="53" t="s">
        <v>95</v>
      </c>
      <c r="B149" s="37">
        <v>2020</v>
      </c>
      <c r="C149" s="36">
        <v>2269</v>
      </c>
      <c r="D149" s="36">
        <v>2024</v>
      </c>
      <c r="E149" s="36">
        <v>8</v>
      </c>
      <c r="F149" s="36">
        <v>5</v>
      </c>
      <c r="G149" s="36">
        <v>231</v>
      </c>
      <c r="H149" s="36">
        <v>849</v>
      </c>
      <c r="I149" s="36">
        <v>710</v>
      </c>
      <c r="J149" s="36">
        <v>3</v>
      </c>
      <c r="K149" s="36">
        <v>3</v>
      </c>
      <c r="L149" s="36">
        <v>134</v>
      </c>
      <c r="M149" s="36">
        <v>3761</v>
      </c>
      <c r="N149" s="36">
        <v>3517</v>
      </c>
      <c r="O149" s="36">
        <v>2482</v>
      </c>
      <c r="P149" s="36">
        <v>5421</v>
      </c>
      <c r="Q149" s="36">
        <v>6004</v>
      </c>
      <c r="R149" s="43" cm="1">
        <f t="array" ref="R149">IFERROR(IF(H149&gt;10,H149/C149*0.8769,""),“”)</f>
        <v>0.32811286910533272</v>
      </c>
      <c r="S149" s="43" cm="1">
        <f t="array" ref="S149">IFERROR(IF(I149&gt;10,I149/D149*0.8769,""),“”)</f>
        <v>0.30760820158102764</v>
      </c>
      <c r="T149" s="43" t="str" cm="1">
        <f t="array" ref="T149">IFERROR(IF(J149&gt;10,J149/E149*0.8769,""),“”)</f>
        <v/>
      </c>
      <c r="U149" s="43" t="str" cm="1">
        <f t="array" ref="U149">IFERROR(IF(K149&gt;10,K149/F149*0.8769,""),“”)</f>
        <v/>
      </c>
      <c r="V149" s="54">
        <f t="shared" si="21"/>
        <v>0.32811030517470147</v>
      </c>
    </row>
    <row r="150" spans="1:22">
      <c r="A150" s="53" t="s">
        <v>96</v>
      </c>
      <c r="B150" s="37">
        <v>2020</v>
      </c>
      <c r="C150" s="36">
        <v>9582</v>
      </c>
      <c r="D150" s="36">
        <v>6620</v>
      </c>
      <c r="E150" s="36">
        <v>2696</v>
      </c>
      <c r="F150" s="28"/>
      <c r="G150" s="36">
        <v>267</v>
      </c>
      <c r="H150" s="36">
        <v>3425</v>
      </c>
      <c r="I150" s="36">
        <v>2518</v>
      </c>
      <c r="J150" s="36">
        <v>751</v>
      </c>
      <c r="K150" s="28"/>
      <c r="L150" s="36">
        <v>156</v>
      </c>
      <c r="M150" s="36">
        <v>3740</v>
      </c>
      <c r="N150" s="27">
        <v>3947</v>
      </c>
      <c r="O150" s="36">
        <v>2976</v>
      </c>
      <c r="P150" s="28"/>
      <c r="Q150" s="36">
        <v>5999</v>
      </c>
      <c r="R150" s="43" cm="1">
        <f t="array" ref="R150">IFERROR(IF(H150&gt;10,H150/C150*0.8769,""),“”)</f>
        <v>0.31344004383218532</v>
      </c>
      <c r="S150" s="43" cm="1">
        <f t="array" ref="S150">IFERROR(IF(I150&gt;10,I150/D150*0.8769,""),“”)</f>
        <v>0.33353990936555894</v>
      </c>
      <c r="T150" s="43" cm="1">
        <f t="array" ref="T150">IFERROR(IF(J150&gt;10,J150/E150*0.8769,""),“”)</f>
        <v>0.24426999258160237</v>
      </c>
      <c r="U150" s="43" t="str" cm="1">
        <f t="array" ref="U150">IFERROR(IF(K150&gt;10,K150/F150*0.8769,""),“”)</f>
        <v/>
      </c>
      <c r="V150" s="54">
        <f t="shared" si="21"/>
        <v>0.34052143479523672</v>
      </c>
    </row>
    <row r="151" spans="1:22">
      <c r="A151" s="53" t="s">
        <v>97</v>
      </c>
      <c r="B151" s="37">
        <v>2020</v>
      </c>
      <c r="C151" s="36">
        <v>2344</v>
      </c>
      <c r="D151" s="36">
        <v>1859</v>
      </c>
      <c r="E151" s="36">
        <v>54</v>
      </c>
      <c r="F151" s="28"/>
      <c r="G151" s="36">
        <v>431</v>
      </c>
      <c r="H151" s="36">
        <v>1032</v>
      </c>
      <c r="I151" s="36">
        <v>865</v>
      </c>
      <c r="J151" s="36">
        <v>9</v>
      </c>
      <c r="K151" s="28"/>
      <c r="L151" s="36">
        <v>157</v>
      </c>
      <c r="M151" s="36">
        <v>4492</v>
      </c>
      <c r="N151" s="36">
        <v>4655</v>
      </c>
      <c r="O151" s="36">
        <v>1971</v>
      </c>
      <c r="P151" s="28"/>
      <c r="Q151" s="36">
        <v>3983</v>
      </c>
      <c r="R151" s="43" cm="1">
        <f t="array" ref="R151">IFERROR(IF(H151&gt;10,H151/C151*0.8769,""),“”)</f>
        <v>0.3860754266211604</v>
      </c>
      <c r="S151" s="43" cm="1">
        <f t="array" ref="S151">IFERROR(IF(I151&gt;10,I151/D151*0.8769,""),“”)</f>
        <v>0.40802501344809033</v>
      </c>
      <c r="T151" s="43" t="str" cm="1">
        <f t="array" ref="T151">IFERROR(IF(J151&gt;10,J151/E151*0.8769,""),“”)</f>
        <v/>
      </c>
      <c r="U151" s="43" t="str" cm="1">
        <f t="array" ref="U151">IFERROR(IF(K151&gt;10,K151/F151*0.8769,""),“”)</f>
        <v/>
      </c>
      <c r="V151" s="54">
        <f t="shared" si="21"/>
        <v>0.39173305676855896</v>
      </c>
    </row>
    <row r="152" spans="1:22">
      <c r="A152" s="53" t="s">
        <v>98</v>
      </c>
      <c r="B152" s="37">
        <v>2020</v>
      </c>
      <c r="C152" s="36">
        <v>546</v>
      </c>
      <c r="D152" s="36">
        <v>324</v>
      </c>
      <c r="E152" s="36">
        <v>169</v>
      </c>
      <c r="F152" s="28"/>
      <c r="G152" s="36">
        <v>53</v>
      </c>
      <c r="H152" s="36">
        <v>215</v>
      </c>
      <c r="I152" s="36">
        <v>160</v>
      </c>
      <c r="J152" s="36">
        <v>28</v>
      </c>
      <c r="K152" s="28"/>
      <c r="L152" s="36">
        <v>28</v>
      </c>
      <c r="M152" s="36">
        <v>4063</v>
      </c>
      <c r="N152" s="36">
        <v>4936</v>
      </c>
      <c r="O152" s="36">
        <v>1671</v>
      </c>
      <c r="P152" s="28"/>
      <c r="Q152" s="36">
        <v>5914</v>
      </c>
      <c r="R152" s="43" cm="1">
        <f t="array" ref="R152">IFERROR(IF(H152&gt;10,H152/C152*0.8769,""),“”)</f>
        <v>0.34529945054945055</v>
      </c>
      <c r="S152" s="43" cm="1">
        <f t="array" ref="S152">IFERROR(IF(I152&gt;10,I152/D152*0.8769,""),“”)</f>
        <v>0.433037037037037</v>
      </c>
      <c r="T152" s="43" cm="1">
        <f t="array" ref="T152">IFERROR(IF(J152&gt;10,J152/E152*0.8769,""),“”)</f>
        <v>0.14528520710059173</v>
      </c>
      <c r="U152" s="43" t="str" cm="1">
        <f t="array" ref="U152">IFERROR(IF(K152&gt;10,K152/F152*0.8769,""),“”)</f>
        <v/>
      </c>
      <c r="V152" s="54">
        <f t="shared" si="21"/>
        <v>0.43496100795755965</v>
      </c>
    </row>
    <row r="153" spans="1:22">
      <c r="A153" s="53" t="s">
        <v>99</v>
      </c>
      <c r="B153" s="37">
        <v>2020</v>
      </c>
      <c r="C153" s="36">
        <v>1545</v>
      </c>
      <c r="D153" s="36">
        <v>1329</v>
      </c>
      <c r="E153" s="36">
        <v>149</v>
      </c>
      <c r="F153" s="28"/>
      <c r="G153" s="36">
        <v>67</v>
      </c>
      <c r="H153" s="36">
        <v>538</v>
      </c>
      <c r="I153" s="36">
        <v>458</v>
      </c>
      <c r="J153" s="36">
        <v>42</v>
      </c>
      <c r="K153" s="28"/>
      <c r="L153" s="36">
        <v>38</v>
      </c>
      <c r="M153" s="36">
        <v>3403</v>
      </c>
      <c r="N153" s="36">
        <v>3352</v>
      </c>
      <c r="O153" s="36">
        <v>2795</v>
      </c>
      <c r="P153" s="28"/>
      <c r="Q153" s="36">
        <v>5984</v>
      </c>
      <c r="R153" s="43" cm="1">
        <f t="array" ref="R153">IFERROR(IF(H153&gt;10,H153/C153*0.8769,""),“”)</f>
        <v>0.3053541747572816</v>
      </c>
      <c r="S153" s="43" cm="1">
        <f t="array" ref="S153">IFERROR(IF(I153&gt;10,I153/D153*0.8769,""),“”)</f>
        <v>0.30219729119638827</v>
      </c>
      <c r="T153" s="43" cm="1">
        <f t="array" ref="T153">IFERROR(IF(J153&gt;10,J153/E153*0.8769,""),“”)</f>
        <v>0.24717986577181206</v>
      </c>
      <c r="U153" s="43" t="str" cm="1">
        <f t="array" ref="U153">IFERROR(IF(K153&gt;10,K153/F153*0.8769,""),“”)</f>
        <v/>
      </c>
      <c r="V153" s="54">
        <f t="shared" si="21"/>
        <v>0.31156332378223495</v>
      </c>
    </row>
    <row r="154" spans="1:22">
      <c r="A154" s="53" t="s">
        <v>100</v>
      </c>
      <c r="B154" s="37">
        <v>2020</v>
      </c>
      <c r="C154" s="36">
        <v>1596</v>
      </c>
      <c r="D154" s="36">
        <v>1212</v>
      </c>
      <c r="E154" s="36">
        <v>128</v>
      </c>
      <c r="F154" s="28"/>
      <c r="G154" s="36">
        <v>256</v>
      </c>
      <c r="H154" s="36">
        <v>513</v>
      </c>
      <c r="I154" s="36">
        <v>361</v>
      </c>
      <c r="J154" s="36">
        <v>26</v>
      </c>
      <c r="K154" s="28"/>
      <c r="L154" s="36">
        <v>125</v>
      </c>
      <c r="M154" s="36">
        <v>3247</v>
      </c>
      <c r="N154" s="36">
        <v>2974</v>
      </c>
      <c r="O154" s="36">
        <v>2064</v>
      </c>
      <c r="P154" s="28"/>
      <c r="Q154" s="36">
        <v>5400</v>
      </c>
      <c r="R154" s="43" cm="1">
        <f t="array" ref="R154">IFERROR(IF(H154&gt;10,H154/C154*0.8769,""),“”)</f>
        <v>0.2818607142857143</v>
      </c>
      <c r="S154" s="43" cm="1">
        <f t="array" ref="S154">IFERROR(IF(I154&gt;10,I154/D154*0.8769,""),“”)</f>
        <v>0.26118886138613862</v>
      </c>
      <c r="T154" s="43" cm="1">
        <f t="array" ref="T154">IFERROR(IF(J154&gt;10,J154/E154*0.8769,""),“”)</f>
        <v>0.17812031249999999</v>
      </c>
      <c r="U154" s="43" t="str" cm="1">
        <f t="array" ref="U154">IFERROR(IF(K154&gt;10,K154/F154*0.8769,""),“”)</f>
        <v/>
      </c>
      <c r="V154" s="54">
        <f t="shared" si="21"/>
        <v>0.29090619891008174</v>
      </c>
    </row>
    <row r="155" spans="1:22">
      <c r="A155" s="53" t="s">
        <v>101</v>
      </c>
      <c r="B155" s="37">
        <v>2020</v>
      </c>
      <c r="C155" s="36">
        <v>3560</v>
      </c>
      <c r="D155" s="36">
        <v>3469</v>
      </c>
      <c r="E155" s="28">
        <v>56</v>
      </c>
      <c r="F155" s="28"/>
      <c r="G155" s="36">
        <v>35</v>
      </c>
      <c r="H155" s="36">
        <v>1354</v>
      </c>
      <c r="I155" s="36">
        <v>1323</v>
      </c>
      <c r="J155" s="28">
        <v>19</v>
      </c>
      <c r="K155" s="28"/>
      <c r="L155" s="36">
        <v>12</v>
      </c>
      <c r="M155" s="36">
        <v>3883</v>
      </c>
      <c r="N155" s="36">
        <v>3883</v>
      </c>
      <c r="O155" s="28"/>
      <c r="P155" s="28"/>
      <c r="Q155" s="36">
        <v>3808</v>
      </c>
      <c r="R155" s="43" cm="1">
        <f t="array" ref="R155">IFERROR(IF(H155&gt;10,H155/C155*0.8769,""),“”)</f>
        <v>0.33351758426966288</v>
      </c>
      <c r="S155" s="43" cm="1">
        <f t="array" ref="S155">IFERROR(IF(I155&gt;10,I155/D155*0.8769,""),“”)</f>
        <v>0.33443029691553761</v>
      </c>
      <c r="T155" s="43" cm="1">
        <f t="array" ref="T155">IFERROR(IF(J155&gt;10,J155/E155*0.8769,""),“”)</f>
        <v>0.29751964285714289</v>
      </c>
      <c r="U155" s="43" t="str" cm="1">
        <f t="array" ref="U155">IFERROR(IF(K155&gt;10,K155/F155*0.8769,""),“”)</f>
        <v/>
      </c>
      <c r="V155" s="54">
        <f t="shared" si="21"/>
        <v>0.33409289383561647</v>
      </c>
    </row>
    <row r="156" spans="1:22">
      <c r="A156" s="53" t="s">
        <v>102</v>
      </c>
      <c r="B156" s="37">
        <v>2020</v>
      </c>
      <c r="C156" s="36">
        <v>1517</v>
      </c>
      <c r="D156" s="36">
        <v>1298</v>
      </c>
      <c r="E156" s="36">
        <v>3</v>
      </c>
      <c r="F156" s="28"/>
      <c r="G156" s="36">
        <v>216</v>
      </c>
      <c r="H156" s="36">
        <v>415</v>
      </c>
      <c r="I156" s="36">
        <v>318</v>
      </c>
      <c r="J156" s="36">
        <v>0.5</v>
      </c>
      <c r="K156" s="28"/>
      <c r="L156" s="36">
        <v>97</v>
      </c>
      <c r="M156" s="36">
        <v>2721</v>
      </c>
      <c r="N156" s="36">
        <v>2447</v>
      </c>
      <c r="O156" s="36">
        <v>4497</v>
      </c>
      <c r="P156" s="28"/>
      <c r="Q156" s="36">
        <v>4629</v>
      </c>
      <c r="R156" s="43" cm="1">
        <f t="array" ref="R156">IFERROR(IF(H156&gt;10,H156/C156*0.8769,""),“”)</f>
        <v>0.23989024390243902</v>
      </c>
      <c r="S156" s="43" cm="1">
        <f t="array" ref="S156">IFERROR(IF(I156&gt;10,I156/D156*0.8769,""),“”)</f>
        <v>0.21483374422187981</v>
      </c>
      <c r="T156" s="43" t="str" cm="1">
        <f t="array" ref="T156">IFERROR(IF(J156&gt;10,J156/E156*0.8769,""),“”)</f>
        <v/>
      </c>
      <c r="U156" s="43" t="str" cm="1">
        <f t="array" ref="U156">IFERROR(IF(K156&gt;10,K156/F156*0.8769,""),“”)</f>
        <v/>
      </c>
      <c r="V156" s="54">
        <f t="shared" si="21"/>
        <v>0.24007599075297226</v>
      </c>
    </row>
    <row r="157" spans="1:22">
      <c r="A157" s="53" t="s">
        <v>103</v>
      </c>
      <c r="B157" s="37">
        <v>2020</v>
      </c>
      <c r="C157" s="36">
        <v>43</v>
      </c>
      <c r="D157" s="28"/>
      <c r="E157" s="28"/>
      <c r="F157" s="36">
        <v>39</v>
      </c>
      <c r="G157" s="36">
        <v>4</v>
      </c>
      <c r="H157" s="36">
        <v>1</v>
      </c>
      <c r="I157" s="28"/>
      <c r="J157" s="28"/>
      <c r="K157" s="29"/>
      <c r="L157" s="36">
        <v>1</v>
      </c>
      <c r="M157" s="36">
        <v>313</v>
      </c>
      <c r="N157" s="28"/>
      <c r="O157" s="28"/>
      <c r="P157" s="36">
        <v>174</v>
      </c>
      <c r="Q157" s="36">
        <v>3644</v>
      </c>
      <c r="R157" s="43" t="str" cm="1">
        <f t="array" ref="R157">IFERROR(IF(H157&gt;10,H157/C157*0.8769,""),“”)</f>
        <v/>
      </c>
      <c r="S157" s="43" t="str" cm="1">
        <f t="array" ref="S157">IFERROR(IF(I157&gt;10,I157/D157*0.8769,""),“”)</f>
        <v/>
      </c>
      <c r="T157" s="43" t="str" cm="1">
        <f t="array" ref="T157">IFERROR(IF(J157&gt;10,J157/E157*0.8769,""),“”)</f>
        <v/>
      </c>
      <c r="U157" s="43" t="str" cm="1">
        <f t="array" ref="U157">IFERROR(IF(K157&gt;10,K157/F157*0.8769,""),“”)</f>
        <v/>
      </c>
      <c r="V157" s="54" t="str">
        <f t="shared" si="21"/>
        <v/>
      </c>
    </row>
    <row r="158" spans="1:22">
      <c r="A158" s="53" t="s">
        <v>104</v>
      </c>
      <c r="B158" s="37">
        <v>2020</v>
      </c>
      <c r="C158" s="36">
        <v>4993</v>
      </c>
      <c r="D158" s="36">
        <v>4768</v>
      </c>
      <c r="E158" s="36">
        <v>22</v>
      </c>
      <c r="F158" s="28"/>
      <c r="G158" s="36">
        <v>203</v>
      </c>
      <c r="H158" s="36">
        <v>2084</v>
      </c>
      <c r="I158" s="36">
        <v>1974</v>
      </c>
      <c r="J158" s="36">
        <v>8</v>
      </c>
      <c r="K158" s="28"/>
      <c r="L158" s="36">
        <v>103</v>
      </c>
      <c r="M158" s="36">
        <v>4234</v>
      </c>
      <c r="N158" s="36">
        <v>4226</v>
      </c>
      <c r="O158" s="28"/>
      <c r="P158" s="28"/>
      <c r="Q158" s="36">
        <v>4585</v>
      </c>
      <c r="R158" s="43" cm="1">
        <f t="array" ref="R158">IFERROR(IF(H158&gt;10,H158/C158*0.8769,""),“”)</f>
        <v>0.36600432605647903</v>
      </c>
      <c r="S158" s="43" cm="1">
        <f t="array" ref="S158">IFERROR(IF(I158&gt;10,I158/D158*0.8769,""),“”)</f>
        <v>0.363045427852349</v>
      </c>
      <c r="T158" s="43" t="str" cm="1">
        <f t="array" ref="T158">IFERROR(IF(J158&gt;10,J158/E158*0.8769,""),“”)</f>
        <v/>
      </c>
      <c r="U158" s="43" t="str" cm="1">
        <f t="array" ref="U158">IFERROR(IF(K158&gt;10,K158/F158*0.8769,""),“”)</f>
        <v/>
      </c>
      <c r="V158" s="54">
        <f t="shared" si="21"/>
        <v>0.36621291490645747</v>
      </c>
    </row>
    <row r="159" spans="1:22">
      <c r="A159" s="53" t="s">
        <v>105</v>
      </c>
      <c r="B159" s="37">
        <v>2020</v>
      </c>
      <c r="C159" s="36">
        <v>2308</v>
      </c>
      <c r="D159" s="36">
        <v>2262</v>
      </c>
      <c r="E159" s="36">
        <v>1</v>
      </c>
      <c r="F159" s="28"/>
      <c r="G159" s="36">
        <v>45</v>
      </c>
      <c r="H159" s="36">
        <v>901</v>
      </c>
      <c r="I159" s="36">
        <v>885</v>
      </c>
      <c r="J159" s="28"/>
      <c r="K159" s="28"/>
      <c r="L159" s="36">
        <v>16</v>
      </c>
      <c r="M159" s="36">
        <v>4550</v>
      </c>
      <c r="N159" s="36">
        <v>4556</v>
      </c>
      <c r="O159" s="28"/>
      <c r="P159" s="28"/>
      <c r="Q159" s="36">
        <v>4267</v>
      </c>
      <c r="R159" s="43" cm="1">
        <f t="array" ref="R159">IFERROR(IF(H159&gt;10,H159/C159*0.8769,""),“”)</f>
        <v>0.34232534662045061</v>
      </c>
      <c r="S159" s="43" cm="1">
        <f t="array" ref="S159">IFERROR(IF(I159&gt;10,I159/D159*0.8769,""),“”)</f>
        <v>0.34308421750663126</v>
      </c>
      <c r="T159" s="43" t="str" cm="1">
        <f t="array" ref="T159">IFERROR(IF(J159&gt;10,J159/E159*0.8769,""),“”)</f>
        <v/>
      </c>
      <c r="U159" s="43" t="str" cm="1">
        <f t="array" ref="U159">IFERROR(IF(K159&gt;10,K159/F159*0.8769,""),“”)</f>
        <v/>
      </c>
      <c r="V159" s="54">
        <f t="shared" si="21"/>
        <v>0.34247373211963589</v>
      </c>
    </row>
    <row r="160" spans="1:22">
      <c r="A160" s="53" t="s">
        <v>106</v>
      </c>
      <c r="B160" s="37">
        <v>2020</v>
      </c>
      <c r="C160" s="36">
        <v>393</v>
      </c>
      <c r="D160" s="36">
        <v>375</v>
      </c>
      <c r="E160" s="36">
        <v>0.5</v>
      </c>
      <c r="F160" s="28"/>
      <c r="G160" s="36">
        <v>17</v>
      </c>
      <c r="H160" s="36">
        <v>101</v>
      </c>
      <c r="I160" s="36">
        <v>100</v>
      </c>
      <c r="J160" s="35">
        <v>0.1</v>
      </c>
      <c r="K160" s="28"/>
      <c r="L160" s="36">
        <v>1</v>
      </c>
      <c r="M160" s="36">
        <v>2572</v>
      </c>
      <c r="N160" s="36">
        <v>2658</v>
      </c>
      <c r="O160" s="28"/>
      <c r="P160" s="28"/>
      <c r="Q160" s="36">
        <v>665</v>
      </c>
      <c r="R160" s="43" cm="1">
        <f t="array" ref="R160">IFERROR(IF(H160&gt;10,H160/C160*0.8769,""),“”)</f>
        <v>0.22536106870229008</v>
      </c>
      <c r="S160" s="43" cm="1">
        <f t="array" ref="S160">IFERROR(IF(I160&gt;10,I160/D160*0.8769,""),“”)</f>
        <v>0.23383999999999999</v>
      </c>
      <c r="T160" s="43" t="str" cm="1">
        <f t="array" ref="T160">IFERROR(IF(J160&gt;10,J160/E160*0.8769,""),“”)</f>
        <v/>
      </c>
      <c r="U160" s="43" t="str" cm="1">
        <f t="array" ref="U160">IFERROR(IF(K160&gt;10,K160/F160*0.8769,""),“”)</f>
        <v/>
      </c>
      <c r="V160" s="54">
        <f t="shared" si="21"/>
        <v>0.22542473885350323</v>
      </c>
    </row>
    <row r="161" spans="1:22">
      <c r="A161" s="53" t="s">
        <v>107</v>
      </c>
      <c r="B161" s="37">
        <v>2020</v>
      </c>
      <c r="C161" s="36">
        <v>3326</v>
      </c>
      <c r="D161" s="36">
        <v>3136</v>
      </c>
      <c r="E161" s="36">
        <v>70</v>
      </c>
      <c r="F161" s="28"/>
      <c r="G161" s="36">
        <v>120</v>
      </c>
      <c r="H161" s="36">
        <v>1415</v>
      </c>
      <c r="I161" s="36">
        <v>1351</v>
      </c>
      <c r="J161" s="36">
        <v>12</v>
      </c>
      <c r="K161" s="28"/>
      <c r="L161" s="36">
        <v>52</v>
      </c>
      <c r="M161" s="36">
        <v>4411</v>
      </c>
      <c r="N161" s="36">
        <v>4472</v>
      </c>
      <c r="O161" s="36">
        <v>1769</v>
      </c>
      <c r="P161" s="28"/>
      <c r="Q161" s="36">
        <v>4410</v>
      </c>
      <c r="R161" s="43" cm="1">
        <f t="array" ref="R161">IFERROR(IF(H161&gt;10,H161/C161*0.8769,""),“”)</f>
        <v>0.37306479254359592</v>
      </c>
      <c r="S161" s="43" cm="1">
        <f t="array" ref="S161">IFERROR(IF(I161&gt;10,I161/D161*0.8769,""),“”)</f>
        <v>0.37777165178571431</v>
      </c>
      <c r="T161" s="43" cm="1">
        <f t="array" ref="T161">IFERROR(IF(J161&gt;10,J161/E161*0.8769,""),“”)</f>
        <v>0.15032571428571428</v>
      </c>
      <c r="U161" s="43" t="str" cm="1">
        <f t="array" ref="U161">IFERROR(IF(K161&gt;10,K161/F161*0.8769,""),“”)</f>
        <v/>
      </c>
      <c r="V161" s="54">
        <f t="shared" si="21"/>
        <v>0.37785340909090909</v>
      </c>
    </row>
    <row r="162" spans="1:22" ht="13.5" thickBot="1">
      <c r="A162" s="55" t="s">
        <v>108</v>
      </c>
      <c r="B162" s="56">
        <v>2020</v>
      </c>
      <c r="C162" s="57">
        <v>6337</v>
      </c>
      <c r="D162" s="57">
        <v>6152</v>
      </c>
      <c r="E162" s="57">
        <v>85</v>
      </c>
      <c r="F162" s="58"/>
      <c r="G162" s="57">
        <v>100</v>
      </c>
      <c r="H162" s="57">
        <v>3193</v>
      </c>
      <c r="I162" s="57">
        <v>3137</v>
      </c>
      <c r="J162" s="57">
        <v>18</v>
      </c>
      <c r="K162" s="58"/>
      <c r="L162" s="57">
        <v>38</v>
      </c>
      <c r="M162" s="57">
        <v>5260</v>
      </c>
      <c r="N162" s="57">
        <v>5324</v>
      </c>
      <c r="O162" s="57">
        <v>2170</v>
      </c>
      <c r="P162" s="58"/>
      <c r="Q162" s="57">
        <v>4020</v>
      </c>
      <c r="R162" s="61" cm="1">
        <f t="array" ref="R162">IFERROR(IF(H162&gt;10,H162/C162*0.8769,""),“”)</f>
        <v>0.44184025564147072</v>
      </c>
      <c r="S162" s="61" cm="1">
        <f t="array" ref="S162">IFERROR(IF(I162&gt;10,I162/D162*0.8769,""),“”)</f>
        <v>0.4471448797139142</v>
      </c>
      <c r="T162" s="61" cm="1">
        <f t="array" ref="T162">IFERROR(IF(J162&gt;10,J162/E162*0.8769,""),“”)</f>
        <v>0.1856964705882353</v>
      </c>
      <c r="U162" s="61" t="str" cm="1">
        <f t="array" ref="U162">IFERROR(IF(K162&gt;10,K162/F162*0.8769,""),“”)</f>
        <v/>
      </c>
      <c r="V162" s="62">
        <f t="shared" si="21"/>
        <v>0.44532269673704422</v>
      </c>
    </row>
    <row r="163" spans="1:22">
      <c r="A163" s="46" t="s">
        <v>77</v>
      </c>
      <c r="B163" s="47">
        <v>2021</v>
      </c>
      <c r="C163" s="48">
        <v>129739</v>
      </c>
      <c r="D163" s="86">
        <v>110962</v>
      </c>
      <c r="E163" s="86">
        <v>10894</v>
      </c>
      <c r="F163" s="86">
        <v>165</v>
      </c>
      <c r="G163" s="86"/>
      <c r="H163" s="48">
        <v>56655</v>
      </c>
      <c r="I163" s="86">
        <v>50426</v>
      </c>
      <c r="J163" s="86">
        <v>2871</v>
      </c>
      <c r="K163" s="86">
        <v>16</v>
      </c>
      <c r="L163" s="86"/>
      <c r="M163" s="48"/>
      <c r="N163" s="86"/>
      <c r="O163" s="86"/>
      <c r="P163" s="86"/>
      <c r="Q163" s="86"/>
      <c r="R163" s="51"/>
      <c r="S163" s="51"/>
      <c r="T163" s="51"/>
      <c r="U163" s="51"/>
      <c r="V163" s="52"/>
    </row>
  </sheetData>
  <mergeCells count="10">
    <mergeCell ref="X1:X2"/>
    <mergeCell ref="Y1:AC1"/>
    <mergeCell ref="AD1:AH1"/>
    <mergeCell ref="AI1:AM1"/>
    <mergeCell ref="A1:A2"/>
    <mergeCell ref="B1:B2"/>
    <mergeCell ref="C1:F1"/>
    <mergeCell ref="H1:K1"/>
    <mergeCell ref="M1:P1"/>
    <mergeCell ref="R1:V1"/>
  </mergeCells>
  <phoneticPr fontId="3" type="noConversion"/>
  <conditionalFormatting sqref="C35:L130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3:AH9 Y33:AH34 Y30:AC32 Y11:AH28 Y10:AC10">
    <cfRule type="colorScale" priority="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3:L34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31:L162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:Q162">
    <cfRule type="colorScale" priority="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I3:AM4 AI12:AM12 AI11:AK11 AI21:AM21 AI29:AM29 AI22:AJ22 AI9:AM9"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163:L16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63:Q163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B419-4851-4A25-B583-281F44F9C353}">
  <dimension ref="A1:AL35"/>
  <sheetViews>
    <sheetView topLeftCell="Z1" zoomScale="85" zoomScaleNormal="85" workbookViewId="0">
      <selection activeCell="AK46" sqref="AK46"/>
    </sheetView>
  </sheetViews>
  <sheetFormatPr defaultRowHeight="12.75"/>
  <cols>
    <col min="1" max="1" width="19.28515625" bestFit="1" customWidth="1"/>
    <col min="2" max="2" width="8.85546875" customWidth="1"/>
  </cols>
  <sheetData>
    <row r="1" spans="1:38" ht="13.5">
      <c r="A1" s="4"/>
      <c r="B1" s="148" t="s">
        <v>208</v>
      </c>
      <c r="C1" s="149"/>
      <c r="D1" s="149"/>
      <c r="E1" s="149"/>
      <c r="F1" s="149"/>
      <c r="G1" s="149"/>
      <c r="H1" s="150"/>
      <c r="I1" s="147" t="s">
        <v>209</v>
      </c>
      <c r="J1" s="110"/>
      <c r="K1" s="110"/>
      <c r="L1" s="110"/>
      <c r="M1" s="110"/>
      <c r="N1" s="110"/>
      <c r="P1" s="37" t="s">
        <v>172</v>
      </c>
      <c r="Q1" s="111" t="s">
        <v>201</v>
      </c>
      <c r="R1" s="111"/>
      <c r="S1" s="111"/>
      <c r="T1" s="111"/>
      <c r="U1" s="111"/>
      <c r="V1" s="111"/>
      <c r="W1" s="109" t="s">
        <v>206</v>
      </c>
      <c r="X1" s="109"/>
      <c r="Y1" s="109"/>
      <c r="Z1" s="109"/>
      <c r="AA1" s="109"/>
      <c r="AB1" s="109" t="s">
        <v>207</v>
      </c>
      <c r="AC1" s="109"/>
      <c r="AD1" s="109"/>
      <c r="AE1" s="109"/>
      <c r="AF1" s="109"/>
      <c r="AH1" s="109" t="s">
        <v>210</v>
      </c>
      <c r="AI1" s="109"/>
      <c r="AJ1" s="109"/>
      <c r="AK1" s="109"/>
      <c r="AL1" s="109"/>
    </row>
    <row r="2" spans="1:38">
      <c r="A2" s="4"/>
      <c r="B2" s="4">
        <v>2016</v>
      </c>
      <c r="C2" s="4">
        <v>2017</v>
      </c>
      <c r="D2" s="4">
        <v>2018</v>
      </c>
      <c r="E2" s="4">
        <v>2019</v>
      </c>
      <c r="F2" s="4">
        <v>2020</v>
      </c>
      <c r="G2" s="4">
        <v>2021</v>
      </c>
      <c r="H2" s="4">
        <v>2022</v>
      </c>
      <c r="I2" s="4">
        <v>2017</v>
      </c>
      <c r="J2" s="4">
        <v>2018</v>
      </c>
      <c r="K2" s="4">
        <v>2019</v>
      </c>
      <c r="L2" s="4">
        <v>2020</v>
      </c>
      <c r="M2" s="4">
        <v>2021</v>
      </c>
      <c r="N2" s="4">
        <v>2022</v>
      </c>
      <c r="P2" s="37"/>
      <c r="Q2" s="83" t="s">
        <v>174</v>
      </c>
      <c r="R2" s="83" t="s">
        <v>173</v>
      </c>
      <c r="S2" s="83" t="s">
        <v>187</v>
      </c>
      <c r="T2" s="83" t="s">
        <v>185</v>
      </c>
      <c r="U2" s="83" t="s">
        <v>184</v>
      </c>
      <c r="V2" s="5" t="s">
        <v>190</v>
      </c>
      <c r="W2" s="35" t="s">
        <v>205</v>
      </c>
      <c r="X2" s="35" t="s">
        <v>204</v>
      </c>
      <c r="Y2" s="35" t="s">
        <v>203</v>
      </c>
      <c r="Z2" s="35" t="s">
        <v>202</v>
      </c>
      <c r="AA2" s="35" t="s">
        <v>190</v>
      </c>
      <c r="AB2" s="35" t="s">
        <v>205</v>
      </c>
      <c r="AC2" s="35" t="s">
        <v>204</v>
      </c>
      <c r="AD2" s="35" t="s">
        <v>203</v>
      </c>
      <c r="AE2" s="35" t="s">
        <v>202</v>
      </c>
      <c r="AF2" s="35" t="s">
        <v>190</v>
      </c>
      <c r="AH2" s="35" t="s">
        <v>205</v>
      </c>
      <c r="AI2" s="35" t="s">
        <v>204</v>
      </c>
      <c r="AJ2" s="35" t="s">
        <v>203</v>
      </c>
      <c r="AK2" s="35" t="s">
        <v>202</v>
      </c>
      <c r="AL2" s="35" t="s">
        <v>190</v>
      </c>
    </row>
    <row r="3" spans="1:38">
      <c r="A3" s="4" t="s">
        <v>5</v>
      </c>
      <c r="B3" s="4">
        <v>6710</v>
      </c>
      <c r="C3" s="101">
        <v>9384</v>
      </c>
      <c r="D3" s="101">
        <v>12406</v>
      </c>
      <c r="E3" s="101">
        <v>14167</v>
      </c>
      <c r="F3" s="101">
        <v>17287.87</v>
      </c>
      <c r="G3" s="101">
        <v>19847.939999999999</v>
      </c>
      <c r="H3" s="101">
        <v>23442.400000000001</v>
      </c>
      <c r="I3" s="101">
        <v>3658</v>
      </c>
      <c r="J3" s="101">
        <v>5027</v>
      </c>
      <c r="K3" s="101">
        <v>6263</v>
      </c>
      <c r="L3" s="101">
        <v>7822.9</v>
      </c>
      <c r="M3" s="101">
        <v>10750.8</v>
      </c>
      <c r="N3" s="101">
        <v>15761.600000000004</v>
      </c>
      <c r="P3" s="5" t="s">
        <v>77</v>
      </c>
      <c r="Q3" s="1">
        <v>665</v>
      </c>
      <c r="R3" s="1">
        <v>1178</v>
      </c>
      <c r="S3" s="1">
        <v>1769</v>
      </c>
      <c r="T3" s="1">
        <v>2240</v>
      </c>
      <c r="U3" s="1">
        <v>2611</v>
      </c>
      <c r="V3" s="1">
        <v>3270</v>
      </c>
      <c r="W3" s="36">
        <v>154</v>
      </c>
      <c r="X3" s="27">
        <v>388</v>
      </c>
      <c r="Y3" s="36">
        <v>541</v>
      </c>
      <c r="Z3" s="36">
        <v>679</v>
      </c>
      <c r="AA3" s="5">
        <v>925</v>
      </c>
      <c r="AB3" s="4">
        <f t="shared" ref="AB3:AB34" si="0">R3-W3</f>
        <v>1024</v>
      </c>
      <c r="AC3" s="4">
        <f t="shared" ref="AC3:AC34" si="1">S3-X3</f>
        <v>1381</v>
      </c>
      <c r="AD3" s="4">
        <f t="shared" ref="AD3:AD34" si="2">T3-Y3</f>
        <v>1699</v>
      </c>
      <c r="AE3" s="4">
        <f t="shared" ref="AE3:AE34" si="3">U3-Z3</f>
        <v>1932</v>
      </c>
      <c r="AF3" s="4">
        <f t="shared" ref="AF3:AF34" si="4">V3-AA3</f>
        <v>2345</v>
      </c>
      <c r="AH3" s="43">
        <f>AB3/(AVERAGE(B3:C3))*10000/8760</f>
        <v>0.14526528789480525</v>
      </c>
      <c r="AI3" s="43">
        <f t="shared" ref="AI3:AL3" si="5">AC3/(AVERAGE(C3:D3))*10000/8760</f>
        <v>0.14469793650893439</v>
      </c>
      <c r="AJ3" s="43">
        <f t="shared" si="5"/>
        <v>0.14597506618710551</v>
      </c>
      <c r="AK3" s="43">
        <f t="shared" si="5"/>
        <v>0.14023135063376799</v>
      </c>
      <c r="AL3" s="43">
        <f t="shared" si="5"/>
        <v>0.14417031104313638</v>
      </c>
    </row>
    <row r="4" spans="1:38">
      <c r="A4" s="4" t="s">
        <v>140</v>
      </c>
      <c r="B4" s="4">
        <v>5</v>
      </c>
      <c r="C4" s="101">
        <v>3</v>
      </c>
      <c r="D4" s="101">
        <v>5</v>
      </c>
      <c r="E4" s="101">
        <v>5</v>
      </c>
      <c r="F4" s="101">
        <v>5.0999999999999996</v>
      </c>
      <c r="G4" s="101">
        <v>5.0999999999999996</v>
      </c>
      <c r="H4" s="101">
        <v>5.0999999999999996</v>
      </c>
      <c r="I4" s="101">
        <v>22</v>
      </c>
      <c r="J4" s="101">
        <v>35</v>
      </c>
      <c r="K4" s="101">
        <v>46</v>
      </c>
      <c r="L4" s="101">
        <v>56.4</v>
      </c>
      <c r="M4" s="101">
        <v>75</v>
      </c>
      <c r="N4" s="101">
        <v>90.2</v>
      </c>
      <c r="P4" s="5" t="s">
        <v>78</v>
      </c>
      <c r="Q4" s="1">
        <v>1</v>
      </c>
      <c r="R4" s="1">
        <v>2</v>
      </c>
      <c r="S4" s="1">
        <v>3</v>
      </c>
      <c r="T4" s="1">
        <v>5</v>
      </c>
      <c r="U4" s="1">
        <v>6</v>
      </c>
      <c r="V4" s="1">
        <v>6</v>
      </c>
      <c r="W4" s="36">
        <v>1</v>
      </c>
      <c r="X4" s="27">
        <v>2</v>
      </c>
      <c r="Y4" s="36">
        <v>4</v>
      </c>
      <c r="Z4" s="36">
        <v>5</v>
      </c>
      <c r="AA4" s="5">
        <v>5</v>
      </c>
      <c r="AB4" s="4">
        <f t="shared" si="0"/>
        <v>1</v>
      </c>
      <c r="AC4" s="4">
        <f t="shared" si="1"/>
        <v>1</v>
      </c>
      <c r="AD4" s="4">
        <f t="shared" si="2"/>
        <v>1</v>
      </c>
      <c r="AE4" s="4">
        <f t="shared" si="3"/>
        <v>1</v>
      </c>
      <c r="AF4" s="4">
        <f t="shared" si="4"/>
        <v>1</v>
      </c>
      <c r="AH4" s="43">
        <f t="shared" ref="AH4:AH24" si="6">AB4/(AVERAGE(B4:C4))*10000/8760</f>
        <v>0.28538812785388129</v>
      </c>
      <c r="AI4" s="43">
        <f t="shared" ref="AI4:AI24" si="7">AC4/(AVERAGE(C4:D4))*10000/8760</f>
        <v>0.28538812785388129</v>
      </c>
      <c r="AJ4" s="43">
        <f t="shared" ref="AJ4:AJ25" si="8">AD4/(AVERAGE(D4:E4))*10000/8760</f>
        <v>0.22831050228310501</v>
      </c>
      <c r="AK4" s="43">
        <f t="shared" ref="AK4:AK25" si="9">AE4/(AVERAGE(E4:F4))*10000/8760</f>
        <v>0.22605000226050004</v>
      </c>
      <c r="AL4" s="43">
        <f t="shared" ref="AL4:AL25" si="10">AF4/(AVERAGE(F4:G4))*10000/8760</f>
        <v>0.22383382576775004</v>
      </c>
    </row>
    <row r="5" spans="1:38">
      <c r="A5" s="4" t="s">
        <v>141</v>
      </c>
      <c r="B5" s="4">
        <v>48</v>
      </c>
      <c r="C5" s="101">
        <v>53</v>
      </c>
      <c r="D5" s="101">
        <v>97</v>
      </c>
      <c r="E5" s="101">
        <v>104</v>
      </c>
      <c r="F5" s="101">
        <v>118.83999999999999</v>
      </c>
      <c r="G5" s="101">
        <v>118.85</v>
      </c>
      <c r="H5" s="101">
        <v>121.7</v>
      </c>
      <c r="I5" s="101">
        <v>15</v>
      </c>
      <c r="J5" s="101">
        <v>31</v>
      </c>
      <c r="K5" s="101">
        <v>38</v>
      </c>
      <c r="L5" s="101">
        <v>44.7</v>
      </c>
      <c r="M5" s="101">
        <v>58.9</v>
      </c>
      <c r="N5" s="101">
        <v>98.9</v>
      </c>
      <c r="P5" s="5" t="s">
        <v>79</v>
      </c>
      <c r="Q5" s="1">
        <v>3</v>
      </c>
      <c r="R5" s="1">
        <v>6.2</v>
      </c>
      <c r="S5" s="98">
        <v>8</v>
      </c>
      <c r="T5" s="98">
        <v>15</v>
      </c>
      <c r="U5" s="1">
        <v>19</v>
      </c>
      <c r="V5" s="1">
        <v>20</v>
      </c>
      <c r="W5" s="36">
        <v>1</v>
      </c>
      <c r="X5" s="27">
        <v>2</v>
      </c>
      <c r="Y5" s="36">
        <v>3</v>
      </c>
      <c r="Z5" s="36">
        <v>4</v>
      </c>
      <c r="AA5" s="5">
        <v>4</v>
      </c>
      <c r="AB5" s="4">
        <f t="shared" si="0"/>
        <v>5.2</v>
      </c>
      <c r="AC5" s="4">
        <f t="shared" si="1"/>
        <v>6</v>
      </c>
      <c r="AD5" s="4">
        <f t="shared" si="2"/>
        <v>12</v>
      </c>
      <c r="AE5" s="4">
        <f t="shared" si="3"/>
        <v>15</v>
      </c>
      <c r="AF5" s="4">
        <f t="shared" si="4"/>
        <v>16</v>
      </c>
      <c r="AH5" s="43">
        <f t="shared" si="6"/>
        <v>0.11754600117546003</v>
      </c>
      <c r="AI5" s="43">
        <f t="shared" si="7"/>
        <v>9.1324200913242004E-2</v>
      </c>
      <c r="AJ5" s="43">
        <f t="shared" si="8"/>
        <v>0.13630477748245076</v>
      </c>
      <c r="AK5" s="43">
        <f t="shared" si="9"/>
        <v>0.15368235210225162</v>
      </c>
      <c r="AL5" s="43">
        <f t="shared" si="10"/>
        <v>0.15368623150026001</v>
      </c>
    </row>
    <row r="6" spans="1:38">
      <c r="A6" s="4" t="s">
        <v>142</v>
      </c>
      <c r="B6" s="4">
        <v>404</v>
      </c>
      <c r="C6" s="101">
        <v>517</v>
      </c>
      <c r="D6" s="101">
        <v>856</v>
      </c>
      <c r="E6" s="101">
        <v>962</v>
      </c>
      <c r="F6" s="101">
        <v>1445.52</v>
      </c>
      <c r="G6" s="101">
        <v>1658.84</v>
      </c>
      <c r="H6" s="101">
        <v>1994.1</v>
      </c>
      <c r="I6" s="101">
        <v>351</v>
      </c>
      <c r="J6" s="101">
        <v>378</v>
      </c>
      <c r="K6" s="101">
        <v>512</v>
      </c>
      <c r="L6" s="101">
        <v>745.8</v>
      </c>
      <c r="M6" s="101">
        <v>1262.5</v>
      </c>
      <c r="N6" s="101">
        <v>1861.2</v>
      </c>
      <c r="P6" s="5" t="s">
        <v>80</v>
      </c>
      <c r="Q6" s="1">
        <v>40</v>
      </c>
      <c r="R6" s="1">
        <v>77</v>
      </c>
      <c r="S6" s="1">
        <v>126</v>
      </c>
      <c r="T6" s="1">
        <v>176</v>
      </c>
      <c r="U6" s="1">
        <v>211</v>
      </c>
      <c r="V6" s="1">
        <v>279</v>
      </c>
      <c r="W6" s="36">
        <v>11</v>
      </c>
      <c r="X6" s="27">
        <v>32</v>
      </c>
      <c r="Y6" s="36">
        <v>53</v>
      </c>
      <c r="Z6" s="36">
        <v>70</v>
      </c>
      <c r="AA6" s="5">
        <v>114</v>
      </c>
      <c r="AB6" s="4">
        <f t="shared" si="0"/>
        <v>66</v>
      </c>
      <c r="AC6" s="4">
        <f t="shared" si="1"/>
        <v>94</v>
      </c>
      <c r="AD6" s="4">
        <f t="shared" si="2"/>
        <v>123</v>
      </c>
      <c r="AE6" s="4">
        <f t="shared" si="3"/>
        <v>141</v>
      </c>
      <c r="AF6" s="4">
        <f t="shared" si="4"/>
        <v>165</v>
      </c>
      <c r="AH6" s="43">
        <f t="shared" si="6"/>
        <v>0.16361013192926094</v>
      </c>
      <c r="AI6" s="43">
        <f t="shared" si="7"/>
        <v>0.15630871969855697</v>
      </c>
      <c r="AJ6" s="43">
        <f t="shared" si="8"/>
        <v>0.15446750154467501</v>
      </c>
      <c r="AK6" s="43">
        <f t="shared" si="9"/>
        <v>0.13371345127732195</v>
      </c>
      <c r="AL6" s="43">
        <f t="shared" si="10"/>
        <v>0.12134943394681137</v>
      </c>
    </row>
    <row r="7" spans="1:38">
      <c r="A7" s="4" t="s">
        <v>143</v>
      </c>
      <c r="B7" s="4">
        <v>284</v>
      </c>
      <c r="C7" s="101">
        <v>530</v>
      </c>
      <c r="D7" s="101">
        <v>681</v>
      </c>
      <c r="E7" s="101">
        <v>857</v>
      </c>
      <c r="F7" s="101">
        <v>1028.32</v>
      </c>
      <c r="G7" s="101">
        <v>1101.8399999999999</v>
      </c>
      <c r="H7" s="101">
        <v>1257</v>
      </c>
      <c r="I7" s="101">
        <v>60</v>
      </c>
      <c r="J7" s="101">
        <v>183</v>
      </c>
      <c r="K7" s="101">
        <v>231</v>
      </c>
      <c r="L7" s="101">
        <v>280.2</v>
      </c>
      <c r="M7" s="101">
        <v>355.9</v>
      </c>
      <c r="N7" s="101">
        <v>438.7</v>
      </c>
      <c r="P7" s="5" t="s">
        <v>81</v>
      </c>
      <c r="Q7" s="1">
        <v>27</v>
      </c>
      <c r="R7" s="1">
        <v>56</v>
      </c>
      <c r="S7" s="1">
        <v>94</v>
      </c>
      <c r="T7" s="1">
        <v>128</v>
      </c>
      <c r="U7" s="1">
        <v>159</v>
      </c>
      <c r="V7" s="1">
        <v>189</v>
      </c>
      <c r="W7" s="36">
        <v>5</v>
      </c>
      <c r="X7" s="27">
        <v>14</v>
      </c>
      <c r="Y7" s="36">
        <v>25</v>
      </c>
      <c r="Z7" s="36">
        <v>31</v>
      </c>
      <c r="AA7" s="5">
        <v>40</v>
      </c>
      <c r="AB7" s="4">
        <f t="shared" si="0"/>
        <v>51</v>
      </c>
      <c r="AC7" s="4">
        <f t="shared" si="1"/>
        <v>80</v>
      </c>
      <c r="AD7" s="4">
        <f t="shared" si="2"/>
        <v>103</v>
      </c>
      <c r="AE7" s="4">
        <f t="shared" si="3"/>
        <v>128</v>
      </c>
      <c r="AF7" s="4">
        <f t="shared" si="4"/>
        <v>149</v>
      </c>
      <c r="AH7" s="43">
        <f t="shared" si="6"/>
        <v>0.14304466359260878</v>
      </c>
      <c r="AI7" s="43">
        <f t="shared" si="7"/>
        <v>0.15082444411765814</v>
      </c>
      <c r="AJ7" s="43">
        <f t="shared" si="8"/>
        <v>0.15289975120389998</v>
      </c>
      <c r="AK7" s="43">
        <f t="shared" si="9"/>
        <v>0.15500681206499398</v>
      </c>
      <c r="AL7" s="43">
        <f t="shared" si="10"/>
        <v>0.15969816746245658</v>
      </c>
    </row>
    <row r="8" spans="1:38">
      <c r="A8" s="4" t="s">
        <v>144</v>
      </c>
      <c r="B8" s="4">
        <v>637</v>
      </c>
      <c r="C8" s="101">
        <v>741</v>
      </c>
      <c r="D8" s="101">
        <v>933</v>
      </c>
      <c r="E8" s="101">
        <v>1001</v>
      </c>
      <c r="F8" s="101">
        <v>1138</v>
      </c>
      <c r="G8" s="101">
        <v>1299.5</v>
      </c>
      <c r="H8" s="101">
        <v>1429.6</v>
      </c>
      <c r="I8" s="101">
        <v>2</v>
      </c>
      <c r="J8" s="101">
        <v>13</v>
      </c>
      <c r="K8" s="101">
        <v>80</v>
      </c>
      <c r="L8" s="101">
        <v>90.1</v>
      </c>
      <c r="M8" s="101">
        <v>102.5</v>
      </c>
      <c r="N8" s="101">
        <v>121.2</v>
      </c>
      <c r="P8" s="5" t="s">
        <v>82</v>
      </c>
      <c r="Q8" s="1">
        <v>83</v>
      </c>
      <c r="R8" s="1">
        <v>113</v>
      </c>
      <c r="S8" s="1">
        <v>130</v>
      </c>
      <c r="T8" s="1">
        <v>163</v>
      </c>
      <c r="U8" s="1">
        <v>188</v>
      </c>
      <c r="V8" s="1">
        <v>212</v>
      </c>
      <c r="W8" s="36">
        <v>0.3</v>
      </c>
      <c r="X8" s="27">
        <v>1</v>
      </c>
      <c r="Y8" s="36">
        <v>3</v>
      </c>
      <c r="Z8" s="36">
        <v>13</v>
      </c>
      <c r="AA8" s="5">
        <v>15</v>
      </c>
      <c r="AB8" s="4">
        <f t="shared" si="0"/>
        <v>112.7</v>
      </c>
      <c r="AC8" s="4">
        <f t="shared" si="1"/>
        <v>129</v>
      </c>
      <c r="AD8" s="4">
        <f t="shared" si="2"/>
        <v>160</v>
      </c>
      <c r="AE8" s="4">
        <f t="shared" si="3"/>
        <v>175</v>
      </c>
      <c r="AF8" s="4">
        <f t="shared" si="4"/>
        <v>197</v>
      </c>
      <c r="AH8" s="43">
        <f t="shared" si="6"/>
        <v>0.18672419163502132</v>
      </c>
      <c r="AI8" s="43">
        <f t="shared" si="7"/>
        <v>0.1759382006841132</v>
      </c>
      <c r="AJ8" s="43">
        <f t="shared" si="8"/>
        <v>0.18888149103049018</v>
      </c>
      <c r="AK8" s="43">
        <f t="shared" si="9"/>
        <v>0.18678979850183905</v>
      </c>
      <c r="AL8" s="43">
        <f t="shared" si="10"/>
        <v>0.1845217187682941</v>
      </c>
    </row>
    <row r="9" spans="1:38">
      <c r="A9" s="4" t="s">
        <v>145</v>
      </c>
      <c r="B9" s="4">
        <v>36</v>
      </c>
      <c r="C9" s="101">
        <v>185</v>
      </c>
      <c r="D9" s="101">
        <v>219</v>
      </c>
      <c r="E9" s="101">
        <v>246</v>
      </c>
      <c r="F9" s="101">
        <v>281.89</v>
      </c>
      <c r="G9" s="101">
        <v>317.5</v>
      </c>
      <c r="H9" s="101">
        <v>381.3</v>
      </c>
      <c r="I9" s="101">
        <v>38</v>
      </c>
      <c r="J9" s="101">
        <v>83</v>
      </c>
      <c r="K9" s="101">
        <v>97</v>
      </c>
      <c r="L9" s="101">
        <v>117.9</v>
      </c>
      <c r="M9" s="101">
        <v>160</v>
      </c>
      <c r="N9" s="101">
        <v>219.3</v>
      </c>
      <c r="P9" s="5" t="s">
        <v>83</v>
      </c>
      <c r="Q9" s="1">
        <v>4</v>
      </c>
      <c r="R9" s="1">
        <v>12</v>
      </c>
      <c r="S9" s="1">
        <v>32</v>
      </c>
      <c r="T9" s="1">
        <v>42</v>
      </c>
      <c r="U9" s="1">
        <v>51</v>
      </c>
      <c r="V9" s="1">
        <v>55</v>
      </c>
      <c r="W9" s="36">
        <v>3</v>
      </c>
      <c r="X9" s="27">
        <v>7</v>
      </c>
      <c r="Y9" s="36">
        <v>10</v>
      </c>
      <c r="Z9" s="36">
        <v>12</v>
      </c>
      <c r="AA9" s="5">
        <v>14</v>
      </c>
      <c r="AB9" s="4">
        <f t="shared" si="0"/>
        <v>9</v>
      </c>
      <c r="AC9" s="4">
        <f t="shared" si="1"/>
        <v>25</v>
      </c>
      <c r="AD9" s="4">
        <f t="shared" si="2"/>
        <v>32</v>
      </c>
      <c r="AE9" s="4">
        <f t="shared" si="3"/>
        <v>39</v>
      </c>
      <c r="AF9" s="4">
        <f t="shared" si="4"/>
        <v>41</v>
      </c>
      <c r="AH9" s="43">
        <f t="shared" si="6"/>
        <v>9.2977127626603859E-2</v>
      </c>
      <c r="AI9" s="43">
        <f t="shared" si="7"/>
        <v>0.14128125141281253</v>
      </c>
      <c r="AJ9" s="43">
        <f t="shared" si="8"/>
        <v>0.15711690479697549</v>
      </c>
      <c r="AK9" s="43">
        <f t="shared" si="9"/>
        <v>0.16867357951545012</v>
      </c>
      <c r="AL9" s="43">
        <f t="shared" si="10"/>
        <v>0.15617095035965409</v>
      </c>
    </row>
    <row r="10" spans="1:38">
      <c r="A10" s="4" t="s">
        <v>146</v>
      </c>
      <c r="B10" s="4">
        <v>51</v>
      </c>
      <c r="C10" s="101">
        <v>107</v>
      </c>
      <c r="D10" s="101">
        <v>203</v>
      </c>
      <c r="E10" s="101">
        <v>205</v>
      </c>
      <c r="F10" s="101">
        <v>260.91000000000003</v>
      </c>
      <c r="G10" s="101">
        <v>265.79000000000002</v>
      </c>
      <c r="H10" s="101">
        <v>294.60000000000002</v>
      </c>
      <c r="I10" s="101">
        <v>52</v>
      </c>
      <c r="J10" s="101">
        <v>62</v>
      </c>
      <c r="K10" s="101">
        <v>69</v>
      </c>
      <c r="L10" s="101">
        <v>76</v>
      </c>
      <c r="M10" s="101">
        <v>80.099999999999994</v>
      </c>
      <c r="N10" s="101">
        <v>92</v>
      </c>
      <c r="P10" s="5" t="s">
        <v>84</v>
      </c>
      <c r="Q10" s="1">
        <v>3</v>
      </c>
      <c r="R10" s="1">
        <v>13</v>
      </c>
      <c r="S10" s="1">
        <v>24</v>
      </c>
      <c r="T10" s="1">
        <v>40</v>
      </c>
      <c r="U10" s="1">
        <v>45</v>
      </c>
      <c r="V10" s="1">
        <v>52</v>
      </c>
      <c r="W10" s="36">
        <v>2</v>
      </c>
      <c r="X10" s="27">
        <v>7</v>
      </c>
      <c r="Y10" s="36">
        <v>9</v>
      </c>
      <c r="Z10" s="36">
        <v>9</v>
      </c>
      <c r="AA10" s="5">
        <v>10</v>
      </c>
      <c r="AB10" s="4">
        <f t="shared" si="0"/>
        <v>11</v>
      </c>
      <c r="AC10" s="4">
        <f t="shared" si="1"/>
        <v>17</v>
      </c>
      <c r="AD10" s="4">
        <f t="shared" si="2"/>
        <v>31</v>
      </c>
      <c r="AE10" s="4">
        <f t="shared" si="3"/>
        <v>36</v>
      </c>
      <c r="AF10" s="4">
        <f t="shared" si="4"/>
        <v>42</v>
      </c>
      <c r="AH10" s="43">
        <f t="shared" si="6"/>
        <v>0.15895034969076932</v>
      </c>
      <c r="AI10" s="43">
        <f t="shared" si="7"/>
        <v>0.12520253351008984</v>
      </c>
      <c r="AJ10" s="43">
        <f t="shared" si="8"/>
        <v>0.17347121497000625</v>
      </c>
      <c r="AK10" s="43">
        <f t="shared" si="9"/>
        <v>0.17641128291283253</v>
      </c>
      <c r="AL10" s="43">
        <f t="shared" si="10"/>
        <v>0.18205887784109381</v>
      </c>
    </row>
    <row r="11" spans="1:38">
      <c r="A11" s="4" t="s">
        <v>147</v>
      </c>
      <c r="B11" s="4">
        <v>12</v>
      </c>
      <c r="C11" s="101">
        <v>64</v>
      </c>
      <c r="D11" s="101">
        <v>141</v>
      </c>
      <c r="E11" s="101">
        <v>195</v>
      </c>
      <c r="F11" s="101">
        <v>234.99</v>
      </c>
      <c r="G11" s="101">
        <v>329.99</v>
      </c>
      <c r="H11" s="101">
        <v>366.9</v>
      </c>
      <c r="I11" s="101">
        <v>30</v>
      </c>
      <c r="J11" s="101">
        <v>74</v>
      </c>
      <c r="K11" s="101">
        <v>80</v>
      </c>
      <c r="L11" s="101">
        <v>82.7</v>
      </c>
      <c r="M11" s="101">
        <v>89.8</v>
      </c>
      <c r="N11" s="101">
        <v>108.4</v>
      </c>
      <c r="P11" s="5" t="s">
        <v>85</v>
      </c>
      <c r="Q11" s="1">
        <v>1</v>
      </c>
      <c r="R11" s="1">
        <v>6</v>
      </c>
      <c r="S11" s="98">
        <v>20</v>
      </c>
      <c r="T11" s="98">
        <v>32</v>
      </c>
      <c r="U11" s="1">
        <v>43</v>
      </c>
      <c r="V11" s="1">
        <v>51</v>
      </c>
      <c r="W11" s="36">
        <v>1</v>
      </c>
      <c r="X11" s="27">
        <v>5</v>
      </c>
      <c r="Y11" s="36">
        <v>9</v>
      </c>
      <c r="Z11" s="36">
        <v>10</v>
      </c>
      <c r="AA11" s="5">
        <v>10</v>
      </c>
      <c r="AB11" s="4">
        <f t="shared" si="0"/>
        <v>5</v>
      </c>
      <c r="AC11" s="4">
        <f t="shared" si="1"/>
        <v>15</v>
      </c>
      <c r="AD11" s="4">
        <f t="shared" si="2"/>
        <v>23</v>
      </c>
      <c r="AE11" s="4">
        <f t="shared" si="3"/>
        <v>33</v>
      </c>
      <c r="AF11" s="4">
        <f t="shared" si="4"/>
        <v>41</v>
      </c>
      <c r="AH11" s="43">
        <f t="shared" si="6"/>
        <v>0.15020427781783224</v>
      </c>
      <c r="AI11" s="43">
        <f t="shared" si="7"/>
        <v>0.16705646508519878</v>
      </c>
      <c r="AJ11" s="43">
        <f t="shared" si="8"/>
        <v>0.1562839747771255</v>
      </c>
      <c r="AK11" s="43">
        <f t="shared" si="9"/>
        <v>0.17521911149892941</v>
      </c>
      <c r="AL11" s="43">
        <f t="shared" si="10"/>
        <v>0.16568251254216618</v>
      </c>
    </row>
    <row r="12" spans="1:38">
      <c r="A12" s="4" t="s">
        <v>148</v>
      </c>
      <c r="B12" s="4">
        <v>2</v>
      </c>
      <c r="C12" s="101">
        <v>0</v>
      </c>
      <c r="D12" s="101">
        <v>7</v>
      </c>
      <c r="E12" s="101">
        <v>6</v>
      </c>
      <c r="F12" s="101">
        <v>19.7</v>
      </c>
      <c r="G12" s="101">
        <v>24.09</v>
      </c>
      <c r="H12" s="101">
        <v>24</v>
      </c>
      <c r="I12" s="101">
        <v>59</v>
      </c>
      <c r="J12" s="101">
        <v>82</v>
      </c>
      <c r="K12" s="101">
        <v>103</v>
      </c>
      <c r="L12" s="101">
        <v>116.89999999999999</v>
      </c>
      <c r="M12" s="101">
        <v>144.19999999999999</v>
      </c>
      <c r="N12" s="101">
        <v>170.9</v>
      </c>
      <c r="P12" s="5" t="s">
        <v>86</v>
      </c>
      <c r="Q12" s="1">
        <v>1</v>
      </c>
      <c r="R12" s="1">
        <v>3</v>
      </c>
      <c r="S12" s="98">
        <v>6</v>
      </c>
      <c r="T12" s="98">
        <v>8</v>
      </c>
      <c r="U12" s="98">
        <v>10</v>
      </c>
      <c r="V12" s="1">
        <v>15</v>
      </c>
      <c r="W12" s="36">
        <v>2</v>
      </c>
      <c r="X12" s="27">
        <v>5</v>
      </c>
      <c r="Y12" s="36">
        <v>7</v>
      </c>
      <c r="Z12" s="36">
        <v>9</v>
      </c>
      <c r="AA12" s="5">
        <v>12</v>
      </c>
      <c r="AB12" s="4">
        <f t="shared" si="0"/>
        <v>1</v>
      </c>
      <c r="AC12" s="4">
        <f t="shared" si="1"/>
        <v>1</v>
      </c>
      <c r="AD12" s="4">
        <f t="shared" si="2"/>
        <v>1</v>
      </c>
      <c r="AE12" s="4">
        <f t="shared" si="3"/>
        <v>1</v>
      </c>
      <c r="AF12" s="4">
        <f t="shared" si="4"/>
        <v>3</v>
      </c>
      <c r="AH12" s="43">
        <f t="shared" si="6"/>
        <v>1.1415525114155252</v>
      </c>
      <c r="AI12" s="43">
        <f t="shared" si="7"/>
        <v>0.32615786040443573</v>
      </c>
      <c r="AJ12" s="43">
        <f t="shared" si="8"/>
        <v>0.17562346329469619</v>
      </c>
      <c r="AK12" s="43">
        <f t="shared" si="9"/>
        <v>8.8836771316383276E-2</v>
      </c>
      <c r="AL12" s="43">
        <f t="shared" si="10"/>
        <v>0.15641276703569651</v>
      </c>
    </row>
    <row r="13" spans="1:38">
      <c r="A13" s="4" t="s">
        <v>149</v>
      </c>
      <c r="B13" s="4">
        <v>373</v>
      </c>
      <c r="C13" s="101">
        <v>580</v>
      </c>
      <c r="D13" s="101">
        <v>792</v>
      </c>
      <c r="E13" s="101">
        <v>821</v>
      </c>
      <c r="F13" s="101">
        <v>895.91000000000008</v>
      </c>
      <c r="G13" s="101">
        <v>941.08</v>
      </c>
      <c r="H13" s="101">
        <v>953.3</v>
      </c>
      <c r="I13" s="101">
        <v>327</v>
      </c>
      <c r="J13" s="101">
        <v>540</v>
      </c>
      <c r="K13" s="101">
        <v>665</v>
      </c>
      <c r="L13" s="101">
        <v>788.09999999999991</v>
      </c>
      <c r="M13" s="101">
        <v>974.9</v>
      </c>
      <c r="N13" s="101">
        <v>1555.2</v>
      </c>
      <c r="P13" s="5" t="s">
        <v>87</v>
      </c>
      <c r="Q13" s="1">
        <v>47</v>
      </c>
      <c r="R13" s="1">
        <v>81</v>
      </c>
      <c r="S13" s="1">
        <v>120</v>
      </c>
      <c r="T13" s="1">
        <v>154</v>
      </c>
      <c r="U13" s="1">
        <v>167</v>
      </c>
      <c r="V13" s="1">
        <v>195</v>
      </c>
      <c r="W13" s="36">
        <v>19</v>
      </c>
      <c r="X13" s="27">
        <v>40</v>
      </c>
      <c r="Y13" s="36">
        <v>53</v>
      </c>
      <c r="Z13" s="36">
        <v>61</v>
      </c>
      <c r="AA13" s="5">
        <v>77</v>
      </c>
      <c r="AB13" s="4">
        <f t="shared" si="0"/>
        <v>62</v>
      </c>
      <c r="AC13" s="4">
        <f t="shared" si="1"/>
        <v>80</v>
      </c>
      <c r="AD13" s="4">
        <f t="shared" si="2"/>
        <v>101</v>
      </c>
      <c r="AE13" s="4">
        <f t="shared" si="3"/>
        <v>106</v>
      </c>
      <c r="AF13" s="4">
        <f t="shared" si="4"/>
        <v>118</v>
      </c>
      <c r="AH13" s="43">
        <f t="shared" si="6"/>
        <v>0.14853359015270209</v>
      </c>
      <c r="AI13" s="43">
        <f t="shared" si="7"/>
        <v>0.13312565730793297</v>
      </c>
      <c r="AJ13" s="43">
        <f t="shared" si="8"/>
        <v>0.14295945896214263</v>
      </c>
      <c r="AK13" s="43">
        <f t="shared" si="9"/>
        <v>0.14095621344164302</v>
      </c>
      <c r="AL13" s="43">
        <f t="shared" si="10"/>
        <v>0.1466564285565321</v>
      </c>
    </row>
    <row r="14" spans="1:38">
      <c r="A14" s="4" t="s">
        <v>150</v>
      </c>
      <c r="B14" s="4">
        <v>131</v>
      </c>
      <c r="C14" s="101">
        <v>315</v>
      </c>
      <c r="D14" s="101">
        <v>361</v>
      </c>
      <c r="E14" s="101">
        <v>414</v>
      </c>
      <c r="F14" s="101">
        <v>412.16999999999996</v>
      </c>
      <c r="G14" s="101">
        <v>577.03</v>
      </c>
      <c r="H14" s="101">
        <v>613.4</v>
      </c>
      <c r="I14" s="101">
        <v>499</v>
      </c>
      <c r="J14" s="101">
        <v>777</v>
      </c>
      <c r="K14" s="101">
        <v>925</v>
      </c>
      <c r="L14" s="101">
        <v>1067.2</v>
      </c>
      <c r="M14" s="101">
        <v>1264.8</v>
      </c>
      <c r="N14" s="101">
        <v>1925.5</v>
      </c>
      <c r="P14" s="5" t="s">
        <v>88</v>
      </c>
      <c r="Q14" s="1">
        <v>22</v>
      </c>
      <c r="R14" s="1">
        <v>56</v>
      </c>
      <c r="S14" s="1">
        <v>100</v>
      </c>
      <c r="T14" s="1">
        <v>119</v>
      </c>
      <c r="U14" s="1">
        <v>131</v>
      </c>
      <c r="V14" s="1">
        <v>155</v>
      </c>
      <c r="W14" s="36">
        <v>31</v>
      </c>
      <c r="X14" s="27">
        <v>63</v>
      </c>
      <c r="Y14" s="36">
        <v>75</v>
      </c>
      <c r="Z14" s="36">
        <v>88</v>
      </c>
      <c r="AA14" s="5">
        <v>103</v>
      </c>
      <c r="AB14" s="4">
        <f t="shared" si="0"/>
        <v>25</v>
      </c>
      <c r="AC14" s="4">
        <f t="shared" si="1"/>
        <v>37</v>
      </c>
      <c r="AD14" s="4">
        <f t="shared" si="2"/>
        <v>44</v>
      </c>
      <c r="AE14" s="4">
        <f t="shared" si="3"/>
        <v>43</v>
      </c>
      <c r="AF14" s="4">
        <f t="shared" si="4"/>
        <v>52</v>
      </c>
      <c r="AH14" s="43">
        <f t="shared" si="6"/>
        <v>0.12797673894792883</v>
      </c>
      <c r="AI14" s="43">
        <f t="shared" si="7"/>
        <v>0.12496284888276457</v>
      </c>
      <c r="AJ14" s="43">
        <f t="shared" si="8"/>
        <v>0.12962144645750479</v>
      </c>
      <c r="AK14" s="43">
        <f t="shared" si="9"/>
        <v>0.11882967909962255</v>
      </c>
      <c r="AL14" s="43">
        <f t="shared" si="10"/>
        <v>0.12001765182694563</v>
      </c>
    </row>
    <row r="15" spans="1:38">
      <c r="A15" s="4" t="s">
        <v>151</v>
      </c>
      <c r="B15" s="4">
        <v>267</v>
      </c>
      <c r="C15" s="101">
        <v>565</v>
      </c>
      <c r="D15" s="101">
        <v>677</v>
      </c>
      <c r="E15" s="101">
        <v>773</v>
      </c>
      <c r="F15" s="101">
        <v>825.56</v>
      </c>
      <c r="G15" s="101">
        <v>947.02</v>
      </c>
      <c r="H15" s="101">
        <v>1063.8</v>
      </c>
      <c r="I15" s="101">
        <v>323</v>
      </c>
      <c r="J15" s="101">
        <v>441</v>
      </c>
      <c r="K15" s="101">
        <v>480</v>
      </c>
      <c r="L15" s="101">
        <v>544.09999999999991</v>
      </c>
      <c r="M15" s="101">
        <v>759.8</v>
      </c>
      <c r="N15" s="101">
        <v>1090.3</v>
      </c>
      <c r="P15" s="5" t="s">
        <v>89</v>
      </c>
      <c r="Q15" s="1">
        <v>21</v>
      </c>
      <c r="R15" s="1">
        <v>62</v>
      </c>
      <c r="S15" s="1">
        <v>104</v>
      </c>
      <c r="T15" s="1">
        <v>125</v>
      </c>
      <c r="U15" s="1">
        <v>130</v>
      </c>
      <c r="V15" s="1">
        <v>155</v>
      </c>
      <c r="W15" s="36">
        <v>18</v>
      </c>
      <c r="X15" s="27">
        <v>36</v>
      </c>
      <c r="Y15" s="36">
        <v>46</v>
      </c>
      <c r="Z15" s="36">
        <v>45</v>
      </c>
      <c r="AA15" s="5">
        <v>52</v>
      </c>
      <c r="AB15" s="4">
        <f t="shared" si="0"/>
        <v>44</v>
      </c>
      <c r="AC15" s="4">
        <f t="shared" si="1"/>
        <v>68</v>
      </c>
      <c r="AD15" s="4">
        <f t="shared" si="2"/>
        <v>79</v>
      </c>
      <c r="AE15" s="4">
        <f t="shared" si="3"/>
        <v>85</v>
      </c>
      <c r="AF15" s="4">
        <f t="shared" si="4"/>
        <v>103</v>
      </c>
      <c r="AH15" s="43">
        <f t="shared" si="6"/>
        <v>0.12074113101510361</v>
      </c>
      <c r="AI15" s="43">
        <f t="shared" si="7"/>
        <v>0.12500091912440534</v>
      </c>
      <c r="AJ15" s="43">
        <f t="shared" si="8"/>
        <v>0.12438985986458827</v>
      </c>
      <c r="AK15" s="43">
        <f t="shared" si="9"/>
        <v>0.1213992136301667</v>
      </c>
      <c r="AL15" s="43">
        <f t="shared" si="10"/>
        <v>0.1326652773649698</v>
      </c>
    </row>
    <row r="16" spans="1:38">
      <c r="A16" s="4" t="s">
        <v>152</v>
      </c>
      <c r="B16" s="4">
        <v>11</v>
      </c>
      <c r="C16" s="101">
        <v>0</v>
      </c>
      <c r="D16" s="101">
        <v>37</v>
      </c>
      <c r="E16" s="101">
        <v>38</v>
      </c>
      <c r="F16" s="101">
        <v>37.799999999999997</v>
      </c>
      <c r="G16" s="101">
        <v>39.159999999999997</v>
      </c>
      <c r="H16" s="101">
        <v>39.200000000000003</v>
      </c>
      <c r="I16" s="101">
        <v>109</v>
      </c>
      <c r="J16" s="101">
        <v>111</v>
      </c>
      <c r="K16" s="101">
        <v>131</v>
      </c>
      <c r="L16" s="101">
        <v>164.3</v>
      </c>
      <c r="M16" s="101">
        <v>237.9</v>
      </c>
      <c r="N16" s="101">
        <v>425.8</v>
      </c>
      <c r="P16" s="5" t="s">
        <v>90</v>
      </c>
      <c r="Q16" s="1">
        <v>1</v>
      </c>
      <c r="R16" s="1">
        <v>6</v>
      </c>
      <c r="S16" s="1">
        <v>14</v>
      </c>
      <c r="T16" s="1">
        <v>16</v>
      </c>
      <c r="U16" s="1">
        <v>19</v>
      </c>
      <c r="V16" s="1">
        <v>25</v>
      </c>
      <c r="W16" s="36">
        <v>3</v>
      </c>
      <c r="X16" s="27">
        <v>9</v>
      </c>
      <c r="Y16" s="36">
        <v>11</v>
      </c>
      <c r="Z16" s="36">
        <v>15</v>
      </c>
      <c r="AA16" s="5">
        <v>20</v>
      </c>
      <c r="AB16" s="4">
        <f t="shared" si="0"/>
        <v>3</v>
      </c>
      <c r="AC16" s="4">
        <f t="shared" si="1"/>
        <v>5</v>
      </c>
      <c r="AD16" s="4">
        <f t="shared" si="2"/>
        <v>5</v>
      </c>
      <c r="AE16" s="4">
        <f t="shared" si="3"/>
        <v>4</v>
      </c>
      <c r="AF16" s="4">
        <f t="shared" si="4"/>
        <v>5</v>
      </c>
      <c r="AH16" s="43">
        <f t="shared" si="6"/>
        <v>0.62266500622665</v>
      </c>
      <c r="AI16" s="43">
        <f t="shared" si="7"/>
        <v>0.30852770578797978</v>
      </c>
      <c r="AJ16" s="43">
        <f t="shared" si="8"/>
        <v>0.15220700152207001</v>
      </c>
      <c r="AK16" s="43">
        <f t="shared" si="9"/>
        <v>0.12048047613884171</v>
      </c>
      <c r="AL16" s="43">
        <f t="shared" si="10"/>
        <v>0.14833062778268258</v>
      </c>
    </row>
    <row r="17" spans="1:38">
      <c r="A17" s="4" t="s">
        <v>153</v>
      </c>
      <c r="B17" s="4">
        <v>171</v>
      </c>
      <c r="C17" s="101">
        <v>277</v>
      </c>
      <c r="D17" s="101">
        <v>294</v>
      </c>
      <c r="E17" s="101">
        <v>367</v>
      </c>
      <c r="F17" s="101">
        <v>476.66</v>
      </c>
      <c r="G17" s="101">
        <v>551.95000000000005</v>
      </c>
      <c r="H17" s="101">
        <v>695.1</v>
      </c>
      <c r="I17" s="101">
        <v>172</v>
      </c>
      <c r="J17" s="101">
        <v>242</v>
      </c>
      <c r="K17" s="101">
        <v>263</v>
      </c>
      <c r="L17" s="101">
        <v>299.2</v>
      </c>
      <c r="M17" s="101">
        <v>359.2</v>
      </c>
      <c r="N17" s="101">
        <v>506.7</v>
      </c>
      <c r="P17" s="5" t="s">
        <v>91</v>
      </c>
      <c r="Q17" s="1">
        <v>11</v>
      </c>
      <c r="R17" s="1">
        <v>30</v>
      </c>
      <c r="S17" s="1">
        <v>52</v>
      </c>
      <c r="T17" s="1">
        <v>56</v>
      </c>
      <c r="U17" s="1">
        <v>62</v>
      </c>
      <c r="V17" s="1">
        <v>80</v>
      </c>
      <c r="W17" s="36">
        <v>8</v>
      </c>
      <c r="X17" s="27">
        <v>21</v>
      </c>
      <c r="Y17" s="36">
        <v>24</v>
      </c>
      <c r="Z17" s="36">
        <v>26</v>
      </c>
      <c r="AA17" s="5">
        <v>30</v>
      </c>
      <c r="AB17" s="4">
        <f t="shared" si="0"/>
        <v>22</v>
      </c>
      <c r="AC17" s="4">
        <f t="shared" si="1"/>
        <v>31</v>
      </c>
      <c r="AD17" s="4">
        <f t="shared" si="2"/>
        <v>32</v>
      </c>
      <c r="AE17" s="4">
        <f t="shared" si="3"/>
        <v>36</v>
      </c>
      <c r="AF17" s="4">
        <f t="shared" si="4"/>
        <v>50</v>
      </c>
      <c r="AH17" s="43">
        <f t="shared" si="6"/>
        <v>0.11211676451402479</v>
      </c>
      <c r="AI17" s="43">
        <f t="shared" si="7"/>
        <v>0.12395141104686962</v>
      </c>
      <c r="AJ17" s="43">
        <f t="shared" si="8"/>
        <v>0.11052853363176038</v>
      </c>
      <c r="AK17" s="43">
        <f t="shared" si="9"/>
        <v>9.7422872747217837E-2</v>
      </c>
      <c r="AL17" s="43">
        <f t="shared" si="10"/>
        <v>0.11098011018904395</v>
      </c>
    </row>
    <row r="18" spans="1:38">
      <c r="A18" s="4" t="s">
        <v>154</v>
      </c>
      <c r="B18" s="4">
        <v>336</v>
      </c>
      <c r="C18" s="101">
        <v>578</v>
      </c>
      <c r="D18" s="101">
        <v>648</v>
      </c>
      <c r="E18" s="101">
        <v>677</v>
      </c>
      <c r="F18" s="101">
        <v>805.02</v>
      </c>
      <c r="G18" s="101">
        <v>1008.97</v>
      </c>
      <c r="H18" s="101">
        <v>1249.7</v>
      </c>
      <c r="I18" s="101">
        <v>474</v>
      </c>
      <c r="J18" s="101">
        <v>713</v>
      </c>
      <c r="K18" s="101">
        <v>943</v>
      </c>
      <c r="L18" s="101">
        <v>1467.4</v>
      </c>
      <c r="M18" s="101">
        <v>2334.4</v>
      </c>
      <c r="N18" s="101">
        <v>3020.2</v>
      </c>
      <c r="P18" s="5" t="s">
        <v>92</v>
      </c>
      <c r="Q18" s="1">
        <v>31</v>
      </c>
      <c r="R18" s="1">
        <v>73</v>
      </c>
      <c r="S18" s="1">
        <v>137</v>
      </c>
      <c r="T18" s="1">
        <v>167</v>
      </c>
      <c r="U18" s="1">
        <v>206</v>
      </c>
      <c r="V18" s="1">
        <v>310</v>
      </c>
      <c r="W18" s="36">
        <v>20</v>
      </c>
      <c r="X18" s="27">
        <v>60</v>
      </c>
      <c r="Y18" s="36">
        <v>80</v>
      </c>
      <c r="Z18" s="36">
        <v>117</v>
      </c>
      <c r="AA18" s="5">
        <v>202</v>
      </c>
      <c r="AB18" s="4">
        <f t="shared" si="0"/>
        <v>53</v>
      </c>
      <c r="AC18" s="4">
        <f t="shared" si="1"/>
        <v>77</v>
      </c>
      <c r="AD18" s="4">
        <f t="shared" si="2"/>
        <v>87</v>
      </c>
      <c r="AE18" s="4">
        <f t="shared" si="3"/>
        <v>89</v>
      </c>
      <c r="AF18" s="4">
        <f t="shared" si="4"/>
        <v>108</v>
      </c>
      <c r="AH18" s="43">
        <f t="shared" si="6"/>
        <v>0.13239011620355104</v>
      </c>
      <c r="AI18" s="43">
        <f t="shared" si="7"/>
        <v>0.14339240355464181</v>
      </c>
      <c r="AJ18" s="43">
        <f t="shared" si="8"/>
        <v>0.14990953734815196</v>
      </c>
      <c r="AK18" s="43">
        <f t="shared" si="9"/>
        <v>0.13710769559922503</v>
      </c>
      <c r="AL18" s="43">
        <f t="shared" si="10"/>
        <v>0.13592982456670291</v>
      </c>
    </row>
    <row r="19" spans="1:38">
      <c r="A19" s="4" t="s">
        <v>155</v>
      </c>
      <c r="B19" s="4">
        <v>248</v>
      </c>
      <c r="C19" s="101">
        <v>492</v>
      </c>
      <c r="D19" s="101">
        <v>600</v>
      </c>
      <c r="E19" s="101">
        <v>600</v>
      </c>
      <c r="F19" s="101">
        <v>603.84999999999991</v>
      </c>
      <c r="G19" s="101">
        <v>625.79999999999995</v>
      </c>
      <c r="H19" s="101">
        <v>628.79999999999995</v>
      </c>
      <c r="I19" s="101">
        <v>211</v>
      </c>
      <c r="J19" s="101">
        <v>391</v>
      </c>
      <c r="K19" s="101">
        <v>454</v>
      </c>
      <c r="L19" s="101">
        <v>570.79999999999995</v>
      </c>
      <c r="M19" s="101">
        <v>929.8</v>
      </c>
      <c r="N19" s="101">
        <v>1704.2</v>
      </c>
      <c r="P19" s="5" t="s">
        <v>93</v>
      </c>
      <c r="Q19" s="1">
        <v>12</v>
      </c>
      <c r="R19" s="1">
        <v>44</v>
      </c>
      <c r="S19" s="1">
        <v>84</v>
      </c>
      <c r="T19" s="1">
        <v>102</v>
      </c>
      <c r="U19" s="1">
        <v>112</v>
      </c>
      <c r="V19" s="1">
        <v>136</v>
      </c>
      <c r="W19" s="36">
        <v>4</v>
      </c>
      <c r="X19" s="27">
        <v>27</v>
      </c>
      <c r="Y19" s="36">
        <v>38</v>
      </c>
      <c r="Z19" s="36">
        <v>49</v>
      </c>
      <c r="AA19" s="5">
        <v>72</v>
      </c>
      <c r="AB19" s="4">
        <f t="shared" si="0"/>
        <v>40</v>
      </c>
      <c r="AC19" s="4">
        <f t="shared" si="1"/>
        <v>57</v>
      </c>
      <c r="AD19" s="4">
        <f t="shared" si="2"/>
        <v>64</v>
      </c>
      <c r="AE19" s="4">
        <f t="shared" si="3"/>
        <v>63</v>
      </c>
      <c r="AF19" s="4">
        <f t="shared" si="4"/>
        <v>64</v>
      </c>
      <c r="AH19" s="43">
        <f t="shared" si="6"/>
        <v>0.12341108231519191</v>
      </c>
      <c r="AI19" s="43">
        <f t="shared" si="7"/>
        <v>0.11917306437854383</v>
      </c>
      <c r="AJ19" s="43">
        <f t="shared" si="8"/>
        <v>0.12176560121765602</v>
      </c>
      <c r="AK19" s="43">
        <f t="shared" si="9"/>
        <v>0.11947968304884843</v>
      </c>
      <c r="AL19" s="43">
        <f t="shared" si="10"/>
        <v>0.11882952178358658</v>
      </c>
    </row>
    <row r="20" spans="1:38">
      <c r="A20" s="4" t="s">
        <v>156</v>
      </c>
      <c r="B20" s="4">
        <v>167</v>
      </c>
      <c r="C20" s="101">
        <v>236</v>
      </c>
      <c r="D20" s="101">
        <v>335</v>
      </c>
      <c r="E20" s="101">
        <v>420</v>
      </c>
      <c r="F20" s="101">
        <v>485.65999999999997</v>
      </c>
      <c r="G20" s="101">
        <v>713</v>
      </c>
      <c r="H20" s="101">
        <v>975.6</v>
      </c>
      <c r="I20" s="101">
        <v>177</v>
      </c>
      <c r="J20" s="101">
        <v>175</v>
      </c>
      <c r="K20" s="101">
        <v>201</v>
      </c>
      <c r="L20" s="101">
        <v>211.9</v>
      </c>
      <c r="M20" s="101">
        <v>239.6</v>
      </c>
      <c r="N20" s="101">
        <v>340.1</v>
      </c>
      <c r="P20" s="5" t="s">
        <v>94</v>
      </c>
      <c r="Q20" s="1">
        <v>11</v>
      </c>
      <c r="R20" s="1">
        <v>28</v>
      </c>
      <c r="S20" s="1">
        <v>49</v>
      </c>
      <c r="T20" s="1">
        <v>57</v>
      </c>
      <c r="U20" s="1">
        <v>65</v>
      </c>
      <c r="V20" s="1">
        <v>83</v>
      </c>
      <c r="W20" s="36">
        <v>5</v>
      </c>
      <c r="X20" s="27">
        <v>13</v>
      </c>
      <c r="Y20" s="36">
        <v>17</v>
      </c>
      <c r="Z20" s="36">
        <v>19</v>
      </c>
      <c r="AA20" s="5">
        <v>20</v>
      </c>
      <c r="AB20" s="4">
        <f t="shared" si="0"/>
        <v>23</v>
      </c>
      <c r="AC20" s="4">
        <f t="shared" si="1"/>
        <v>36</v>
      </c>
      <c r="AD20" s="4">
        <f t="shared" si="2"/>
        <v>40</v>
      </c>
      <c r="AE20" s="4">
        <f t="shared" si="3"/>
        <v>46</v>
      </c>
      <c r="AF20" s="4">
        <f t="shared" si="4"/>
        <v>63</v>
      </c>
      <c r="AH20" s="43">
        <f t="shared" si="6"/>
        <v>0.13030127921864554</v>
      </c>
      <c r="AI20" s="43">
        <f t="shared" si="7"/>
        <v>0.14394357411894537</v>
      </c>
      <c r="AJ20" s="43">
        <f t="shared" si="8"/>
        <v>0.1209592065076053</v>
      </c>
      <c r="AK20" s="43">
        <f t="shared" si="9"/>
        <v>0.11596275760244276</v>
      </c>
      <c r="AL20" s="43">
        <f t="shared" si="10"/>
        <v>0.11999701036019907</v>
      </c>
    </row>
    <row r="21" spans="1:38">
      <c r="A21" s="4" t="s">
        <v>157</v>
      </c>
      <c r="B21" s="4">
        <v>0</v>
      </c>
      <c r="C21" s="101">
        <v>86</v>
      </c>
      <c r="D21" s="101">
        <v>126</v>
      </c>
      <c r="E21" s="101">
        <v>155</v>
      </c>
      <c r="F21" s="101">
        <v>190.62</v>
      </c>
      <c r="G21" s="101">
        <v>220.15</v>
      </c>
      <c r="H21" s="101">
        <v>286.10000000000002</v>
      </c>
      <c r="I21" s="101">
        <v>90</v>
      </c>
      <c r="J21" s="101">
        <v>166</v>
      </c>
      <c r="K21" s="101">
        <v>189</v>
      </c>
      <c r="L21" s="101">
        <v>200.1</v>
      </c>
      <c r="M21" s="101">
        <v>231</v>
      </c>
      <c r="N21" s="101">
        <v>349.8</v>
      </c>
      <c r="P21" s="5" t="s">
        <v>95</v>
      </c>
      <c r="Q21" s="1">
        <v>2</v>
      </c>
      <c r="R21" s="1">
        <v>6</v>
      </c>
      <c r="S21" s="98">
        <v>20</v>
      </c>
      <c r="T21" s="98">
        <v>26</v>
      </c>
      <c r="U21" s="98">
        <v>30</v>
      </c>
      <c r="V21" s="1">
        <v>38</v>
      </c>
      <c r="W21" s="36">
        <v>4</v>
      </c>
      <c r="X21" s="27">
        <v>10</v>
      </c>
      <c r="Y21" s="36">
        <v>13</v>
      </c>
      <c r="Z21" s="36">
        <v>14</v>
      </c>
      <c r="AA21" s="5">
        <v>17</v>
      </c>
      <c r="AB21" s="4">
        <f t="shared" si="0"/>
        <v>2</v>
      </c>
      <c r="AC21" s="4">
        <f t="shared" si="1"/>
        <v>10</v>
      </c>
      <c r="AD21" s="4">
        <f t="shared" si="2"/>
        <v>13</v>
      </c>
      <c r="AE21" s="4">
        <f t="shared" si="3"/>
        <v>16</v>
      </c>
      <c r="AF21" s="4">
        <f t="shared" si="4"/>
        <v>21</v>
      </c>
      <c r="AH21" s="43">
        <f t="shared" si="6"/>
        <v>5.3095465647233726E-2</v>
      </c>
      <c r="AI21" s="43">
        <f t="shared" si="7"/>
        <v>0.10769363315240803</v>
      </c>
      <c r="AJ21" s="43">
        <f t="shared" si="8"/>
        <v>0.10562407578933683</v>
      </c>
      <c r="AK21" s="43">
        <f t="shared" si="9"/>
        <v>0.10569319010849142</v>
      </c>
      <c r="AL21" s="43">
        <f t="shared" si="10"/>
        <v>0.11672031910668271</v>
      </c>
    </row>
    <row r="22" spans="1:38">
      <c r="A22" s="4" t="s">
        <v>158</v>
      </c>
      <c r="B22" s="4">
        <v>68</v>
      </c>
      <c r="C22" s="101">
        <v>210</v>
      </c>
      <c r="D22" s="101">
        <v>318</v>
      </c>
      <c r="E22" s="101">
        <v>302</v>
      </c>
      <c r="F22" s="101">
        <v>408.82</v>
      </c>
      <c r="G22" s="101">
        <v>508.2</v>
      </c>
      <c r="H22" s="101">
        <v>753.4</v>
      </c>
      <c r="I22" s="101">
        <v>122</v>
      </c>
      <c r="J22" s="101">
        <v>209</v>
      </c>
      <c r="K22" s="101">
        <v>308</v>
      </c>
      <c r="L22" s="101">
        <v>384.9</v>
      </c>
      <c r="M22" s="101">
        <v>511.9</v>
      </c>
      <c r="N22" s="101">
        <v>836.8</v>
      </c>
      <c r="P22" s="5" t="s">
        <v>96</v>
      </c>
      <c r="Q22" s="1">
        <v>8</v>
      </c>
      <c r="R22" s="1">
        <v>20</v>
      </c>
      <c r="S22" s="1">
        <v>38</v>
      </c>
      <c r="T22" s="1">
        <v>53</v>
      </c>
      <c r="U22" s="1">
        <v>74</v>
      </c>
      <c r="V22" s="1">
        <v>103</v>
      </c>
      <c r="W22" s="36">
        <v>8</v>
      </c>
      <c r="X22" s="27">
        <v>15</v>
      </c>
      <c r="Y22" s="36">
        <v>22</v>
      </c>
      <c r="Z22" s="36">
        <v>32</v>
      </c>
      <c r="AA22" s="5">
        <v>50</v>
      </c>
      <c r="AB22" s="4">
        <f t="shared" si="0"/>
        <v>12</v>
      </c>
      <c r="AC22" s="4">
        <f t="shared" si="1"/>
        <v>23</v>
      </c>
      <c r="AD22" s="4">
        <f t="shared" si="2"/>
        <v>31</v>
      </c>
      <c r="AE22" s="4">
        <f t="shared" si="3"/>
        <v>42</v>
      </c>
      <c r="AF22" s="4">
        <f t="shared" si="4"/>
        <v>53</v>
      </c>
      <c r="AH22" s="43">
        <f t="shared" si="6"/>
        <v>9.8551295949541734E-2</v>
      </c>
      <c r="AI22" s="43">
        <f t="shared" si="7"/>
        <v>9.9453438494534391E-2</v>
      </c>
      <c r="AJ22" s="43">
        <f t="shared" si="8"/>
        <v>0.11415525114155251</v>
      </c>
      <c r="AK22" s="43">
        <f t="shared" si="9"/>
        <v>0.13490111555513928</v>
      </c>
      <c r="AL22" s="43">
        <f t="shared" si="10"/>
        <v>0.13195411900508786</v>
      </c>
    </row>
    <row r="23" spans="1:38">
      <c r="A23" s="4" t="s">
        <v>159</v>
      </c>
      <c r="B23" s="4">
        <v>9</v>
      </c>
      <c r="C23" s="101">
        <v>51</v>
      </c>
      <c r="D23" s="101">
        <v>95</v>
      </c>
      <c r="E23" s="101">
        <v>105</v>
      </c>
      <c r="F23" s="101">
        <v>162.46000000000004</v>
      </c>
      <c r="G23" s="101">
        <v>259.16000000000003</v>
      </c>
      <c r="H23" s="101">
        <v>437.3</v>
      </c>
      <c r="I23" s="101">
        <v>27</v>
      </c>
      <c r="J23" s="101">
        <v>29</v>
      </c>
      <c r="K23" s="101">
        <v>30</v>
      </c>
      <c r="L23" s="101">
        <v>42.7</v>
      </c>
      <c r="M23" s="101">
        <v>52.6</v>
      </c>
      <c r="N23" s="101">
        <v>83</v>
      </c>
      <c r="P23" s="5" t="s">
        <v>97</v>
      </c>
      <c r="Q23" s="1">
        <v>1</v>
      </c>
      <c r="R23" s="1">
        <v>4</v>
      </c>
      <c r="S23" s="1">
        <v>9</v>
      </c>
      <c r="T23" s="1">
        <v>14</v>
      </c>
      <c r="U23" s="1">
        <v>19</v>
      </c>
      <c r="V23" s="1">
        <v>29</v>
      </c>
      <c r="W23" s="36">
        <v>1</v>
      </c>
      <c r="X23" s="27">
        <v>1</v>
      </c>
      <c r="Y23" s="36">
        <v>2</v>
      </c>
      <c r="Z23" s="36">
        <v>3</v>
      </c>
      <c r="AA23" s="5">
        <v>4</v>
      </c>
      <c r="AB23" s="4">
        <f t="shared" si="0"/>
        <v>3</v>
      </c>
      <c r="AC23" s="4">
        <f t="shared" si="1"/>
        <v>8</v>
      </c>
      <c r="AD23" s="4">
        <f t="shared" si="2"/>
        <v>12</v>
      </c>
      <c r="AE23" s="4">
        <f t="shared" si="3"/>
        <v>16</v>
      </c>
      <c r="AF23" s="4">
        <f t="shared" si="4"/>
        <v>25</v>
      </c>
      <c r="AH23" s="43">
        <f t="shared" si="6"/>
        <v>0.11415525114155251</v>
      </c>
      <c r="AI23" s="43">
        <f t="shared" si="7"/>
        <v>0.12510164508663288</v>
      </c>
      <c r="AJ23" s="43">
        <f t="shared" si="8"/>
        <v>0.13698630136986301</v>
      </c>
      <c r="AK23" s="43">
        <f t="shared" si="9"/>
        <v>0.13657997594143723</v>
      </c>
      <c r="AL23" s="43">
        <f t="shared" si="10"/>
        <v>0.13537694030353459</v>
      </c>
    </row>
    <row r="24" spans="1:38">
      <c r="A24" s="4" t="s">
        <v>160</v>
      </c>
      <c r="B24" s="4">
        <v>24</v>
      </c>
      <c r="C24" s="101">
        <v>32</v>
      </c>
      <c r="D24" s="101">
        <v>123</v>
      </c>
      <c r="E24" s="101">
        <v>127</v>
      </c>
      <c r="F24" s="101">
        <v>108.00999999999999</v>
      </c>
      <c r="G24" s="101">
        <v>127.1</v>
      </c>
      <c r="H24" s="101">
        <v>199.7</v>
      </c>
      <c r="I24" s="101">
        <v>11</v>
      </c>
      <c r="J24" s="101">
        <v>13</v>
      </c>
      <c r="K24" s="101">
        <v>13</v>
      </c>
      <c r="L24" s="101">
        <v>12.599999999999998</v>
      </c>
      <c r="M24" s="101">
        <v>19.399999999999999</v>
      </c>
      <c r="N24" s="101">
        <v>46.1</v>
      </c>
      <c r="P24" s="5" t="s">
        <v>98</v>
      </c>
      <c r="Q24" s="1">
        <v>3</v>
      </c>
      <c r="R24" s="1">
        <v>3</v>
      </c>
      <c r="S24" s="1">
        <v>6</v>
      </c>
      <c r="T24" s="1">
        <v>14</v>
      </c>
      <c r="U24" s="1">
        <v>15</v>
      </c>
      <c r="V24" s="1">
        <v>16</v>
      </c>
      <c r="W24" s="36">
        <v>0.2</v>
      </c>
      <c r="X24" s="27">
        <v>1</v>
      </c>
      <c r="Y24" s="36">
        <v>1</v>
      </c>
      <c r="Z24" s="36">
        <v>1</v>
      </c>
      <c r="AA24" s="5">
        <v>1</v>
      </c>
      <c r="AB24" s="4">
        <f t="shared" si="0"/>
        <v>2.8</v>
      </c>
      <c r="AC24" s="4">
        <f t="shared" si="1"/>
        <v>5</v>
      </c>
      <c r="AD24" s="4">
        <f t="shared" si="2"/>
        <v>13</v>
      </c>
      <c r="AE24" s="4">
        <f t="shared" si="3"/>
        <v>14</v>
      </c>
      <c r="AF24" s="4">
        <f t="shared" si="4"/>
        <v>15</v>
      </c>
      <c r="AH24" s="43">
        <f t="shared" si="6"/>
        <v>0.11415525114155251</v>
      </c>
      <c r="AI24" s="43">
        <f t="shared" si="7"/>
        <v>7.3648549123582263E-2</v>
      </c>
      <c r="AJ24" s="43">
        <f t="shared" si="8"/>
        <v>0.11872146118721461</v>
      </c>
      <c r="AK24" s="43">
        <f t="shared" si="9"/>
        <v>0.13600897970143697</v>
      </c>
      <c r="AL24" s="43">
        <f t="shared" si="10"/>
        <v>0.14566192566231023</v>
      </c>
    </row>
    <row r="25" spans="1:38">
      <c r="A25" s="4" t="s">
        <v>161</v>
      </c>
      <c r="B25" s="4">
        <v>0</v>
      </c>
      <c r="C25" s="101">
        <v>0</v>
      </c>
      <c r="D25" s="101">
        <v>0</v>
      </c>
      <c r="E25" s="101">
        <v>58</v>
      </c>
      <c r="F25" s="101">
        <v>49.17</v>
      </c>
      <c r="G25" s="101">
        <v>54.17</v>
      </c>
      <c r="H25" s="101">
        <v>54.2</v>
      </c>
      <c r="I25" s="101">
        <v>12</v>
      </c>
      <c r="J25" s="101">
        <v>43</v>
      </c>
      <c r="K25" s="101">
        <v>7</v>
      </c>
      <c r="L25" s="101">
        <v>7.3999999999999995</v>
      </c>
      <c r="M25" s="101">
        <v>9.1999999999999993</v>
      </c>
      <c r="N25" s="101">
        <v>15.1</v>
      </c>
      <c r="P25" s="5" t="s">
        <v>99</v>
      </c>
      <c r="Q25" s="1">
        <v>0.02</v>
      </c>
      <c r="R25" s="1">
        <v>0.2</v>
      </c>
      <c r="S25" s="98">
        <v>2</v>
      </c>
      <c r="T25" s="98">
        <v>3</v>
      </c>
      <c r="U25" s="1">
        <v>4</v>
      </c>
      <c r="V25" s="1">
        <v>5</v>
      </c>
      <c r="W25" s="36">
        <v>0.2</v>
      </c>
      <c r="X25" s="27">
        <v>2</v>
      </c>
      <c r="Y25" s="36">
        <v>0.4</v>
      </c>
      <c r="Z25" s="36">
        <v>0.4</v>
      </c>
      <c r="AA25" s="5">
        <v>1</v>
      </c>
      <c r="AB25" s="4">
        <f t="shared" si="0"/>
        <v>0</v>
      </c>
      <c r="AC25" s="4">
        <f t="shared" si="1"/>
        <v>0</v>
      </c>
      <c r="AD25" s="4">
        <f t="shared" si="2"/>
        <v>2.6</v>
      </c>
      <c r="AE25" s="4">
        <f t="shared" si="3"/>
        <v>3.6</v>
      </c>
      <c r="AF25" s="4">
        <f t="shared" si="4"/>
        <v>4</v>
      </c>
      <c r="AH25" s="43"/>
      <c r="AI25" s="43"/>
      <c r="AJ25" s="43">
        <f t="shared" si="8"/>
        <v>0.10234608723035743</v>
      </c>
      <c r="AK25" s="43">
        <f t="shared" si="9"/>
        <v>7.6692899899148848E-2</v>
      </c>
      <c r="AL25" s="43">
        <f t="shared" si="10"/>
        <v>8.8372557492976594E-2</v>
      </c>
    </row>
    <row r="26" spans="1:38">
      <c r="A26" s="4" t="s">
        <v>162</v>
      </c>
      <c r="B26" s="4">
        <v>90</v>
      </c>
      <c r="C26" s="101">
        <v>116</v>
      </c>
      <c r="D26" s="101">
        <v>168</v>
      </c>
      <c r="E26" s="101">
        <v>169</v>
      </c>
      <c r="F26" s="101">
        <v>169.01</v>
      </c>
      <c r="G26" s="101">
        <v>169.01</v>
      </c>
      <c r="H26" s="101">
        <v>173</v>
      </c>
      <c r="I26" s="101">
        <v>19</v>
      </c>
      <c r="J26" s="101">
        <v>13</v>
      </c>
      <c r="K26" s="101">
        <v>19</v>
      </c>
      <c r="L26" s="101">
        <v>22.099999999999998</v>
      </c>
      <c r="M26" s="101">
        <v>26.9</v>
      </c>
      <c r="N26" s="101">
        <v>33.200000000000003</v>
      </c>
      <c r="P26" s="5" t="s">
        <v>100</v>
      </c>
      <c r="Q26" s="1">
        <v>11</v>
      </c>
      <c r="R26" s="1">
        <v>16</v>
      </c>
      <c r="S26" s="98">
        <v>22</v>
      </c>
      <c r="T26" s="98">
        <v>28</v>
      </c>
      <c r="U26" s="98">
        <v>27</v>
      </c>
      <c r="V26" s="1">
        <v>30</v>
      </c>
      <c r="W26" s="36">
        <v>1</v>
      </c>
      <c r="X26" s="27">
        <v>1</v>
      </c>
      <c r="Y26" s="36">
        <v>2</v>
      </c>
      <c r="Z26" s="36">
        <v>2</v>
      </c>
      <c r="AA26" s="5">
        <v>2</v>
      </c>
      <c r="AB26" s="4">
        <f t="shared" si="0"/>
        <v>15</v>
      </c>
      <c r="AC26" s="4">
        <f t="shared" si="1"/>
        <v>21</v>
      </c>
      <c r="AD26" s="4">
        <f t="shared" si="2"/>
        <v>26</v>
      </c>
      <c r="AE26" s="4">
        <f t="shared" si="3"/>
        <v>25</v>
      </c>
      <c r="AF26" s="4">
        <f t="shared" si="4"/>
        <v>28</v>
      </c>
      <c r="AH26" s="43">
        <f t="shared" ref="AH26:AH34" si="11">AB26/(AVERAGE(B26:C26))*10000/8760</f>
        <v>0.16624551137119295</v>
      </c>
      <c r="AI26" s="43">
        <f t="shared" ref="AI26:AI34" si="12">AC26/(AVERAGE(C26:D26))*10000/8760</f>
        <v>0.16882114605440865</v>
      </c>
      <c r="AJ26" s="43">
        <f t="shared" ref="AJ26:AJ34" si="13">AD26/(AVERAGE(D26:E26))*10000/8760</f>
        <v>0.1761446011679742</v>
      </c>
      <c r="AK26" s="43">
        <f t="shared" ref="AK26:AK34" si="14">AE26/(AVERAGE(E26:F26))*10000/8760</f>
        <v>0.16886371873842862</v>
      </c>
      <c r="AL26" s="43">
        <f t="shared" ref="AL26:AL34" si="15">AF26/(AVERAGE(F26:G26))*10000/8760</f>
        <v>0.18912176983394299</v>
      </c>
    </row>
    <row r="27" spans="1:38">
      <c r="A27" s="4" t="s">
        <v>163</v>
      </c>
      <c r="B27" s="4">
        <v>46</v>
      </c>
      <c r="C27" s="101">
        <v>135</v>
      </c>
      <c r="D27" s="101">
        <v>161</v>
      </c>
      <c r="E27" s="101">
        <v>491</v>
      </c>
      <c r="F27" s="101">
        <v>970.66999999999985</v>
      </c>
      <c r="G27" s="101">
        <v>1117.5999999999999</v>
      </c>
      <c r="H27" s="101">
        <v>1396.6</v>
      </c>
      <c r="I27" s="101"/>
      <c r="J27" s="101">
        <v>17</v>
      </c>
      <c r="K27" s="101">
        <v>19</v>
      </c>
      <c r="L27" s="101">
        <v>19</v>
      </c>
      <c r="M27" s="101">
        <v>19.399999999999999</v>
      </c>
      <c r="N27" s="101">
        <v>23.7</v>
      </c>
      <c r="P27" s="5" t="s">
        <v>101</v>
      </c>
      <c r="Q27" s="1">
        <v>1</v>
      </c>
      <c r="R27" s="1">
        <v>6</v>
      </c>
      <c r="S27" s="98">
        <v>16</v>
      </c>
      <c r="T27" s="98">
        <v>20</v>
      </c>
      <c r="U27" s="98">
        <v>45</v>
      </c>
      <c r="V27" s="1">
        <v>83</v>
      </c>
      <c r="W27" s="27"/>
      <c r="X27" s="27">
        <v>1</v>
      </c>
      <c r="Y27" s="36">
        <v>1</v>
      </c>
      <c r="Z27" s="36">
        <v>1</v>
      </c>
      <c r="AA27" s="5">
        <v>1</v>
      </c>
      <c r="AB27" s="4">
        <f t="shared" si="0"/>
        <v>6</v>
      </c>
      <c r="AC27" s="4">
        <f t="shared" si="1"/>
        <v>15</v>
      </c>
      <c r="AD27" s="4">
        <f t="shared" si="2"/>
        <v>19</v>
      </c>
      <c r="AE27" s="4">
        <f t="shared" si="3"/>
        <v>44</v>
      </c>
      <c r="AF27" s="4">
        <f t="shared" si="4"/>
        <v>82</v>
      </c>
      <c r="AH27" s="43">
        <f t="shared" si="11"/>
        <v>7.5683039430863547E-2</v>
      </c>
      <c r="AI27" s="43">
        <f t="shared" si="12"/>
        <v>0.11569788967049241</v>
      </c>
      <c r="AJ27" s="43">
        <f t="shared" si="13"/>
        <v>6.6532201585567413E-2</v>
      </c>
      <c r="AK27" s="43">
        <f t="shared" si="14"/>
        <v>6.8727292073153465E-2</v>
      </c>
      <c r="AL27" s="43">
        <f t="shared" si="15"/>
        <v>8.9650577689736555E-2</v>
      </c>
    </row>
    <row r="28" spans="1:38">
      <c r="A28" s="4" t="s">
        <v>164</v>
      </c>
      <c r="B28" s="4">
        <v>208</v>
      </c>
      <c r="C28" s="101">
        <v>237.5</v>
      </c>
      <c r="D28" s="101">
        <v>312</v>
      </c>
      <c r="E28" s="101">
        <v>350</v>
      </c>
      <c r="F28" s="101">
        <v>295.43</v>
      </c>
      <c r="G28" s="101">
        <v>349.91</v>
      </c>
      <c r="H28" s="101">
        <v>525.20000000000005</v>
      </c>
      <c r="I28" s="101">
        <v>0.5</v>
      </c>
      <c r="J28" s="101">
        <v>14</v>
      </c>
      <c r="K28" s="101">
        <v>25</v>
      </c>
      <c r="L28" s="101">
        <v>38.400000000000006</v>
      </c>
      <c r="M28" s="101">
        <v>47.2</v>
      </c>
      <c r="N28" s="101">
        <v>60.1</v>
      </c>
      <c r="P28" s="5" t="s">
        <v>102</v>
      </c>
      <c r="Q28" s="1">
        <v>23</v>
      </c>
      <c r="R28" s="1">
        <v>28</v>
      </c>
      <c r="S28" s="1">
        <v>34</v>
      </c>
      <c r="T28" s="1">
        <v>48</v>
      </c>
      <c r="U28" s="1">
        <v>50</v>
      </c>
      <c r="V28" s="1">
        <v>51</v>
      </c>
      <c r="W28" s="36">
        <v>0.3</v>
      </c>
      <c r="X28" s="27">
        <v>1</v>
      </c>
      <c r="Y28" s="36">
        <v>2</v>
      </c>
      <c r="Z28" s="36">
        <v>3</v>
      </c>
      <c r="AA28" s="5">
        <v>4</v>
      </c>
      <c r="AB28" s="4">
        <f t="shared" si="0"/>
        <v>27.7</v>
      </c>
      <c r="AC28" s="4">
        <f t="shared" si="1"/>
        <v>33</v>
      </c>
      <c r="AD28" s="4">
        <f t="shared" si="2"/>
        <v>46</v>
      </c>
      <c r="AE28" s="4">
        <f t="shared" si="3"/>
        <v>47</v>
      </c>
      <c r="AF28" s="4">
        <f t="shared" si="4"/>
        <v>47</v>
      </c>
      <c r="AH28" s="43">
        <f t="shared" si="11"/>
        <v>0.14195737178994408</v>
      </c>
      <c r="AI28" s="43">
        <f t="shared" si="12"/>
        <v>0.13711094768594112</v>
      </c>
      <c r="AJ28" s="43">
        <f t="shared" si="13"/>
        <v>0.15864475989460472</v>
      </c>
      <c r="AK28" s="43">
        <f t="shared" si="14"/>
        <v>0.16625495572418283</v>
      </c>
      <c r="AL28" s="43">
        <f t="shared" si="15"/>
        <v>0.16627814186794457</v>
      </c>
    </row>
    <row r="29" spans="1:38">
      <c r="A29" s="4" t="s">
        <v>165</v>
      </c>
      <c r="B29" s="4">
        <v>33</v>
      </c>
      <c r="C29" s="101">
        <v>79</v>
      </c>
      <c r="D29" s="101">
        <v>98</v>
      </c>
      <c r="E29" s="101">
        <v>110</v>
      </c>
      <c r="F29" s="101">
        <v>136.26</v>
      </c>
      <c r="G29" s="101">
        <v>136.51</v>
      </c>
      <c r="H29" s="101">
        <v>175.9</v>
      </c>
      <c r="I29" s="101"/>
      <c r="J29" s="101"/>
      <c r="K29" s="101">
        <v>0</v>
      </c>
      <c r="L29" s="101">
        <v>0</v>
      </c>
      <c r="M29" s="101">
        <v>2.2000000000000002</v>
      </c>
      <c r="N29" s="101">
        <v>2.2000000000000002</v>
      </c>
      <c r="P29" s="5" t="s">
        <v>103</v>
      </c>
      <c r="Q29" s="1">
        <v>4</v>
      </c>
      <c r="R29" s="1">
        <v>6</v>
      </c>
      <c r="S29" s="98">
        <v>8</v>
      </c>
      <c r="T29" s="98">
        <v>13</v>
      </c>
      <c r="U29" s="1">
        <v>14</v>
      </c>
      <c r="V29" s="1">
        <v>17</v>
      </c>
      <c r="W29" s="33"/>
      <c r="X29" s="33"/>
      <c r="Y29" s="33"/>
      <c r="Z29" s="33"/>
      <c r="AA29" s="5"/>
      <c r="AB29" s="4">
        <f t="shared" si="0"/>
        <v>6</v>
      </c>
      <c r="AC29" s="4">
        <f t="shared" si="1"/>
        <v>8</v>
      </c>
      <c r="AD29" s="4">
        <f t="shared" si="2"/>
        <v>13</v>
      </c>
      <c r="AE29" s="4">
        <f t="shared" si="3"/>
        <v>14</v>
      </c>
      <c r="AF29" s="4">
        <f t="shared" si="4"/>
        <v>17</v>
      </c>
      <c r="AH29" s="43">
        <f t="shared" si="11"/>
        <v>0.1223091976516634</v>
      </c>
      <c r="AI29" s="43">
        <f t="shared" si="12"/>
        <v>0.10319118747258983</v>
      </c>
      <c r="AJ29" s="43">
        <f t="shared" si="13"/>
        <v>0.14269406392694065</v>
      </c>
      <c r="AK29" s="43">
        <f t="shared" si="14"/>
        <v>0.12979562381074761</v>
      </c>
      <c r="AL29" s="43">
        <f t="shared" si="15"/>
        <v>0.14229125412665564</v>
      </c>
    </row>
    <row r="30" spans="1:38">
      <c r="A30" s="4" t="s">
        <v>166</v>
      </c>
      <c r="B30" s="4">
        <v>322</v>
      </c>
      <c r="C30" s="101">
        <v>484</v>
      </c>
      <c r="D30" s="101">
        <v>640</v>
      </c>
      <c r="E30" s="101">
        <v>778</v>
      </c>
      <c r="F30" s="101">
        <v>893.42</v>
      </c>
      <c r="G30" s="101">
        <v>1102.82</v>
      </c>
      <c r="H30" s="101">
        <v>1193.7</v>
      </c>
      <c r="I30" s="101">
        <v>51</v>
      </c>
      <c r="J30" s="101">
        <v>76</v>
      </c>
      <c r="K30" s="101">
        <v>162</v>
      </c>
      <c r="L30" s="101">
        <v>190.70000000000002</v>
      </c>
      <c r="M30" s="101">
        <v>210.9</v>
      </c>
      <c r="N30" s="101">
        <v>322.5</v>
      </c>
      <c r="P30" s="5" t="s">
        <v>104</v>
      </c>
      <c r="Q30" s="1">
        <v>20</v>
      </c>
      <c r="R30" s="1">
        <v>52</v>
      </c>
      <c r="S30" s="1">
        <v>71</v>
      </c>
      <c r="T30" s="1">
        <v>94</v>
      </c>
      <c r="U30" s="1">
        <v>119</v>
      </c>
      <c r="V30" s="1">
        <v>141</v>
      </c>
      <c r="W30" s="36">
        <v>2</v>
      </c>
      <c r="X30" s="27">
        <v>6</v>
      </c>
      <c r="Y30" s="36">
        <v>14</v>
      </c>
      <c r="Z30" s="36">
        <v>16</v>
      </c>
      <c r="AA30" s="5">
        <v>20</v>
      </c>
      <c r="AB30" s="4">
        <f t="shared" si="0"/>
        <v>50</v>
      </c>
      <c r="AC30" s="4">
        <f t="shared" si="1"/>
        <v>65</v>
      </c>
      <c r="AD30" s="4">
        <f t="shared" si="2"/>
        <v>80</v>
      </c>
      <c r="AE30" s="4">
        <f t="shared" si="3"/>
        <v>103</v>
      </c>
      <c r="AF30" s="4">
        <f t="shared" si="4"/>
        <v>121</v>
      </c>
      <c r="AH30" s="43">
        <f t="shared" si="11"/>
        <v>0.14163182523765819</v>
      </c>
      <c r="AI30" s="43">
        <f t="shared" si="12"/>
        <v>0.13203009473667104</v>
      </c>
      <c r="AJ30" s="43">
        <f t="shared" si="13"/>
        <v>0.12880705347424826</v>
      </c>
      <c r="AK30" s="43">
        <f t="shared" si="14"/>
        <v>0.14069462932811511</v>
      </c>
      <c r="AL30" s="43">
        <f t="shared" si="15"/>
        <v>0.13838802336520514</v>
      </c>
    </row>
    <row r="31" spans="1:38">
      <c r="A31" s="4" t="s">
        <v>167</v>
      </c>
      <c r="B31" s="4">
        <v>680</v>
      </c>
      <c r="C31" s="101">
        <v>768</v>
      </c>
      <c r="D31" s="101">
        <v>790</v>
      </c>
      <c r="E31" s="101">
        <v>836</v>
      </c>
      <c r="F31" s="101">
        <v>891.32</v>
      </c>
      <c r="G31" s="101">
        <v>1047.6500000000001</v>
      </c>
      <c r="H31" s="101">
        <v>1310.9</v>
      </c>
      <c r="I31" s="101">
        <v>18</v>
      </c>
      <c r="J31" s="101">
        <v>49</v>
      </c>
      <c r="K31" s="101">
        <v>71</v>
      </c>
      <c r="L31" s="101">
        <v>74</v>
      </c>
      <c r="M31" s="101">
        <v>77.099999999999994</v>
      </c>
      <c r="N31" s="101">
        <v>85.5</v>
      </c>
      <c r="P31" s="5" t="s">
        <v>105</v>
      </c>
      <c r="Q31" s="1">
        <v>60</v>
      </c>
      <c r="R31" s="1">
        <v>73</v>
      </c>
      <c r="S31" s="1">
        <v>95</v>
      </c>
      <c r="T31" s="1">
        <v>118</v>
      </c>
      <c r="U31" s="98">
        <v>133</v>
      </c>
      <c r="V31" s="1">
        <v>150</v>
      </c>
      <c r="W31" s="36">
        <v>1</v>
      </c>
      <c r="X31" s="27">
        <v>2</v>
      </c>
      <c r="Y31" s="36">
        <v>6</v>
      </c>
      <c r="Z31" s="36">
        <v>9</v>
      </c>
      <c r="AA31" s="5">
        <v>9</v>
      </c>
      <c r="AB31" s="4">
        <f t="shared" si="0"/>
        <v>72</v>
      </c>
      <c r="AC31" s="4">
        <f t="shared" si="1"/>
        <v>93</v>
      </c>
      <c r="AD31" s="4">
        <f t="shared" si="2"/>
        <v>112</v>
      </c>
      <c r="AE31" s="4">
        <f t="shared" si="3"/>
        <v>124</v>
      </c>
      <c r="AF31" s="4">
        <f t="shared" si="4"/>
        <v>141</v>
      </c>
      <c r="AH31" s="43">
        <f t="shared" si="11"/>
        <v>0.11352455914629531</v>
      </c>
      <c r="AI31" s="43">
        <f t="shared" si="12"/>
        <v>0.13628290572739904</v>
      </c>
      <c r="AJ31" s="43">
        <f t="shared" si="13"/>
        <v>0.15726184659106865</v>
      </c>
      <c r="AK31" s="43">
        <f t="shared" si="14"/>
        <v>0.16389842231378679</v>
      </c>
      <c r="AL31" s="43">
        <f t="shared" si="15"/>
        <v>0.16602516192575337</v>
      </c>
    </row>
    <row r="32" spans="1:38">
      <c r="A32" s="4" t="s">
        <v>168</v>
      </c>
      <c r="B32" s="4">
        <v>682</v>
      </c>
      <c r="C32" s="101">
        <v>786</v>
      </c>
      <c r="D32" s="101">
        <v>952</v>
      </c>
      <c r="E32" s="101">
        <v>1086</v>
      </c>
      <c r="F32" s="101">
        <v>1532.09</v>
      </c>
      <c r="G32" s="101">
        <v>1594.77</v>
      </c>
      <c r="H32" s="101">
        <v>1805.5</v>
      </c>
      <c r="I32" s="101">
        <v>5</v>
      </c>
      <c r="J32" s="101">
        <v>10</v>
      </c>
      <c r="K32" s="101">
        <v>15</v>
      </c>
      <c r="L32" s="101">
        <v>15.7</v>
      </c>
      <c r="M32" s="101">
        <v>16</v>
      </c>
      <c r="N32" s="101">
        <v>15.7</v>
      </c>
      <c r="P32" s="5" t="s">
        <v>106</v>
      </c>
      <c r="Q32" s="1">
        <v>90</v>
      </c>
      <c r="R32" s="1">
        <v>113</v>
      </c>
      <c r="S32" s="1">
        <v>131</v>
      </c>
      <c r="T32" s="1">
        <v>158</v>
      </c>
      <c r="U32" s="1">
        <v>167</v>
      </c>
      <c r="V32" s="1">
        <v>211</v>
      </c>
      <c r="W32" s="36">
        <v>0.3</v>
      </c>
      <c r="X32" s="27">
        <v>1</v>
      </c>
      <c r="Y32" s="36">
        <v>2</v>
      </c>
      <c r="Z32" s="36">
        <v>2</v>
      </c>
      <c r="AA32" s="5">
        <v>2</v>
      </c>
      <c r="AB32" s="4">
        <f t="shared" si="0"/>
        <v>112.7</v>
      </c>
      <c r="AC32" s="4">
        <f t="shared" si="1"/>
        <v>130</v>
      </c>
      <c r="AD32" s="4">
        <f t="shared" si="2"/>
        <v>156</v>
      </c>
      <c r="AE32" s="4">
        <f t="shared" si="3"/>
        <v>165</v>
      </c>
      <c r="AF32" s="4">
        <f t="shared" si="4"/>
        <v>209</v>
      </c>
      <c r="AH32" s="43">
        <f t="shared" si="11"/>
        <v>0.17527652321053089</v>
      </c>
      <c r="AI32" s="43">
        <f t="shared" si="12"/>
        <v>0.1707731029735538</v>
      </c>
      <c r="AJ32" s="43">
        <f t="shared" si="13"/>
        <v>0.17476171911758773</v>
      </c>
      <c r="AK32" s="43">
        <f t="shared" si="14"/>
        <v>0.14388822720652203</v>
      </c>
      <c r="AL32" s="43">
        <f t="shared" si="15"/>
        <v>0.15260323448177709</v>
      </c>
    </row>
    <row r="33" spans="1:38">
      <c r="A33" s="4" t="s">
        <v>169</v>
      </c>
      <c r="B33" s="4">
        <v>505</v>
      </c>
      <c r="C33" s="101">
        <v>587</v>
      </c>
      <c r="D33" s="101">
        <v>761</v>
      </c>
      <c r="E33" s="101">
        <v>844</v>
      </c>
      <c r="F33" s="101">
        <v>1121.9599999999998</v>
      </c>
      <c r="G33" s="101">
        <v>1303.3599999999999</v>
      </c>
      <c r="H33" s="101">
        <v>1491.6</v>
      </c>
      <c r="I33" s="101">
        <v>33</v>
      </c>
      <c r="J33" s="101">
        <v>55</v>
      </c>
      <c r="K33" s="101">
        <v>74</v>
      </c>
      <c r="L33" s="101">
        <v>75.199999999999989</v>
      </c>
      <c r="M33" s="101">
        <v>80.599999999999994</v>
      </c>
      <c r="N33" s="101">
        <v>92.2</v>
      </c>
      <c r="P33" s="5" t="s">
        <v>107</v>
      </c>
      <c r="Q33" s="1">
        <v>55</v>
      </c>
      <c r="R33" s="1">
        <v>76</v>
      </c>
      <c r="S33" s="1">
        <v>97</v>
      </c>
      <c r="T33" s="1">
        <v>115</v>
      </c>
      <c r="U33" s="1">
        <v>136</v>
      </c>
      <c r="V33" s="1">
        <v>183</v>
      </c>
      <c r="W33" s="36">
        <v>3</v>
      </c>
      <c r="X33" s="27">
        <v>4</v>
      </c>
      <c r="Y33" s="36">
        <v>8</v>
      </c>
      <c r="Z33" s="36">
        <v>10</v>
      </c>
      <c r="AA33" s="5">
        <v>10</v>
      </c>
      <c r="AB33" s="4">
        <f t="shared" si="0"/>
        <v>73</v>
      </c>
      <c r="AC33" s="4">
        <f t="shared" si="1"/>
        <v>93</v>
      </c>
      <c r="AD33" s="4">
        <f t="shared" si="2"/>
        <v>107</v>
      </c>
      <c r="AE33" s="4">
        <f t="shared" si="3"/>
        <v>126</v>
      </c>
      <c r="AF33" s="4">
        <f t="shared" si="4"/>
        <v>173</v>
      </c>
      <c r="AH33" s="43">
        <f t="shared" si="11"/>
        <v>0.15262515262515264</v>
      </c>
      <c r="AI33" s="43">
        <f t="shared" si="12"/>
        <v>0.15751392219828461</v>
      </c>
      <c r="AJ33" s="43">
        <f t="shared" si="13"/>
        <v>0.15220700152207001</v>
      </c>
      <c r="AK33" s="43">
        <f t="shared" si="14"/>
        <v>0.14632608642938433</v>
      </c>
      <c r="AL33" s="43">
        <f t="shared" si="15"/>
        <v>0.16285569283631512</v>
      </c>
    </row>
    <row r="34" spans="1:38">
      <c r="A34" s="4" t="s">
        <v>170</v>
      </c>
      <c r="B34" s="4">
        <v>862</v>
      </c>
      <c r="C34" s="101">
        <v>933</v>
      </c>
      <c r="D34" s="101">
        <v>976</v>
      </c>
      <c r="E34" s="101">
        <v>1027</v>
      </c>
      <c r="F34" s="101">
        <v>1205.48</v>
      </c>
      <c r="G34" s="101">
        <v>1254.78</v>
      </c>
      <c r="H34" s="101">
        <v>1440.3</v>
      </c>
      <c r="I34" s="101">
        <v>1</v>
      </c>
      <c r="J34" s="101">
        <v>2</v>
      </c>
      <c r="K34" s="101">
        <v>14</v>
      </c>
      <c r="L34" s="101">
        <v>16.7</v>
      </c>
      <c r="M34" s="101">
        <v>17.2</v>
      </c>
      <c r="N34" s="101">
        <v>26.9</v>
      </c>
      <c r="P34" s="5" t="s">
        <v>108</v>
      </c>
      <c r="Q34" s="1">
        <v>67</v>
      </c>
      <c r="R34" s="1">
        <v>107</v>
      </c>
      <c r="S34" s="1">
        <v>116</v>
      </c>
      <c r="T34" s="1">
        <v>132</v>
      </c>
      <c r="U34" s="1">
        <v>157</v>
      </c>
      <c r="V34" s="1">
        <v>196</v>
      </c>
      <c r="W34" s="35">
        <v>0.01</v>
      </c>
      <c r="X34" s="35">
        <v>0.1</v>
      </c>
      <c r="Y34" s="35">
        <v>1</v>
      </c>
      <c r="Z34" s="27">
        <v>2</v>
      </c>
      <c r="AA34" s="5">
        <v>2</v>
      </c>
      <c r="AB34" s="4">
        <f t="shared" si="0"/>
        <v>106.99</v>
      </c>
      <c r="AC34" s="4">
        <f t="shared" si="1"/>
        <v>115.9</v>
      </c>
      <c r="AD34" s="4">
        <f t="shared" si="2"/>
        <v>131</v>
      </c>
      <c r="AE34" s="4">
        <f t="shared" si="3"/>
        <v>155</v>
      </c>
      <c r="AF34" s="4">
        <f t="shared" si="4"/>
        <v>194</v>
      </c>
      <c r="AH34" s="43">
        <f t="shared" si="11"/>
        <v>0.13608323475916104</v>
      </c>
      <c r="AI34" s="43">
        <f t="shared" si="12"/>
        <v>0.13861281935365047</v>
      </c>
      <c r="AJ34" s="43">
        <f t="shared" si="13"/>
        <v>0.14931939989559043</v>
      </c>
      <c r="AK34" s="43">
        <f t="shared" si="14"/>
        <v>0.15851487069931772</v>
      </c>
      <c r="AL34" s="43">
        <f t="shared" si="15"/>
        <v>0.18003071806606769</v>
      </c>
    </row>
    <row r="35" spans="1:38">
      <c r="A35" s="4" t="s">
        <v>171</v>
      </c>
      <c r="B35" s="4">
        <v>0</v>
      </c>
      <c r="C35" s="101">
        <v>0</v>
      </c>
      <c r="D35" s="101">
        <v>0</v>
      </c>
      <c r="E35" s="101">
        <v>39</v>
      </c>
      <c r="F35" s="101">
        <v>77.2</v>
      </c>
      <c r="G35" s="101">
        <v>77.2</v>
      </c>
      <c r="H35" s="101">
        <v>105.8</v>
      </c>
      <c r="I35" s="101"/>
      <c r="J35" s="101"/>
      <c r="K35" s="101">
        <v>0</v>
      </c>
      <c r="L35" s="101">
        <v>0</v>
      </c>
      <c r="M35" s="101">
        <v>0</v>
      </c>
      <c r="N35" s="101">
        <v>0</v>
      </c>
    </row>
  </sheetData>
  <mergeCells count="6">
    <mergeCell ref="W1:AA1"/>
    <mergeCell ref="AB1:AF1"/>
    <mergeCell ref="I1:N1"/>
    <mergeCell ref="B1:H1"/>
    <mergeCell ref="AH1:AL1"/>
    <mergeCell ref="Q1:V1"/>
  </mergeCells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BC894-A48C-4CA4-B2ED-E8E7690AAFAC}">
  <dimension ref="A1"/>
  <sheetViews>
    <sheetView workbookViewId="0">
      <selection activeCell="A5" sqref="A5"/>
    </sheetView>
  </sheetViews>
  <sheetFormatPr defaultRowHeight="12.75"/>
  <sheetData/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77E69-B707-4E63-9D23-3AAA134492F2}">
  <dimension ref="A1:M30"/>
  <sheetViews>
    <sheetView zoomScale="62" workbookViewId="0">
      <selection activeCell="K16" sqref="K16"/>
    </sheetView>
  </sheetViews>
  <sheetFormatPr defaultColWidth="12.5703125" defaultRowHeight="15.75"/>
  <cols>
    <col min="1" max="1" width="25.28515625" style="152" customWidth="1"/>
    <col min="2" max="2" width="35" style="152" bestFit="1" customWidth="1"/>
    <col min="3" max="3" width="17.140625" style="152" customWidth="1"/>
    <col min="4" max="5" width="16.140625" style="152" bestFit="1" customWidth="1"/>
    <col min="6" max="6" width="67.28515625" style="152" customWidth="1"/>
    <col min="7" max="7" width="12.5703125" style="152"/>
    <col min="8" max="8" width="22.85546875" style="153" bestFit="1" customWidth="1"/>
    <col min="9" max="10" width="12.5703125" style="152"/>
    <col min="11" max="11" width="18.5703125" style="152" bestFit="1" customWidth="1"/>
    <col min="12" max="12" width="29.42578125" style="152" bestFit="1" customWidth="1"/>
    <col min="13" max="13" width="15.85546875" style="152" bestFit="1" customWidth="1"/>
    <col min="14" max="16384" width="12.5703125" style="152"/>
  </cols>
  <sheetData>
    <row r="1" spans="1:13">
      <c r="A1" s="151" t="s">
        <v>211</v>
      </c>
      <c r="B1" s="151"/>
      <c r="C1" s="152" t="s">
        <v>212</v>
      </c>
      <c r="D1" s="152" t="s">
        <v>213</v>
      </c>
      <c r="E1" s="152" t="s">
        <v>214</v>
      </c>
      <c r="F1" s="152" t="s">
        <v>215</v>
      </c>
      <c r="G1" s="152" t="s">
        <v>216</v>
      </c>
      <c r="H1" s="153" t="s">
        <v>217</v>
      </c>
      <c r="K1" s="152" t="s">
        <v>240</v>
      </c>
      <c r="L1" s="152" t="s">
        <v>241</v>
      </c>
      <c r="M1" s="152" t="s">
        <v>242</v>
      </c>
    </row>
    <row r="2" spans="1:13">
      <c r="A2" s="154" t="s">
        <v>218</v>
      </c>
      <c r="B2" s="154"/>
      <c r="C2" s="152">
        <v>50</v>
      </c>
      <c r="D2" s="152">
        <v>1.9750000000000001</v>
      </c>
      <c r="E2" s="152" t="s">
        <v>219</v>
      </c>
      <c r="F2" s="152" t="s">
        <v>220</v>
      </c>
      <c r="G2" s="152" t="s">
        <v>221</v>
      </c>
      <c r="K2" s="152">
        <f>(SUM(C2:C14)+C19)</f>
        <v>949</v>
      </c>
      <c r="L2" s="152">
        <f>(SUM(D2:D14)+D19)*10^5</f>
        <v>4602700.0000000009</v>
      </c>
      <c r="M2" s="155">
        <f>(L2/K2)/8760</f>
        <v>0.55365898253869739</v>
      </c>
    </row>
    <row r="3" spans="1:13" ht="50.1" customHeight="1">
      <c r="A3" s="156" t="s">
        <v>222</v>
      </c>
      <c r="B3" s="156"/>
      <c r="C3" s="152">
        <v>100</v>
      </c>
      <c r="D3" s="152">
        <v>3.9</v>
      </c>
      <c r="E3" s="152" t="s">
        <v>223</v>
      </c>
      <c r="F3" s="152" t="s">
        <v>224</v>
      </c>
      <c r="G3" s="152" t="s">
        <v>221</v>
      </c>
    </row>
    <row r="4" spans="1:13" ht="31.5">
      <c r="A4" s="157" t="s">
        <v>225</v>
      </c>
      <c r="B4" s="157"/>
      <c r="C4" s="152">
        <v>50</v>
      </c>
      <c r="D4" s="152">
        <v>1.46</v>
      </c>
      <c r="E4" s="152" t="s">
        <v>223</v>
      </c>
      <c r="F4" s="158" t="s">
        <v>226</v>
      </c>
      <c r="G4" s="152" t="s">
        <v>221</v>
      </c>
    </row>
    <row r="5" spans="1:13" ht="31.5">
      <c r="A5" s="157" t="s">
        <v>227</v>
      </c>
      <c r="B5" s="157"/>
      <c r="C5" s="152">
        <v>50</v>
      </c>
      <c r="D5" s="152">
        <v>1.569</v>
      </c>
      <c r="E5" s="152" t="s">
        <v>223</v>
      </c>
      <c r="F5" s="158" t="s">
        <v>228</v>
      </c>
      <c r="G5" s="152" t="s">
        <v>221</v>
      </c>
    </row>
    <row r="6" spans="1:13" ht="31.5">
      <c r="A6" s="157" t="s">
        <v>229</v>
      </c>
      <c r="B6" s="157"/>
      <c r="C6" s="152">
        <v>50</v>
      </c>
      <c r="D6" s="152">
        <v>1.9830000000000001</v>
      </c>
      <c r="E6" s="152" t="s">
        <v>223</v>
      </c>
      <c r="F6" s="158" t="s">
        <v>230</v>
      </c>
      <c r="G6" s="152" t="s">
        <v>221</v>
      </c>
      <c r="H6" s="153" t="s">
        <v>231</v>
      </c>
    </row>
    <row r="7" spans="1:13" ht="31.5">
      <c r="A7" s="157" t="s">
        <v>232</v>
      </c>
      <c r="B7" s="157"/>
      <c r="C7" s="152">
        <v>50</v>
      </c>
      <c r="D7" s="152">
        <v>2.14</v>
      </c>
      <c r="E7" s="158" t="s">
        <v>233</v>
      </c>
      <c r="F7" s="158" t="s">
        <v>234</v>
      </c>
      <c r="G7" s="152" t="s">
        <v>221</v>
      </c>
    </row>
    <row r="8" spans="1:13" ht="47.25">
      <c r="A8" s="157" t="s">
        <v>235</v>
      </c>
      <c r="B8" s="157"/>
      <c r="C8" s="152">
        <v>100</v>
      </c>
      <c r="D8" s="152">
        <v>3.92</v>
      </c>
      <c r="E8" s="152" t="s">
        <v>219</v>
      </c>
      <c r="F8" s="158" t="s">
        <v>236</v>
      </c>
      <c r="G8" s="152" t="s">
        <v>221</v>
      </c>
      <c r="H8" s="153" t="s">
        <v>237</v>
      </c>
    </row>
    <row r="9" spans="1:13" ht="41.1" customHeight="1">
      <c r="A9" s="157" t="s">
        <v>238</v>
      </c>
      <c r="B9" s="157"/>
      <c r="C9" s="152">
        <v>50</v>
      </c>
      <c r="D9" s="152">
        <v>1.6</v>
      </c>
      <c r="E9" s="152" t="s">
        <v>223</v>
      </c>
      <c r="F9" s="152" t="s">
        <v>239</v>
      </c>
      <c r="G9" s="152" t="s">
        <v>221</v>
      </c>
    </row>
    <row r="10" spans="1:13">
      <c r="A10" s="159" t="s">
        <v>243</v>
      </c>
      <c r="B10" s="159"/>
      <c r="C10" s="160">
        <v>50</v>
      </c>
      <c r="D10" s="152">
        <v>2.16</v>
      </c>
      <c r="E10" s="152" t="s">
        <v>223</v>
      </c>
      <c r="F10" s="161">
        <v>44560</v>
      </c>
      <c r="G10" s="152" t="s">
        <v>221</v>
      </c>
      <c r="H10" s="161" t="s">
        <v>244</v>
      </c>
    </row>
    <row r="11" spans="1:13">
      <c r="A11" s="159" t="s">
        <v>245</v>
      </c>
      <c r="B11" s="159"/>
      <c r="C11" s="160">
        <v>50</v>
      </c>
      <c r="D11" s="152">
        <v>2.56</v>
      </c>
      <c r="E11" s="152" t="s">
        <v>219</v>
      </c>
      <c r="G11" s="152" t="s">
        <v>246</v>
      </c>
      <c r="H11" s="162" t="s">
        <v>247</v>
      </c>
    </row>
    <row r="12" spans="1:13">
      <c r="A12" s="159" t="s">
        <v>248</v>
      </c>
      <c r="B12" s="159"/>
      <c r="C12" s="160">
        <v>135</v>
      </c>
      <c r="D12" s="152">
        <v>4.3499999999999996</v>
      </c>
      <c r="E12" s="152" t="s">
        <v>223</v>
      </c>
      <c r="G12" s="152" t="s">
        <v>246</v>
      </c>
      <c r="H12" s="153" t="s">
        <v>249</v>
      </c>
    </row>
    <row r="13" spans="1:13">
      <c r="A13" s="159" t="s">
        <v>250</v>
      </c>
      <c r="B13" s="159"/>
      <c r="C13" s="160">
        <v>100</v>
      </c>
      <c r="D13" s="152">
        <v>13.7</v>
      </c>
      <c r="E13" s="152" t="s">
        <v>223</v>
      </c>
      <c r="F13" s="152" t="s">
        <v>251</v>
      </c>
      <c r="H13" s="161">
        <v>44645</v>
      </c>
    </row>
    <row r="14" spans="1:13" ht="33.950000000000003" customHeight="1">
      <c r="A14" s="159" t="s">
        <v>252</v>
      </c>
      <c r="B14" s="159"/>
      <c r="C14" s="160">
        <v>50</v>
      </c>
      <c r="D14" s="152">
        <v>1.21</v>
      </c>
      <c r="E14" s="152" t="s">
        <v>223</v>
      </c>
    </row>
    <row r="15" spans="1:13" ht="51" customHeight="1">
      <c r="A15" s="163" t="s">
        <v>253</v>
      </c>
      <c r="B15" s="163"/>
      <c r="C15" s="160">
        <v>100</v>
      </c>
      <c r="E15" s="152" t="s">
        <v>223</v>
      </c>
      <c r="G15" s="152" t="s">
        <v>254</v>
      </c>
    </row>
    <row r="16" spans="1:13" ht="68.099999999999994" customHeight="1">
      <c r="A16" s="163" t="s">
        <v>255</v>
      </c>
      <c r="B16" s="163"/>
      <c r="C16" s="160">
        <v>50</v>
      </c>
      <c r="E16" s="152" t="s">
        <v>219</v>
      </c>
      <c r="H16" s="153" t="s">
        <v>256</v>
      </c>
    </row>
    <row r="17" spans="1:9" ht="68.099999999999994" customHeight="1">
      <c r="A17" s="164" t="s">
        <v>257</v>
      </c>
      <c r="B17" s="160"/>
      <c r="C17" s="160">
        <v>50</v>
      </c>
      <c r="E17" s="152" t="s">
        <v>219</v>
      </c>
      <c r="H17" s="153" t="s">
        <v>258</v>
      </c>
    </row>
    <row r="18" spans="1:9" ht="68.099999999999994" customHeight="1">
      <c r="A18" s="163" t="s">
        <v>259</v>
      </c>
      <c r="B18" s="163"/>
      <c r="C18" s="160">
        <v>100</v>
      </c>
      <c r="E18" s="152" t="s">
        <v>219</v>
      </c>
    </row>
    <row r="19" spans="1:9" ht="51" customHeight="1">
      <c r="A19" s="163" t="s">
        <v>260</v>
      </c>
      <c r="B19" s="163"/>
      <c r="C19" s="160">
        <v>64</v>
      </c>
      <c r="D19" s="152">
        <v>3.5</v>
      </c>
      <c r="E19" s="152" t="s">
        <v>219</v>
      </c>
      <c r="H19" s="161" t="s">
        <v>261</v>
      </c>
    </row>
    <row r="20" spans="1:9" ht="51" customHeight="1">
      <c r="A20" s="163" t="s">
        <v>262</v>
      </c>
      <c r="B20" s="163"/>
      <c r="C20" s="160">
        <v>50</v>
      </c>
      <c r="E20" s="158" t="s">
        <v>233</v>
      </c>
      <c r="G20" s="152" t="s">
        <v>254</v>
      </c>
    </row>
    <row r="21" spans="1:9" ht="51" customHeight="1">
      <c r="A21" s="163" t="s">
        <v>263</v>
      </c>
      <c r="B21" s="163"/>
      <c r="C21" s="160">
        <v>50</v>
      </c>
      <c r="E21" s="158" t="s">
        <v>233</v>
      </c>
      <c r="G21" s="152" t="s">
        <v>254</v>
      </c>
    </row>
    <row r="22" spans="1:9" ht="51" customHeight="1">
      <c r="A22" s="163" t="s">
        <v>264</v>
      </c>
      <c r="B22" s="163"/>
      <c r="C22" s="160">
        <v>50</v>
      </c>
      <c r="E22" s="158" t="s">
        <v>233</v>
      </c>
      <c r="H22" s="161">
        <v>42842</v>
      </c>
    </row>
    <row r="23" spans="1:9" ht="68.099999999999994" customHeight="1"/>
    <row r="24" spans="1:9" ht="51" customHeight="1"/>
    <row r="27" spans="1:9">
      <c r="I27" s="151"/>
    </row>
    <row r="28" spans="1:9">
      <c r="I28" s="151"/>
    </row>
    <row r="29" spans="1:9">
      <c r="I29" s="151"/>
    </row>
    <row r="30" spans="1:9">
      <c r="I30" s="151"/>
    </row>
  </sheetData>
  <mergeCells count="22">
    <mergeCell ref="A20:B20"/>
    <mergeCell ref="A21:B21"/>
    <mergeCell ref="A22:B22"/>
    <mergeCell ref="I27:I30"/>
    <mergeCell ref="A13:B13"/>
    <mergeCell ref="A14:B14"/>
    <mergeCell ref="A15:B15"/>
    <mergeCell ref="A16:B16"/>
    <mergeCell ref="A18:B18"/>
    <mergeCell ref="A19:B19"/>
    <mergeCell ref="A7:B7"/>
    <mergeCell ref="A8:B8"/>
    <mergeCell ref="A9:B9"/>
    <mergeCell ref="A10:B10"/>
    <mergeCell ref="A11:B11"/>
    <mergeCell ref="A12:B12"/>
    <mergeCell ref="A1:B1"/>
    <mergeCell ref="A2:B2"/>
    <mergeCell ref="A3:B3"/>
    <mergeCell ref="A4:B4"/>
    <mergeCell ref="A5:B5"/>
    <mergeCell ref="A6:B6"/>
  </mergeCells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61B6D-7E77-4283-B0F1-711B51516C90}">
  <sheetPr>
    <tabColor theme="8" tint="-0.499984740745262"/>
  </sheetPr>
  <dimension ref="A1:AQ17"/>
  <sheetViews>
    <sheetView topLeftCell="P1" workbookViewId="0">
      <selection activeCell="C8" sqref="C8:AQ8"/>
    </sheetView>
  </sheetViews>
  <sheetFormatPr defaultRowHeight="14.25"/>
  <cols>
    <col min="1" max="1" width="29.140625" style="94" customWidth="1"/>
    <col min="2" max="16384" width="9.140625" style="94"/>
  </cols>
  <sheetData>
    <row r="1" spans="1:43" ht="28.5">
      <c r="A1" s="97" t="s">
        <v>139</v>
      </c>
      <c r="B1" s="96">
        <v>2019</v>
      </c>
      <c r="C1" s="94">
        <v>2020</v>
      </c>
      <c r="D1" s="96">
        <v>2021</v>
      </c>
      <c r="E1" s="94">
        <v>2022</v>
      </c>
      <c r="F1" s="96">
        <v>2023</v>
      </c>
      <c r="G1" s="94">
        <v>2024</v>
      </c>
      <c r="H1" s="96">
        <v>2025</v>
      </c>
      <c r="I1" s="94">
        <v>2026</v>
      </c>
      <c r="J1" s="96">
        <v>2027</v>
      </c>
      <c r="K1" s="94">
        <v>2028</v>
      </c>
      <c r="L1" s="96">
        <v>2029</v>
      </c>
      <c r="M1" s="94">
        <v>2030</v>
      </c>
      <c r="N1" s="96">
        <v>2031</v>
      </c>
      <c r="O1" s="94">
        <v>2032</v>
      </c>
      <c r="P1" s="96">
        <v>2033</v>
      </c>
      <c r="Q1" s="94">
        <v>2034</v>
      </c>
      <c r="R1" s="96">
        <v>2035</v>
      </c>
      <c r="S1" s="94">
        <v>2036</v>
      </c>
      <c r="T1" s="96">
        <v>2037</v>
      </c>
      <c r="U1" s="94">
        <v>2038</v>
      </c>
      <c r="V1" s="96">
        <v>2039</v>
      </c>
      <c r="W1" s="94">
        <v>2040</v>
      </c>
      <c r="X1" s="96">
        <v>2041</v>
      </c>
      <c r="Y1" s="94">
        <v>2042</v>
      </c>
      <c r="Z1" s="96">
        <v>2043</v>
      </c>
      <c r="AA1" s="94">
        <v>2044</v>
      </c>
      <c r="AB1" s="96">
        <v>2045</v>
      </c>
      <c r="AC1" s="94">
        <v>2046</v>
      </c>
      <c r="AD1" s="96">
        <v>2047</v>
      </c>
      <c r="AE1" s="94">
        <v>2048</v>
      </c>
      <c r="AF1" s="96">
        <v>2049</v>
      </c>
      <c r="AG1" s="94">
        <v>2050</v>
      </c>
      <c r="AH1" s="96">
        <v>2051</v>
      </c>
      <c r="AI1" s="94">
        <v>2052</v>
      </c>
      <c r="AJ1" s="96">
        <v>2053</v>
      </c>
      <c r="AK1" s="94">
        <v>2054</v>
      </c>
      <c r="AL1" s="96">
        <v>2055</v>
      </c>
      <c r="AM1" s="94">
        <v>2056</v>
      </c>
      <c r="AN1" s="96">
        <v>2057</v>
      </c>
      <c r="AO1" s="94">
        <v>2058</v>
      </c>
      <c r="AP1" s="96">
        <v>2059</v>
      </c>
      <c r="AQ1" s="94">
        <v>2060</v>
      </c>
    </row>
    <row r="2" spans="1:43">
      <c r="A2" s="94" t="s">
        <v>138</v>
      </c>
      <c r="B2" s="95">
        <f>Thermal!AB3</f>
        <v>0.50559360730593605</v>
      </c>
      <c r="C2" s="95">
        <f>Thermal!AC3</f>
        <v>0.49349315068493149</v>
      </c>
      <c r="D2" s="95">
        <f>MAX(Thermal!Y3:AC3)</f>
        <v>0.51312785388127857</v>
      </c>
      <c r="E2" s="95">
        <f>$D2</f>
        <v>0.51312785388127857</v>
      </c>
      <c r="F2" s="95">
        <f t="shared" ref="F2:AG11" si="0">$D2</f>
        <v>0.51312785388127857</v>
      </c>
      <c r="G2" s="95">
        <f t="shared" si="0"/>
        <v>0.51312785388127857</v>
      </c>
      <c r="H2" s="95">
        <f t="shared" si="0"/>
        <v>0.51312785388127857</v>
      </c>
      <c r="I2" s="95">
        <f t="shared" si="0"/>
        <v>0.51312785388127857</v>
      </c>
      <c r="J2" s="95">
        <f t="shared" si="0"/>
        <v>0.51312785388127857</v>
      </c>
      <c r="K2" s="95">
        <f t="shared" si="0"/>
        <v>0.51312785388127857</v>
      </c>
      <c r="L2" s="95">
        <f t="shared" si="0"/>
        <v>0.51312785388127857</v>
      </c>
      <c r="M2" s="95">
        <f t="shared" si="0"/>
        <v>0.51312785388127857</v>
      </c>
      <c r="N2" s="95">
        <f t="shared" si="0"/>
        <v>0.51312785388127857</v>
      </c>
      <c r="O2" s="95">
        <f t="shared" si="0"/>
        <v>0.51312785388127857</v>
      </c>
      <c r="P2" s="95">
        <f t="shared" si="0"/>
        <v>0.51312785388127857</v>
      </c>
      <c r="Q2" s="95">
        <f t="shared" si="0"/>
        <v>0.51312785388127857</v>
      </c>
      <c r="R2" s="95">
        <f t="shared" si="0"/>
        <v>0.51312785388127857</v>
      </c>
      <c r="S2" s="95">
        <f t="shared" si="0"/>
        <v>0.51312785388127857</v>
      </c>
      <c r="T2" s="95">
        <f t="shared" si="0"/>
        <v>0.51312785388127857</v>
      </c>
      <c r="U2" s="95">
        <f t="shared" si="0"/>
        <v>0.51312785388127857</v>
      </c>
      <c r="V2" s="95">
        <f t="shared" si="0"/>
        <v>0.51312785388127857</v>
      </c>
      <c r="W2" s="95">
        <f t="shared" si="0"/>
        <v>0.51312785388127857</v>
      </c>
      <c r="X2" s="95">
        <f t="shared" si="0"/>
        <v>0.51312785388127857</v>
      </c>
      <c r="Y2" s="95">
        <f t="shared" si="0"/>
        <v>0.51312785388127857</v>
      </c>
      <c r="Z2" s="95">
        <f t="shared" si="0"/>
        <v>0.51312785388127857</v>
      </c>
      <c r="AA2" s="95">
        <f t="shared" si="0"/>
        <v>0.51312785388127857</v>
      </c>
      <c r="AB2" s="95">
        <f t="shared" si="0"/>
        <v>0.51312785388127857</v>
      </c>
      <c r="AC2" s="95">
        <f t="shared" si="0"/>
        <v>0.51312785388127857</v>
      </c>
      <c r="AD2" s="95">
        <f t="shared" si="0"/>
        <v>0.51312785388127857</v>
      </c>
      <c r="AE2" s="95">
        <f t="shared" si="0"/>
        <v>0.51312785388127857</v>
      </c>
      <c r="AF2" s="95">
        <f t="shared" si="0"/>
        <v>0.51312785388127857</v>
      </c>
      <c r="AG2" s="95">
        <f t="shared" si="0"/>
        <v>0.51312785388127857</v>
      </c>
      <c r="AH2" s="95">
        <f t="shared" ref="AH2:AQ17" si="1">$D2</f>
        <v>0.51312785388127857</v>
      </c>
      <c r="AI2" s="95">
        <f t="shared" si="1"/>
        <v>0.51312785388127857</v>
      </c>
      <c r="AJ2" s="95">
        <f t="shared" si="1"/>
        <v>0.51312785388127857</v>
      </c>
      <c r="AK2" s="95">
        <f t="shared" si="1"/>
        <v>0.51312785388127857</v>
      </c>
      <c r="AL2" s="95">
        <f t="shared" si="1"/>
        <v>0.51312785388127857</v>
      </c>
      <c r="AM2" s="95">
        <f t="shared" si="1"/>
        <v>0.51312785388127857</v>
      </c>
      <c r="AN2" s="95">
        <f t="shared" si="1"/>
        <v>0.51312785388127857</v>
      </c>
      <c r="AO2" s="95">
        <f t="shared" si="1"/>
        <v>0.51312785388127857</v>
      </c>
      <c r="AP2" s="95">
        <f t="shared" si="1"/>
        <v>0.51312785388127857</v>
      </c>
      <c r="AQ2" s="95">
        <f t="shared" si="1"/>
        <v>0.51312785388127857</v>
      </c>
    </row>
    <row r="3" spans="1:43">
      <c r="A3" s="94" t="s">
        <v>137</v>
      </c>
      <c r="B3" s="95">
        <f>B12</f>
        <v>0.30205479452054795</v>
      </c>
      <c r="C3" s="95">
        <f t="shared" ref="C3:D3" si="2">C12</f>
        <v>0.29794520547945208</v>
      </c>
      <c r="D3" s="95">
        <f t="shared" si="2"/>
        <v>0.31586757990867581</v>
      </c>
      <c r="E3" s="95">
        <f>$D3</f>
        <v>0.31586757990867581</v>
      </c>
      <c r="F3" s="95">
        <f t="shared" si="0"/>
        <v>0.31586757990867581</v>
      </c>
      <c r="G3" s="95">
        <f t="shared" si="0"/>
        <v>0.31586757990867581</v>
      </c>
      <c r="H3" s="95">
        <f t="shared" si="0"/>
        <v>0.31586757990867581</v>
      </c>
      <c r="I3" s="95">
        <f t="shared" si="0"/>
        <v>0.31586757990867581</v>
      </c>
      <c r="J3" s="95">
        <f t="shared" si="0"/>
        <v>0.31586757990867581</v>
      </c>
      <c r="K3" s="95">
        <f t="shared" si="0"/>
        <v>0.31586757990867581</v>
      </c>
      <c r="L3" s="95">
        <f t="shared" si="0"/>
        <v>0.31586757990867581</v>
      </c>
      <c r="M3" s="95">
        <f t="shared" si="0"/>
        <v>0.31586757990867581</v>
      </c>
      <c r="N3" s="95">
        <f t="shared" si="0"/>
        <v>0.31586757990867581</v>
      </c>
      <c r="O3" s="95">
        <f t="shared" si="0"/>
        <v>0.31586757990867581</v>
      </c>
      <c r="P3" s="95">
        <f t="shared" si="0"/>
        <v>0.31586757990867581</v>
      </c>
      <c r="Q3" s="95">
        <f t="shared" si="0"/>
        <v>0.31586757990867581</v>
      </c>
      <c r="R3" s="95">
        <f t="shared" si="0"/>
        <v>0.31586757990867581</v>
      </c>
      <c r="S3" s="95">
        <f t="shared" si="0"/>
        <v>0.31586757990867581</v>
      </c>
      <c r="T3" s="95">
        <f t="shared" si="0"/>
        <v>0.31586757990867581</v>
      </c>
      <c r="U3" s="95">
        <f t="shared" si="0"/>
        <v>0.31586757990867581</v>
      </c>
      <c r="V3" s="95">
        <f t="shared" si="0"/>
        <v>0.31586757990867581</v>
      </c>
      <c r="W3" s="95">
        <f t="shared" si="0"/>
        <v>0.31586757990867581</v>
      </c>
      <c r="X3" s="95">
        <f t="shared" si="0"/>
        <v>0.31586757990867581</v>
      </c>
      <c r="Y3" s="95">
        <f t="shared" si="0"/>
        <v>0.31586757990867581</v>
      </c>
      <c r="Z3" s="95">
        <f t="shared" si="0"/>
        <v>0.31586757990867581</v>
      </c>
      <c r="AA3" s="95">
        <f t="shared" si="0"/>
        <v>0.31586757990867581</v>
      </c>
      <c r="AB3" s="95">
        <f t="shared" si="0"/>
        <v>0.31586757990867581</v>
      </c>
      <c r="AC3" s="95">
        <f t="shared" si="0"/>
        <v>0.31586757990867581</v>
      </c>
      <c r="AD3" s="95">
        <f t="shared" si="0"/>
        <v>0.31586757990867581</v>
      </c>
      <c r="AE3" s="95">
        <f t="shared" si="0"/>
        <v>0.31586757990867581</v>
      </c>
      <c r="AF3" s="95">
        <f t="shared" si="0"/>
        <v>0.31586757990867581</v>
      </c>
      <c r="AG3" s="95">
        <f t="shared" si="0"/>
        <v>0.31586757990867581</v>
      </c>
      <c r="AH3" s="95">
        <f t="shared" si="1"/>
        <v>0.31586757990867581</v>
      </c>
      <c r="AI3" s="95">
        <f t="shared" si="1"/>
        <v>0.31586757990867581</v>
      </c>
      <c r="AJ3" s="95">
        <f t="shared" si="1"/>
        <v>0.31586757990867581</v>
      </c>
      <c r="AK3" s="95">
        <f t="shared" si="1"/>
        <v>0.31586757990867581</v>
      </c>
      <c r="AL3" s="95">
        <f t="shared" si="1"/>
        <v>0.31586757990867581</v>
      </c>
      <c r="AM3" s="95">
        <f t="shared" si="1"/>
        <v>0.31586757990867581</v>
      </c>
      <c r="AN3" s="95">
        <f t="shared" si="1"/>
        <v>0.31586757990867581</v>
      </c>
      <c r="AO3" s="95">
        <f t="shared" si="1"/>
        <v>0.31586757990867581</v>
      </c>
      <c r="AP3" s="95">
        <f t="shared" si="1"/>
        <v>0.31586757990867581</v>
      </c>
      <c r="AQ3" s="95">
        <f t="shared" si="1"/>
        <v>0.31586757990867581</v>
      </c>
    </row>
    <row r="4" spans="1:43">
      <c r="A4" s="94" t="s">
        <v>136</v>
      </c>
      <c r="B4" s="95">
        <f>Sheet8!AT4</f>
        <v>0.85237550477643176</v>
      </c>
      <c r="C4" s="95">
        <f>Sheet8!AS4</f>
        <v>0.84768636252735541</v>
      </c>
      <c r="D4" s="95">
        <f>MAX(Sheet8!AS4:AV4)</f>
        <v>0.85237550477643176</v>
      </c>
      <c r="E4" s="95">
        <f>$D4</f>
        <v>0.85237550477643176</v>
      </c>
      <c r="F4" s="95">
        <f t="shared" si="0"/>
        <v>0.85237550477643176</v>
      </c>
      <c r="G4" s="95">
        <f t="shared" si="0"/>
        <v>0.85237550477643176</v>
      </c>
      <c r="H4" s="95">
        <f t="shared" si="0"/>
        <v>0.85237550477643176</v>
      </c>
      <c r="I4" s="95">
        <f t="shared" si="0"/>
        <v>0.85237550477643176</v>
      </c>
      <c r="J4" s="95">
        <f t="shared" si="0"/>
        <v>0.85237550477643176</v>
      </c>
      <c r="K4" s="95">
        <f t="shared" si="0"/>
        <v>0.85237550477643176</v>
      </c>
      <c r="L4" s="95">
        <f t="shared" si="0"/>
        <v>0.85237550477643176</v>
      </c>
      <c r="M4" s="95">
        <f t="shared" si="0"/>
        <v>0.85237550477643176</v>
      </c>
      <c r="N4" s="95">
        <f t="shared" si="0"/>
        <v>0.85237550477643176</v>
      </c>
      <c r="O4" s="95">
        <f t="shared" si="0"/>
        <v>0.85237550477643176</v>
      </c>
      <c r="P4" s="95">
        <f t="shared" si="0"/>
        <v>0.85237550477643176</v>
      </c>
      <c r="Q4" s="95">
        <f t="shared" si="0"/>
        <v>0.85237550477643176</v>
      </c>
      <c r="R4" s="95">
        <f t="shared" si="0"/>
        <v>0.85237550477643176</v>
      </c>
      <c r="S4" s="95">
        <f t="shared" si="0"/>
        <v>0.85237550477643176</v>
      </c>
      <c r="T4" s="95">
        <f t="shared" si="0"/>
        <v>0.85237550477643176</v>
      </c>
      <c r="U4" s="95">
        <f t="shared" si="0"/>
        <v>0.85237550477643176</v>
      </c>
      <c r="V4" s="95">
        <f t="shared" si="0"/>
        <v>0.85237550477643176</v>
      </c>
      <c r="W4" s="95">
        <f t="shared" si="0"/>
        <v>0.85237550477643176</v>
      </c>
      <c r="X4" s="95">
        <f t="shared" si="0"/>
        <v>0.85237550477643176</v>
      </c>
      <c r="Y4" s="95">
        <f t="shared" si="0"/>
        <v>0.85237550477643176</v>
      </c>
      <c r="Z4" s="95">
        <f t="shared" si="0"/>
        <v>0.85237550477643176</v>
      </c>
      <c r="AA4" s="95">
        <f t="shared" si="0"/>
        <v>0.85237550477643176</v>
      </c>
      <c r="AB4" s="95">
        <f t="shared" si="0"/>
        <v>0.85237550477643176</v>
      </c>
      <c r="AC4" s="95">
        <f t="shared" si="0"/>
        <v>0.85237550477643176</v>
      </c>
      <c r="AD4" s="95">
        <f t="shared" si="0"/>
        <v>0.85237550477643176</v>
      </c>
      <c r="AE4" s="95">
        <f t="shared" si="0"/>
        <v>0.85237550477643176</v>
      </c>
      <c r="AF4" s="95">
        <f t="shared" si="0"/>
        <v>0.85237550477643176</v>
      </c>
      <c r="AG4" s="95">
        <f t="shared" si="0"/>
        <v>0.85237550477643176</v>
      </c>
      <c r="AH4" s="95">
        <f t="shared" si="1"/>
        <v>0.85237550477643176</v>
      </c>
      <c r="AI4" s="95">
        <f t="shared" si="1"/>
        <v>0.85237550477643176</v>
      </c>
      <c r="AJ4" s="95">
        <f t="shared" si="1"/>
        <v>0.85237550477643176</v>
      </c>
      <c r="AK4" s="95">
        <f t="shared" si="1"/>
        <v>0.85237550477643176</v>
      </c>
      <c r="AL4" s="95">
        <f t="shared" si="1"/>
        <v>0.85237550477643176</v>
      </c>
      <c r="AM4" s="95">
        <f t="shared" si="1"/>
        <v>0.85237550477643176</v>
      </c>
      <c r="AN4" s="95">
        <f t="shared" si="1"/>
        <v>0.85237550477643176</v>
      </c>
      <c r="AO4" s="95">
        <f t="shared" si="1"/>
        <v>0.85237550477643176</v>
      </c>
      <c r="AP4" s="95">
        <f t="shared" si="1"/>
        <v>0.85237550477643176</v>
      </c>
      <c r="AQ4" s="95">
        <f t="shared" si="1"/>
        <v>0.85237550477643176</v>
      </c>
    </row>
    <row r="5" spans="1:43">
      <c r="A5" s="94" t="s">
        <v>135</v>
      </c>
      <c r="B5" s="95">
        <f>Sheet8!AZ46</f>
        <v>0.44591373875605445</v>
      </c>
      <c r="C5" s="95">
        <f>Sheet8!AY46</f>
        <v>0.45275725675549588</v>
      </c>
      <c r="D5" s="95">
        <f>Sheet8!AX46</f>
        <v>0.42837443739015679</v>
      </c>
      <c r="E5" s="95">
        <f t="shared" ref="E5:T17" si="3">$D5</f>
        <v>0.42837443739015679</v>
      </c>
      <c r="F5" s="95">
        <f t="shared" si="3"/>
        <v>0.42837443739015679</v>
      </c>
      <c r="G5" s="95">
        <f t="shared" si="3"/>
        <v>0.42837443739015679</v>
      </c>
      <c r="H5" s="95">
        <f t="shared" si="3"/>
        <v>0.42837443739015679</v>
      </c>
      <c r="I5" s="95">
        <f t="shared" si="3"/>
        <v>0.42837443739015679</v>
      </c>
      <c r="J5" s="95">
        <f t="shared" si="3"/>
        <v>0.42837443739015679</v>
      </c>
      <c r="K5" s="95">
        <f t="shared" si="3"/>
        <v>0.42837443739015679</v>
      </c>
      <c r="L5" s="95">
        <f t="shared" si="3"/>
        <v>0.42837443739015679</v>
      </c>
      <c r="M5" s="95">
        <f t="shared" si="3"/>
        <v>0.42837443739015679</v>
      </c>
      <c r="N5" s="95">
        <f t="shared" si="3"/>
        <v>0.42837443739015679</v>
      </c>
      <c r="O5" s="95">
        <f t="shared" si="3"/>
        <v>0.42837443739015679</v>
      </c>
      <c r="P5" s="95">
        <f t="shared" si="3"/>
        <v>0.42837443739015679</v>
      </c>
      <c r="Q5" s="95">
        <f t="shared" si="3"/>
        <v>0.42837443739015679</v>
      </c>
      <c r="R5" s="95">
        <f t="shared" si="3"/>
        <v>0.42837443739015679</v>
      </c>
      <c r="S5" s="95">
        <f t="shared" si="3"/>
        <v>0.42837443739015679</v>
      </c>
      <c r="T5" s="95">
        <f t="shared" si="3"/>
        <v>0.42837443739015679</v>
      </c>
      <c r="U5" s="95">
        <f t="shared" si="0"/>
        <v>0.42837443739015679</v>
      </c>
      <c r="V5" s="95">
        <f t="shared" si="0"/>
        <v>0.42837443739015679</v>
      </c>
      <c r="W5" s="95">
        <f t="shared" si="0"/>
        <v>0.42837443739015679</v>
      </c>
      <c r="X5" s="95">
        <f t="shared" si="0"/>
        <v>0.42837443739015679</v>
      </c>
      <c r="Y5" s="95">
        <f t="shared" si="0"/>
        <v>0.42837443739015679</v>
      </c>
      <c r="Z5" s="95">
        <f t="shared" si="0"/>
        <v>0.42837443739015679</v>
      </c>
      <c r="AA5" s="95">
        <f t="shared" si="0"/>
        <v>0.42837443739015679</v>
      </c>
      <c r="AB5" s="95">
        <f t="shared" si="0"/>
        <v>0.42837443739015679</v>
      </c>
      <c r="AC5" s="95">
        <f t="shared" si="0"/>
        <v>0.42837443739015679</v>
      </c>
      <c r="AD5" s="95">
        <f t="shared" si="0"/>
        <v>0.42837443739015679</v>
      </c>
      <c r="AE5" s="95">
        <f t="shared" si="0"/>
        <v>0.42837443739015679</v>
      </c>
      <c r="AF5" s="95">
        <f t="shared" si="0"/>
        <v>0.42837443739015679</v>
      </c>
      <c r="AG5" s="95">
        <f t="shared" si="0"/>
        <v>0.42837443739015679</v>
      </c>
      <c r="AH5" s="95">
        <f t="shared" si="1"/>
        <v>0.42837443739015679</v>
      </c>
      <c r="AI5" s="95">
        <f t="shared" si="1"/>
        <v>0.42837443739015679</v>
      </c>
      <c r="AJ5" s="95">
        <f t="shared" si="1"/>
        <v>0.42837443739015679</v>
      </c>
      <c r="AK5" s="95">
        <f t="shared" si="1"/>
        <v>0.42837443739015679</v>
      </c>
      <c r="AL5" s="95">
        <f t="shared" si="1"/>
        <v>0.42837443739015679</v>
      </c>
      <c r="AM5" s="95">
        <f t="shared" si="1"/>
        <v>0.42837443739015679</v>
      </c>
      <c r="AN5" s="95">
        <f t="shared" si="1"/>
        <v>0.42837443739015679</v>
      </c>
      <c r="AO5" s="95">
        <f t="shared" si="1"/>
        <v>0.42837443739015679</v>
      </c>
      <c r="AP5" s="95">
        <f t="shared" si="1"/>
        <v>0.42837443739015679</v>
      </c>
      <c r="AQ5" s="95">
        <f t="shared" si="1"/>
        <v>0.42837443739015679</v>
      </c>
    </row>
    <row r="6" spans="1:43">
      <c r="A6" s="94" t="s">
        <v>134</v>
      </c>
      <c r="B6" s="95">
        <f>Sheet8!AZ4</f>
        <v>0.23520473431788536</v>
      </c>
      <c r="C6" s="95">
        <f>Sheet8!AY4</f>
        <v>0.21700662044634983</v>
      </c>
      <c r="D6" s="95">
        <f>MAX(Sheet8!AY4:BB4)</f>
        <v>0.23980239967599801</v>
      </c>
      <c r="E6" s="95">
        <f t="shared" si="3"/>
        <v>0.23980239967599801</v>
      </c>
      <c r="F6" s="95">
        <f t="shared" si="0"/>
        <v>0.23980239967599801</v>
      </c>
      <c r="G6" s="95">
        <f t="shared" si="0"/>
        <v>0.23980239967599801</v>
      </c>
      <c r="H6" s="95">
        <f t="shared" si="0"/>
        <v>0.23980239967599801</v>
      </c>
      <c r="I6" s="95">
        <f t="shared" si="0"/>
        <v>0.23980239967599801</v>
      </c>
      <c r="J6" s="95">
        <f t="shared" si="0"/>
        <v>0.23980239967599801</v>
      </c>
      <c r="K6" s="95">
        <f t="shared" si="0"/>
        <v>0.23980239967599801</v>
      </c>
      <c r="L6" s="95">
        <f t="shared" si="0"/>
        <v>0.23980239967599801</v>
      </c>
      <c r="M6" s="95">
        <f t="shared" si="0"/>
        <v>0.23980239967599801</v>
      </c>
      <c r="N6" s="95">
        <f t="shared" si="0"/>
        <v>0.23980239967599801</v>
      </c>
      <c r="O6" s="95">
        <f t="shared" si="0"/>
        <v>0.23980239967599801</v>
      </c>
      <c r="P6" s="95">
        <f t="shared" si="0"/>
        <v>0.23980239967599801</v>
      </c>
      <c r="Q6" s="95">
        <f t="shared" si="0"/>
        <v>0.23980239967599801</v>
      </c>
      <c r="R6" s="95">
        <f t="shared" si="0"/>
        <v>0.23980239967599801</v>
      </c>
      <c r="S6" s="95">
        <f t="shared" si="0"/>
        <v>0.23980239967599801</v>
      </c>
      <c r="T6" s="95">
        <f t="shared" si="0"/>
        <v>0.23980239967599801</v>
      </c>
      <c r="U6" s="95">
        <f t="shared" si="0"/>
        <v>0.23980239967599801</v>
      </c>
      <c r="V6" s="95">
        <f t="shared" si="0"/>
        <v>0.23980239967599801</v>
      </c>
      <c r="W6" s="95">
        <f t="shared" si="0"/>
        <v>0.23980239967599801</v>
      </c>
      <c r="X6" s="95">
        <f t="shared" si="0"/>
        <v>0.23980239967599801</v>
      </c>
      <c r="Y6" s="95">
        <f t="shared" si="0"/>
        <v>0.23980239967599801</v>
      </c>
      <c r="Z6" s="95">
        <f t="shared" si="0"/>
        <v>0.23980239967599801</v>
      </c>
      <c r="AA6" s="95">
        <f t="shared" si="0"/>
        <v>0.23980239967599801</v>
      </c>
      <c r="AB6" s="95">
        <f t="shared" si="0"/>
        <v>0.23980239967599801</v>
      </c>
      <c r="AC6" s="95">
        <f t="shared" si="0"/>
        <v>0.23980239967599801</v>
      </c>
      <c r="AD6" s="95">
        <f t="shared" si="0"/>
        <v>0.23980239967599801</v>
      </c>
      <c r="AE6" s="95">
        <f t="shared" si="0"/>
        <v>0.23980239967599801</v>
      </c>
      <c r="AF6" s="95">
        <f t="shared" si="0"/>
        <v>0.23980239967599801</v>
      </c>
      <c r="AG6" s="95">
        <f t="shared" si="0"/>
        <v>0.23980239967599801</v>
      </c>
      <c r="AH6" s="95">
        <f t="shared" si="1"/>
        <v>0.23980239967599801</v>
      </c>
      <c r="AI6" s="95">
        <f t="shared" si="1"/>
        <v>0.23980239967599801</v>
      </c>
      <c r="AJ6" s="95">
        <f t="shared" si="1"/>
        <v>0.23980239967599801</v>
      </c>
      <c r="AK6" s="95">
        <f t="shared" si="1"/>
        <v>0.23980239967599801</v>
      </c>
      <c r="AL6" s="95">
        <f t="shared" si="1"/>
        <v>0.23980239967599801</v>
      </c>
      <c r="AM6" s="95">
        <f t="shared" si="1"/>
        <v>0.23980239967599801</v>
      </c>
      <c r="AN6" s="95">
        <f t="shared" si="1"/>
        <v>0.23980239967599801</v>
      </c>
      <c r="AO6" s="95">
        <f t="shared" si="1"/>
        <v>0.23980239967599801</v>
      </c>
      <c r="AP6" s="95">
        <f t="shared" si="1"/>
        <v>0.23980239967599801</v>
      </c>
      <c r="AQ6" s="95">
        <f t="shared" si="1"/>
        <v>0.23980239967599801</v>
      </c>
    </row>
    <row r="7" spans="1:43">
      <c r="A7" s="94" t="s">
        <v>133</v>
      </c>
      <c r="B7" s="95">
        <f>Solar!AJ3</f>
        <v>0.14597506618710551</v>
      </c>
      <c r="C7" s="95">
        <f>Solar!AK3</f>
        <v>0.14023135063376799</v>
      </c>
      <c r="D7" s="95">
        <f>Solar!AL3</f>
        <v>0.14417031104313638</v>
      </c>
      <c r="E7" s="95">
        <f t="shared" si="3"/>
        <v>0.14417031104313638</v>
      </c>
      <c r="F7" s="95">
        <f t="shared" si="0"/>
        <v>0.14417031104313638</v>
      </c>
      <c r="G7" s="95">
        <f t="shared" si="0"/>
        <v>0.14417031104313638</v>
      </c>
      <c r="H7" s="95">
        <f t="shared" si="0"/>
        <v>0.14417031104313638</v>
      </c>
      <c r="I7" s="95">
        <f t="shared" si="0"/>
        <v>0.14417031104313638</v>
      </c>
      <c r="J7" s="95">
        <f t="shared" si="0"/>
        <v>0.14417031104313638</v>
      </c>
      <c r="K7" s="95">
        <f t="shared" si="0"/>
        <v>0.14417031104313638</v>
      </c>
      <c r="L7" s="95">
        <f t="shared" si="0"/>
        <v>0.14417031104313638</v>
      </c>
      <c r="M7" s="95">
        <f t="shared" si="0"/>
        <v>0.14417031104313638</v>
      </c>
      <c r="N7" s="95">
        <f t="shared" si="0"/>
        <v>0.14417031104313638</v>
      </c>
      <c r="O7" s="95">
        <f t="shared" si="0"/>
        <v>0.14417031104313638</v>
      </c>
      <c r="P7" s="95">
        <f t="shared" si="0"/>
        <v>0.14417031104313638</v>
      </c>
      <c r="Q7" s="95">
        <f t="shared" si="0"/>
        <v>0.14417031104313638</v>
      </c>
      <c r="R7" s="95">
        <f t="shared" si="0"/>
        <v>0.14417031104313638</v>
      </c>
      <c r="S7" s="95">
        <f t="shared" si="0"/>
        <v>0.14417031104313638</v>
      </c>
      <c r="T7" s="95">
        <f t="shared" si="0"/>
        <v>0.14417031104313638</v>
      </c>
      <c r="U7" s="95">
        <f t="shared" si="0"/>
        <v>0.14417031104313638</v>
      </c>
      <c r="V7" s="95">
        <f t="shared" si="0"/>
        <v>0.14417031104313638</v>
      </c>
      <c r="W7" s="95">
        <f t="shared" si="0"/>
        <v>0.14417031104313638</v>
      </c>
      <c r="X7" s="95">
        <f t="shared" si="0"/>
        <v>0.14417031104313638</v>
      </c>
      <c r="Y7" s="95">
        <f t="shared" si="0"/>
        <v>0.14417031104313638</v>
      </c>
      <c r="Z7" s="95">
        <f t="shared" si="0"/>
        <v>0.14417031104313638</v>
      </c>
      <c r="AA7" s="95">
        <f t="shared" si="0"/>
        <v>0.14417031104313638</v>
      </c>
      <c r="AB7" s="95">
        <f t="shared" si="0"/>
        <v>0.14417031104313638</v>
      </c>
      <c r="AC7" s="95">
        <f t="shared" si="0"/>
        <v>0.14417031104313638</v>
      </c>
      <c r="AD7" s="95">
        <f t="shared" si="0"/>
        <v>0.14417031104313638</v>
      </c>
      <c r="AE7" s="95">
        <f t="shared" si="0"/>
        <v>0.14417031104313638</v>
      </c>
      <c r="AF7" s="95">
        <f t="shared" si="0"/>
        <v>0.14417031104313638</v>
      </c>
      <c r="AG7" s="95">
        <f t="shared" si="0"/>
        <v>0.14417031104313638</v>
      </c>
      <c r="AH7" s="95">
        <f t="shared" si="1"/>
        <v>0.14417031104313638</v>
      </c>
      <c r="AI7" s="95">
        <f t="shared" si="1"/>
        <v>0.14417031104313638</v>
      </c>
      <c r="AJ7" s="95">
        <f t="shared" si="1"/>
        <v>0.14417031104313638</v>
      </c>
      <c r="AK7" s="95">
        <f t="shared" si="1"/>
        <v>0.14417031104313638</v>
      </c>
      <c r="AL7" s="95">
        <f t="shared" si="1"/>
        <v>0.14417031104313638</v>
      </c>
      <c r="AM7" s="95">
        <f t="shared" si="1"/>
        <v>0.14417031104313638</v>
      </c>
      <c r="AN7" s="95">
        <f t="shared" si="1"/>
        <v>0.14417031104313638</v>
      </c>
      <c r="AO7" s="95">
        <f t="shared" si="1"/>
        <v>0.14417031104313638</v>
      </c>
      <c r="AP7" s="95">
        <f t="shared" si="1"/>
        <v>0.14417031104313638</v>
      </c>
      <c r="AQ7" s="95">
        <f t="shared" si="1"/>
        <v>0.14417031104313638</v>
      </c>
    </row>
    <row r="8" spans="1:43">
      <c r="A8" s="94" t="s">
        <v>132</v>
      </c>
      <c r="B8" s="102">
        <f>'Solar Thermal'!M2*0.8</f>
        <v>0.44292718603095793</v>
      </c>
      <c r="C8" s="102">
        <f>B8</f>
        <v>0.44292718603095793</v>
      </c>
      <c r="D8" s="102">
        <f t="shared" ref="D8:AQ8" si="4">C8</f>
        <v>0.44292718603095793</v>
      </c>
      <c r="E8" s="102">
        <f t="shared" si="4"/>
        <v>0.44292718603095793</v>
      </c>
      <c r="F8" s="102">
        <f t="shared" si="4"/>
        <v>0.44292718603095793</v>
      </c>
      <c r="G8" s="102">
        <f t="shared" si="4"/>
        <v>0.44292718603095793</v>
      </c>
      <c r="H8" s="102">
        <f t="shared" si="4"/>
        <v>0.44292718603095793</v>
      </c>
      <c r="I8" s="102">
        <f t="shared" si="4"/>
        <v>0.44292718603095793</v>
      </c>
      <c r="J8" s="102">
        <f t="shared" si="4"/>
        <v>0.44292718603095793</v>
      </c>
      <c r="K8" s="102">
        <f t="shared" si="4"/>
        <v>0.44292718603095793</v>
      </c>
      <c r="L8" s="102">
        <f t="shared" si="4"/>
        <v>0.44292718603095793</v>
      </c>
      <c r="M8" s="102">
        <f t="shared" si="4"/>
        <v>0.44292718603095793</v>
      </c>
      <c r="N8" s="102">
        <f t="shared" si="4"/>
        <v>0.44292718603095793</v>
      </c>
      <c r="O8" s="102">
        <f t="shared" si="4"/>
        <v>0.44292718603095793</v>
      </c>
      <c r="P8" s="102">
        <f t="shared" si="4"/>
        <v>0.44292718603095793</v>
      </c>
      <c r="Q8" s="102">
        <f t="shared" si="4"/>
        <v>0.44292718603095793</v>
      </c>
      <c r="R8" s="102">
        <f t="shared" si="4"/>
        <v>0.44292718603095793</v>
      </c>
      <c r="S8" s="102">
        <f t="shared" si="4"/>
        <v>0.44292718603095793</v>
      </c>
      <c r="T8" s="102">
        <f t="shared" si="4"/>
        <v>0.44292718603095793</v>
      </c>
      <c r="U8" s="102">
        <f t="shared" si="4"/>
        <v>0.44292718603095793</v>
      </c>
      <c r="V8" s="102">
        <f t="shared" si="4"/>
        <v>0.44292718603095793</v>
      </c>
      <c r="W8" s="102">
        <f t="shared" si="4"/>
        <v>0.44292718603095793</v>
      </c>
      <c r="X8" s="102">
        <f t="shared" si="4"/>
        <v>0.44292718603095793</v>
      </c>
      <c r="Y8" s="102">
        <f t="shared" si="4"/>
        <v>0.44292718603095793</v>
      </c>
      <c r="Z8" s="102">
        <f t="shared" si="4"/>
        <v>0.44292718603095793</v>
      </c>
      <c r="AA8" s="102">
        <f t="shared" si="4"/>
        <v>0.44292718603095793</v>
      </c>
      <c r="AB8" s="102">
        <f t="shared" si="4"/>
        <v>0.44292718603095793</v>
      </c>
      <c r="AC8" s="102">
        <f t="shared" si="4"/>
        <v>0.44292718603095793</v>
      </c>
      <c r="AD8" s="102">
        <f t="shared" si="4"/>
        <v>0.44292718603095793</v>
      </c>
      <c r="AE8" s="102">
        <f t="shared" si="4"/>
        <v>0.44292718603095793</v>
      </c>
      <c r="AF8" s="102">
        <f t="shared" si="4"/>
        <v>0.44292718603095793</v>
      </c>
      <c r="AG8" s="102">
        <f t="shared" si="4"/>
        <v>0.44292718603095793</v>
      </c>
      <c r="AH8" s="102">
        <f t="shared" si="4"/>
        <v>0.44292718603095793</v>
      </c>
      <c r="AI8" s="102">
        <f t="shared" si="4"/>
        <v>0.44292718603095793</v>
      </c>
      <c r="AJ8" s="102">
        <f t="shared" si="4"/>
        <v>0.44292718603095793</v>
      </c>
      <c r="AK8" s="102">
        <f t="shared" si="4"/>
        <v>0.44292718603095793</v>
      </c>
      <c r="AL8" s="102">
        <f t="shared" si="4"/>
        <v>0.44292718603095793</v>
      </c>
      <c r="AM8" s="102">
        <f t="shared" si="4"/>
        <v>0.44292718603095793</v>
      </c>
      <c r="AN8" s="102">
        <f t="shared" si="4"/>
        <v>0.44292718603095793</v>
      </c>
      <c r="AO8" s="102">
        <f t="shared" si="4"/>
        <v>0.44292718603095793</v>
      </c>
      <c r="AP8" s="102">
        <f t="shared" si="4"/>
        <v>0.44292718603095793</v>
      </c>
      <c r="AQ8" s="102">
        <f t="shared" si="4"/>
        <v>0.44292718603095793</v>
      </c>
    </row>
    <row r="9" spans="1:43">
      <c r="A9" s="94" t="s">
        <v>131</v>
      </c>
      <c r="B9" s="95">
        <f>Biomass!Y3</f>
        <v>0.59372146118721458</v>
      </c>
      <c r="C9" s="95">
        <f>Biomass!Z3</f>
        <v>0.5931506849315068</v>
      </c>
      <c r="D9" s="95">
        <f>MAX(Biomass!V3:Z3)</f>
        <v>0.6067351598173516</v>
      </c>
      <c r="E9" s="95">
        <f t="shared" si="3"/>
        <v>0.6067351598173516</v>
      </c>
      <c r="F9" s="95">
        <f t="shared" si="0"/>
        <v>0.6067351598173516</v>
      </c>
      <c r="G9" s="95">
        <f t="shared" si="0"/>
        <v>0.6067351598173516</v>
      </c>
      <c r="H9" s="95">
        <f t="shared" si="0"/>
        <v>0.6067351598173516</v>
      </c>
      <c r="I9" s="95">
        <f t="shared" si="0"/>
        <v>0.6067351598173516</v>
      </c>
      <c r="J9" s="95">
        <f t="shared" si="0"/>
        <v>0.6067351598173516</v>
      </c>
      <c r="K9" s="95">
        <f t="shared" si="0"/>
        <v>0.6067351598173516</v>
      </c>
      <c r="L9" s="95">
        <f t="shared" si="0"/>
        <v>0.6067351598173516</v>
      </c>
      <c r="M9" s="95">
        <f t="shared" si="0"/>
        <v>0.6067351598173516</v>
      </c>
      <c r="N9" s="95">
        <f t="shared" si="0"/>
        <v>0.6067351598173516</v>
      </c>
      <c r="O9" s="95">
        <f t="shared" si="0"/>
        <v>0.6067351598173516</v>
      </c>
      <c r="P9" s="95">
        <f t="shared" si="0"/>
        <v>0.6067351598173516</v>
      </c>
      <c r="Q9" s="95">
        <f t="shared" si="0"/>
        <v>0.6067351598173516</v>
      </c>
      <c r="R9" s="95">
        <f t="shared" si="0"/>
        <v>0.6067351598173516</v>
      </c>
      <c r="S9" s="95">
        <f t="shared" si="0"/>
        <v>0.6067351598173516</v>
      </c>
      <c r="T9" s="95">
        <f t="shared" si="0"/>
        <v>0.6067351598173516</v>
      </c>
      <c r="U9" s="95">
        <f t="shared" si="0"/>
        <v>0.6067351598173516</v>
      </c>
      <c r="V9" s="95">
        <f t="shared" si="0"/>
        <v>0.6067351598173516</v>
      </c>
      <c r="W9" s="95">
        <f t="shared" si="0"/>
        <v>0.6067351598173516</v>
      </c>
      <c r="X9" s="95">
        <f t="shared" si="0"/>
        <v>0.6067351598173516</v>
      </c>
      <c r="Y9" s="95">
        <f t="shared" si="0"/>
        <v>0.6067351598173516</v>
      </c>
      <c r="Z9" s="95">
        <f t="shared" si="0"/>
        <v>0.6067351598173516</v>
      </c>
      <c r="AA9" s="95">
        <f t="shared" si="0"/>
        <v>0.6067351598173516</v>
      </c>
      <c r="AB9" s="95">
        <f t="shared" si="0"/>
        <v>0.6067351598173516</v>
      </c>
      <c r="AC9" s="95">
        <f t="shared" si="0"/>
        <v>0.6067351598173516</v>
      </c>
      <c r="AD9" s="95">
        <f t="shared" si="0"/>
        <v>0.6067351598173516</v>
      </c>
      <c r="AE9" s="95">
        <f t="shared" si="0"/>
        <v>0.6067351598173516</v>
      </c>
      <c r="AF9" s="95">
        <f t="shared" si="0"/>
        <v>0.6067351598173516</v>
      </c>
      <c r="AG9" s="95">
        <f t="shared" si="0"/>
        <v>0.6067351598173516</v>
      </c>
      <c r="AH9" s="95">
        <f t="shared" si="1"/>
        <v>0.6067351598173516</v>
      </c>
      <c r="AI9" s="95">
        <f t="shared" si="1"/>
        <v>0.6067351598173516</v>
      </c>
      <c r="AJ9" s="95">
        <f t="shared" si="1"/>
        <v>0.6067351598173516</v>
      </c>
      <c r="AK9" s="95">
        <f t="shared" si="1"/>
        <v>0.6067351598173516</v>
      </c>
      <c r="AL9" s="95">
        <f t="shared" si="1"/>
        <v>0.6067351598173516</v>
      </c>
      <c r="AM9" s="95">
        <f t="shared" si="1"/>
        <v>0.6067351598173516</v>
      </c>
      <c r="AN9" s="95">
        <f t="shared" si="1"/>
        <v>0.6067351598173516</v>
      </c>
      <c r="AO9" s="95">
        <f t="shared" si="1"/>
        <v>0.6067351598173516</v>
      </c>
      <c r="AP9" s="95">
        <f t="shared" si="1"/>
        <v>0.6067351598173516</v>
      </c>
      <c r="AQ9" s="95">
        <f t="shared" si="1"/>
        <v>0.6067351598173516</v>
      </c>
    </row>
    <row r="10" spans="1:43">
      <c r="A10" s="94" t="s">
        <v>130</v>
      </c>
      <c r="B10" s="102">
        <v>0.69599999999999995</v>
      </c>
      <c r="C10" s="102">
        <v>0.69599999999999995</v>
      </c>
      <c r="D10" s="102">
        <v>0.69599999999999995</v>
      </c>
      <c r="E10" s="95">
        <f t="shared" si="3"/>
        <v>0.69599999999999995</v>
      </c>
      <c r="F10" s="95">
        <f t="shared" si="0"/>
        <v>0.69599999999999995</v>
      </c>
      <c r="G10" s="95">
        <f t="shared" si="0"/>
        <v>0.69599999999999995</v>
      </c>
      <c r="H10" s="95">
        <f t="shared" si="0"/>
        <v>0.69599999999999995</v>
      </c>
      <c r="I10" s="95">
        <f t="shared" si="0"/>
        <v>0.69599999999999995</v>
      </c>
      <c r="J10" s="95">
        <f t="shared" si="0"/>
        <v>0.69599999999999995</v>
      </c>
      <c r="K10" s="95">
        <f t="shared" si="0"/>
        <v>0.69599999999999995</v>
      </c>
      <c r="L10" s="95">
        <f t="shared" si="0"/>
        <v>0.69599999999999995</v>
      </c>
      <c r="M10" s="95">
        <f t="shared" si="0"/>
        <v>0.69599999999999995</v>
      </c>
      <c r="N10" s="95">
        <f t="shared" si="0"/>
        <v>0.69599999999999995</v>
      </c>
      <c r="O10" s="95">
        <f t="shared" si="0"/>
        <v>0.69599999999999995</v>
      </c>
      <c r="P10" s="95">
        <f t="shared" si="0"/>
        <v>0.69599999999999995</v>
      </c>
      <c r="Q10" s="95">
        <f t="shared" si="0"/>
        <v>0.69599999999999995</v>
      </c>
      <c r="R10" s="95">
        <f t="shared" si="0"/>
        <v>0.69599999999999995</v>
      </c>
      <c r="S10" s="95">
        <f t="shared" si="0"/>
        <v>0.69599999999999995</v>
      </c>
      <c r="T10" s="95">
        <f t="shared" si="0"/>
        <v>0.69599999999999995</v>
      </c>
      <c r="U10" s="95">
        <f t="shared" si="0"/>
        <v>0.69599999999999995</v>
      </c>
      <c r="V10" s="95">
        <f t="shared" si="0"/>
        <v>0.69599999999999995</v>
      </c>
      <c r="W10" s="95">
        <f t="shared" si="0"/>
        <v>0.69599999999999995</v>
      </c>
      <c r="X10" s="95">
        <f t="shared" si="0"/>
        <v>0.69599999999999995</v>
      </c>
      <c r="Y10" s="95">
        <f t="shared" si="0"/>
        <v>0.69599999999999995</v>
      </c>
      <c r="Z10" s="95">
        <f t="shared" si="0"/>
        <v>0.69599999999999995</v>
      </c>
      <c r="AA10" s="95">
        <f t="shared" si="0"/>
        <v>0.69599999999999995</v>
      </c>
      <c r="AB10" s="95">
        <f t="shared" si="0"/>
        <v>0.69599999999999995</v>
      </c>
      <c r="AC10" s="95">
        <f t="shared" si="0"/>
        <v>0.69599999999999995</v>
      </c>
      <c r="AD10" s="95">
        <f t="shared" si="0"/>
        <v>0.69599999999999995</v>
      </c>
      <c r="AE10" s="95">
        <f t="shared" si="0"/>
        <v>0.69599999999999995</v>
      </c>
      <c r="AF10" s="95">
        <f t="shared" si="0"/>
        <v>0.69599999999999995</v>
      </c>
      <c r="AG10" s="95">
        <f t="shared" si="0"/>
        <v>0.69599999999999995</v>
      </c>
      <c r="AH10" s="95">
        <f t="shared" si="1"/>
        <v>0.69599999999999995</v>
      </c>
      <c r="AI10" s="95">
        <f t="shared" si="1"/>
        <v>0.69599999999999995</v>
      </c>
      <c r="AJ10" s="95">
        <f t="shared" si="1"/>
        <v>0.69599999999999995</v>
      </c>
      <c r="AK10" s="95">
        <f t="shared" si="1"/>
        <v>0.69599999999999995</v>
      </c>
      <c r="AL10" s="95">
        <f t="shared" si="1"/>
        <v>0.69599999999999995</v>
      </c>
      <c r="AM10" s="95">
        <f t="shared" si="1"/>
        <v>0.69599999999999995</v>
      </c>
      <c r="AN10" s="95">
        <f t="shared" si="1"/>
        <v>0.69599999999999995</v>
      </c>
      <c r="AO10" s="95">
        <f t="shared" si="1"/>
        <v>0.69599999999999995</v>
      </c>
      <c r="AP10" s="95">
        <f t="shared" si="1"/>
        <v>0.69599999999999995</v>
      </c>
      <c r="AQ10" s="95">
        <f t="shared" si="1"/>
        <v>0.69599999999999995</v>
      </c>
    </row>
    <row r="11" spans="1:43">
      <c r="A11" s="94" t="s">
        <v>129</v>
      </c>
      <c r="B11" s="95">
        <f>Thermal!AL3</f>
        <v>8.6757990867579904E-2</v>
      </c>
      <c r="C11" s="95">
        <f>Thermal!AM3</f>
        <v>9.851598173515981E-2</v>
      </c>
      <c r="D11" s="95">
        <f>C11</f>
        <v>9.851598173515981E-2</v>
      </c>
      <c r="E11" s="95">
        <f t="shared" si="3"/>
        <v>9.851598173515981E-2</v>
      </c>
      <c r="F11" s="95">
        <f t="shared" si="0"/>
        <v>9.851598173515981E-2</v>
      </c>
      <c r="G11" s="95">
        <f t="shared" si="0"/>
        <v>9.851598173515981E-2</v>
      </c>
      <c r="H11" s="95">
        <f t="shared" si="0"/>
        <v>9.851598173515981E-2</v>
      </c>
      <c r="I11" s="95">
        <f t="shared" si="0"/>
        <v>9.851598173515981E-2</v>
      </c>
      <c r="J11" s="95">
        <f t="shared" si="0"/>
        <v>9.851598173515981E-2</v>
      </c>
      <c r="K11" s="95">
        <f t="shared" si="0"/>
        <v>9.851598173515981E-2</v>
      </c>
      <c r="L11" s="95">
        <f t="shared" si="0"/>
        <v>9.851598173515981E-2</v>
      </c>
      <c r="M11" s="95">
        <f t="shared" si="0"/>
        <v>9.851598173515981E-2</v>
      </c>
      <c r="N11" s="95">
        <f t="shared" si="0"/>
        <v>9.851598173515981E-2</v>
      </c>
      <c r="O11" s="95">
        <f t="shared" si="0"/>
        <v>9.851598173515981E-2</v>
      </c>
      <c r="P11" s="95">
        <f t="shared" si="0"/>
        <v>9.851598173515981E-2</v>
      </c>
      <c r="Q11" s="95">
        <f t="shared" si="0"/>
        <v>9.851598173515981E-2</v>
      </c>
      <c r="R11" s="95">
        <f t="shared" si="0"/>
        <v>9.851598173515981E-2</v>
      </c>
      <c r="S11" s="95">
        <f t="shared" si="0"/>
        <v>9.851598173515981E-2</v>
      </c>
      <c r="T11" s="95">
        <f t="shared" si="0"/>
        <v>9.851598173515981E-2</v>
      </c>
      <c r="U11" s="95">
        <f t="shared" si="0"/>
        <v>9.851598173515981E-2</v>
      </c>
      <c r="V11" s="95">
        <f t="shared" si="0"/>
        <v>9.851598173515981E-2</v>
      </c>
      <c r="W11" s="95">
        <f t="shared" si="0"/>
        <v>9.851598173515981E-2</v>
      </c>
      <c r="X11" s="95">
        <f t="shared" ref="F11:AH17" si="5">$D11</f>
        <v>9.851598173515981E-2</v>
      </c>
      <c r="Y11" s="95">
        <f t="shared" si="5"/>
        <v>9.851598173515981E-2</v>
      </c>
      <c r="Z11" s="95">
        <f t="shared" si="5"/>
        <v>9.851598173515981E-2</v>
      </c>
      <c r="AA11" s="95">
        <f t="shared" si="5"/>
        <v>9.851598173515981E-2</v>
      </c>
      <c r="AB11" s="95">
        <f t="shared" si="5"/>
        <v>9.851598173515981E-2</v>
      </c>
      <c r="AC11" s="95">
        <f t="shared" si="5"/>
        <v>9.851598173515981E-2</v>
      </c>
      <c r="AD11" s="95">
        <f t="shared" si="5"/>
        <v>9.851598173515981E-2</v>
      </c>
      <c r="AE11" s="95">
        <f t="shared" si="5"/>
        <v>9.851598173515981E-2</v>
      </c>
      <c r="AF11" s="95">
        <f t="shared" si="5"/>
        <v>9.851598173515981E-2</v>
      </c>
      <c r="AG11" s="95">
        <f t="shared" si="5"/>
        <v>9.851598173515981E-2</v>
      </c>
      <c r="AH11" s="95">
        <f t="shared" si="5"/>
        <v>9.851598173515981E-2</v>
      </c>
      <c r="AI11" s="95">
        <f t="shared" si="1"/>
        <v>9.851598173515981E-2</v>
      </c>
      <c r="AJ11" s="95">
        <f t="shared" si="1"/>
        <v>9.851598173515981E-2</v>
      </c>
      <c r="AK11" s="95">
        <f t="shared" si="1"/>
        <v>9.851598173515981E-2</v>
      </c>
      <c r="AL11" s="95">
        <f t="shared" si="1"/>
        <v>9.851598173515981E-2</v>
      </c>
      <c r="AM11" s="95">
        <f t="shared" si="1"/>
        <v>9.851598173515981E-2</v>
      </c>
      <c r="AN11" s="95">
        <f t="shared" si="1"/>
        <v>9.851598173515981E-2</v>
      </c>
      <c r="AO11" s="95">
        <f t="shared" si="1"/>
        <v>9.851598173515981E-2</v>
      </c>
      <c r="AP11" s="95">
        <f t="shared" si="1"/>
        <v>9.851598173515981E-2</v>
      </c>
      <c r="AQ11" s="95">
        <f t="shared" si="1"/>
        <v>9.851598173515981E-2</v>
      </c>
    </row>
    <row r="12" spans="1:43">
      <c r="A12" s="94" t="s">
        <v>128</v>
      </c>
      <c r="B12" s="95">
        <f>Thermal!AG3</f>
        <v>0.30205479452054795</v>
      </c>
      <c r="C12" s="95">
        <f>Thermal!AH3</f>
        <v>0.29794520547945208</v>
      </c>
      <c r="D12" s="95">
        <f>MAX(Thermal!AD3:AH3)</f>
        <v>0.31586757990867581</v>
      </c>
      <c r="E12" s="95">
        <f t="shared" si="3"/>
        <v>0.31586757990867581</v>
      </c>
      <c r="F12" s="95">
        <f t="shared" si="5"/>
        <v>0.31586757990867581</v>
      </c>
      <c r="G12" s="95">
        <f t="shared" si="5"/>
        <v>0.31586757990867581</v>
      </c>
      <c r="H12" s="95">
        <f t="shared" si="5"/>
        <v>0.31586757990867581</v>
      </c>
      <c r="I12" s="95">
        <f t="shared" si="5"/>
        <v>0.31586757990867581</v>
      </c>
      <c r="J12" s="95">
        <f t="shared" si="5"/>
        <v>0.31586757990867581</v>
      </c>
      <c r="K12" s="95">
        <f t="shared" si="5"/>
        <v>0.31586757990867581</v>
      </c>
      <c r="L12" s="95">
        <f t="shared" si="5"/>
        <v>0.31586757990867581</v>
      </c>
      <c r="M12" s="95">
        <f t="shared" si="5"/>
        <v>0.31586757990867581</v>
      </c>
      <c r="N12" s="95">
        <f t="shared" si="5"/>
        <v>0.31586757990867581</v>
      </c>
      <c r="O12" s="95">
        <f t="shared" si="5"/>
        <v>0.31586757990867581</v>
      </c>
      <c r="P12" s="95">
        <f t="shared" si="5"/>
        <v>0.31586757990867581</v>
      </c>
      <c r="Q12" s="95">
        <f t="shared" si="5"/>
        <v>0.31586757990867581</v>
      </c>
      <c r="R12" s="95">
        <f t="shared" si="5"/>
        <v>0.31586757990867581</v>
      </c>
      <c r="S12" s="95">
        <f t="shared" si="5"/>
        <v>0.31586757990867581</v>
      </c>
      <c r="T12" s="95">
        <f t="shared" si="5"/>
        <v>0.31586757990867581</v>
      </c>
      <c r="U12" s="95">
        <f t="shared" si="5"/>
        <v>0.31586757990867581</v>
      </c>
      <c r="V12" s="95">
        <f t="shared" si="5"/>
        <v>0.31586757990867581</v>
      </c>
      <c r="W12" s="95">
        <f t="shared" si="5"/>
        <v>0.31586757990867581</v>
      </c>
      <c r="X12" s="95">
        <f t="shared" si="5"/>
        <v>0.31586757990867581</v>
      </c>
      <c r="Y12" s="95">
        <f t="shared" si="5"/>
        <v>0.31586757990867581</v>
      </c>
      <c r="Z12" s="95">
        <f t="shared" si="5"/>
        <v>0.31586757990867581</v>
      </c>
      <c r="AA12" s="95">
        <f t="shared" si="5"/>
        <v>0.31586757990867581</v>
      </c>
      <c r="AB12" s="95">
        <f t="shared" si="5"/>
        <v>0.31586757990867581</v>
      </c>
      <c r="AC12" s="95">
        <f t="shared" si="5"/>
        <v>0.31586757990867581</v>
      </c>
      <c r="AD12" s="95">
        <f t="shared" si="5"/>
        <v>0.31586757990867581</v>
      </c>
      <c r="AE12" s="95">
        <f t="shared" si="5"/>
        <v>0.31586757990867581</v>
      </c>
      <c r="AF12" s="95">
        <f t="shared" si="5"/>
        <v>0.31586757990867581</v>
      </c>
      <c r="AG12" s="95">
        <f t="shared" si="5"/>
        <v>0.31586757990867581</v>
      </c>
      <c r="AH12" s="95">
        <f t="shared" si="1"/>
        <v>0.31586757990867581</v>
      </c>
      <c r="AI12" s="95">
        <f t="shared" si="1"/>
        <v>0.31586757990867581</v>
      </c>
      <c r="AJ12" s="95">
        <f t="shared" si="1"/>
        <v>0.31586757990867581</v>
      </c>
      <c r="AK12" s="95">
        <f t="shared" si="1"/>
        <v>0.31586757990867581</v>
      </c>
      <c r="AL12" s="95">
        <f t="shared" si="1"/>
        <v>0.31586757990867581</v>
      </c>
      <c r="AM12" s="95">
        <f t="shared" si="1"/>
        <v>0.31586757990867581</v>
      </c>
      <c r="AN12" s="95">
        <f t="shared" si="1"/>
        <v>0.31586757990867581</v>
      </c>
      <c r="AO12" s="95">
        <f t="shared" si="1"/>
        <v>0.31586757990867581</v>
      </c>
      <c r="AP12" s="95">
        <f t="shared" si="1"/>
        <v>0.31586757990867581</v>
      </c>
      <c r="AQ12" s="95">
        <f t="shared" si="1"/>
        <v>0.31586757990867581</v>
      </c>
    </row>
    <row r="13" spans="1:43">
      <c r="A13" s="94" t="s">
        <v>127</v>
      </c>
      <c r="B13" s="95">
        <f>B2</f>
        <v>0.50559360730593605</v>
      </c>
      <c r="C13" s="95">
        <f t="shared" ref="C13:D13" si="6">C2</f>
        <v>0.49349315068493149</v>
      </c>
      <c r="D13" s="95">
        <f t="shared" si="6"/>
        <v>0.51312785388127857</v>
      </c>
      <c r="E13" s="95">
        <f t="shared" si="3"/>
        <v>0.51312785388127857</v>
      </c>
      <c r="F13" s="95">
        <f t="shared" si="5"/>
        <v>0.51312785388127857</v>
      </c>
      <c r="G13" s="95">
        <f t="shared" si="5"/>
        <v>0.51312785388127857</v>
      </c>
      <c r="H13" s="95">
        <f t="shared" si="5"/>
        <v>0.51312785388127857</v>
      </c>
      <c r="I13" s="95">
        <f t="shared" si="5"/>
        <v>0.51312785388127857</v>
      </c>
      <c r="J13" s="95">
        <f t="shared" si="5"/>
        <v>0.51312785388127857</v>
      </c>
      <c r="K13" s="95">
        <f t="shared" si="5"/>
        <v>0.51312785388127857</v>
      </c>
      <c r="L13" s="95">
        <f t="shared" si="5"/>
        <v>0.51312785388127857</v>
      </c>
      <c r="M13" s="95">
        <f t="shared" si="5"/>
        <v>0.51312785388127857</v>
      </c>
      <c r="N13" s="95">
        <f t="shared" si="5"/>
        <v>0.51312785388127857</v>
      </c>
      <c r="O13" s="95">
        <f t="shared" si="5"/>
        <v>0.51312785388127857</v>
      </c>
      <c r="P13" s="95">
        <f t="shared" si="5"/>
        <v>0.51312785388127857</v>
      </c>
      <c r="Q13" s="95">
        <f t="shared" si="5"/>
        <v>0.51312785388127857</v>
      </c>
      <c r="R13" s="95">
        <f t="shared" si="5"/>
        <v>0.51312785388127857</v>
      </c>
      <c r="S13" s="95">
        <f t="shared" si="5"/>
        <v>0.51312785388127857</v>
      </c>
      <c r="T13" s="95">
        <f t="shared" si="5"/>
        <v>0.51312785388127857</v>
      </c>
      <c r="U13" s="95">
        <f t="shared" si="5"/>
        <v>0.51312785388127857</v>
      </c>
      <c r="V13" s="95">
        <f t="shared" si="5"/>
        <v>0.51312785388127857</v>
      </c>
      <c r="W13" s="95">
        <f t="shared" si="5"/>
        <v>0.51312785388127857</v>
      </c>
      <c r="X13" s="95">
        <f t="shared" si="5"/>
        <v>0.51312785388127857</v>
      </c>
      <c r="Y13" s="95">
        <f t="shared" si="5"/>
        <v>0.51312785388127857</v>
      </c>
      <c r="Z13" s="95">
        <f t="shared" si="5"/>
        <v>0.51312785388127857</v>
      </c>
      <c r="AA13" s="95">
        <f t="shared" si="5"/>
        <v>0.51312785388127857</v>
      </c>
      <c r="AB13" s="95">
        <f t="shared" si="5"/>
        <v>0.51312785388127857</v>
      </c>
      <c r="AC13" s="95">
        <f t="shared" si="5"/>
        <v>0.51312785388127857</v>
      </c>
      <c r="AD13" s="95">
        <f t="shared" si="5"/>
        <v>0.51312785388127857</v>
      </c>
      <c r="AE13" s="95">
        <f t="shared" si="5"/>
        <v>0.51312785388127857</v>
      </c>
      <c r="AF13" s="95">
        <f t="shared" si="5"/>
        <v>0.51312785388127857</v>
      </c>
      <c r="AG13" s="95">
        <f t="shared" si="5"/>
        <v>0.51312785388127857</v>
      </c>
      <c r="AH13" s="95">
        <f t="shared" si="1"/>
        <v>0.51312785388127857</v>
      </c>
      <c r="AI13" s="95">
        <f t="shared" si="1"/>
        <v>0.51312785388127857</v>
      </c>
      <c r="AJ13" s="95">
        <f t="shared" si="1"/>
        <v>0.51312785388127857</v>
      </c>
      <c r="AK13" s="95">
        <f t="shared" si="1"/>
        <v>0.51312785388127857</v>
      </c>
      <c r="AL13" s="95">
        <f t="shared" si="1"/>
        <v>0.51312785388127857</v>
      </c>
      <c r="AM13" s="95">
        <f t="shared" si="1"/>
        <v>0.51312785388127857</v>
      </c>
      <c r="AN13" s="95">
        <f t="shared" si="1"/>
        <v>0.51312785388127857</v>
      </c>
      <c r="AO13" s="95">
        <f t="shared" si="1"/>
        <v>0.51312785388127857</v>
      </c>
      <c r="AP13" s="95">
        <f t="shared" si="1"/>
        <v>0.51312785388127857</v>
      </c>
      <c r="AQ13" s="95">
        <f t="shared" si="1"/>
        <v>0.51312785388127857</v>
      </c>
    </row>
    <row r="14" spans="1:43">
      <c r="A14" s="94" t="s">
        <v>126</v>
      </c>
      <c r="B14" s="95">
        <f>B6*1.8</f>
        <v>0.42336852177219364</v>
      </c>
      <c r="C14" s="95">
        <f t="shared" ref="C14:AQ14" si="7">C6*1.8</f>
        <v>0.39061191680342972</v>
      </c>
      <c r="D14" s="95">
        <f t="shared" si="7"/>
        <v>0.43164431941679643</v>
      </c>
      <c r="E14" s="95">
        <f t="shared" si="7"/>
        <v>0.43164431941679643</v>
      </c>
      <c r="F14" s="95">
        <f t="shared" si="7"/>
        <v>0.43164431941679643</v>
      </c>
      <c r="G14" s="95">
        <f t="shared" si="7"/>
        <v>0.43164431941679643</v>
      </c>
      <c r="H14" s="95">
        <f t="shared" si="7"/>
        <v>0.43164431941679643</v>
      </c>
      <c r="I14" s="95">
        <f t="shared" si="7"/>
        <v>0.43164431941679643</v>
      </c>
      <c r="J14" s="95">
        <f t="shared" si="7"/>
        <v>0.43164431941679643</v>
      </c>
      <c r="K14" s="95">
        <f t="shared" si="7"/>
        <v>0.43164431941679643</v>
      </c>
      <c r="L14" s="95">
        <f t="shared" si="7"/>
        <v>0.43164431941679643</v>
      </c>
      <c r="M14" s="95">
        <f t="shared" si="7"/>
        <v>0.43164431941679643</v>
      </c>
      <c r="N14" s="95">
        <f t="shared" si="7"/>
        <v>0.43164431941679643</v>
      </c>
      <c r="O14" s="95">
        <f t="shared" si="7"/>
        <v>0.43164431941679643</v>
      </c>
      <c r="P14" s="95">
        <f t="shared" si="7"/>
        <v>0.43164431941679643</v>
      </c>
      <c r="Q14" s="95">
        <f t="shared" si="7"/>
        <v>0.43164431941679643</v>
      </c>
      <c r="R14" s="95">
        <f t="shared" si="7"/>
        <v>0.43164431941679643</v>
      </c>
      <c r="S14" s="95">
        <f t="shared" si="7"/>
        <v>0.43164431941679643</v>
      </c>
      <c r="T14" s="95">
        <f t="shared" si="7"/>
        <v>0.43164431941679643</v>
      </c>
      <c r="U14" s="95">
        <f t="shared" si="7"/>
        <v>0.43164431941679643</v>
      </c>
      <c r="V14" s="95">
        <f t="shared" si="7"/>
        <v>0.43164431941679643</v>
      </c>
      <c r="W14" s="95">
        <f t="shared" si="7"/>
        <v>0.43164431941679643</v>
      </c>
      <c r="X14" s="95">
        <f t="shared" si="7"/>
        <v>0.43164431941679643</v>
      </c>
      <c r="Y14" s="95">
        <f t="shared" si="7"/>
        <v>0.43164431941679643</v>
      </c>
      <c r="Z14" s="95">
        <f t="shared" si="7"/>
        <v>0.43164431941679643</v>
      </c>
      <c r="AA14" s="95">
        <f t="shared" si="7"/>
        <v>0.43164431941679643</v>
      </c>
      <c r="AB14" s="95">
        <f t="shared" si="7"/>
        <v>0.43164431941679643</v>
      </c>
      <c r="AC14" s="95">
        <f t="shared" si="7"/>
        <v>0.43164431941679643</v>
      </c>
      <c r="AD14" s="95">
        <f t="shared" si="7"/>
        <v>0.43164431941679643</v>
      </c>
      <c r="AE14" s="95">
        <f t="shared" si="7"/>
        <v>0.43164431941679643</v>
      </c>
      <c r="AF14" s="95">
        <f t="shared" si="7"/>
        <v>0.43164431941679643</v>
      </c>
      <c r="AG14" s="95">
        <f t="shared" si="7"/>
        <v>0.43164431941679643</v>
      </c>
      <c r="AH14" s="95">
        <f t="shared" si="7"/>
        <v>0.43164431941679643</v>
      </c>
      <c r="AI14" s="95">
        <f t="shared" si="7"/>
        <v>0.43164431941679643</v>
      </c>
      <c r="AJ14" s="95">
        <f t="shared" si="7"/>
        <v>0.43164431941679643</v>
      </c>
      <c r="AK14" s="95">
        <f t="shared" si="7"/>
        <v>0.43164431941679643</v>
      </c>
      <c r="AL14" s="95">
        <f t="shared" si="7"/>
        <v>0.43164431941679643</v>
      </c>
      <c r="AM14" s="95">
        <f t="shared" si="7"/>
        <v>0.43164431941679643</v>
      </c>
      <c r="AN14" s="95">
        <f t="shared" si="7"/>
        <v>0.43164431941679643</v>
      </c>
      <c r="AO14" s="95">
        <f t="shared" si="7"/>
        <v>0.43164431941679643</v>
      </c>
      <c r="AP14" s="95">
        <f t="shared" si="7"/>
        <v>0.43164431941679643</v>
      </c>
      <c r="AQ14" s="95">
        <f t="shared" si="7"/>
        <v>0.43164431941679643</v>
      </c>
    </row>
    <row r="15" spans="1:43">
      <c r="A15" s="94" t="s">
        <v>125</v>
      </c>
      <c r="B15" s="95">
        <f>B11</f>
        <v>8.6757990867579904E-2</v>
      </c>
      <c r="C15" s="95">
        <f t="shared" ref="C15:D15" si="8">C11</f>
        <v>9.851598173515981E-2</v>
      </c>
      <c r="D15" s="95">
        <f t="shared" si="8"/>
        <v>9.851598173515981E-2</v>
      </c>
      <c r="E15" s="95">
        <f t="shared" si="3"/>
        <v>9.851598173515981E-2</v>
      </c>
      <c r="F15" s="95">
        <f t="shared" si="5"/>
        <v>9.851598173515981E-2</v>
      </c>
      <c r="G15" s="95">
        <f t="shared" si="5"/>
        <v>9.851598173515981E-2</v>
      </c>
      <c r="H15" s="95">
        <f t="shared" si="5"/>
        <v>9.851598173515981E-2</v>
      </c>
      <c r="I15" s="95">
        <f t="shared" si="5"/>
        <v>9.851598173515981E-2</v>
      </c>
      <c r="J15" s="95">
        <f t="shared" si="5"/>
        <v>9.851598173515981E-2</v>
      </c>
      <c r="K15" s="95">
        <f t="shared" si="5"/>
        <v>9.851598173515981E-2</v>
      </c>
      <c r="L15" s="95">
        <f t="shared" si="5"/>
        <v>9.851598173515981E-2</v>
      </c>
      <c r="M15" s="95">
        <f t="shared" si="5"/>
        <v>9.851598173515981E-2</v>
      </c>
      <c r="N15" s="95">
        <f t="shared" si="5"/>
        <v>9.851598173515981E-2</v>
      </c>
      <c r="O15" s="95">
        <f t="shared" si="5"/>
        <v>9.851598173515981E-2</v>
      </c>
      <c r="P15" s="95">
        <f t="shared" si="5"/>
        <v>9.851598173515981E-2</v>
      </c>
      <c r="Q15" s="95">
        <f t="shared" si="5"/>
        <v>9.851598173515981E-2</v>
      </c>
      <c r="R15" s="95">
        <f t="shared" si="5"/>
        <v>9.851598173515981E-2</v>
      </c>
      <c r="S15" s="95">
        <f t="shared" si="5"/>
        <v>9.851598173515981E-2</v>
      </c>
      <c r="T15" s="95">
        <f t="shared" si="5"/>
        <v>9.851598173515981E-2</v>
      </c>
      <c r="U15" s="95">
        <f t="shared" si="5"/>
        <v>9.851598173515981E-2</v>
      </c>
      <c r="V15" s="95">
        <f t="shared" si="5"/>
        <v>9.851598173515981E-2</v>
      </c>
      <c r="W15" s="95">
        <f t="shared" si="5"/>
        <v>9.851598173515981E-2</v>
      </c>
      <c r="X15" s="95">
        <f t="shared" si="5"/>
        <v>9.851598173515981E-2</v>
      </c>
      <c r="Y15" s="95">
        <f t="shared" si="5"/>
        <v>9.851598173515981E-2</v>
      </c>
      <c r="Z15" s="95">
        <f t="shared" si="5"/>
        <v>9.851598173515981E-2</v>
      </c>
      <c r="AA15" s="95">
        <f t="shared" si="5"/>
        <v>9.851598173515981E-2</v>
      </c>
      <c r="AB15" s="95">
        <f t="shared" si="5"/>
        <v>9.851598173515981E-2</v>
      </c>
      <c r="AC15" s="95">
        <f t="shared" si="5"/>
        <v>9.851598173515981E-2</v>
      </c>
      <c r="AD15" s="95">
        <f t="shared" si="5"/>
        <v>9.851598173515981E-2</v>
      </c>
      <c r="AE15" s="95">
        <f t="shared" si="5"/>
        <v>9.851598173515981E-2</v>
      </c>
      <c r="AF15" s="95">
        <f t="shared" si="5"/>
        <v>9.851598173515981E-2</v>
      </c>
      <c r="AG15" s="95">
        <f t="shared" si="5"/>
        <v>9.851598173515981E-2</v>
      </c>
      <c r="AH15" s="95">
        <f t="shared" si="1"/>
        <v>9.851598173515981E-2</v>
      </c>
      <c r="AI15" s="95">
        <f t="shared" si="1"/>
        <v>9.851598173515981E-2</v>
      </c>
      <c r="AJ15" s="95">
        <f t="shared" si="1"/>
        <v>9.851598173515981E-2</v>
      </c>
      <c r="AK15" s="95">
        <f t="shared" si="1"/>
        <v>9.851598173515981E-2</v>
      </c>
      <c r="AL15" s="95">
        <f t="shared" si="1"/>
        <v>9.851598173515981E-2</v>
      </c>
      <c r="AM15" s="95">
        <f t="shared" si="1"/>
        <v>9.851598173515981E-2</v>
      </c>
      <c r="AN15" s="95">
        <f t="shared" si="1"/>
        <v>9.851598173515981E-2</v>
      </c>
      <c r="AO15" s="95">
        <f t="shared" si="1"/>
        <v>9.851598173515981E-2</v>
      </c>
      <c r="AP15" s="95">
        <f t="shared" si="1"/>
        <v>9.851598173515981E-2</v>
      </c>
      <c r="AQ15" s="95">
        <f t="shared" si="1"/>
        <v>9.851598173515981E-2</v>
      </c>
    </row>
    <row r="16" spans="1:43">
      <c r="A16" s="94" t="s">
        <v>124</v>
      </c>
      <c r="B16" s="95">
        <f>B11</f>
        <v>8.6757990867579904E-2</v>
      </c>
      <c r="C16" s="95">
        <f t="shared" ref="C16:D16" si="9">C11</f>
        <v>9.851598173515981E-2</v>
      </c>
      <c r="D16" s="95">
        <f t="shared" si="9"/>
        <v>9.851598173515981E-2</v>
      </c>
      <c r="E16" s="95">
        <f t="shared" si="3"/>
        <v>9.851598173515981E-2</v>
      </c>
      <c r="F16" s="95">
        <f t="shared" si="5"/>
        <v>9.851598173515981E-2</v>
      </c>
      <c r="G16" s="95">
        <f t="shared" si="5"/>
        <v>9.851598173515981E-2</v>
      </c>
      <c r="H16" s="95">
        <f t="shared" si="5"/>
        <v>9.851598173515981E-2</v>
      </c>
      <c r="I16" s="95">
        <f t="shared" si="5"/>
        <v>9.851598173515981E-2</v>
      </c>
      <c r="J16" s="95">
        <f t="shared" si="5"/>
        <v>9.851598173515981E-2</v>
      </c>
      <c r="K16" s="95">
        <f t="shared" si="5"/>
        <v>9.851598173515981E-2</v>
      </c>
      <c r="L16" s="95">
        <f t="shared" si="5"/>
        <v>9.851598173515981E-2</v>
      </c>
      <c r="M16" s="95">
        <f t="shared" si="5"/>
        <v>9.851598173515981E-2</v>
      </c>
      <c r="N16" s="95">
        <f t="shared" si="5"/>
        <v>9.851598173515981E-2</v>
      </c>
      <c r="O16" s="95">
        <f t="shared" si="5"/>
        <v>9.851598173515981E-2</v>
      </c>
      <c r="P16" s="95">
        <f t="shared" si="5"/>
        <v>9.851598173515981E-2</v>
      </c>
      <c r="Q16" s="95">
        <f t="shared" si="5"/>
        <v>9.851598173515981E-2</v>
      </c>
      <c r="R16" s="95">
        <f t="shared" si="5"/>
        <v>9.851598173515981E-2</v>
      </c>
      <c r="S16" s="95">
        <f t="shared" si="5"/>
        <v>9.851598173515981E-2</v>
      </c>
      <c r="T16" s="95">
        <f t="shared" si="5"/>
        <v>9.851598173515981E-2</v>
      </c>
      <c r="U16" s="95">
        <f t="shared" si="5"/>
        <v>9.851598173515981E-2</v>
      </c>
      <c r="V16" s="95">
        <f t="shared" si="5"/>
        <v>9.851598173515981E-2</v>
      </c>
      <c r="W16" s="95">
        <f t="shared" si="5"/>
        <v>9.851598173515981E-2</v>
      </c>
      <c r="X16" s="95">
        <f t="shared" si="5"/>
        <v>9.851598173515981E-2</v>
      </c>
      <c r="Y16" s="95">
        <f t="shared" si="5"/>
        <v>9.851598173515981E-2</v>
      </c>
      <c r="Z16" s="95">
        <f t="shared" si="5"/>
        <v>9.851598173515981E-2</v>
      </c>
      <c r="AA16" s="95">
        <f t="shared" si="5"/>
        <v>9.851598173515981E-2</v>
      </c>
      <c r="AB16" s="95">
        <f t="shared" si="5"/>
        <v>9.851598173515981E-2</v>
      </c>
      <c r="AC16" s="95">
        <f t="shared" si="5"/>
        <v>9.851598173515981E-2</v>
      </c>
      <c r="AD16" s="95">
        <f t="shared" si="5"/>
        <v>9.851598173515981E-2</v>
      </c>
      <c r="AE16" s="95">
        <f t="shared" si="5"/>
        <v>9.851598173515981E-2</v>
      </c>
      <c r="AF16" s="95">
        <f t="shared" si="5"/>
        <v>9.851598173515981E-2</v>
      </c>
      <c r="AG16" s="95">
        <f t="shared" si="5"/>
        <v>9.851598173515981E-2</v>
      </c>
      <c r="AH16" s="95">
        <f t="shared" si="1"/>
        <v>9.851598173515981E-2</v>
      </c>
      <c r="AI16" s="95">
        <f t="shared" si="1"/>
        <v>9.851598173515981E-2</v>
      </c>
      <c r="AJ16" s="95">
        <f t="shared" si="1"/>
        <v>9.851598173515981E-2</v>
      </c>
      <c r="AK16" s="95">
        <f t="shared" si="1"/>
        <v>9.851598173515981E-2</v>
      </c>
      <c r="AL16" s="95">
        <f t="shared" si="1"/>
        <v>9.851598173515981E-2</v>
      </c>
      <c r="AM16" s="95">
        <f t="shared" si="1"/>
        <v>9.851598173515981E-2</v>
      </c>
      <c r="AN16" s="95">
        <f t="shared" si="1"/>
        <v>9.851598173515981E-2</v>
      </c>
      <c r="AO16" s="95">
        <f t="shared" si="1"/>
        <v>9.851598173515981E-2</v>
      </c>
      <c r="AP16" s="95">
        <f t="shared" si="1"/>
        <v>9.851598173515981E-2</v>
      </c>
      <c r="AQ16" s="95">
        <f t="shared" si="1"/>
        <v>9.851598173515981E-2</v>
      </c>
    </row>
    <row r="17" spans="1:43">
      <c r="A17" s="94" t="s">
        <v>123</v>
      </c>
      <c r="B17" s="95">
        <f>Biomass!AD3</f>
        <v>0.66563926940639273</v>
      </c>
      <c r="C17" s="95">
        <f>Biomass!AE3</f>
        <v>0.67305936073059358</v>
      </c>
      <c r="D17" s="95">
        <f>MAX(Biomass!AA3:AE3)</f>
        <v>0.67305936073059358</v>
      </c>
      <c r="E17" s="95">
        <f t="shared" si="3"/>
        <v>0.67305936073059358</v>
      </c>
      <c r="F17" s="95">
        <f t="shared" si="5"/>
        <v>0.67305936073059358</v>
      </c>
      <c r="G17" s="95">
        <f t="shared" si="5"/>
        <v>0.67305936073059358</v>
      </c>
      <c r="H17" s="95">
        <f t="shared" si="5"/>
        <v>0.67305936073059358</v>
      </c>
      <c r="I17" s="95">
        <f t="shared" si="5"/>
        <v>0.67305936073059358</v>
      </c>
      <c r="J17" s="95">
        <f t="shared" si="5"/>
        <v>0.67305936073059358</v>
      </c>
      <c r="K17" s="95">
        <f t="shared" si="5"/>
        <v>0.67305936073059358</v>
      </c>
      <c r="L17" s="95">
        <f t="shared" si="5"/>
        <v>0.67305936073059358</v>
      </c>
      <c r="M17" s="95">
        <f t="shared" si="5"/>
        <v>0.67305936073059358</v>
      </c>
      <c r="N17" s="95">
        <f t="shared" si="5"/>
        <v>0.67305936073059358</v>
      </c>
      <c r="O17" s="95">
        <f t="shared" si="5"/>
        <v>0.67305936073059358</v>
      </c>
      <c r="P17" s="95">
        <f t="shared" si="5"/>
        <v>0.67305936073059358</v>
      </c>
      <c r="Q17" s="95">
        <f t="shared" si="5"/>
        <v>0.67305936073059358</v>
      </c>
      <c r="R17" s="95">
        <f t="shared" si="5"/>
        <v>0.67305936073059358</v>
      </c>
      <c r="S17" s="95">
        <f t="shared" si="5"/>
        <v>0.67305936073059358</v>
      </c>
      <c r="T17" s="95">
        <f t="shared" si="5"/>
        <v>0.67305936073059358</v>
      </c>
      <c r="U17" s="95">
        <f t="shared" si="5"/>
        <v>0.67305936073059358</v>
      </c>
      <c r="V17" s="95">
        <f t="shared" si="5"/>
        <v>0.67305936073059358</v>
      </c>
      <c r="W17" s="95">
        <f t="shared" si="5"/>
        <v>0.67305936073059358</v>
      </c>
      <c r="X17" s="95">
        <f t="shared" si="5"/>
        <v>0.67305936073059358</v>
      </c>
      <c r="Y17" s="95">
        <f t="shared" si="5"/>
        <v>0.67305936073059358</v>
      </c>
      <c r="Z17" s="95">
        <f t="shared" si="5"/>
        <v>0.67305936073059358</v>
      </c>
      <c r="AA17" s="95">
        <f t="shared" si="5"/>
        <v>0.67305936073059358</v>
      </c>
      <c r="AB17" s="95">
        <f t="shared" si="5"/>
        <v>0.67305936073059358</v>
      </c>
      <c r="AC17" s="95">
        <f t="shared" si="5"/>
        <v>0.67305936073059358</v>
      </c>
      <c r="AD17" s="95">
        <f t="shared" si="5"/>
        <v>0.67305936073059358</v>
      </c>
      <c r="AE17" s="95">
        <f t="shared" si="5"/>
        <v>0.67305936073059358</v>
      </c>
      <c r="AF17" s="95">
        <f t="shared" si="5"/>
        <v>0.67305936073059358</v>
      </c>
      <c r="AG17" s="95">
        <f t="shared" si="5"/>
        <v>0.67305936073059358</v>
      </c>
      <c r="AH17" s="95">
        <f t="shared" si="1"/>
        <v>0.67305936073059358</v>
      </c>
      <c r="AI17" s="95">
        <f t="shared" si="1"/>
        <v>0.67305936073059358</v>
      </c>
      <c r="AJ17" s="95">
        <f t="shared" si="1"/>
        <v>0.67305936073059358</v>
      </c>
      <c r="AK17" s="95">
        <f t="shared" si="1"/>
        <v>0.67305936073059358</v>
      </c>
      <c r="AL17" s="95">
        <f t="shared" si="1"/>
        <v>0.67305936073059358</v>
      </c>
      <c r="AM17" s="95">
        <f t="shared" si="1"/>
        <v>0.67305936073059358</v>
      </c>
      <c r="AN17" s="95">
        <f t="shared" si="1"/>
        <v>0.67305936073059358</v>
      </c>
      <c r="AO17" s="95">
        <f t="shared" si="1"/>
        <v>0.67305936073059358</v>
      </c>
      <c r="AP17" s="95">
        <f t="shared" si="1"/>
        <v>0.67305936073059358</v>
      </c>
      <c r="AQ17" s="95">
        <f t="shared" si="1"/>
        <v>0.67305936073059358</v>
      </c>
    </row>
  </sheetData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B1B02-BF68-4B79-BDA7-8BF565F63E9B}">
  <sheetPr>
    <tabColor theme="8" tint="-0.499984740745262"/>
  </sheetPr>
  <dimension ref="A1:AQ17"/>
  <sheetViews>
    <sheetView workbookViewId="0">
      <selection activeCell="B8" sqref="B8"/>
    </sheetView>
  </sheetViews>
  <sheetFormatPr defaultRowHeight="14.25"/>
  <cols>
    <col min="1" max="1" width="28" style="94" customWidth="1"/>
    <col min="2" max="16384" width="9.140625" style="94"/>
  </cols>
  <sheetData>
    <row r="1" spans="1:43" ht="28.5">
      <c r="A1" s="97" t="s">
        <v>139</v>
      </c>
      <c r="B1" s="96">
        <v>2019</v>
      </c>
      <c r="C1" s="94">
        <v>2020</v>
      </c>
      <c r="D1" s="96">
        <v>2021</v>
      </c>
      <c r="E1" s="94">
        <v>2022</v>
      </c>
      <c r="F1" s="96">
        <v>2023</v>
      </c>
      <c r="G1" s="94">
        <v>2024</v>
      </c>
      <c r="H1" s="96">
        <v>2025</v>
      </c>
      <c r="I1" s="94">
        <v>2026</v>
      </c>
      <c r="J1" s="96">
        <v>2027</v>
      </c>
      <c r="K1" s="94">
        <v>2028</v>
      </c>
      <c r="L1" s="96">
        <v>2029</v>
      </c>
      <c r="M1" s="94">
        <v>2030</v>
      </c>
      <c r="N1" s="96">
        <v>2031</v>
      </c>
      <c r="O1" s="94">
        <v>2032</v>
      </c>
      <c r="P1" s="96">
        <v>2033</v>
      </c>
      <c r="Q1" s="94">
        <v>2034</v>
      </c>
      <c r="R1" s="96">
        <v>2035</v>
      </c>
      <c r="S1" s="94">
        <v>2036</v>
      </c>
      <c r="T1" s="96">
        <v>2037</v>
      </c>
      <c r="U1" s="94">
        <v>2038</v>
      </c>
      <c r="V1" s="96">
        <v>2039</v>
      </c>
      <c r="W1" s="94">
        <v>2040</v>
      </c>
      <c r="X1" s="96">
        <v>2041</v>
      </c>
      <c r="Y1" s="94">
        <v>2042</v>
      </c>
      <c r="Z1" s="96">
        <v>2043</v>
      </c>
      <c r="AA1" s="94">
        <v>2044</v>
      </c>
      <c r="AB1" s="96">
        <v>2045</v>
      </c>
      <c r="AC1" s="94">
        <v>2046</v>
      </c>
      <c r="AD1" s="96">
        <v>2047</v>
      </c>
      <c r="AE1" s="94">
        <v>2048</v>
      </c>
      <c r="AF1" s="96">
        <v>2049</v>
      </c>
      <c r="AG1" s="94">
        <v>2050</v>
      </c>
      <c r="AH1" s="96">
        <v>2051</v>
      </c>
      <c r="AI1" s="94">
        <v>2052</v>
      </c>
      <c r="AJ1" s="96">
        <v>2053</v>
      </c>
      <c r="AK1" s="94">
        <v>2054</v>
      </c>
      <c r="AL1" s="96">
        <v>2055</v>
      </c>
      <c r="AM1" s="94">
        <v>2056</v>
      </c>
      <c r="AN1" s="96">
        <v>2057</v>
      </c>
      <c r="AO1" s="96">
        <v>2058</v>
      </c>
      <c r="AP1" s="94">
        <v>2059</v>
      </c>
      <c r="AQ1" s="96">
        <v>2060</v>
      </c>
    </row>
    <row r="2" spans="1:43">
      <c r="A2" s="94" t="s">
        <v>138</v>
      </c>
      <c r="B2" s="94">
        <f>'BECF-pre-ret'!B2</f>
        <v>0.50559360730593605</v>
      </c>
      <c r="C2" s="94">
        <f>'BECF-pre-ret'!C2</f>
        <v>0.49349315068493149</v>
      </c>
      <c r="D2" s="94">
        <f>'BECF-pre-ret'!D2</f>
        <v>0.51312785388127857</v>
      </c>
      <c r="E2" s="94">
        <f>'BECF-pre-ret'!E2</f>
        <v>0.51312785388127857</v>
      </c>
      <c r="F2" s="94">
        <f>'BECF-pre-ret'!F2</f>
        <v>0.51312785388127857</v>
      </c>
      <c r="G2" s="94">
        <f>'BECF-pre-ret'!G2</f>
        <v>0.51312785388127857</v>
      </c>
      <c r="H2" s="94">
        <f>'BECF-pre-ret'!H2</f>
        <v>0.51312785388127857</v>
      </c>
      <c r="I2" s="94">
        <f>'BECF-pre-ret'!I2</f>
        <v>0.51312785388127857</v>
      </c>
      <c r="J2" s="94">
        <f>'BECF-pre-ret'!J2</f>
        <v>0.51312785388127857</v>
      </c>
      <c r="K2" s="94">
        <f>'BECF-pre-ret'!K2</f>
        <v>0.51312785388127857</v>
      </c>
      <c r="L2" s="94">
        <f>'BECF-pre-ret'!L2</f>
        <v>0.51312785388127857</v>
      </c>
      <c r="M2" s="94">
        <f>'BECF-pre-ret'!M2</f>
        <v>0.51312785388127857</v>
      </c>
      <c r="N2" s="94">
        <f>'BECF-pre-ret'!N2</f>
        <v>0.51312785388127857</v>
      </c>
      <c r="O2" s="94">
        <f>'BECF-pre-ret'!O2</f>
        <v>0.51312785388127857</v>
      </c>
      <c r="P2" s="94">
        <f>'BECF-pre-ret'!P2</f>
        <v>0.51312785388127857</v>
      </c>
      <c r="Q2" s="94">
        <f>'BECF-pre-ret'!Q2</f>
        <v>0.51312785388127857</v>
      </c>
      <c r="R2" s="94">
        <f>'BECF-pre-ret'!R2</f>
        <v>0.51312785388127857</v>
      </c>
      <c r="S2" s="94">
        <f>'BECF-pre-ret'!S2</f>
        <v>0.51312785388127857</v>
      </c>
      <c r="T2" s="94">
        <f>'BECF-pre-ret'!T2</f>
        <v>0.51312785388127857</v>
      </c>
      <c r="U2" s="94">
        <f>'BECF-pre-ret'!U2</f>
        <v>0.51312785388127857</v>
      </c>
      <c r="V2" s="94">
        <f>'BECF-pre-ret'!V2</f>
        <v>0.51312785388127857</v>
      </c>
      <c r="W2" s="94">
        <f>'BECF-pre-ret'!W2</f>
        <v>0.51312785388127857</v>
      </c>
      <c r="X2" s="94">
        <f>'BECF-pre-ret'!X2</f>
        <v>0.51312785388127857</v>
      </c>
      <c r="Y2" s="94">
        <f>'BECF-pre-ret'!Y2</f>
        <v>0.51312785388127857</v>
      </c>
      <c r="Z2" s="94">
        <f>'BECF-pre-ret'!Z2</f>
        <v>0.51312785388127857</v>
      </c>
      <c r="AA2" s="94">
        <f>'BECF-pre-ret'!AA2</f>
        <v>0.51312785388127857</v>
      </c>
      <c r="AB2" s="94">
        <f>'BECF-pre-ret'!AB2</f>
        <v>0.51312785388127857</v>
      </c>
      <c r="AC2" s="94">
        <f>'BECF-pre-ret'!AC2</f>
        <v>0.51312785388127857</v>
      </c>
      <c r="AD2" s="94">
        <f>'BECF-pre-ret'!AD2</f>
        <v>0.51312785388127857</v>
      </c>
      <c r="AE2" s="94">
        <f>'BECF-pre-ret'!AE2</f>
        <v>0.51312785388127857</v>
      </c>
      <c r="AF2" s="94">
        <f>'BECF-pre-ret'!AF2</f>
        <v>0.51312785388127857</v>
      </c>
      <c r="AG2" s="94">
        <f>'BECF-pre-ret'!AG2</f>
        <v>0.51312785388127857</v>
      </c>
      <c r="AH2" s="94">
        <f>'BECF-pre-ret'!AH2</f>
        <v>0.51312785388127857</v>
      </c>
      <c r="AI2" s="94">
        <f>'BECF-pre-ret'!AI2</f>
        <v>0.51312785388127857</v>
      </c>
      <c r="AJ2" s="94">
        <f>'BECF-pre-ret'!AJ2</f>
        <v>0.51312785388127857</v>
      </c>
      <c r="AK2" s="94">
        <f>'BECF-pre-ret'!AK2</f>
        <v>0.51312785388127857</v>
      </c>
      <c r="AL2" s="94">
        <f>'BECF-pre-ret'!AL2</f>
        <v>0.51312785388127857</v>
      </c>
      <c r="AM2" s="94">
        <f>'BECF-pre-ret'!AM2</f>
        <v>0.51312785388127857</v>
      </c>
      <c r="AN2" s="94">
        <f>'BECF-pre-ret'!AN2</f>
        <v>0.51312785388127857</v>
      </c>
      <c r="AO2" s="94">
        <f>'BECF-pre-ret'!AO2</f>
        <v>0.51312785388127857</v>
      </c>
      <c r="AP2" s="94">
        <f>'BECF-pre-ret'!AP2</f>
        <v>0.51312785388127857</v>
      </c>
      <c r="AQ2" s="94">
        <f>'BECF-pre-ret'!AQ2</f>
        <v>0.51312785388127857</v>
      </c>
    </row>
    <row r="3" spans="1:43">
      <c r="A3" s="94" t="s">
        <v>137</v>
      </c>
      <c r="B3" s="94">
        <f>'BECF-pre-ret'!B3</f>
        <v>0.30205479452054795</v>
      </c>
      <c r="C3" s="94">
        <f>'BECF-pre-ret'!C3</f>
        <v>0.29794520547945208</v>
      </c>
      <c r="D3" s="94">
        <f>'BECF-pre-ret'!D3</f>
        <v>0.31586757990867581</v>
      </c>
      <c r="E3" s="94">
        <f>'BECF-pre-ret'!E3</f>
        <v>0.31586757990867581</v>
      </c>
      <c r="F3" s="94">
        <f>'BECF-pre-ret'!F3</f>
        <v>0.31586757990867581</v>
      </c>
      <c r="G3" s="94">
        <f>'BECF-pre-ret'!G3</f>
        <v>0.31586757990867581</v>
      </c>
      <c r="H3" s="94">
        <f>'BECF-pre-ret'!H3</f>
        <v>0.31586757990867581</v>
      </c>
      <c r="I3" s="94">
        <f>'BECF-pre-ret'!I3</f>
        <v>0.31586757990867581</v>
      </c>
      <c r="J3" s="94">
        <f>'BECF-pre-ret'!J3</f>
        <v>0.31586757990867581</v>
      </c>
      <c r="K3" s="94">
        <f>'BECF-pre-ret'!K3</f>
        <v>0.31586757990867581</v>
      </c>
      <c r="L3" s="94">
        <f>'BECF-pre-ret'!L3</f>
        <v>0.31586757990867581</v>
      </c>
      <c r="M3" s="94">
        <f>'BECF-pre-ret'!M3</f>
        <v>0.31586757990867581</v>
      </c>
      <c r="N3" s="94">
        <f>'BECF-pre-ret'!N3</f>
        <v>0.31586757990867581</v>
      </c>
      <c r="O3" s="94">
        <f>'BECF-pre-ret'!O3</f>
        <v>0.31586757990867581</v>
      </c>
      <c r="P3" s="94">
        <f>'BECF-pre-ret'!P3</f>
        <v>0.31586757990867581</v>
      </c>
      <c r="Q3" s="94">
        <f>'BECF-pre-ret'!Q3</f>
        <v>0.31586757990867581</v>
      </c>
      <c r="R3" s="94">
        <f>'BECF-pre-ret'!R3</f>
        <v>0.31586757990867581</v>
      </c>
      <c r="S3" s="94">
        <f>'BECF-pre-ret'!S3</f>
        <v>0.31586757990867581</v>
      </c>
      <c r="T3" s="94">
        <f>'BECF-pre-ret'!T3</f>
        <v>0.31586757990867581</v>
      </c>
      <c r="U3" s="94">
        <f>'BECF-pre-ret'!U3</f>
        <v>0.31586757990867581</v>
      </c>
      <c r="V3" s="94">
        <f>'BECF-pre-ret'!V3</f>
        <v>0.31586757990867581</v>
      </c>
      <c r="W3" s="94">
        <f>'BECF-pre-ret'!W3</f>
        <v>0.31586757990867581</v>
      </c>
      <c r="X3" s="94">
        <f>'BECF-pre-ret'!X3</f>
        <v>0.31586757990867581</v>
      </c>
      <c r="Y3" s="94">
        <f>'BECF-pre-ret'!Y3</f>
        <v>0.31586757990867581</v>
      </c>
      <c r="Z3" s="94">
        <f>'BECF-pre-ret'!Z3</f>
        <v>0.31586757990867581</v>
      </c>
      <c r="AA3" s="94">
        <f>'BECF-pre-ret'!AA3</f>
        <v>0.31586757990867581</v>
      </c>
      <c r="AB3" s="94">
        <f>'BECF-pre-ret'!AB3</f>
        <v>0.31586757990867581</v>
      </c>
      <c r="AC3" s="94">
        <f>'BECF-pre-ret'!AC3</f>
        <v>0.31586757990867581</v>
      </c>
      <c r="AD3" s="94">
        <f>'BECF-pre-ret'!AD3</f>
        <v>0.31586757990867581</v>
      </c>
      <c r="AE3" s="94">
        <f>'BECF-pre-ret'!AE3</f>
        <v>0.31586757990867581</v>
      </c>
      <c r="AF3" s="94">
        <f>'BECF-pre-ret'!AF3</f>
        <v>0.31586757990867581</v>
      </c>
      <c r="AG3" s="94">
        <f>'BECF-pre-ret'!AG3</f>
        <v>0.31586757990867581</v>
      </c>
      <c r="AH3" s="94">
        <f>'BECF-pre-ret'!AH3</f>
        <v>0.31586757990867581</v>
      </c>
      <c r="AI3" s="94">
        <f>'BECF-pre-ret'!AI3</f>
        <v>0.31586757990867581</v>
      </c>
      <c r="AJ3" s="94">
        <f>'BECF-pre-ret'!AJ3</f>
        <v>0.31586757990867581</v>
      </c>
      <c r="AK3" s="94">
        <f>'BECF-pre-ret'!AK3</f>
        <v>0.31586757990867581</v>
      </c>
      <c r="AL3" s="94">
        <f>'BECF-pre-ret'!AL3</f>
        <v>0.31586757990867581</v>
      </c>
      <c r="AM3" s="94">
        <f>'BECF-pre-ret'!AM3</f>
        <v>0.31586757990867581</v>
      </c>
      <c r="AN3" s="94">
        <f>'BECF-pre-ret'!AN3</f>
        <v>0.31586757990867581</v>
      </c>
      <c r="AO3" s="94">
        <f>'BECF-pre-ret'!AO3</f>
        <v>0.31586757990867581</v>
      </c>
      <c r="AP3" s="94">
        <f>'BECF-pre-ret'!AP3</f>
        <v>0.31586757990867581</v>
      </c>
      <c r="AQ3" s="94">
        <f>'BECF-pre-ret'!AQ3</f>
        <v>0.31586757990867581</v>
      </c>
    </row>
    <row r="4" spans="1:43">
      <c r="A4" s="94" t="s">
        <v>136</v>
      </c>
      <c r="B4" s="94">
        <f>'BECF-pre-ret'!B4</f>
        <v>0.85237550477643176</v>
      </c>
      <c r="C4" s="94">
        <f>'BECF-pre-ret'!C4</f>
        <v>0.84768636252735541</v>
      </c>
      <c r="D4" s="94">
        <f>'BECF-pre-ret'!D4</f>
        <v>0.85237550477643176</v>
      </c>
      <c r="E4" s="94">
        <f>'BECF-pre-ret'!E4</f>
        <v>0.85237550477643176</v>
      </c>
      <c r="F4" s="94">
        <f>'BECF-pre-ret'!F4</f>
        <v>0.85237550477643176</v>
      </c>
      <c r="G4" s="94">
        <f>'BECF-pre-ret'!G4</f>
        <v>0.85237550477643176</v>
      </c>
      <c r="H4" s="94">
        <f>'BECF-pre-ret'!H4</f>
        <v>0.85237550477643176</v>
      </c>
      <c r="I4" s="94">
        <f>'BECF-pre-ret'!I4</f>
        <v>0.85237550477643176</v>
      </c>
      <c r="J4" s="94">
        <f>'BECF-pre-ret'!J4</f>
        <v>0.85237550477643176</v>
      </c>
      <c r="K4" s="94">
        <f>'BECF-pre-ret'!K4</f>
        <v>0.85237550477643176</v>
      </c>
      <c r="L4" s="94">
        <f>'BECF-pre-ret'!L4</f>
        <v>0.85237550477643176</v>
      </c>
      <c r="M4" s="94">
        <f>'BECF-pre-ret'!M4</f>
        <v>0.85237550477643176</v>
      </c>
      <c r="N4" s="94">
        <f>'BECF-pre-ret'!N4</f>
        <v>0.85237550477643176</v>
      </c>
      <c r="O4" s="94">
        <f>'BECF-pre-ret'!O4</f>
        <v>0.85237550477643176</v>
      </c>
      <c r="P4" s="94">
        <f>'BECF-pre-ret'!P4</f>
        <v>0.85237550477643176</v>
      </c>
      <c r="Q4" s="94">
        <f>'BECF-pre-ret'!Q4</f>
        <v>0.85237550477643176</v>
      </c>
      <c r="R4" s="94">
        <f>'BECF-pre-ret'!R4</f>
        <v>0.85237550477643176</v>
      </c>
      <c r="S4" s="94">
        <f>'BECF-pre-ret'!S4</f>
        <v>0.85237550477643176</v>
      </c>
      <c r="T4" s="94">
        <f>'BECF-pre-ret'!T4</f>
        <v>0.85237550477643176</v>
      </c>
      <c r="U4" s="94">
        <f>'BECF-pre-ret'!U4</f>
        <v>0.85237550477643176</v>
      </c>
      <c r="V4" s="94">
        <f>'BECF-pre-ret'!V4</f>
        <v>0.85237550477643176</v>
      </c>
      <c r="W4" s="94">
        <f>'BECF-pre-ret'!W4</f>
        <v>0.85237550477643176</v>
      </c>
      <c r="X4" s="94">
        <f>'BECF-pre-ret'!X4</f>
        <v>0.85237550477643176</v>
      </c>
      <c r="Y4" s="94">
        <f>'BECF-pre-ret'!Y4</f>
        <v>0.85237550477643176</v>
      </c>
      <c r="Z4" s="94">
        <f>'BECF-pre-ret'!Z4</f>
        <v>0.85237550477643176</v>
      </c>
      <c r="AA4" s="94">
        <f>'BECF-pre-ret'!AA4</f>
        <v>0.85237550477643176</v>
      </c>
      <c r="AB4" s="94">
        <f>'BECF-pre-ret'!AB4</f>
        <v>0.85237550477643176</v>
      </c>
      <c r="AC4" s="94">
        <f>'BECF-pre-ret'!AC4</f>
        <v>0.85237550477643176</v>
      </c>
      <c r="AD4" s="94">
        <f>'BECF-pre-ret'!AD4</f>
        <v>0.85237550477643176</v>
      </c>
      <c r="AE4" s="94">
        <f>'BECF-pre-ret'!AE4</f>
        <v>0.85237550477643176</v>
      </c>
      <c r="AF4" s="94">
        <f>'BECF-pre-ret'!AF4</f>
        <v>0.85237550477643176</v>
      </c>
      <c r="AG4" s="94">
        <f>'BECF-pre-ret'!AG4</f>
        <v>0.85237550477643176</v>
      </c>
      <c r="AH4" s="94">
        <f>'BECF-pre-ret'!AH4</f>
        <v>0.85237550477643176</v>
      </c>
      <c r="AI4" s="94">
        <f>'BECF-pre-ret'!AI4</f>
        <v>0.85237550477643176</v>
      </c>
      <c r="AJ4" s="94">
        <f>'BECF-pre-ret'!AJ4</f>
        <v>0.85237550477643176</v>
      </c>
      <c r="AK4" s="94">
        <f>'BECF-pre-ret'!AK4</f>
        <v>0.85237550477643176</v>
      </c>
      <c r="AL4" s="94">
        <f>'BECF-pre-ret'!AL4</f>
        <v>0.85237550477643176</v>
      </c>
      <c r="AM4" s="94">
        <f>'BECF-pre-ret'!AM4</f>
        <v>0.85237550477643176</v>
      </c>
      <c r="AN4" s="94">
        <f>'BECF-pre-ret'!AN4</f>
        <v>0.85237550477643176</v>
      </c>
      <c r="AO4" s="94">
        <f>'BECF-pre-ret'!AO4</f>
        <v>0.85237550477643176</v>
      </c>
      <c r="AP4" s="94">
        <f>'BECF-pre-ret'!AP4</f>
        <v>0.85237550477643176</v>
      </c>
      <c r="AQ4" s="94">
        <f>'BECF-pre-ret'!AQ4</f>
        <v>0.85237550477643176</v>
      </c>
    </row>
    <row r="5" spans="1:43">
      <c r="A5" s="94" t="s">
        <v>135</v>
      </c>
      <c r="B5" s="94">
        <f>'BECF-pre-ret'!B5</f>
        <v>0.44591373875605445</v>
      </c>
      <c r="C5" s="94">
        <f>'BECF-pre-ret'!C5</f>
        <v>0.45275725675549588</v>
      </c>
      <c r="D5" s="94">
        <f>'BECF-pre-ret'!D5</f>
        <v>0.42837443739015679</v>
      </c>
      <c r="E5" s="94">
        <f>'BECF-pre-ret'!E5</f>
        <v>0.42837443739015679</v>
      </c>
      <c r="F5" s="94">
        <f>'BECF-pre-ret'!F5</f>
        <v>0.42837443739015679</v>
      </c>
      <c r="G5" s="94">
        <f>'BECF-pre-ret'!G5</f>
        <v>0.42837443739015679</v>
      </c>
      <c r="H5" s="94">
        <f>'BECF-pre-ret'!H5</f>
        <v>0.42837443739015679</v>
      </c>
      <c r="I5" s="94">
        <f>'BECF-pre-ret'!I5</f>
        <v>0.42837443739015679</v>
      </c>
      <c r="J5" s="94">
        <f>'BECF-pre-ret'!J5</f>
        <v>0.42837443739015679</v>
      </c>
      <c r="K5" s="94">
        <f>'BECF-pre-ret'!K5</f>
        <v>0.42837443739015679</v>
      </c>
      <c r="L5" s="94">
        <f>'BECF-pre-ret'!L5</f>
        <v>0.42837443739015679</v>
      </c>
      <c r="M5" s="94">
        <f>'BECF-pre-ret'!M5</f>
        <v>0.42837443739015679</v>
      </c>
      <c r="N5" s="94">
        <f>'BECF-pre-ret'!N5</f>
        <v>0.42837443739015679</v>
      </c>
      <c r="O5" s="94">
        <f>'BECF-pre-ret'!O5</f>
        <v>0.42837443739015679</v>
      </c>
      <c r="P5" s="94">
        <f>'BECF-pre-ret'!P5</f>
        <v>0.42837443739015679</v>
      </c>
      <c r="Q5" s="94">
        <f>'BECF-pre-ret'!Q5</f>
        <v>0.42837443739015679</v>
      </c>
      <c r="R5" s="94">
        <f>'BECF-pre-ret'!R5</f>
        <v>0.42837443739015679</v>
      </c>
      <c r="S5" s="94">
        <f>'BECF-pre-ret'!S5</f>
        <v>0.42837443739015679</v>
      </c>
      <c r="T5" s="94">
        <f>'BECF-pre-ret'!T5</f>
        <v>0.42837443739015679</v>
      </c>
      <c r="U5" s="94">
        <f>'BECF-pre-ret'!U5</f>
        <v>0.42837443739015679</v>
      </c>
      <c r="V5" s="94">
        <f>'BECF-pre-ret'!V5</f>
        <v>0.42837443739015679</v>
      </c>
      <c r="W5" s="94">
        <f>'BECF-pre-ret'!W5</f>
        <v>0.42837443739015679</v>
      </c>
      <c r="X5" s="94">
        <f>'BECF-pre-ret'!X5</f>
        <v>0.42837443739015679</v>
      </c>
      <c r="Y5" s="94">
        <f>'BECF-pre-ret'!Y5</f>
        <v>0.42837443739015679</v>
      </c>
      <c r="Z5" s="94">
        <f>'BECF-pre-ret'!Z5</f>
        <v>0.42837443739015679</v>
      </c>
      <c r="AA5" s="94">
        <f>'BECF-pre-ret'!AA5</f>
        <v>0.42837443739015679</v>
      </c>
      <c r="AB5" s="94">
        <f>'BECF-pre-ret'!AB5</f>
        <v>0.42837443739015679</v>
      </c>
      <c r="AC5" s="94">
        <f>'BECF-pre-ret'!AC5</f>
        <v>0.42837443739015679</v>
      </c>
      <c r="AD5" s="94">
        <f>'BECF-pre-ret'!AD5</f>
        <v>0.42837443739015679</v>
      </c>
      <c r="AE5" s="94">
        <f>'BECF-pre-ret'!AE5</f>
        <v>0.42837443739015679</v>
      </c>
      <c r="AF5" s="94">
        <f>'BECF-pre-ret'!AF5</f>
        <v>0.42837443739015679</v>
      </c>
      <c r="AG5" s="94">
        <f>'BECF-pre-ret'!AG5</f>
        <v>0.42837443739015679</v>
      </c>
      <c r="AH5" s="94">
        <f>'BECF-pre-ret'!AH5</f>
        <v>0.42837443739015679</v>
      </c>
      <c r="AI5" s="94">
        <f>'BECF-pre-ret'!AI5</f>
        <v>0.42837443739015679</v>
      </c>
      <c r="AJ5" s="94">
        <f>'BECF-pre-ret'!AJ5</f>
        <v>0.42837443739015679</v>
      </c>
      <c r="AK5" s="94">
        <f>'BECF-pre-ret'!AK5</f>
        <v>0.42837443739015679</v>
      </c>
      <c r="AL5" s="94">
        <f>'BECF-pre-ret'!AL5</f>
        <v>0.42837443739015679</v>
      </c>
      <c r="AM5" s="94">
        <f>'BECF-pre-ret'!AM5</f>
        <v>0.42837443739015679</v>
      </c>
      <c r="AN5" s="94">
        <f>'BECF-pre-ret'!AN5</f>
        <v>0.42837443739015679</v>
      </c>
      <c r="AO5" s="94">
        <f>'BECF-pre-ret'!AO5</f>
        <v>0.42837443739015679</v>
      </c>
      <c r="AP5" s="94">
        <f>'BECF-pre-ret'!AP5</f>
        <v>0.42837443739015679</v>
      </c>
      <c r="AQ5" s="94">
        <f>'BECF-pre-ret'!AQ5</f>
        <v>0.42837443739015679</v>
      </c>
    </row>
    <row r="6" spans="1:43">
      <c r="A6" s="94" t="s">
        <v>134</v>
      </c>
      <c r="B6" s="94">
        <f>'BECF-pre-ret'!B6</f>
        <v>0.23520473431788536</v>
      </c>
      <c r="C6" s="94">
        <f>'BECF-pre-ret'!C6</f>
        <v>0.21700662044634983</v>
      </c>
      <c r="D6" s="94">
        <f>'BECF-pre-ret'!D6</f>
        <v>0.23980239967599801</v>
      </c>
      <c r="E6" s="94">
        <f>'BECF-pre-ret'!E6</f>
        <v>0.23980239967599801</v>
      </c>
      <c r="F6" s="94">
        <f>'BECF-pre-ret'!F6</f>
        <v>0.23980239967599801</v>
      </c>
      <c r="G6" s="94">
        <f>'BECF-pre-ret'!G6</f>
        <v>0.23980239967599801</v>
      </c>
      <c r="H6" s="94">
        <f>'BECF-pre-ret'!H6</f>
        <v>0.23980239967599801</v>
      </c>
      <c r="I6" s="94">
        <f>'BECF-pre-ret'!I6</f>
        <v>0.23980239967599801</v>
      </c>
      <c r="J6" s="94">
        <f>'BECF-pre-ret'!J6</f>
        <v>0.23980239967599801</v>
      </c>
      <c r="K6" s="94">
        <f>'BECF-pre-ret'!K6</f>
        <v>0.23980239967599801</v>
      </c>
      <c r="L6" s="94">
        <f>'BECF-pre-ret'!L6</f>
        <v>0.23980239967599801</v>
      </c>
      <c r="M6" s="94">
        <f>'BECF-pre-ret'!M6</f>
        <v>0.23980239967599801</v>
      </c>
      <c r="N6" s="94">
        <f>'BECF-pre-ret'!N6</f>
        <v>0.23980239967599801</v>
      </c>
      <c r="O6" s="94">
        <f>'BECF-pre-ret'!O6</f>
        <v>0.23980239967599801</v>
      </c>
      <c r="P6" s="94">
        <f>'BECF-pre-ret'!P6</f>
        <v>0.23980239967599801</v>
      </c>
      <c r="Q6" s="94">
        <f>'BECF-pre-ret'!Q6</f>
        <v>0.23980239967599801</v>
      </c>
      <c r="R6" s="94">
        <f>'BECF-pre-ret'!R6</f>
        <v>0.23980239967599801</v>
      </c>
      <c r="S6" s="94">
        <f>'BECF-pre-ret'!S6</f>
        <v>0.23980239967599801</v>
      </c>
      <c r="T6" s="94">
        <f>'BECF-pre-ret'!T6</f>
        <v>0.23980239967599801</v>
      </c>
      <c r="U6" s="94">
        <f>'BECF-pre-ret'!U6</f>
        <v>0.23980239967599801</v>
      </c>
      <c r="V6" s="94">
        <f>'BECF-pre-ret'!V6</f>
        <v>0.23980239967599801</v>
      </c>
      <c r="W6" s="94">
        <f>'BECF-pre-ret'!W6</f>
        <v>0.23980239967599801</v>
      </c>
      <c r="X6" s="94">
        <f>'BECF-pre-ret'!X6</f>
        <v>0.23980239967599801</v>
      </c>
      <c r="Y6" s="94">
        <f>'BECF-pre-ret'!Y6</f>
        <v>0.23980239967599801</v>
      </c>
      <c r="Z6" s="94">
        <f>'BECF-pre-ret'!Z6</f>
        <v>0.23980239967599801</v>
      </c>
      <c r="AA6" s="94">
        <f>'BECF-pre-ret'!AA6</f>
        <v>0.23980239967599801</v>
      </c>
      <c r="AB6" s="94">
        <f>'BECF-pre-ret'!AB6</f>
        <v>0.23980239967599801</v>
      </c>
      <c r="AC6" s="94">
        <f>'BECF-pre-ret'!AC6</f>
        <v>0.23980239967599801</v>
      </c>
      <c r="AD6" s="94">
        <f>'BECF-pre-ret'!AD6</f>
        <v>0.23980239967599801</v>
      </c>
      <c r="AE6" s="94">
        <f>'BECF-pre-ret'!AE6</f>
        <v>0.23980239967599801</v>
      </c>
      <c r="AF6" s="94">
        <f>'BECF-pre-ret'!AF6</f>
        <v>0.23980239967599801</v>
      </c>
      <c r="AG6" s="94">
        <f>'BECF-pre-ret'!AG6</f>
        <v>0.23980239967599801</v>
      </c>
      <c r="AH6" s="94">
        <f>'BECF-pre-ret'!AH6</f>
        <v>0.23980239967599801</v>
      </c>
      <c r="AI6" s="94">
        <f>'BECF-pre-ret'!AI6</f>
        <v>0.23980239967599801</v>
      </c>
      <c r="AJ6" s="94">
        <f>'BECF-pre-ret'!AJ6</f>
        <v>0.23980239967599801</v>
      </c>
      <c r="AK6" s="94">
        <f>'BECF-pre-ret'!AK6</f>
        <v>0.23980239967599801</v>
      </c>
      <c r="AL6" s="94">
        <f>'BECF-pre-ret'!AL6</f>
        <v>0.23980239967599801</v>
      </c>
      <c r="AM6" s="94">
        <f>'BECF-pre-ret'!AM6</f>
        <v>0.23980239967599801</v>
      </c>
      <c r="AN6" s="94">
        <f>'BECF-pre-ret'!AN6</f>
        <v>0.23980239967599801</v>
      </c>
      <c r="AO6" s="94">
        <f>'BECF-pre-ret'!AO6</f>
        <v>0.23980239967599801</v>
      </c>
      <c r="AP6" s="94">
        <f>'BECF-pre-ret'!AP6</f>
        <v>0.23980239967599801</v>
      </c>
      <c r="AQ6" s="94">
        <f>'BECF-pre-ret'!AQ6</f>
        <v>0.23980239967599801</v>
      </c>
    </row>
    <row r="7" spans="1:43">
      <c r="A7" s="94" t="s">
        <v>133</v>
      </c>
      <c r="B7" s="94">
        <f>'BECF-pre-ret'!B7</f>
        <v>0.14597506618710551</v>
      </c>
      <c r="C7" s="94">
        <f>'BECF-pre-ret'!C7</f>
        <v>0.14023135063376799</v>
      </c>
      <c r="D7" s="94">
        <f>'BECF-pre-ret'!D7</f>
        <v>0.14417031104313638</v>
      </c>
      <c r="E7" s="94">
        <f>'BECF-pre-ret'!E7</f>
        <v>0.14417031104313638</v>
      </c>
      <c r="F7" s="94">
        <f>'BECF-pre-ret'!F7</f>
        <v>0.14417031104313638</v>
      </c>
      <c r="G7" s="94">
        <f>'BECF-pre-ret'!G7</f>
        <v>0.14417031104313638</v>
      </c>
      <c r="H7" s="94">
        <f>'BECF-pre-ret'!H7</f>
        <v>0.14417031104313638</v>
      </c>
      <c r="I7" s="94">
        <f>'BECF-pre-ret'!I7</f>
        <v>0.14417031104313638</v>
      </c>
      <c r="J7" s="94">
        <f>'BECF-pre-ret'!J7</f>
        <v>0.14417031104313638</v>
      </c>
      <c r="K7" s="94">
        <f>'BECF-pre-ret'!K7</f>
        <v>0.14417031104313638</v>
      </c>
      <c r="L7" s="94">
        <f>'BECF-pre-ret'!L7</f>
        <v>0.14417031104313638</v>
      </c>
      <c r="M7" s="94">
        <f>'BECF-pre-ret'!M7</f>
        <v>0.14417031104313638</v>
      </c>
      <c r="N7" s="94">
        <f>'BECF-pre-ret'!N7</f>
        <v>0.14417031104313638</v>
      </c>
      <c r="O7" s="94">
        <f>'BECF-pre-ret'!O7</f>
        <v>0.14417031104313638</v>
      </c>
      <c r="P7" s="94">
        <f>'BECF-pre-ret'!P7</f>
        <v>0.14417031104313638</v>
      </c>
      <c r="Q7" s="94">
        <f>'BECF-pre-ret'!Q7</f>
        <v>0.14417031104313638</v>
      </c>
      <c r="R7" s="94">
        <f>'BECF-pre-ret'!R7</f>
        <v>0.14417031104313638</v>
      </c>
      <c r="S7" s="94">
        <f>'BECF-pre-ret'!S7</f>
        <v>0.14417031104313638</v>
      </c>
      <c r="T7" s="94">
        <f>'BECF-pre-ret'!T7</f>
        <v>0.14417031104313638</v>
      </c>
      <c r="U7" s="94">
        <f>'BECF-pre-ret'!U7</f>
        <v>0.14417031104313638</v>
      </c>
      <c r="V7" s="94">
        <f>'BECF-pre-ret'!V7</f>
        <v>0.14417031104313638</v>
      </c>
      <c r="W7" s="94">
        <f>'BECF-pre-ret'!W7</f>
        <v>0.14417031104313638</v>
      </c>
      <c r="X7" s="94">
        <f>'BECF-pre-ret'!X7</f>
        <v>0.14417031104313638</v>
      </c>
      <c r="Y7" s="94">
        <f>'BECF-pre-ret'!Y7</f>
        <v>0.14417031104313638</v>
      </c>
      <c r="Z7" s="94">
        <f>'BECF-pre-ret'!Z7</f>
        <v>0.14417031104313638</v>
      </c>
      <c r="AA7" s="94">
        <f>'BECF-pre-ret'!AA7</f>
        <v>0.14417031104313638</v>
      </c>
      <c r="AB7" s="94">
        <f>'BECF-pre-ret'!AB7</f>
        <v>0.14417031104313638</v>
      </c>
      <c r="AC7" s="94">
        <f>'BECF-pre-ret'!AC7</f>
        <v>0.14417031104313638</v>
      </c>
      <c r="AD7" s="94">
        <f>'BECF-pre-ret'!AD7</f>
        <v>0.14417031104313638</v>
      </c>
      <c r="AE7" s="94">
        <f>'BECF-pre-ret'!AE7</f>
        <v>0.14417031104313638</v>
      </c>
      <c r="AF7" s="94">
        <f>'BECF-pre-ret'!AF7</f>
        <v>0.14417031104313638</v>
      </c>
      <c r="AG7" s="94">
        <f>'BECF-pre-ret'!AG7</f>
        <v>0.14417031104313638</v>
      </c>
      <c r="AH7" s="94">
        <f>'BECF-pre-ret'!AH7</f>
        <v>0.14417031104313638</v>
      </c>
      <c r="AI7" s="94">
        <f>'BECF-pre-ret'!AI7</f>
        <v>0.14417031104313638</v>
      </c>
      <c r="AJ7" s="94">
        <f>'BECF-pre-ret'!AJ7</f>
        <v>0.14417031104313638</v>
      </c>
      <c r="AK7" s="94">
        <f>'BECF-pre-ret'!AK7</f>
        <v>0.14417031104313638</v>
      </c>
      <c r="AL7" s="94">
        <f>'BECF-pre-ret'!AL7</f>
        <v>0.14417031104313638</v>
      </c>
      <c r="AM7" s="94">
        <f>'BECF-pre-ret'!AM7</f>
        <v>0.14417031104313638</v>
      </c>
      <c r="AN7" s="94">
        <f>'BECF-pre-ret'!AN7</f>
        <v>0.14417031104313638</v>
      </c>
      <c r="AO7" s="94">
        <f>'BECF-pre-ret'!AO7</f>
        <v>0.14417031104313638</v>
      </c>
      <c r="AP7" s="94">
        <f>'BECF-pre-ret'!AP7</f>
        <v>0.14417031104313638</v>
      </c>
      <c r="AQ7" s="94">
        <f>'BECF-pre-ret'!AQ7</f>
        <v>0.14417031104313638</v>
      </c>
    </row>
    <row r="8" spans="1:43">
      <c r="A8" s="94" t="s">
        <v>132</v>
      </c>
      <c r="B8" s="94">
        <f>'BECF-pre-ret'!B8</f>
        <v>0.44292718603095793</v>
      </c>
      <c r="C8" s="94">
        <f>'BECF-pre-ret'!C8</f>
        <v>0.44292718603095793</v>
      </c>
      <c r="D8" s="94">
        <f>'BECF-pre-ret'!D8</f>
        <v>0.44292718603095793</v>
      </c>
      <c r="E8" s="94">
        <f>'BECF-pre-ret'!E8</f>
        <v>0.44292718603095793</v>
      </c>
      <c r="F8" s="94">
        <f>'BECF-pre-ret'!F8</f>
        <v>0.44292718603095793</v>
      </c>
      <c r="G8" s="94">
        <f>'BECF-pre-ret'!G8</f>
        <v>0.44292718603095793</v>
      </c>
      <c r="H8" s="94">
        <f>'BECF-pre-ret'!H8</f>
        <v>0.44292718603095793</v>
      </c>
      <c r="I8" s="94">
        <f>'BECF-pre-ret'!I8</f>
        <v>0.44292718603095793</v>
      </c>
      <c r="J8" s="94">
        <f>'BECF-pre-ret'!J8</f>
        <v>0.44292718603095793</v>
      </c>
      <c r="K8" s="94">
        <f>'BECF-pre-ret'!K8</f>
        <v>0.44292718603095793</v>
      </c>
      <c r="L8" s="94">
        <f>'BECF-pre-ret'!L8</f>
        <v>0.44292718603095793</v>
      </c>
      <c r="M8" s="94">
        <f>'BECF-pre-ret'!M8</f>
        <v>0.44292718603095793</v>
      </c>
      <c r="N8" s="94">
        <f>'BECF-pre-ret'!N8</f>
        <v>0.44292718603095793</v>
      </c>
      <c r="O8" s="94">
        <f>'BECF-pre-ret'!O8</f>
        <v>0.44292718603095793</v>
      </c>
      <c r="P8" s="94">
        <f>'BECF-pre-ret'!P8</f>
        <v>0.44292718603095793</v>
      </c>
      <c r="Q8" s="94">
        <f>'BECF-pre-ret'!Q8</f>
        <v>0.44292718603095793</v>
      </c>
      <c r="R8" s="94">
        <f>'BECF-pre-ret'!R8</f>
        <v>0.44292718603095793</v>
      </c>
      <c r="S8" s="94">
        <f>'BECF-pre-ret'!S8</f>
        <v>0.44292718603095793</v>
      </c>
      <c r="T8" s="94">
        <f>'BECF-pre-ret'!T8</f>
        <v>0.44292718603095793</v>
      </c>
      <c r="U8" s="94">
        <f>'BECF-pre-ret'!U8</f>
        <v>0.44292718603095793</v>
      </c>
      <c r="V8" s="94">
        <f>'BECF-pre-ret'!V8</f>
        <v>0.44292718603095793</v>
      </c>
      <c r="W8" s="94">
        <f>'BECF-pre-ret'!W8</f>
        <v>0.44292718603095793</v>
      </c>
      <c r="X8" s="94">
        <f>'BECF-pre-ret'!X8</f>
        <v>0.44292718603095793</v>
      </c>
      <c r="Y8" s="94">
        <f>'BECF-pre-ret'!Y8</f>
        <v>0.44292718603095793</v>
      </c>
      <c r="Z8" s="94">
        <f>'BECF-pre-ret'!Z8</f>
        <v>0.44292718603095793</v>
      </c>
      <c r="AA8" s="94">
        <f>'BECF-pre-ret'!AA8</f>
        <v>0.44292718603095793</v>
      </c>
      <c r="AB8" s="94">
        <f>'BECF-pre-ret'!AB8</f>
        <v>0.44292718603095793</v>
      </c>
      <c r="AC8" s="94">
        <f>'BECF-pre-ret'!AC8</f>
        <v>0.44292718603095793</v>
      </c>
      <c r="AD8" s="94">
        <f>'BECF-pre-ret'!AD8</f>
        <v>0.44292718603095793</v>
      </c>
      <c r="AE8" s="94">
        <f>'BECF-pre-ret'!AE8</f>
        <v>0.44292718603095793</v>
      </c>
      <c r="AF8" s="94">
        <f>'BECF-pre-ret'!AF8</f>
        <v>0.44292718603095793</v>
      </c>
      <c r="AG8" s="94">
        <f>'BECF-pre-ret'!AG8</f>
        <v>0.44292718603095793</v>
      </c>
      <c r="AH8" s="94">
        <f>'BECF-pre-ret'!AH8</f>
        <v>0.44292718603095793</v>
      </c>
      <c r="AI8" s="94">
        <f>'BECF-pre-ret'!AI8</f>
        <v>0.44292718603095793</v>
      </c>
      <c r="AJ8" s="94">
        <f>'BECF-pre-ret'!AJ8</f>
        <v>0.44292718603095793</v>
      </c>
      <c r="AK8" s="94">
        <f>'BECF-pre-ret'!AK8</f>
        <v>0.44292718603095793</v>
      </c>
      <c r="AL8" s="94">
        <f>'BECF-pre-ret'!AL8</f>
        <v>0.44292718603095793</v>
      </c>
      <c r="AM8" s="94">
        <f>'BECF-pre-ret'!AM8</f>
        <v>0.44292718603095793</v>
      </c>
      <c r="AN8" s="94">
        <f>'BECF-pre-ret'!AN8</f>
        <v>0.44292718603095793</v>
      </c>
      <c r="AO8" s="94">
        <f>'BECF-pre-ret'!AO8</f>
        <v>0.44292718603095793</v>
      </c>
      <c r="AP8" s="94">
        <f>'BECF-pre-ret'!AP8</f>
        <v>0.44292718603095793</v>
      </c>
      <c r="AQ8" s="94">
        <f>'BECF-pre-ret'!AQ8</f>
        <v>0.44292718603095793</v>
      </c>
    </row>
    <row r="9" spans="1:43">
      <c r="A9" s="94" t="s">
        <v>131</v>
      </c>
      <c r="B9" s="94">
        <f>'BECF-pre-ret'!B9</f>
        <v>0.59372146118721458</v>
      </c>
      <c r="C9" s="94">
        <f>'BECF-pre-ret'!C9</f>
        <v>0.5931506849315068</v>
      </c>
      <c r="D9" s="94">
        <f>'BECF-pre-ret'!D9</f>
        <v>0.6067351598173516</v>
      </c>
      <c r="E9" s="94">
        <f>'BECF-pre-ret'!E9</f>
        <v>0.6067351598173516</v>
      </c>
      <c r="F9" s="94">
        <f>'BECF-pre-ret'!F9</f>
        <v>0.6067351598173516</v>
      </c>
      <c r="G9" s="94">
        <f>'BECF-pre-ret'!G9</f>
        <v>0.6067351598173516</v>
      </c>
      <c r="H9" s="94">
        <f>'BECF-pre-ret'!H9</f>
        <v>0.6067351598173516</v>
      </c>
      <c r="I9" s="94">
        <f>'BECF-pre-ret'!I9</f>
        <v>0.6067351598173516</v>
      </c>
      <c r="J9" s="94">
        <f>'BECF-pre-ret'!J9</f>
        <v>0.6067351598173516</v>
      </c>
      <c r="K9" s="94">
        <f>'BECF-pre-ret'!K9</f>
        <v>0.6067351598173516</v>
      </c>
      <c r="L9" s="94">
        <f>'BECF-pre-ret'!L9</f>
        <v>0.6067351598173516</v>
      </c>
      <c r="M9" s="94">
        <f>'BECF-pre-ret'!M9</f>
        <v>0.6067351598173516</v>
      </c>
      <c r="N9" s="94">
        <f>'BECF-pre-ret'!N9</f>
        <v>0.6067351598173516</v>
      </c>
      <c r="O9" s="94">
        <f>'BECF-pre-ret'!O9</f>
        <v>0.6067351598173516</v>
      </c>
      <c r="P9" s="94">
        <f>'BECF-pre-ret'!P9</f>
        <v>0.6067351598173516</v>
      </c>
      <c r="Q9" s="94">
        <f>'BECF-pre-ret'!Q9</f>
        <v>0.6067351598173516</v>
      </c>
      <c r="R9" s="94">
        <f>'BECF-pre-ret'!R9</f>
        <v>0.6067351598173516</v>
      </c>
      <c r="S9" s="94">
        <f>'BECF-pre-ret'!S9</f>
        <v>0.6067351598173516</v>
      </c>
      <c r="T9" s="94">
        <f>'BECF-pre-ret'!T9</f>
        <v>0.6067351598173516</v>
      </c>
      <c r="U9" s="94">
        <f>'BECF-pre-ret'!U9</f>
        <v>0.6067351598173516</v>
      </c>
      <c r="V9" s="94">
        <f>'BECF-pre-ret'!V9</f>
        <v>0.6067351598173516</v>
      </c>
      <c r="W9" s="94">
        <f>'BECF-pre-ret'!W9</f>
        <v>0.6067351598173516</v>
      </c>
      <c r="X9" s="94">
        <f>'BECF-pre-ret'!X9</f>
        <v>0.6067351598173516</v>
      </c>
      <c r="Y9" s="94">
        <f>'BECF-pre-ret'!Y9</f>
        <v>0.6067351598173516</v>
      </c>
      <c r="Z9" s="94">
        <f>'BECF-pre-ret'!Z9</f>
        <v>0.6067351598173516</v>
      </c>
      <c r="AA9" s="94">
        <f>'BECF-pre-ret'!AA9</f>
        <v>0.6067351598173516</v>
      </c>
      <c r="AB9" s="94">
        <f>'BECF-pre-ret'!AB9</f>
        <v>0.6067351598173516</v>
      </c>
      <c r="AC9" s="94">
        <f>'BECF-pre-ret'!AC9</f>
        <v>0.6067351598173516</v>
      </c>
      <c r="AD9" s="94">
        <f>'BECF-pre-ret'!AD9</f>
        <v>0.6067351598173516</v>
      </c>
      <c r="AE9" s="94">
        <f>'BECF-pre-ret'!AE9</f>
        <v>0.6067351598173516</v>
      </c>
      <c r="AF9" s="94">
        <f>'BECF-pre-ret'!AF9</f>
        <v>0.6067351598173516</v>
      </c>
      <c r="AG9" s="94">
        <f>'BECF-pre-ret'!AG9</f>
        <v>0.6067351598173516</v>
      </c>
      <c r="AH9" s="94">
        <f>'BECF-pre-ret'!AH9</f>
        <v>0.6067351598173516</v>
      </c>
      <c r="AI9" s="94">
        <f>'BECF-pre-ret'!AI9</f>
        <v>0.6067351598173516</v>
      </c>
      <c r="AJ9" s="94">
        <f>'BECF-pre-ret'!AJ9</f>
        <v>0.6067351598173516</v>
      </c>
      <c r="AK9" s="94">
        <f>'BECF-pre-ret'!AK9</f>
        <v>0.6067351598173516</v>
      </c>
      <c r="AL9" s="94">
        <f>'BECF-pre-ret'!AL9</f>
        <v>0.6067351598173516</v>
      </c>
      <c r="AM9" s="94">
        <f>'BECF-pre-ret'!AM9</f>
        <v>0.6067351598173516</v>
      </c>
      <c r="AN9" s="94">
        <f>'BECF-pre-ret'!AN9</f>
        <v>0.6067351598173516</v>
      </c>
      <c r="AO9" s="94">
        <f>'BECF-pre-ret'!AO9</f>
        <v>0.6067351598173516</v>
      </c>
      <c r="AP9" s="94">
        <f>'BECF-pre-ret'!AP9</f>
        <v>0.6067351598173516</v>
      </c>
      <c r="AQ9" s="94">
        <f>'BECF-pre-ret'!AQ9</f>
        <v>0.6067351598173516</v>
      </c>
    </row>
    <row r="10" spans="1:43">
      <c r="A10" s="94" t="s">
        <v>130</v>
      </c>
      <c r="B10" s="94">
        <f>'BECF-pre-ret'!B10</f>
        <v>0.69599999999999995</v>
      </c>
      <c r="C10" s="94">
        <f>'BECF-pre-ret'!C10</f>
        <v>0.69599999999999995</v>
      </c>
      <c r="D10" s="94">
        <f>'BECF-pre-ret'!D10</f>
        <v>0.69599999999999995</v>
      </c>
      <c r="E10" s="94">
        <f>'BECF-pre-ret'!E10</f>
        <v>0.69599999999999995</v>
      </c>
      <c r="F10" s="94">
        <f>'BECF-pre-ret'!F10</f>
        <v>0.69599999999999995</v>
      </c>
      <c r="G10" s="94">
        <f>'BECF-pre-ret'!G10</f>
        <v>0.69599999999999995</v>
      </c>
      <c r="H10" s="94">
        <f>'BECF-pre-ret'!H10</f>
        <v>0.69599999999999995</v>
      </c>
      <c r="I10" s="94">
        <f>'BECF-pre-ret'!I10</f>
        <v>0.69599999999999995</v>
      </c>
      <c r="J10" s="94">
        <f>'BECF-pre-ret'!J10</f>
        <v>0.69599999999999995</v>
      </c>
      <c r="K10" s="94">
        <f>'BECF-pre-ret'!K10</f>
        <v>0.69599999999999995</v>
      </c>
      <c r="L10" s="94">
        <f>'BECF-pre-ret'!L10</f>
        <v>0.69599999999999995</v>
      </c>
      <c r="M10" s="94">
        <f>'BECF-pre-ret'!M10</f>
        <v>0.69599999999999995</v>
      </c>
      <c r="N10" s="94">
        <f>'BECF-pre-ret'!N10</f>
        <v>0.69599999999999995</v>
      </c>
      <c r="O10" s="94">
        <f>'BECF-pre-ret'!O10</f>
        <v>0.69599999999999995</v>
      </c>
      <c r="P10" s="94">
        <f>'BECF-pre-ret'!P10</f>
        <v>0.69599999999999995</v>
      </c>
      <c r="Q10" s="94">
        <f>'BECF-pre-ret'!Q10</f>
        <v>0.69599999999999995</v>
      </c>
      <c r="R10" s="94">
        <f>'BECF-pre-ret'!R10</f>
        <v>0.69599999999999995</v>
      </c>
      <c r="S10" s="94">
        <f>'BECF-pre-ret'!S10</f>
        <v>0.69599999999999995</v>
      </c>
      <c r="T10" s="94">
        <f>'BECF-pre-ret'!T10</f>
        <v>0.69599999999999995</v>
      </c>
      <c r="U10" s="94">
        <f>'BECF-pre-ret'!U10</f>
        <v>0.69599999999999995</v>
      </c>
      <c r="V10" s="94">
        <f>'BECF-pre-ret'!V10</f>
        <v>0.69599999999999995</v>
      </c>
      <c r="W10" s="94">
        <f>'BECF-pre-ret'!W10</f>
        <v>0.69599999999999995</v>
      </c>
      <c r="X10" s="94">
        <f>'BECF-pre-ret'!X10</f>
        <v>0.69599999999999995</v>
      </c>
      <c r="Y10" s="94">
        <f>'BECF-pre-ret'!Y10</f>
        <v>0.69599999999999995</v>
      </c>
      <c r="Z10" s="94">
        <f>'BECF-pre-ret'!Z10</f>
        <v>0.69599999999999995</v>
      </c>
      <c r="AA10" s="94">
        <f>'BECF-pre-ret'!AA10</f>
        <v>0.69599999999999995</v>
      </c>
      <c r="AB10" s="94">
        <f>'BECF-pre-ret'!AB10</f>
        <v>0.69599999999999995</v>
      </c>
      <c r="AC10" s="94">
        <f>'BECF-pre-ret'!AC10</f>
        <v>0.69599999999999995</v>
      </c>
      <c r="AD10" s="94">
        <f>'BECF-pre-ret'!AD10</f>
        <v>0.69599999999999995</v>
      </c>
      <c r="AE10" s="94">
        <f>'BECF-pre-ret'!AE10</f>
        <v>0.69599999999999995</v>
      </c>
      <c r="AF10" s="94">
        <f>'BECF-pre-ret'!AF10</f>
        <v>0.69599999999999995</v>
      </c>
      <c r="AG10" s="94">
        <f>'BECF-pre-ret'!AG10</f>
        <v>0.69599999999999995</v>
      </c>
      <c r="AH10" s="94">
        <f>'BECF-pre-ret'!AH10</f>
        <v>0.69599999999999995</v>
      </c>
      <c r="AI10" s="94">
        <f>'BECF-pre-ret'!AI10</f>
        <v>0.69599999999999995</v>
      </c>
      <c r="AJ10" s="94">
        <f>'BECF-pre-ret'!AJ10</f>
        <v>0.69599999999999995</v>
      </c>
      <c r="AK10" s="94">
        <f>'BECF-pre-ret'!AK10</f>
        <v>0.69599999999999995</v>
      </c>
      <c r="AL10" s="94">
        <f>'BECF-pre-ret'!AL10</f>
        <v>0.69599999999999995</v>
      </c>
      <c r="AM10" s="94">
        <f>'BECF-pre-ret'!AM10</f>
        <v>0.69599999999999995</v>
      </c>
      <c r="AN10" s="94">
        <f>'BECF-pre-ret'!AN10</f>
        <v>0.69599999999999995</v>
      </c>
      <c r="AO10" s="94">
        <f>'BECF-pre-ret'!AO10</f>
        <v>0.69599999999999995</v>
      </c>
      <c r="AP10" s="94">
        <f>'BECF-pre-ret'!AP10</f>
        <v>0.69599999999999995</v>
      </c>
      <c r="AQ10" s="94">
        <f>'BECF-pre-ret'!AQ10</f>
        <v>0.69599999999999995</v>
      </c>
    </row>
    <row r="11" spans="1:43">
      <c r="A11" s="94" t="s">
        <v>129</v>
      </c>
      <c r="B11" s="94">
        <f>'BECF-pre-ret'!B11</f>
        <v>8.6757990867579904E-2</v>
      </c>
      <c r="C11" s="94">
        <f>'BECF-pre-ret'!C11</f>
        <v>9.851598173515981E-2</v>
      </c>
      <c r="D11" s="94">
        <f>'BECF-pre-ret'!D11</f>
        <v>9.851598173515981E-2</v>
      </c>
      <c r="E11" s="94">
        <f>'BECF-pre-ret'!E11</f>
        <v>9.851598173515981E-2</v>
      </c>
      <c r="F11" s="94">
        <f>'BECF-pre-ret'!F11</f>
        <v>9.851598173515981E-2</v>
      </c>
      <c r="G11" s="94">
        <f>'BECF-pre-ret'!G11</f>
        <v>9.851598173515981E-2</v>
      </c>
      <c r="H11" s="94">
        <f>'BECF-pre-ret'!H11</f>
        <v>9.851598173515981E-2</v>
      </c>
      <c r="I11" s="94">
        <f>'BECF-pre-ret'!I11</f>
        <v>9.851598173515981E-2</v>
      </c>
      <c r="J11" s="94">
        <f>'BECF-pre-ret'!J11</f>
        <v>9.851598173515981E-2</v>
      </c>
      <c r="K11" s="94">
        <f>'BECF-pre-ret'!K11</f>
        <v>9.851598173515981E-2</v>
      </c>
      <c r="L11" s="94">
        <f>'BECF-pre-ret'!L11</f>
        <v>9.851598173515981E-2</v>
      </c>
      <c r="M11" s="94">
        <f>'BECF-pre-ret'!M11</f>
        <v>9.851598173515981E-2</v>
      </c>
      <c r="N11" s="94">
        <f>'BECF-pre-ret'!N11</f>
        <v>9.851598173515981E-2</v>
      </c>
      <c r="O11" s="94">
        <f>'BECF-pre-ret'!O11</f>
        <v>9.851598173515981E-2</v>
      </c>
      <c r="P11" s="94">
        <f>'BECF-pre-ret'!P11</f>
        <v>9.851598173515981E-2</v>
      </c>
      <c r="Q11" s="94">
        <f>'BECF-pre-ret'!Q11</f>
        <v>9.851598173515981E-2</v>
      </c>
      <c r="R11" s="94">
        <f>'BECF-pre-ret'!R11</f>
        <v>9.851598173515981E-2</v>
      </c>
      <c r="S11" s="94">
        <f>'BECF-pre-ret'!S11</f>
        <v>9.851598173515981E-2</v>
      </c>
      <c r="T11" s="94">
        <f>'BECF-pre-ret'!T11</f>
        <v>9.851598173515981E-2</v>
      </c>
      <c r="U11" s="94">
        <f>'BECF-pre-ret'!U11</f>
        <v>9.851598173515981E-2</v>
      </c>
      <c r="V11" s="94">
        <f>'BECF-pre-ret'!V11</f>
        <v>9.851598173515981E-2</v>
      </c>
      <c r="W11" s="94">
        <f>'BECF-pre-ret'!W11</f>
        <v>9.851598173515981E-2</v>
      </c>
      <c r="X11" s="94">
        <f>'BECF-pre-ret'!X11</f>
        <v>9.851598173515981E-2</v>
      </c>
      <c r="Y11" s="94">
        <f>'BECF-pre-ret'!Y11</f>
        <v>9.851598173515981E-2</v>
      </c>
      <c r="Z11" s="94">
        <f>'BECF-pre-ret'!Z11</f>
        <v>9.851598173515981E-2</v>
      </c>
      <c r="AA11" s="94">
        <f>'BECF-pre-ret'!AA11</f>
        <v>9.851598173515981E-2</v>
      </c>
      <c r="AB11" s="94">
        <f>'BECF-pre-ret'!AB11</f>
        <v>9.851598173515981E-2</v>
      </c>
      <c r="AC11" s="94">
        <f>'BECF-pre-ret'!AC11</f>
        <v>9.851598173515981E-2</v>
      </c>
      <c r="AD11" s="94">
        <f>'BECF-pre-ret'!AD11</f>
        <v>9.851598173515981E-2</v>
      </c>
      <c r="AE11" s="94">
        <f>'BECF-pre-ret'!AE11</f>
        <v>9.851598173515981E-2</v>
      </c>
      <c r="AF11" s="94">
        <f>'BECF-pre-ret'!AF11</f>
        <v>9.851598173515981E-2</v>
      </c>
      <c r="AG11" s="94">
        <f>'BECF-pre-ret'!AG11</f>
        <v>9.851598173515981E-2</v>
      </c>
      <c r="AH11" s="94">
        <f>'BECF-pre-ret'!AH11</f>
        <v>9.851598173515981E-2</v>
      </c>
      <c r="AI11" s="94">
        <f>'BECF-pre-ret'!AI11</f>
        <v>9.851598173515981E-2</v>
      </c>
      <c r="AJ11" s="94">
        <f>'BECF-pre-ret'!AJ11</f>
        <v>9.851598173515981E-2</v>
      </c>
      <c r="AK11" s="94">
        <f>'BECF-pre-ret'!AK11</f>
        <v>9.851598173515981E-2</v>
      </c>
      <c r="AL11" s="94">
        <f>'BECF-pre-ret'!AL11</f>
        <v>9.851598173515981E-2</v>
      </c>
      <c r="AM11" s="94">
        <f>'BECF-pre-ret'!AM11</f>
        <v>9.851598173515981E-2</v>
      </c>
      <c r="AN11" s="94">
        <f>'BECF-pre-ret'!AN11</f>
        <v>9.851598173515981E-2</v>
      </c>
      <c r="AO11" s="94">
        <f>'BECF-pre-ret'!AO11</f>
        <v>9.851598173515981E-2</v>
      </c>
      <c r="AP11" s="94">
        <f>'BECF-pre-ret'!AP11</f>
        <v>9.851598173515981E-2</v>
      </c>
      <c r="AQ11" s="94">
        <f>'BECF-pre-ret'!AQ11</f>
        <v>9.851598173515981E-2</v>
      </c>
    </row>
    <row r="12" spans="1:43">
      <c r="A12" s="94" t="s">
        <v>128</v>
      </c>
      <c r="B12" s="94">
        <f>'BECF-pre-ret'!B12</f>
        <v>0.30205479452054795</v>
      </c>
      <c r="C12" s="94">
        <f>'BECF-pre-ret'!C12</f>
        <v>0.29794520547945208</v>
      </c>
      <c r="D12" s="94">
        <f>'BECF-pre-ret'!D12</f>
        <v>0.31586757990867581</v>
      </c>
      <c r="E12" s="94">
        <f>'BECF-pre-ret'!E12</f>
        <v>0.31586757990867581</v>
      </c>
      <c r="F12" s="94">
        <f>'BECF-pre-ret'!F12</f>
        <v>0.31586757990867581</v>
      </c>
      <c r="G12" s="94">
        <f>'BECF-pre-ret'!G12</f>
        <v>0.31586757990867581</v>
      </c>
      <c r="H12" s="94">
        <f>'BECF-pre-ret'!H12</f>
        <v>0.31586757990867581</v>
      </c>
      <c r="I12" s="94">
        <f>'BECF-pre-ret'!I12</f>
        <v>0.31586757990867581</v>
      </c>
      <c r="J12" s="94">
        <f>'BECF-pre-ret'!J12</f>
        <v>0.31586757990867581</v>
      </c>
      <c r="K12" s="94">
        <f>'BECF-pre-ret'!K12</f>
        <v>0.31586757990867581</v>
      </c>
      <c r="L12" s="94">
        <f>'BECF-pre-ret'!L12</f>
        <v>0.31586757990867581</v>
      </c>
      <c r="M12" s="94">
        <f>'BECF-pre-ret'!M12</f>
        <v>0.31586757990867581</v>
      </c>
      <c r="N12" s="94">
        <f>'BECF-pre-ret'!N12</f>
        <v>0.31586757990867581</v>
      </c>
      <c r="O12" s="94">
        <f>'BECF-pre-ret'!O12</f>
        <v>0.31586757990867581</v>
      </c>
      <c r="P12" s="94">
        <f>'BECF-pre-ret'!P12</f>
        <v>0.31586757990867581</v>
      </c>
      <c r="Q12" s="94">
        <f>'BECF-pre-ret'!Q12</f>
        <v>0.31586757990867581</v>
      </c>
      <c r="R12" s="94">
        <f>'BECF-pre-ret'!R12</f>
        <v>0.31586757990867581</v>
      </c>
      <c r="S12" s="94">
        <f>'BECF-pre-ret'!S12</f>
        <v>0.31586757990867581</v>
      </c>
      <c r="T12" s="94">
        <f>'BECF-pre-ret'!T12</f>
        <v>0.31586757990867581</v>
      </c>
      <c r="U12" s="94">
        <f>'BECF-pre-ret'!U12</f>
        <v>0.31586757990867581</v>
      </c>
      <c r="V12" s="94">
        <f>'BECF-pre-ret'!V12</f>
        <v>0.31586757990867581</v>
      </c>
      <c r="W12" s="94">
        <f>'BECF-pre-ret'!W12</f>
        <v>0.31586757990867581</v>
      </c>
      <c r="X12" s="94">
        <f>'BECF-pre-ret'!X12</f>
        <v>0.31586757990867581</v>
      </c>
      <c r="Y12" s="94">
        <f>'BECF-pre-ret'!Y12</f>
        <v>0.31586757990867581</v>
      </c>
      <c r="Z12" s="94">
        <f>'BECF-pre-ret'!Z12</f>
        <v>0.31586757990867581</v>
      </c>
      <c r="AA12" s="94">
        <f>'BECF-pre-ret'!AA12</f>
        <v>0.31586757990867581</v>
      </c>
      <c r="AB12" s="94">
        <f>'BECF-pre-ret'!AB12</f>
        <v>0.31586757990867581</v>
      </c>
      <c r="AC12" s="94">
        <f>'BECF-pre-ret'!AC12</f>
        <v>0.31586757990867581</v>
      </c>
      <c r="AD12" s="94">
        <f>'BECF-pre-ret'!AD12</f>
        <v>0.31586757990867581</v>
      </c>
      <c r="AE12" s="94">
        <f>'BECF-pre-ret'!AE12</f>
        <v>0.31586757990867581</v>
      </c>
      <c r="AF12" s="94">
        <f>'BECF-pre-ret'!AF12</f>
        <v>0.31586757990867581</v>
      </c>
      <c r="AG12" s="94">
        <f>'BECF-pre-ret'!AG12</f>
        <v>0.31586757990867581</v>
      </c>
      <c r="AH12" s="94">
        <f>'BECF-pre-ret'!AH12</f>
        <v>0.31586757990867581</v>
      </c>
      <c r="AI12" s="94">
        <f>'BECF-pre-ret'!AI12</f>
        <v>0.31586757990867581</v>
      </c>
      <c r="AJ12" s="94">
        <f>'BECF-pre-ret'!AJ12</f>
        <v>0.31586757990867581</v>
      </c>
      <c r="AK12" s="94">
        <f>'BECF-pre-ret'!AK12</f>
        <v>0.31586757990867581</v>
      </c>
      <c r="AL12" s="94">
        <f>'BECF-pre-ret'!AL12</f>
        <v>0.31586757990867581</v>
      </c>
      <c r="AM12" s="94">
        <f>'BECF-pre-ret'!AM12</f>
        <v>0.31586757990867581</v>
      </c>
      <c r="AN12" s="94">
        <f>'BECF-pre-ret'!AN12</f>
        <v>0.31586757990867581</v>
      </c>
      <c r="AO12" s="94">
        <f>'BECF-pre-ret'!AO12</f>
        <v>0.31586757990867581</v>
      </c>
      <c r="AP12" s="94">
        <f>'BECF-pre-ret'!AP12</f>
        <v>0.31586757990867581</v>
      </c>
      <c r="AQ12" s="94">
        <f>'BECF-pre-ret'!AQ12</f>
        <v>0.31586757990867581</v>
      </c>
    </row>
    <row r="13" spans="1:43">
      <c r="A13" s="94" t="s">
        <v>127</v>
      </c>
      <c r="B13" s="94">
        <f>'BECF-pre-ret'!B13</f>
        <v>0.50559360730593605</v>
      </c>
      <c r="C13" s="94">
        <f>'BECF-pre-ret'!C13</f>
        <v>0.49349315068493149</v>
      </c>
      <c r="D13" s="94">
        <f>'BECF-pre-ret'!D13</f>
        <v>0.51312785388127857</v>
      </c>
      <c r="E13" s="94">
        <f>'BECF-pre-ret'!E13</f>
        <v>0.51312785388127857</v>
      </c>
      <c r="F13" s="94">
        <f>'BECF-pre-ret'!F13</f>
        <v>0.51312785388127857</v>
      </c>
      <c r="G13" s="94">
        <f>'BECF-pre-ret'!G13</f>
        <v>0.51312785388127857</v>
      </c>
      <c r="H13" s="94">
        <f>'BECF-pre-ret'!H13</f>
        <v>0.51312785388127857</v>
      </c>
      <c r="I13" s="94">
        <f>'BECF-pre-ret'!I13</f>
        <v>0.51312785388127857</v>
      </c>
      <c r="J13" s="94">
        <f>'BECF-pre-ret'!J13</f>
        <v>0.51312785388127857</v>
      </c>
      <c r="K13" s="94">
        <f>'BECF-pre-ret'!K13</f>
        <v>0.51312785388127857</v>
      </c>
      <c r="L13" s="94">
        <f>'BECF-pre-ret'!L13</f>
        <v>0.51312785388127857</v>
      </c>
      <c r="M13" s="94">
        <f>'BECF-pre-ret'!M13</f>
        <v>0.51312785388127857</v>
      </c>
      <c r="N13" s="94">
        <f>'BECF-pre-ret'!N13</f>
        <v>0.51312785388127857</v>
      </c>
      <c r="O13" s="94">
        <f>'BECF-pre-ret'!O13</f>
        <v>0.51312785388127857</v>
      </c>
      <c r="P13" s="94">
        <f>'BECF-pre-ret'!P13</f>
        <v>0.51312785388127857</v>
      </c>
      <c r="Q13" s="94">
        <f>'BECF-pre-ret'!Q13</f>
        <v>0.51312785388127857</v>
      </c>
      <c r="R13" s="94">
        <f>'BECF-pre-ret'!R13</f>
        <v>0.51312785388127857</v>
      </c>
      <c r="S13" s="94">
        <f>'BECF-pre-ret'!S13</f>
        <v>0.51312785388127857</v>
      </c>
      <c r="T13" s="94">
        <f>'BECF-pre-ret'!T13</f>
        <v>0.51312785388127857</v>
      </c>
      <c r="U13" s="94">
        <f>'BECF-pre-ret'!U13</f>
        <v>0.51312785388127857</v>
      </c>
      <c r="V13" s="94">
        <f>'BECF-pre-ret'!V13</f>
        <v>0.51312785388127857</v>
      </c>
      <c r="W13" s="94">
        <f>'BECF-pre-ret'!W13</f>
        <v>0.51312785388127857</v>
      </c>
      <c r="X13" s="94">
        <f>'BECF-pre-ret'!X13</f>
        <v>0.51312785388127857</v>
      </c>
      <c r="Y13" s="94">
        <f>'BECF-pre-ret'!Y13</f>
        <v>0.51312785388127857</v>
      </c>
      <c r="Z13" s="94">
        <f>'BECF-pre-ret'!Z13</f>
        <v>0.51312785388127857</v>
      </c>
      <c r="AA13" s="94">
        <f>'BECF-pre-ret'!AA13</f>
        <v>0.51312785388127857</v>
      </c>
      <c r="AB13" s="94">
        <f>'BECF-pre-ret'!AB13</f>
        <v>0.51312785388127857</v>
      </c>
      <c r="AC13" s="94">
        <f>'BECF-pre-ret'!AC13</f>
        <v>0.51312785388127857</v>
      </c>
      <c r="AD13" s="94">
        <f>'BECF-pre-ret'!AD13</f>
        <v>0.51312785388127857</v>
      </c>
      <c r="AE13" s="94">
        <f>'BECF-pre-ret'!AE13</f>
        <v>0.51312785388127857</v>
      </c>
      <c r="AF13" s="94">
        <f>'BECF-pre-ret'!AF13</f>
        <v>0.51312785388127857</v>
      </c>
      <c r="AG13" s="94">
        <f>'BECF-pre-ret'!AG13</f>
        <v>0.51312785388127857</v>
      </c>
      <c r="AH13" s="94">
        <f>'BECF-pre-ret'!AH13</f>
        <v>0.51312785388127857</v>
      </c>
      <c r="AI13" s="94">
        <f>'BECF-pre-ret'!AI13</f>
        <v>0.51312785388127857</v>
      </c>
      <c r="AJ13" s="94">
        <f>'BECF-pre-ret'!AJ13</f>
        <v>0.51312785388127857</v>
      </c>
      <c r="AK13" s="94">
        <f>'BECF-pre-ret'!AK13</f>
        <v>0.51312785388127857</v>
      </c>
      <c r="AL13" s="94">
        <f>'BECF-pre-ret'!AL13</f>
        <v>0.51312785388127857</v>
      </c>
      <c r="AM13" s="94">
        <f>'BECF-pre-ret'!AM13</f>
        <v>0.51312785388127857</v>
      </c>
      <c r="AN13" s="94">
        <f>'BECF-pre-ret'!AN13</f>
        <v>0.51312785388127857</v>
      </c>
      <c r="AO13" s="94">
        <f>'BECF-pre-ret'!AO13</f>
        <v>0.51312785388127857</v>
      </c>
      <c r="AP13" s="94">
        <f>'BECF-pre-ret'!AP13</f>
        <v>0.51312785388127857</v>
      </c>
      <c r="AQ13" s="94">
        <f>'BECF-pre-ret'!AQ13</f>
        <v>0.51312785388127857</v>
      </c>
    </row>
    <row r="14" spans="1:43">
      <c r="A14" s="94" t="s">
        <v>126</v>
      </c>
      <c r="B14" s="94">
        <f>'BECF-pre-ret'!B14</f>
        <v>0.42336852177219364</v>
      </c>
      <c r="C14" s="94">
        <f>'BECF-pre-ret'!C14</f>
        <v>0.39061191680342972</v>
      </c>
      <c r="D14" s="94">
        <f>'BECF-pre-ret'!D14</f>
        <v>0.43164431941679643</v>
      </c>
      <c r="E14" s="94">
        <f>'BECF-pre-ret'!E14</f>
        <v>0.43164431941679643</v>
      </c>
      <c r="F14" s="94">
        <f>'BECF-pre-ret'!F14</f>
        <v>0.43164431941679643</v>
      </c>
      <c r="G14" s="94">
        <f>'BECF-pre-ret'!G14</f>
        <v>0.43164431941679643</v>
      </c>
      <c r="H14" s="94">
        <f>'BECF-pre-ret'!H14</f>
        <v>0.43164431941679643</v>
      </c>
      <c r="I14" s="94">
        <f>'BECF-pre-ret'!I14</f>
        <v>0.43164431941679643</v>
      </c>
      <c r="J14" s="94">
        <f>'BECF-pre-ret'!J14</f>
        <v>0.43164431941679643</v>
      </c>
      <c r="K14" s="94">
        <f>'BECF-pre-ret'!K14</f>
        <v>0.43164431941679643</v>
      </c>
      <c r="L14" s="94">
        <f>'BECF-pre-ret'!L14</f>
        <v>0.43164431941679643</v>
      </c>
      <c r="M14" s="94">
        <f>'BECF-pre-ret'!M14</f>
        <v>0.43164431941679643</v>
      </c>
      <c r="N14" s="94">
        <f>'BECF-pre-ret'!N14</f>
        <v>0.43164431941679643</v>
      </c>
      <c r="O14" s="94">
        <f>'BECF-pre-ret'!O14</f>
        <v>0.43164431941679643</v>
      </c>
      <c r="P14" s="94">
        <f>'BECF-pre-ret'!P14</f>
        <v>0.43164431941679643</v>
      </c>
      <c r="Q14" s="94">
        <f>'BECF-pre-ret'!Q14</f>
        <v>0.43164431941679643</v>
      </c>
      <c r="R14" s="94">
        <f>'BECF-pre-ret'!R14</f>
        <v>0.43164431941679643</v>
      </c>
      <c r="S14" s="94">
        <f>'BECF-pre-ret'!S14</f>
        <v>0.43164431941679643</v>
      </c>
      <c r="T14" s="94">
        <f>'BECF-pre-ret'!T14</f>
        <v>0.43164431941679643</v>
      </c>
      <c r="U14" s="94">
        <f>'BECF-pre-ret'!U14</f>
        <v>0.43164431941679643</v>
      </c>
      <c r="V14" s="94">
        <f>'BECF-pre-ret'!V14</f>
        <v>0.43164431941679643</v>
      </c>
      <c r="W14" s="94">
        <f>'BECF-pre-ret'!W14</f>
        <v>0.43164431941679643</v>
      </c>
      <c r="X14" s="94">
        <f>'BECF-pre-ret'!X14</f>
        <v>0.43164431941679643</v>
      </c>
      <c r="Y14" s="94">
        <f>'BECF-pre-ret'!Y14</f>
        <v>0.43164431941679643</v>
      </c>
      <c r="Z14" s="94">
        <f>'BECF-pre-ret'!Z14</f>
        <v>0.43164431941679643</v>
      </c>
      <c r="AA14" s="94">
        <f>'BECF-pre-ret'!AA14</f>
        <v>0.43164431941679643</v>
      </c>
      <c r="AB14" s="94">
        <f>'BECF-pre-ret'!AB14</f>
        <v>0.43164431941679643</v>
      </c>
      <c r="AC14" s="94">
        <f>'BECF-pre-ret'!AC14</f>
        <v>0.43164431941679643</v>
      </c>
      <c r="AD14" s="94">
        <f>'BECF-pre-ret'!AD14</f>
        <v>0.43164431941679643</v>
      </c>
      <c r="AE14" s="94">
        <f>'BECF-pre-ret'!AE14</f>
        <v>0.43164431941679643</v>
      </c>
      <c r="AF14" s="94">
        <f>'BECF-pre-ret'!AF14</f>
        <v>0.43164431941679643</v>
      </c>
      <c r="AG14" s="94">
        <f>'BECF-pre-ret'!AG14</f>
        <v>0.43164431941679643</v>
      </c>
      <c r="AH14" s="94">
        <f>'BECF-pre-ret'!AH14</f>
        <v>0.43164431941679643</v>
      </c>
      <c r="AI14" s="94">
        <f>'BECF-pre-ret'!AI14</f>
        <v>0.43164431941679643</v>
      </c>
      <c r="AJ14" s="94">
        <f>'BECF-pre-ret'!AJ14</f>
        <v>0.43164431941679643</v>
      </c>
      <c r="AK14" s="94">
        <f>'BECF-pre-ret'!AK14</f>
        <v>0.43164431941679643</v>
      </c>
      <c r="AL14" s="94">
        <f>'BECF-pre-ret'!AL14</f>
        <v>0.43164431941679643</v>
      </c>
      <c r="AM14" s="94">
        <f>'BECF-pre-ret'!AM14</f>
        <v>0.43164431941679643</v>
      </c>
      <c r="AN14" s="94">
        <f>'BECF-pre-ret'!AN14</f>
        <v>0.43164431941679643</v>
      </c>
      <c r="AO14" s="94">
        <f>'BECF-pre-ret'!AO14</f>
        <v>0.43164431941679643</v>
      </c>
      <c r="AP14" s="94">
        <f>'BECF-pre-ret'!AP14</f>
        <v>0.43164431941679643</v>
      </c>
      <c r="AQ14" s="94">
        <f>'BECF-pre-ret'!AQ14</f>
        <v>0.43164431941679643</v>
      </c>
    </row>
    <row r="15" spans="1:43">
      <c r="A15" s="94" t="s">
        <v>125</v>
      </c>
      <c r="B15" s="94">
        <f>'BECF-pre-ret'!B15</f>
        <v>8.6757990867579904E-2</v>
      </c>
      <c r="C15" s="94">
        <f>'BECF-pre-ret'!C15</f>
        <v>9.851598173515981E-2</v>
      </c>
      <c r="D15" s="94">
        <f>'BECF-pre-ret'!D15</f>
        <v>9.851598173515981E-2</v>
      </c>
      <c r="E15" s="94">
        <f>'BECF-pre-ret'!E15</f>
        <v>9.851598173515981E-2</v>
      </c>
      <c r="F15" s="94">
        <f>'BECF-pre-ret'!F15</f>
        <v>9.851598173515981E-2</v>
      </c>
      <c r="G15" s="94">
        <f>'BECF-pre-ret'!G15</f>
        <v>9.851598173515981E-2</v>
      </c>
      <c r="H15" s="94">
        <f>'BECF-pre-ret'!H15</f>
        <v>9.851598173515981E-2</v>
      </c>
      <c r="I15" s="94">
        <f>'BECF-pre-ret'!I15</f>
        <v>9.851598173515981E-2</v>
      </c>
      <c r="J15" s="94">
        <f>'BECF-pre-ret'!J15</f>
        <v>9.851598173515981E-2</v>
      </c>
      <c r="K15" s="94">
        <f>'BECF-pre-ret'!K15</f>
        <v>9.851598173515981E-2</v>
      </c>
      <c r="L15" s="94">
        <f>'BECF-pre-ret'!L15</f>
        <v>9.851598173515981E-2</v>
      </c>
      <c r="M15" s="94">
        <f>'BECF-pre-ret'!M15</f>
        <v>9.851598173515981E-2</v>
      </c>
      <c r="N15" s="94">
        <f>'BECF-pre-ret'!N15</f>
        <v>9.851598173515981E-2</v>
      </c>
      <c r="O15" s="94">
        <f>'BECF-pre-ret'!O15</f>
        <v>9.851598173515981E-2</v>
      </c>
      <c r="P15" s="94">
        <f>'BECF-pre-ret'!P15</f>
        <v>9.851598173515981E-2</v>
      </c>
      <c r="Q15" s="94">
        <f>'BECF-pre-ret'!Q15</f>
        <v>9.851598173515981E-2</v>
      </c>
      <c r="R15" s="94">
        <f>'BECF-pre-ret'!R15</f>
        <v>9.851598173515981E-2</v>
      </c>
      <c r="S15" s="94">
        <f>'BECF-pre-ret'!S15</f>
        <v>9.851598173515981E-2</v>
      </c>
      <c r="T15" s="94">
        <f>'BECF-pre-ret'!T15</f>
        <v>9.851598173515981E-2</v>
      </c>
      <c r="U15" s="94">
        <f>'BECF-pre-ret'!U15</f>
        <v>9.851598173515981E-2</v>
      </c>
      <c r="V15" s="94">
        <f>'BECF-pre-ret'!V15</f>
        <v>9.851598173515981E-2</v>
      </c>
      <c r="W15" s="94">
        <f>'BECF-pre-ret'!W15</f>
        <v>9.851598173515981E-2</v>
      </c>
      <c r="X15" s="94">
        <f>'BECF-pre-ret'!X15</f>
        <v>9.851598173515981E-2</v>
      </c>
      <c r="Y15" s="94">
        <f>'BECF-pre-ret'!Y15</f>
        <v>9.851598173515981E-2</v>
      </c>
      <c r="Z15" s="94">
        <f>'BECF-pre-ret'!Z15</f>
        <v>9.851598173515981E-2</v>
      </c>
      <c r="AA15" s="94">
        <f>'BECF-pre-ret'!AA15</f>
        <v>9.851598173515981E-2</v>
      </c>
      <c r="AB15" s="94">
        <f>'BECF-pre-ret'!AB15</f>
        <v>9.851598173515981E-2</v>
      </c>
      <c r="AC15" s="94">
        <f>'BECF-pre-ret'!AC15</f>
        <v>9.851598173515981E-2</v>
      </c>
      <c r="AD15" s="94">
        <f>'BECF-pre-ret'!AD15</f>
        <v>9.851598173515981E-2</v>
      </c>
      <c r="AE15" s="94">
        <f>'BECF-pre-ret'!AE15</f>
        <v>9.851598173515981E-2</v>
      </c>
      <c r="AF15" s="94">
        <f>'BECF-pre-ret'!AF15</f>
        <v>9.851598173515981E-2</v>
      </c>
      <c r="AG15" s="94">
        <f>'BECF-pre-ret'!AG15</f>
        <v>9.851598173515981E-2</v>
      </c>
      <c r="AH15" s="94">
        <f>'BECF-pre-ret'!AH15</f>
        <v>9.851598173515981E-2</v>
      </c>
      <c r="AI15" s="94">
        <f>'BECF-pre-ret'!AI15</f>
        <v>9.851598173515981E-2</v>
      </c>
      <c r="AJ15" s="94">
        <f>'BECF-pre-ret'!AJ15</f>
        <v>9.851598173515981E-2</v>
      </c>
      <c r="AK15" s="94">
        <f>'BECF-pre-ret'!AK15</f>
        <v>9.851598173515981E-2</v>
      </c>
      <c r="AL15" s="94">
        <f>'BECF-pre-ret'!AL15</f>
        <v>9.851598173515981E-2</v>
      </c>
      <c r="AM15" s="94">
        <f>'BECF-pre-ret'!AM15</f>
        <v>9.851598173515981E-2</v>
      </c>
      <c r="AN15" s="94">
        <f>'BECF-pre-ret'!AN15</f>
        <v>9.851598173515981E-2</v>
      </c>
      <c r="AO15" s="94">
        <f>'BECF-pre-ret'!AO15</f>
        <v>9.851598173515981E-2</v>
      </c>
      <c r="AP15" s="94">
        <f>'BECF-pre-ret'!AP15</f>
        <v>9.851598173515981E-2</v>
      </c>
      <c r="AQ15" s="94">
        <f>'BECF-pre-ret'!AQ15</f>
        <v>9.851598173515981E-2</v>
      </c>
    </row>
    <row r="16" spans="1:43">
      <c r="A16" s="94" t="s">
        <v>124</v>
      </c>
      <c r="B16" s="94">
        <f>'BECF-pre-ret'!B16</f>
        <v>8.6757990867579904E-2</v>
      </c>
      <c r="C16" s="94">
        <f>'BECF-pre-ret'!C16</f>
        <v>9.851598173515981E-2</v>
      </c>
      <c r="D16" s="94">
        <f>'BECF-pre-ret'!D16</f>
        <v>9.851598173515981E-2</v>
      </c>
      <c r="E16" s="94">
        <f>'BECF-pre-ret'!E16</f>
        <v>9.851598173515981E-2</v>
      </c>
      <c r="F16" s="94">
        <f>'BECF-pre-ret'!F16</f>
        <v>9.851598173515981E-2</v>
      </c>
      <c r="G16" s="94">
        <f>'BECF-pre-ret'!G16</f>
        <v>9.851598173515981E-2</v>
      </c>
      <c r="H16" s="94">
        <f>'BECF-pre-ret'!H16</f>
        <v>9.851598173515981E-2</v>
      </c>
      <c r="I16" s="94">
        <f>'BECF-pre-ret'!I16</f>
        <v>9.851598173515981E-2</v>
      </c>
      <c r="J16" s="94">
        <f>'BECF-pre-ret'!J16</f>
        <v>9.851598173515981E-2</v>
      </c>
      <c r="K16" s="94">
        <f>'BECF-pre-ret'!K16</f>
        <v>9.851598173515981E-2</v>
      </c>
      <c r="L16" s="94">
        <f>'BECF-pre-ret'!L16</f>
        <v>9.851598173515981E-2</v>
      </c>
      <c r="M16" s="94">
        <f>'BECF-pre-ret'!M16</f>
        <v>9.851598173515981E-2</v>
      </c>
      <c r="N16" s="94">
        <f>'BECF-pre-ret'!N16</f>
        <v>9.851598173515981E-2</v>
      </c>
      <c r="O16" s="94">
        <f>'BECF-pre-ret'!O16</f>
        <v>9.851598173515981E-2</v>
      </c>
      <c r="P16" s="94">
        <f>'BECF-pre-ret'!P16</f>
        <v>9.851598173515981E-2</v>
      </c>
      <c r="Q16" s="94">
        <f>'BECF-pre-ret'!Q16</f>
        <v>9.851598173515981E-2</v>
      </c>
      <c r="R16" s="94">
        <f>'BECF-pre-ret'!R16</f>
        <v>9.851598173515981E-2</v>
      </c>
      <c r="S16" s="94">
        <f>'BECF-pre-ret'!S16</f>
        <v>9.851598173515981E-2</v>
      </c>
      <c r="T16" s="94">
        <f>'BECF-pre-ret'!T16</f>
        <v>9.851598173515981E-2</v>
      </c>
      <c r="U16" s="94">
        <f>'BECF-pre-ret'!U16</f>
        <v>9.851598173515981E-2</v>
      </c>
      <c r="V16" s="94">
        <f>'BECF-pre-ret'!V16</f>
        <v>9.851598173515981E-2</v>
      </c>
      <c r="W16" s="94">
        <f>'BECF-pre-ret'!W16</f>
        <v>9.851598173515981E-2</v>
      </c>
      <c r="X16" s="94">
        <f>'BECF-pre-ret'!X16</f>
        <v>9.851598173515981E-2</v>
      </c>
      <c r="Y16" s="94">
        <f>'BECF-pre-ret'!Y16</f>
        <v>9.851598173515981E-2</v>
      </c>
      <c r="Z16" s="94">
        <f>'BECF-pre-ret'!Z16</f>
        <v>9.851598173515981E-2</v>
      </c>
      <c r="AA16" s="94">
        <f>'BECF-pre-ret'!AA16</f>
        <v>9.851598173515981E-2</v>
      </c>
      <c r="AB16" s="94">
        <f>'BECF-pre-ret'!AB16</f>
        <v>9.851598173515981E-2</v>
      </c>
      <c r="AC16" s="94">
        <f>'BECF-pre-ret'!AC16</f>
        <v>9.851598173515981E-2</v>
      </c>
      <c r="AD16" s="94">
        <f>'BECF-pre-ret'!AD16</f>
        <v>9.851598173515981E-2</v>
      </c>
      <c r="AE16" s="94">
        <f>'BECF-pre-ret'!AE16</f>
        <v>9.851598173515981E-2</v>
      </c>
      <c r="AF16" s="94">
        <f>'BECF-pre-ret'!AF16</f>
        <v>9.851598173515981E-2</v>
      </c>
      <c r="AG16" s="94">
        <f>'BECF-pre-ret'!AG16</f>
        <v>9.851598173515981E-2</v>
      </c>
      <c r="AH16" s="94">
        <f>'BECF-pre-ret'!AH16</f>
        <v>9.851598173515981E-2</v>
      </c>
      <c r="AI16" s="94">
        <f>'BECF-pre-ret'!AI16</f>
        <v>9.851598173515981E-2</v>
      </c>
      <c r="AJ16" s="94">
        <f>'BECF-pre-ret'!AJ16</f>
        <v>9.851598173515981E-2</v>
      </c>
      <c r="AK16" s="94">
        <f>'BECF-pre-ret'!AK16</f>
        <v>9.851598173515981E-2</v>
      </c>
      <c r="AL16" s="94">
        <f>'BECF-pre-ret'!AL16</f>
        <v>9.851598173515981E-2</v>
      </c>
      <c r="AM16" s="94">
        <f>'BECF-pre-ret'!AM16</f>
        <v>9.851598173515981E-2</v>
      </c>
      <c r="AN16" s="94">
        <f>'BECF-pre-ret'!AN16</f>
        <v>9.851598173515981E-2</v>
      </c>
      <c r="AO16" s="94">
        <f>'BECF-pre-ret'!AO16</f>
        <v>9.851598173515981E-2</v>
      </c>
      <c r="AP16" s="94">
        <f>'BECF-pre-ret'!AP16</f>
        <v>9.851598173515981E-2</v>
      </c>
      <c r="AQ16" s="94">
        <f>'BECF-pre-ret'!AQ16</f>
        <v>9.851598173515981E-2</v>
      </c>
    </row>
    <row r="17" spans="1:43">
      <c r="A17" s="94" t="s">
        <v>123</v>
      </c>
      <c r="B17" s="94">
        <f>'BECF-pre-ret'!B17</f>
        <v>0.66563926940639273</v>
      </c>
      <c r="C17" s="94">
        <f>'BECF-pre-ret'!C17</f>
        <v>0.67305936073059358</v>
      </c>
      <c r="D17" s="94">
        <f>'BECF-pre-ret'!D17</f>
        <v>0.67305936073059358</v>
      </c>
      <c r="E17" s="94">
        <f>'BECF-pre-ret'!E17</f>
        <v>0.67305936073059358</v>
      </c>
      <c r="F17" s="94">
        <f>'BECF-pre-ret'!F17</f>
        <v>0.67305936073059358</v>
      </c>
      <c r="G17" s="94">
        <f>'BECF-pre-ret'!G17</f>
        <v>0.67305936073059358</v>
      </c>
      <c r="H17" s="94">
        <f>'BECF-pre-ret'!H17</f>
        <v>0.67305936073059358</v>
      </c>
      <c r="I17" s="94">
        <f>'BECF-pre-ret'!I17</f>
        <v>0.67305936073059358</v>
      </c>
      <c r="J17" s="94">
        <f>'BECF-pre-ret'!J17</f>
        <v>0.67305936073059358</v>
      </c>
      <c r="K17" s="94">
        <f>'BECF-pre-ret'!K17</f>
        <v>0.67305936073059358</v>
      </c>
      <c r="L17" s="94">
        <f>'BECF-pre-ret'!L17</f>
        <v>0.67305936073059358</v>
      </c>
      <c r="M17" s="94">
        <f>'BECF-pre-ret'!M17</f>
        <v>0.67305936073059358</v>
      </c>
      <c r="N17" s="94">
        <f>'BECF-pre-ret'!N17</f>
        <v>0.67305936073059358</v>
      </c>
      <c r="O17" s="94">
        <f>'BECF-pre-ret'!O17</f>
        <v>0.67305936073059358</v>
      </c>
      <c r="P17" s="94">
        <f>'BECF-pre-ret'!P17</f>
        <v>0.67305936073059358</v>
      </c>
      <c r="Q17" s="94">
        <f>'BECF-pre-ret'!Q17</f>
        <v>0.67305936073059358</v>
      </c>
      <c r="R17" s="94">
        <f>'BECF-pre-ret'!R17</f>
        <v>0.67305936073059358</v>
      </c>
      <c r="S17" s="94">
        <f>'BECF-pre-ret'!S17</f>
        <v>0.67305936073059358</v>
      </c>
      <c r="T17" s="94">
        <f>'BECF-pre-ret'!T17</f>
        <v>0.67305936073059358</v>
      </c>
      <c r="U17" s="94">
        <f>'BECF-pre-ret'!U17</f>
        <v>0.67305936073059358</v>
      </c>
      <c r="V17" s="94">
        <f>'BECF-pre-ret'!V17</f>
        <v>0.67305936073059358</v>
      </c>
      <c r="W17" s="94">
        <f>'BECF-pre-ret'!W17</f>
        <v>0.67305936073059358</v>
      </c>
      <c r="X17" s="94">
        <f>'BECF-pre-ret'!X17</f>
        <v>0.67305936073059358</v>
      </c>
      <c r="Y17" s="94">
        <f>'BECF-pre-ret'!Y17</f>
        <v>0.67305936073059358</v>
      </c>
      <c r="Z17" s="94">
        <f>'BECF-pre-ret'!Z17</f>
        <v>0.67305936073059358</v>
      </c>
      <c r="AA17" s="94">
        <f>'BECF-pre-ret'!AA17</f>
        <v>0.67305936073059358</v>
      </c>
      <c r="AB17" s="94">
        <f>'BECF-pre-ret'!AB17</f>
        <v>0.67305936073059358</v>
      </c>
      <c r="AC17" s="94">
        <f>'BECF-pre-ret'!AC17</f>
        <v>0.67305936073059358</v>
      </c>
      <c r="AD17" s="94">
        <f>'BECF-pre-ret'!AD17</f>
        <v>0.67305936073059358</v>
      </c>
      <c r="AE17" s="94">
        <f>'BECF-pre-ret'!AE17</f>
        <v>0.67305936073059358</v>
      </c>
      <c r="AF17" s="94">
        <f>'BECF-pre-ret'!AF17</f>
        <v>0.67305936073059358</v>
      </c>
      <c r="AG17" s="94">
        <f>'BECF-pre-ret'!AG17</f>
        <v>0.67305936073059358</v>
      </c>
      <c r="AH17" s="94">
        <f>'BECF-pre-ret'!AH17</f>
        <v>0.67305936073059358</v>
      </c>
      <c r="AI17" s="94">
        <f>'BECF-pre-ret'!AI17</f>
        <v>0.67305936073059358</v>
      </c>
      <c r="AJ17" s="94">
        <f>'BECF-pre-ret'!AJ17</f>
        <v>0.67305936073059358</v>
      </c>
      <c r="AK17" s="94">
        <f>'BECF-pre-ret'!AK17</f>
        <v>0.67305936073059358</v>
      </c>
      <c r="AL17" s="94">
        <f>'BECF-pre-ret'!AL17</f>
        <v>0.67305936073059358</v>
      </c>
      <c r="AM17" s="94">
        <f>'BECF-pre-ret'!AM17</f>
        <v>0.67305936073059358</v>
      </c>
      <c r="AN17" s="94">
        <f>'BECF-pre-ret'!AN17</f>
        <v>0.67305936073059358</v>
      </c>
      <c r="AO17" s="94">
        <f>'BECF-pre-ret'!AO17</f>
        <v>0.67305936073059358</v>
      </c>
      <c r="AP17" s="94">
        <f>'BECF-pre-ret'!AP17</f>
        <v>0.67305936073059358</v>
      </c>
      <c r="AQ17" s="94">
        <f>'BECF-pre-ret'!AQ17</f>
        <v>0.67305936073059358</v>
      </c>
    </row>
  </sheetData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D75EF-BC2D-4F00-9BC3-70F168AE7656}">
  <sheetPr>
    <tabColor theme="8" tint="-0.499984740745262"/>
  </sheetPr>
  <dimension ref="A1:AQ17"/>
  <sheetViews>
    <sheetView tabSelected="1" workbookViewId="0">
      <selection activeCell="E30" sqref="E30"/>
    </sheetView>
  </sheetViews>
  <sheetFormatPr defaultRowHeight="14.25"/>
  <cols>
    <col min="1" max="1" width="27.28515625" style="94" customWidth="1"/>
    <col min="2" max="16384" width="9.140625" style="94"/>
  </cols>
  <sheetData>
    <row r="1" spans="1:43" ht="28.5">
      <c r="A1" s="97" t="s">
        <v>139</v>
      </c>
      <c r="B1" s="96">
        <v>2019</v>
      </c>
      <c r="C1" s="94">
        <v>2020</v>
      </c>
      <c r="D1" s="96">
        <v>2021</v>
      </c>
      <c r="E1" s="94">
        <v>2022</v>
      </c>
      <c r="F1" s="96">
        <v>2023</v>
      </c>
      <c r="G1" s="94">
        <v>2024</v>
      </c>
      <c r="H1" s="96">
        <v>2025</v>
      </c>
      <c r="I1" s="94">
        <v>2026</v>
      </c>
      <c r="J1" s="96">
        <v>2027</v>
      </c>
      <c r="K1" s="94">
        <v>2028</v>
      </c>
      <c r="L1" s="96">
        <v>2029</v>
      </c>
      <c r="M1" s="94">
        <v>2030</v>
      </c>
      <c r="N1" s="96">
        <v>2031</v>
      </c>
      <c r="O1" s="94">
        <v>2032</v>
      </c>
      <c r="P1" s="96">
        <v>2033</v>
      </c>
      <c r="Q1" s="94">
        <v>2034</v>
      </c>
      <c r="R1" s="96">
        <v>2035</v>
      </c>
      <c r="S1" s="94">
        <v>2036</v>
      </c>
      <c r="T1" s="96">
        <v>2037</v>
      </c>
      <c r="U1" s="94">
        <v>2038</v>
      </c>
      <c r="V1" s="96">
        <v>2039</v>
      </c>
      <c r="W1" s="94">
        <v>2040</v>
      </c>
      <c r="X1" s="96">
        <v>2041</v>
      </c>
      <c r="Y1" s="94">
        <v>2042</v>
      </c>
      <c r="Z1" s="96">
        <v>2043</v>
      </c>
      <c r="AA1" s="94">
        <v>2044</v>
      </c>
      <c r="AB1" s="96">
        <v>2045</v>
      </c>
      <c r="AC1" s="94">
        <v>2046</v>
      </c>
      <c r="AD1" s="96">
        <v>2047</v>
      </c>
      <c r="AE1" s="94">
        <v>2048</v>
      </c>
      <c r="AF1" s="96">
        <v>2049</v>
      </c>
      <c r="AG1" s="94">
        <v>2050</v>
      </c>
      <c r="AH1" s="96">
        <v>2051</v>
      </c>
      <c r="AI1" s="94">
        <v>2052</v>
      </c>
      <c r="AJ1" s="96">
        <v>2053</v>
      </c>
      <c r="AK1" s="94">
        <v>2054</v>
      </c>
      <c r="AL1" s="96">
        <v>2055</v>
      </c>
      <c r="AM1" s="94">
        <v>2056</v>
      </c>
      <c r="AN1" s="96">
        <v>2057</v>
      </c>
      <c r="AO1" s="94">
        <v>2058</v>
      </c>
      <c r="AP1" s="96">
        <v>2059</v>
      </c>
      <c r="AQ1" s="94">
        <v>2060</v>
      </c>
    </row>
    <row r="2" spans="1:43">
      <c r="A2" s="94" t="s">
        <v>138</v>
      </c>
      <c r="B2" s="95">
        <f>'BECF-pre-ret'!B2</f>
        <v>0.50559360730593605</v>
      </c>
      <c r="C2" s="95">
        <f>'BECF-pre-ret'!C2</f>
        <v>0.49349315068493149</v>
      </c>
      <c r="D2" s="95">
        <f>'BECF-pre-ret'!D2</f>
        <v>0.51312785388127857</v>
      </c>
      <c r="E2" s="95">
        <f>'BECF-pre-ret'!E2</f>
        <v>0.51312785388127857</v>
      </c>
      <c r="F2" s="95">
        <f>'BECF-pre-ret'!F2</f>
        <v>0.51312785388127857</v>
      </c>
      <c r="G2" s="95">
        <f>'BECF-pre-ret'!G2</f>
        <v>0.51312785388127857</v>
      </c>
      <c r="H2" s="95">
        <f>'BECF-pre-ret'!H2</f>
        <v>0.51312785388127857</v>
      </c>
      <c r="I2" s="95">
        <f>'BECF-pre-ret'!I2</f>
        <v>0.51312785388127857</v>
      </c>
      <c r="J2" s="95">
        <f>'BECF-pre-ret'!J2</f>
        <v>0.51312785388127857</v>
      </c>
      <c r="K2" s="95">
        <f>'BECF-pre-ret'!K2</f>
        <v>0.51312785388127857</v>
      </c>
      <c r="L2" s="95">
        <f>'BECF-pre-ret'!L2</f>
        <v>0.51312785388127857</v>
      </c>
      <c r="M2" s="95">
        <f>'BECF-pre-ret'!M2</f>
        <v>0.51312785388127857</v>
      </c>
      <c r="N2" s="95">
        <f>'BECF-pre-ret'!N2</f>
        <v>0.51312785388127857</v>
      </c>
      <c r="O2" s="95">
        <f>'BECF-pre-ret'!O2</f>
        <v>0.51312785388127857</v>
      </c>
      <c r="P2" s="95">
        <f>'BECF-pre-ret'!P2</f>
        <v>0.51312785388127857</v>
      </c>
      <c r="Q2" s="95">
        <f>'BECF-pre-ret'!Q2</f>
        <v>0.51312785388127857</v>
      </c>
      <c r="R2" s="95">
        <f>'BECF-pre-ret'!R2</f>
        <v>0.51312785388127857</v>
      </c>
      <c r="S2" s="95">
        <f>'BECF-pre-ret'!S2</f>
        <v>0.51312785388127857</v>
      </c>
      <c r="T2" s="95">
        <f>'BECF-pre-ret'!T2</f>
        <v>0.51312785388127857</v>
      </c>
      <c r="U2" s="95">
        <f>'BECF-pre-ret'!U2</f>
        <v>0.51312785388127857</v>
      </c>
      <c r="V2" s="95">
        <f>'BECF-pre-ret'!V2</f>
        <v>0.51312785388127857</v>
      </c>
      <c r="W2" s="95">
        <f>'BECF-pre-ret'!W2</f>
        <v>0.51312785388127857</v>
      </c>
      <c r="X2" s="95">
        <f>'BECF-pre-ret'!X2</f>
        <v>0.51312785388127857</v>
      </c>
      <c r="Y2" s="95">
        <f>'BECF-pre-ret'!Y2</f>
        <v>0.51312785388127857</v>
      </c>
      <c r="Z2" s="95">
        <f>'BECF-pre-ret'!Z2</f>
        <v>0.51312785388127857</v>
      </c>
      <c r="AA2" s="95">
        <f>'BECF-pre-ret'!AA2</f>
        <v>0.51312785388127857</v>
      </c>
      <c r="AB2" s="95">
        <f>'BECF-pre-ret'!AB2</f>
        <v>0.51312785388127857</v>
      </c>
      <c r="AC2" s="95">
        <f>'BECF-pre-ret'!AC2</f>
        <v>0.51312785388127857</v>
      </c>
      <c r="AD2" s="95">
        <f>'BECF-pre-ret'!AD2</f>
        <v>0.51312785388127857</v>
      </c>
      <c r="AE2" s="95">
        <f>'BECF-pre-ret'!AE2</f>
        <v>0.51312785388127857</v>
      </c>
      <c r="AF2" s="95">
        <f>'BECF-pre-ret'!AF2</f>
        <v>0.51312785388127857</v>
      </c>
      <c r="AG2" s="95">
        <f>'BECF-pre-ret'!AG2</f>
        <v>0.51312785388127857</v>
      </c>
      <c r="AH2" s="95">
        <f>'BECF-pre-ret'!AH2</f>
        <v>0.51312785388127857</v>
      </c>
      <c r="AI2" s="95">
        <f>'BECF-pre-ret'!AI2</f>
        <v>0.51312785388127857</v>
      </c>
      <c r="AJ2" s="95">
        <f>'BECF-pre-ret'!AJ2</f>
        <v>0.51312785388127857</v>
      </c>
      <c r="AK2" s="95">
        <f>'BECF-pre-ret'!AK2</f>
        <v>0.51312785388127857</v>
      </c>
      <c r="AL2" s="95">
        <f>'BECF-pre-ret'!AL2</f>
        <v>0.51312785388127857</v>
      </c>
      <c r="AM2" s="95">
        <f>'BECF-pre-ret'!AM2</f>
        <v>0.51312785388127857</v>
      </c>
      <c r="AN2" s="95">
        <f>'BECF-pre-ret'!AN2</f>
        <v>0.51312785388127857</v>
      </c>
      <c r="AO2" s="95">
        <f>'BECF-pre-ret'!AO2</f>
        <v>0.51312785388127857</v>
      </c>
      <c r="AP2" s="95">
        <f>'BECF-pre-ret'!AP2</f>
        <v>0.51312785388127857</v>
      </c>
      <c r="AQ2" s="95">
        <f>'BECF-pre-ret'!AQ2</f>
        <v>0.51312785388127857</v>
      </c>
    </row>
    <row r="3" spans="1:43">
      <c r="A3" s="94" t="s">
        <v>137</v>
      </c>
      <c r="B3" s="95">
        <f>'BECF-pre-ret'!B3</f>
        <v>0.30205479452054795</v>
      </c>
      <c r="C3" s="95">
        <f>'BECF-pre-ret'!C3</f>
        <v>0.29794520547945208</v>
      </c>
      <c r="D3" s="95">
        <f>'BECF-pre-ret'!D3</f>
        <v>0.31586757990867581</v>
      </c>
      <c r="E3" s="95">
        <f>'BECF-pre-ret'!E3</f>
        <v>0.31586757990867581</v>
      </c>
      <c r="F3" s="95">
        <f>'BECF-pre-ret'!F3</f>
        <v>0.31586757990867581</v>
      </c>
      <c r="G3" s="95">
        <f>'BECF-pre-ret'!G3</f>
        <v>0.31586757990867581</v>
      </c>
      <c r="H3" s="95">
        <f>'BECF-pre-ret'!H3</f>
        <v>0.31586757990867581</v>
      </c>
      <c r="I3" s="95">
        <f>'BECF-pre-ret'!I3</f>
        <v>0.31586757990867581</v>
      </c>
      <c r="J3" s="95">
        <f>'BECF-pre-ret'!J3</f>
        <v>0.31586757990867581</v>
      </c>
      <c r="K3" s="95">
        <f>'BECF-pre-ret'!K3</f>
        <v>0.31586757990867581</v>
      </c>
      <c r="L3" s="95">
        <f>'BECF-pre-ret'!L3</f>
        <v>0.31586757990867581</v>
      </c>
      <c r="M3" s="95">
        <f>'BECF-pre-ret'!M3</f>
        <v>0.31586757990867581</v>
      </c>
      <c r="N3" s="95">
        <f>'BECF-pre-ret'!N3</f>
        <v>0.31586757990867581</v>
      </c>
      <c r="O3" s="95">
        <f>'BECF-pre-ret'!O3</f>
        <v>0.31586757990867581</v>
      </c>
      <c r="P3" s="95">
        <f>'BECF-pre-ret'!P3</f>
        <v>0.31586757990867581</v>
      </c>
      <c r="Q3" s="95">
        <f>'BECF-pre-ret'!Q3</f>
        <v>0.31586757990867581</v>
      </c>
      <c r="R3" s="95">
        <f>'BECF-pre-ret'!R3</f>
        <v>0.31586757990867581</v>
      </c>
      <c r="S3" s="95">
        <f>'BECF-pre-ret'!S3</f>
        <v>0.31586757990867581</v>
      </c>
      <c r="T3" s="95">
        <f>'BECF-pre-ret'!T3</f>
        <v>0.31586757990867581</v>
      </c>
      <c r="U3" s="95">
        <f>'BECF-pre-ret'!U3</f>
        <v>0.31586757990867581</v>
      </c>
      <c r="V3" s="95">
        <f>'BECF-pre-ret'!V3</f>
        <v>0.31586757990867581</v>
      </c>
      <c r="W3" s="95">
        <f>'BECF-pre-ret'!W3</f>
        <v>0.31586757990867581</v>
      </c>
      <c r="X3" s="95">
        <f>'BECF-pre-ret'!X3</f>
        <v>0.31586757990867581</v>
      </c>
      <c r="Y3" s="95">
        <f>'BECF-pre-ret'!Y3</f>
        <v>0.31586757990867581</v>
      </c>
      <c r="Z3" s="95">
        <f>'BECF-pre-ret'!Z3</f>
        <v>0.31586757990867581</v>
      </c>
      <c r="AA3" s="95">
        <f>'BECF-pre-ret'!AA3</f>
        <v>0.31586757990867581</v>
      </c>
      <c r="AB3" s="95">
        <f>'BECF-pre-ret'!AB3</f>
        <v>0.31586757990867581</v>
      </c>
      <c r="AC3" s="95">
        <f>'BECF-pre-ret'!AC3</f>
        <v>0.31586757990867581</v>
      </c>
      <c r="AD3" s="95">
        <f>'BECF-pre-ret'!AD3</f>
        <v>0.31586757990867581</v>
      </c>
      <c r="AE3" s="95">
        <f>'BECF-pre-ret'!AE3</f>
        <v>0.31586757990867581</v>
      </c>
      <c r="AF3" s="95">
        <f>'BECF-pre-ret'!AF3</f>
        <v>0.31586757990867581</v>
      </c>
      <c r="AG3" s="95">
        <f>'BECF-pre-ret'!AG3</f>
        <v>0.31586757990867581</v>
      </c>
      <c r="AH3" s="95">
        <f>'BECF-pre-ret'!AH3</f>
        <v>0.31586757990867581</v>
      </c>
      <c r="AI3" s="95">
        <f>'BECF-pre-ret'!AI3</f>
        <v>0.31586757990867581</v>
      </c>
      <c r="AJ3" s="95">
        <f>'BECF-pre-ret'!AJ3</f>
        <v>0.31586757990867581</v>
      </c>
      <c r="AK3" s="95">
        <f>'BECF-pre-ret'!AK3</f>
        <v>0.31586757990867581</v>
      </c>
      <c r="AL3" s="95">
        <f>'BECF-pre-ret'!AL3</f>
        <v>0.31586757990867581</v>
      </c>
      <c r="AM3" s="95">
        <f>'BECF-pre-ret'!AM3</f>
        <v>0.31586757990867581</v>
      </c>
      <c r="AN3" s="95">
        <f>'BECF-pre-ret'!AN3</f>
        <v>0.31586757990867581</v>
      </c>
      <c r="AO3" s="95">
        <f>'BECF-pre-ret'!AO3</f>
        <v>0.31586757990867581</v>
      </c>
      <c r="AP3" s="95">
        <f>'BECF-pre-ret'!AP3</f>
        <v>0.31586757990867581</v>
      </c>
      <c r="AQ3" s="95">
        <f>'BECF-pre-ret'!AQ3</f>
        <v>0.31586757990867581</v>
      </c>
    </row>
    <row r="4" spans="1:43">
      <c r="A4" s="94" t="s">
        <v>136</v>
      </c>
      <c r="B4" s="95">
        <f>'BECF-pre-ret'!B4</f>
        <v>0.85237550477643176</v>
      </c>
      <c r="C4" s="95">
        <f>'BECF-pre-ret'!C4</f>
        <v>0.84768636252735541</v>
      </c>
      <c r="D4" s="95">
        <f>'BECF-pre-ret'!D4</f>
        <v>0.85237550477643176</v>
      </c>
      <c r="E4" s="95">
        <f>'BECF-pre-ret'!E4</f>
        <v>0.85237550477643176</v>
      </c>
      <c r="F4" s="95">
        <f>'BECF-pre-ret'!F4</f>
        <v>0.85237550477643176</v>
      </c>
      <c r="G4" s="95">
        <f>'BECF-pre-ret'!G4</f>
        <v>0.85237550477643176</v>
      </c>
      <c r="H4" s="95">
        <f>'BECF-pre-ret'!H4</f>
        <v>0.85237550477643176</v>
      </c>
      <c r="I4" s="95">
        <f>'BECF-pre-ret'!I4</f>
        <v>0.85237550477643176</v>
      </c>
      <c r="J4" s="95">
        <f>'BECF-pre-ret'!J4</f>
        <v>0.85237550477643176</v>
      </c>
      <c r="K4" s="95">
        <f>'BECF-pre-ret'!K4</f>
        <v>0.85237550477643176</v>
      </c>
      <c r="L4" s="95">
        <f>'BECF-pre-ret'!L4</f>
        <v>0.85237550477643176</v>
      </c>
      <c r="M4" s="95">
        <f>'BECF-pre-ret'!M4</f>
        <v>0.85237550477643176</v>
      </c>
      <c r="N4" s="95">
        <f>'BECF-pre-ret'!N4</f>
        <v>0.85237550477643176</v>
      </c>
      <c r="O4" s="95">
        <f>'BECF-pre-ret'!O4</f>
        <v>0.85237550477643176</v>
      </c>
      <c r="P4" s="95">
        <f>'BECF-pre-ret'!P4</f>
        <v>0.85237550477643176</v>
      </c>
      <c r="Q4" s="95">
        <f>'BECF-pre-ret'!Q4</f>
        <v>0.85237550477643176</v>
      </c>
      <c r="R4" s="95">
        <f>'BECF-pre-ret'!R4</f>
        <v>0.85237550477643176</v>
      </c>
      <c r="S4" s="95">
        <f>'BECF-pre-ret'!S4</f>
        <v>0.85237550477643176</v>
      </c>
      <c r="T4" s="95">
        <f>'BECF-pre-ret'!T4</f>
        <v>0.85237550477643176</v>
      </c>
      <c r="U4" s="95">
        <f>'BECF-pre-ret'!U4</f>
        <v>0.85237550477643176</v>
      </c>
      <c r="V4" s="95">
        <f>'BECF-pre-ret'!V4</f>
        <v>0.85237550477643176</v>
      </c>
      <c r="W4" s="95">
        <f>'BECF-pre-ret'!W4</f>
        <v>0.85237550477643176</v>
      </c>
      <c r="X4" s="95">
        <f>'BECF-pre-ret'!X4</f>
        <v>0.85237550477643176</v>
      </c>
      <c r="Y4" s="95">
        <f>'BECF-pre-ret'!Y4</f>
        <v>0.85237550477643176</v>
      </c>
      <c r="Z4" s="95">
        <f>'BECF-pre-ret'!Z4</f>
        <v>0.85237550477643176</v>
      </c>
      <c r="AA4" s="95">
        <f>'BECF-pre-ret'!AA4</f>
        <v>0.85237550477643176</v>
      </c>
      <c r="AB4" s="95">
        <f>'BECF-pre-ret'!AB4</f>
        <v>0.85237550477643176</v>
      </c>
      <c r="AC4" s="95">
        <f>'BECF-pre-ret'!AC4</f>
        <v>0.85237550477643176</v>
      </c>
      <c r="AD4" s="95">
        <f>'BECF-pre-ret'!AD4</f>
        <v>0.85237550477643176</v>
      </c>
      <c r="AE4" s="95">
        <f>'BECF-pre-ret'!AE4</f>
        <v>0.85237550477643176</v>
      </c>
      <c r="AF4" s="95">
        <f>'BECF-pre-ret'!AF4</f>
        <v>0.85237550477643176</v>
      </c>
      <c r="AG4" s="95">
        <f>'BECF-pre-ret'!AG4</f>
        <v>0.85237550477643176</v>
      </c>
      <c r="AH4" s="95">
        <f>'BECF-pre-ret'!AH4</f>
        <v>0.85237550477643176</v>
      </c>
      <c r="AI4" s="95">
        <f>'BECF-pre-ret'!AI4</f>
        <v>0.85237550477643176</v>
      </c>
      <c r="AJ4" s="95">
        <f>'BECF-pre-ret'!AJ4</f>
        <v>0.85237550477643176</v>
      </c>
      <c r="AK4" s="95">
        <f>'BECF-pre-ret'!AK4</f>
        <v>0.85237550477643176</v>
      </c>
      <c r="AL4" s="95">
        <f>'BECF-pre-ret'!AL4</f>
        <v>0.85237550477643176</v>
      </c>
      <c r="AM4" s="95">
        <f>'BECF-pre-ret'!AM4</f>
        <v>0.85237550477643176</v>
      </c>
      <c r="AN4" s="95">
        <f>'BECF-pre-ret'!AN4</f>
        <v>0.85237550477643176</v>
      </c>
      <c r="AO4" s="95">
        <f>'BECF-pre-ret'!AO4</f>
        <v>0.85237550477643176</v>
      </c>
      <c r="AP4" s="95">
        <f>'BECF-pre-ret'!AP4</f>
        <v>0.85237550477643176</v>
      </c>
      <c r="AQ4" s="95">
        <f>'BECF-pre-ret'!AQ4</f>
        <v>0.85237550477643176</v>
      </c>
    </row>
    <row r="5" spans="1:43">
      <c r="A5" s="94" t="s">
        <v>135</v>
      </c>
      <c r="B5" s="95">
        <f>'BECF-pre-ret'!B5</f>
        <v>0.44591373875605445</v>
      </c>
      <c r="C5" s="95">
        <f>'BECF-pre-ret'!C5</f>
        <v>0.45275725675549588</v>
      </c>
      <c r="D5" s="95">
        <f>'BECF-pre-ret'!D5</f>
        <v>0.42837443739015679</v>
      </c>
      <c r="E5" s="95">
        <f>'BECF-pre-ret'!E5</f>
        <v>0.42837443739015679</v>
      </c>
      <c r="F5" s="95">
        <f>'BECF-pre-ret'!F5</f>
        <v>0.42837443739015679</v>
      </c>
      <c r="G5" s="95">
        <f>'BECF-pre-ret'!G5</f>
        <v>0.42837443739015679</v>
      </c>
      <c r="H5" s="95">
        <f>'BECF-pre-ret'!H5</f>
        <v>0.42837443739015679</v>
      </c>
      <c r="I5" s="95">
        <f>'BECF-pre-ret'!I5</f>
        <v>0.42837443739015679</v>
      </c>
      <c r="J5" s="95">
        <f>'BECF-pre-ret'!J5</f>
        <v>0.42837443739015679</v>
      </c>
      <c r="K5" s="95">
        <f>'BECF-pre-ret'!K5</f>
        <v>0.42837443739015679</v>
      </c>
      <c r="L5" s="95">
        <f>'BECF-pre-ret'!L5</f>
        <v>0.42837443739015679</v>
      </c>
      <c r="M5" s="95">
        <f>'BECF-pre-ret'!M5</f>
        <v>0.42837443739015679</v>
      </c>
      <c r="N5" s="95">
        <f>'BECF-pre-ret'!N5</f>
        <v>0.42837443739015679</v>
      </c>
      <c r="O5" s="95">
        <f>'BECF-pre-ret'!O5</f>
        <v>0.42837443739015679</v>
      </c>
      <c r="P5" s="95">
        <f>'BECF-pre-ret'!P5</f>
        <v>0.42837443739015679</v>
      </c>
      <c r="Q5" s="95">
        <f>'BECF-pre-ret'!Q5</f>
        <v>0.42837443739015679</v>
      </c>
      <c r="R5" s="95">
        <f>'BECF-pre-ret'!R5</f>
        <v>0.42837443739015679</v>
      </c>
      <c r="S5" s="95">
        <f>'BECF-pre-ret'!S5</f>
        <v>0.42837443739015679</v>
      </c>
      <c r="T5" s="95">
        <f>'BECF-pre-ret'!T5</f>
        <v>0.42837443739015679</v>
      </c>
      <c r="U5" s="95">
        <f>'BECF-pre-ret'!U5</f>
        <v>0.42837443739015679</v>
      </c>
      <c r="V5" s="95">
        <f>'BECF-pre-ret'!V5</f>
        <v>0.42837443739015679</v>
      </c>
      <c r="W5" s="95">
        <f>'BECF-pre-ret'!W5</f>
        <v>0.42837443739015679</v>
      </c>
      <c r="X5" s="95">
        <f>'BECF-pre-ret'!X5</f>
        <v>0.42837443739015679</v>
      </c>
      <c r="Y5" s="95">
        <f>'BECF-pre-ret'!Y5</f>
        <v>0.42837443739015679</v>
      </c>
      <c r="Z5" s="95">
        <f>'BECF-pre-ret'!Z5</f>
        <v>0.42837443739015679</v>
      </c>
      <c r="AA5" s="95">
        <f>'BECF-pre-ret'!AA5</f>
        <v>0.42837443739015679</v>
      </c>
      <c r="AB5" s="95">
        <f>'BECF-pre-ret'!AB5</f>
        <v>0.42837443739015679</v>
      </c>
      <c r="AC5" s="95">
        <f>'BECF-pre-ret'!AC5</f>
        <v>0.42837443739015679</v>
      </c>
      <c r="AD5" s="95">
        <f>'BECF-pre-ret'!AD5</f>
        <v>0.42837443739015679</v>
      </c>
      <c r="AE5" s="95">
        <f>'BECF-pre-ret'!AE5</f>
        <v>0.42837443739015679</v>
      </c>
      <c r="AF5" s="95">
        <f>'BECF-pre-ret'!AF5</f>
        <v>0.42837443739015679</v>
      </c>
      <c r="AG5" s="95">
        <f>'BECF-pre-ret'!AG5</f>
        <v>0.42837443739015679</v>
      </c>
      <c r="AH5" s="95">
        <f>'BECF-pre-ret'!AH5</f>
        <v>0.42837443739015679</v>
      </c>
      <c r="AI5" s="95">
        <f>'BECF-pre-ret'!AI5</f>
        <v>0.42837443739015679</v>
      </c>
      <c r="AJ5" s="95">
        <f>'BECF-pre-ret'!AJ5</f>
        <v>0.42837443739015679</v>
      </c>
      <c r="AK5" s="95">
        <f>'BECF-pre-ret'!AK5</f>
        <v>0.42837443739015679</v>
      </c>
      <c r="AL5" s="95">
        <f>'BECF-pre-ret'!AL5</f>
        <v>0.42837443739015679</v>
      </c>
      <c r="AM5" s="95">
        <f>'BECF-pre-ret'!AM5</f>
        <v>0.42837443739015679</v>
      </c>
      <c r="AN5" s="95">
        <f>'BECF-pre-ret'!AN5</f>
        <v>0.42837443739015679</v>
      </c>
      <c r="AO5" s="95">
        <f>'BECF-pre-ret'!AO5</f>
        <v>0.42837443739015679</v>
      </c>
      <c r="AP5" s="95">
        <f>'BECF-pre-ret'!AP5</f>
        <v>0.42837443739015679</v>
      </c>
      <c r="AQ5" s="95">
        <f>'BECF-pre-ret'!AQ5</f>
        <v>0.42837443739015679</v>
      </c>
    </row>
    <row r="6" spans="1:43">
      <c r="A6" s="94" t="s">
        <v>134</v>
      </c>
      <c r="B6" s="95">
        <f>'BECF-pre-ret'!B6</f>
        <v>0.23520473431788536</v>
      </c>
      <c r="C6" s="95">
        <f>'BECF-pre-ret'!C6</f>
        <v>0.21700662044634983</v>
      </c>
      <c r="D6" s="95">
        <f>'BECF-pre-ret'!D6</f>
        <v>0.23980239967599801</v>
      </c>
      <c r="E6" s="95">
        <f>'BECF-pre-ret'!E6</f>
        <v>0.23980239967599801</v>
      </c>
      <c r="F6" s="95">
        <f>'BECF-pre-ret'!F6</f>
        <v>0.23980239967599801</v>
      </c>
      <c r="G6" s="95">
        <f>'BECF-pre-ret'!G6</f>
        <v>0.23980239967599801</v>
      </c>
      <c r="H6" s="95">
        <f>'BECF-pre-ret'!H6</f>
        <v>0.23980239967599801</v>
      </c>
      <c r="I6" s="95">
        <f>'BECF-pre-ret'!I6</f>
        <v>0.23980239967599801</v>
      </c>
      <c r="J6" s="95">
        <f>'BECF-pre-ret'!J6</f>
        <v>0.23980239967599801</v>
      </c>
      <c r="K6" s="95">
        <f>'BECF-pre-ret'!K6</f>
        <v>0.23980239967599801</v>
      </c>
      <c r="L6" s="95">
        <f>'BECF-pre-ret'!L6</f>
        <v>0.23980239967599801</v>
      </c>
      <c r="M6" s="95">
        <f>'BECF-pre-ret'!M6</f>
        <v>0.23980239967599801</v>
      </c>
      <c r="N6" s="95">
        <f>'BECF-pre-ret'!N6</f>
        <v>0.23980239967599801</v>
      </c>
      <c r="O6" s="95">
        <f>'BECF-pre-ret'!O6</f>
        <v>0.23980239967599801</v>
      </c>
      <c r="P6" s="95">
        <f>'BECF-pre-ret'!P6</f>
        <v>0.23980239967599801</v>
      </c>
      <c r="Q6" s="95">
        <f>'BECF-pre-ret'!Q6</f>
        <v>0.23980239967599801</v>
      </c>
      <c r="R6" s="95">
        <f>'BECF-pre-ret'!R6</f>
        <v>0.23980239967599801</v>
      </c>
      <c r="S6" s="95">
        <f>'BECF-pre-ret'!S6</f>
        <v>0.23980239967599801</v>
      </c>
      <c r="T6" s="95">
        <f>'BECF-pre-ret'!T6</f>
        <v>0.23980239967599801</v>
      </c>
      <c r="U6" s="95">
        <f>'BECF-pre-ret'!U6</f>
        <v>0.23980239967599801</v>
      </c>
      <c r="V6" s="95">
        <f>'BECF-pre-ret'!V6</f>
        <v>0.23980239967599801</v>
      </c>
      <c r="W6" s="95">
        <f>'BECF-pre-ret'!W6</f>
        <v>0.23980239967599801</v>
      </c>
      <c r="X6" s="95">
        <f>'BECF-pre-ret'!X6</f>
        <v>0.23980239967599801</v>
      </c>
      <c r="Y6" s="95">
        <f>'BECF-pre-ret'!Y6</f>
        <v>0.23980239967599801</v>
      </c>
      <c r="Z6" s="95">
        <f>'BECF-pre-ret'!Z6</f>
        <v>0.23980239967599801</v>
      </c>
      <c r="AA6" s="95">
        <f>'BECF-pre-ret'!AA6</f>
        <v>0.23980239967599801</v>
      </c>
      <c r="AB6" s="95">
        <f>'BECF-pre-ret'!AB6</f>
        <v>0.23980239967599801</v>
      </c>
      <c r="AC6" s="95">
        <f>'BECF-pre-ret'!AC6</f>
        <v>0.23980239967599801</v>
      </c>
      <c r="AD6" s="95">
        <f>'BECF-pre-ret'!AD6</f>
        <v>0.23980239967599801</v>
      </c>
      <c r="AE6" s="95">
        <f>'BECF-pre-ret'!AE6</f>
        <v>0.23980239967599801</v>
      </c>
      <c r="AF6" s="95">
        <f>'BECF-pre-ret'!AF6</f>
        <v>0.23980239967599801</v>
      </c>
      <c r="AG6" s="95">
        <f>'BECF-pre-ret'!AG6</f>
        <v>0.23980239967599801</v>
      </c>
      <c r="AH6" s="95">
        <f>'BECF-pre-ret'!AH6</f>
        <v>0.23980239967599801</v>
      </c>
      <c r="AI6" s="95">
        <f>'BECF-pre-ret'!AI6</f>
        <v>0.23980239967599801</v>
      </c>
      <c r="AJ6" s="95">
        <f>'BECF-pre-ret'!AJ6</f>
        <v>0.23980239967599801</v>
      </c>
      <c r="AK6" s="95">
        <f>'BECF-pre-ret'!AK6</f>
        <v>0.23980239967599801</v>
      </c>
      <c r="AL6" s="95">
        <f>'BECF-pre-ret'!AL6</f>
        <v>0.23980239967599801</v>
      </c>
      <c r="AM6" s="95">
        <f>'BECF-pre-ret'!AM6</f>
        <v>0.23980239967599801</v>
      </c>
      <c r="AN6" s="95">
        <f>'BECF-pre-ret'!AN6</f>
        <v>0.23980239967599801</v>
      </c>
      <c r="AO6" s="95">
        <f>'BECF-pre-ret'!AO6</f>
        <v>0.23980239967599801</v>
      </c>
      <c r="AP6" s="95">
        <f>'BECF-pre-ret'!AP6</f>
        <v>0.23980239967599801</v>
      </c>
      <c r="AQ6" s="95">
        <f>'BECF-pre-ret'!AQ6</f>
        <v>0.23980239967599801</v>
      </c>
    </row>
    <row r="7" spans="1:43">
      <c r="A7" s="94" t="s">
        <v>133</v>
      </c>
      <c r="B7" s="95">
        <f>'BECF-pre-ret'!B7</f>
        <v>0.14597506618710551</v>
      </c>
      <c r="C7" s="95">
        <f>'BECF-pre-ret'!C7</f>
        <v>0.14023135063376799</v>
      </c>
      <c r="D7" s="95">
        <f>'BECF-pre-ret'!D7</f>
        <v>0.14417031104313638</v>
      </c>
      <c r="E7" s="95">
        <f>'BECF-pre-ret'!E7</f>
        <v>0.14417031104313638</v>
      </c>
      <c r="F7" s="95">
        <f>'BECF-pre-ret'!F7</f>
        <v>0.14417031104313638</v>
      </c>
      <c r="G7" s="95">
        <f>'BECF-pre-ret'!G7</f>
        <v>0.14417031104313638</v>
      </c>
      <c r="H7" s="95">
        <f>'BECF-pre-ret'!H7</f>
        <v>0.14417031104313638</v>
      </c>
      <c r="I7" s="95">
        <f>'BECF-pre-ret'!I7</f>
        <v>0.14417031104313638</v>
      </c>
      <c r="J7" s="95">
        <f>'BECF-pre-ret'!J7</f>
        <v>0.14417031104313638</v>
      </c>
      <c r="K7" s="95">
        <f>'BECF-pre-ret'!K7</f>
        <v>0.14417031104313638</v>
      </c>
      <c r="L7" s="95">
        <f>'BECF-pre-ret'!L7</f>
        <v>0.14417031104313638</v>
      </c>
      <c r="M7" s="95">
        <f>'BECF-pre-ret'!M7</f>
        <v>0.14417031104313638</v>
      </c>
      <c r="N7" s="95">
        <f>'BECF-pre-ret'!N7</f>
        <v>0.14417031104313638</v>
      </c>
      <c r="O7" s="95">
        <f>'BECF-pre-ret'!O7</f>
        <v>0.14417031104313638</v>
      </c>
      <c r="P7" s="95">
        <f>'BECF-pre-ret'!P7</f>
        <v>0.14417031104313638</v>
      </c>
      <c r="Q7" s="95">
        <f>'BECF-pre-ret'!Q7</f>
        <v>0.14417031104313638</v>
      </c>
      <c r="R7" s="95">
        <f>'BECF-pre-ret'!R7</f>
        <v>0.14417031104313638</v>
      </c>
      <c r="S7" s="95">
        <f>'BECF-pre-ret'!S7</f>
        <v>0.14417031104313638</v>
      </c>
      <c r="T7" s="95">
        <f>'BECF-pre-ret'!T7</f>
        <v>0.14417031104313638</v>
      </c>
      <c r="U7" s="95">
        <f>'BECF-pre-ret'!U7</f>
        <v>0.14417031104313638</v>
      </c>
      <c r="V7" s="95">
        <f>'BECF-pre-ret'!V7</f>
        <v>0.14417031104313638</v>
      </c>
      <c r="W7" s="95">
        <f>'BECF-pre-ret'!W7</f>
        <v>0.14417031104313638</v>
      </c>
      <c r="X7" s="95">
        <f>'BECF-pre-ret'!X7</f>
        <v>0.14417031104313638</v>
      </c>
      <c r="Y7" s="95">
        <f>'BECF-pre-ret'!Y7</f>
        <v>0.14417031104313638</v>
      </c>
      <c r="Z7" s="95">
        <f>'BECF-pre-ret'!Z7</f>
        <v>0.14417031104313638</v>
      </c>
      <c r="AA7" s="95">
        <f>'BECF-pre-ret'!AA7</f>
        <v>0.14417031104313638</v>
      </c>
      <c r="AB7" s="95">
        <f>'BECF-pre-ret'!AB7</f>
        <v>0.14417031104313638</v>
      </c>
      <c r="AC7" s="95">
        <f>'BECF-pre-ret'!AC7</f>
        <v>0.14417031104313638</v>
      </c>
      <c r="AD7" s="95">
        <f>'BECF-pre-ret'!AD7</f>
        <v>0.14417031104313638</v>
      </c>
      <c r="AE7" s="95">
        <f>'BECF-pre-ret'!AE7</f>
        <v>0.14417031104313638</v>
      </c>
      <c r="AF7" s="95">
        <f>'BECF-pre-ret'!AF7</f>
        <v>0.14417031104313638</v>
      </c>
      <c r="AG7" s="95">
        <f>'BECF-pre-ret'!AG7</f>
        <v>0.14417031104313638</v>
      </c>
      <c r="AH7" s="95">
        <f>'BECF-pre-ret'!AH7</f>
        <v>0.14417031104313638</v>
      </c>
      <c r="AI7" s="95">
        <f>'BECF-pre-ret'!AI7</f>
        <v>0.14417031104313638</v>
      </c>
      <c r="AJ7" s="95">
        <f>'BECF-pre-ret'!AJ7</f>
        <v>0.14417031104313638</v>
      </c>
      <c r="AK7" s="95">
        <f>'BECF-pre-ret'!AK7</f>
        <v>0.14417031104313638</v>
      </c>
      <c r="AL7" s="95">
        <f>'BECF-pre-ret'!AL7</f>
        <v>0.14417031104313638</v>
      </c>
      <c r="AM7" s="95">
        <f>'BECF-pre-ret'!AM7</f>
        <v>0.14417031104313638</v>
      </c>
      <c r="AN7" s="95">
        <f>'BECF-pre-ret'!AN7</f>
        <v>0.14417031104313638</v>
      </c>
      <c r="AO7" s="95">
        <f>'BECF-pre-ret'!AO7</f>
        <v>0.14417031104313638</v>
      </c>
      <c r="AP7" s="95">
        <f>'BECF-pre-ret'!AP7</f>
        <v>0.14417031104313638</v>
      </c>
      <c r="AQ7" s="95">
        <f>'BECF-pre-ret'!AQ7</f>
        <v>0.14417031104313638</v>
      </c>
    </row>
    <row r="8" spans="1:43">
      <c r="A8" s="94" t="s">
        <v>132</v>
      </c>
      <c r="B8" s="95">
        <f>'BECF-pre-ret'!B8</f>
        <v>0.44292718603095793</v>
      </c>
      <c r="C8" s="95">
        <f>'BECF-pre-ret'!C8</f>
        <v>0.44292718603095793</v>
      </c>
      <c r="D8" s="95">
        <f>'BECF-pre-ret'!D8</f>
        <v>0.44292718603095793</v>
      </c>
      <c r="E8" s="95">
        <f>'BECF-pre-ret'!E8</f>
        <v>0.44292718603095793</v>
      </c>
      <c r="F8" s="95">
        <f>'BECF-pre-ret'!F8</f>
        <v>0.44292718603095793</v>
      </c>
      <c r="G8" s="95">
        <f>'BECF-pre-ret'!G8</f>
        <v>0.44292718603095793</v>
      </c>
      <c r="H8" s="95">
        <f>'BECF-pre-ret'!H8</f>
        <v>0.44292718603095793</v>
      </c>
      <c r="I8" s="95">
        <f>'BECF-pre-ret'!I8</f>
        <v>0.44292718603095793</v>
      </c>
      <c r="J8" s="95">
        <f>'BECF-pre-ret'!J8</f>
        <v>0.44292718603095793</v>
      </c>
      <c r="K8" s="95">
        <f>'BECF-pre-ret'!K8</f>
        <v>0.44292718603095793</v>
      </c>
      <c r="L8" s="95">
        <f>'BECF-pre-ret'!L8</f>
        <v>0.44292718603095793</v>
      </c>
      <c r="M8" s="95">
        <f>'BECF-pre-ret'!M8</f>
        <v>0.44292718603095793</v>
      </c>
      <c r="N8" s="95">
        <f>'BECF-pre-ret'!N8</f>
        <v>0.44292718603095793</v>
      </c>
      <c r="O8" s="95">
        <f>'BECF-pre-ret'!O8</f>
        <v>0.44292718603095793</v>
      </c>
      <c r="P8" s="95">
        <f>'BECF-pre-ret'!P8</f>
        <v>0.44292718603095793</v>
      </c>
      <c r="Q8" s="95">
        <f>'BECF-pre-ret'!Q8</f>
        <v>0.44292718603095793</v>
      </c>
      <c r="R8" s="95">
        <f>'BECF-pre-ret'!R8</f>
        <v>0.44292718603095793</v>
      </c>
      <c r="S8" s="95">
        <f>'BECF-pre-ret'!S8</f>
        <v>0.44292718603095793</v>
      </c>
      <c r="T8" s="95">
        <f>'BECF-pre-ret'!T8</f>
        <v>0.44292718603095793</v>
      </c>
      <c r="U8" s="95">
        <f>'BECF-pre-ret'!U8</f>
        <v>0.44292718603095793</v>
      </c>
      <c r="V8" s="95">
        <f>'BECF-pre-ret'!V8</f>
        <v>0.44292718603095793</v>
      </c>
      <c r="W8" s="95">
        <f>'BECF-pre-ret'!W8</f>
        <v>0.44292718603095793</v>
      </c>
      <c r="X8" s="95">
        <f>'BECF-pre-ret'!X8</f>
        <v>0.44292718603095793</v>
      </c>
      <c r="Y8" s="95">
        <f>'BECF-pre-ret'!Y8</f>
        <v>0.44292718603095793</v>
      </c>
      <c r="Z8" s="95">
        <f>'BECF-pre-ret'!Z8</f>
        <v>0.44292718603095793</v>
      </c>
      <c r="AA8" s="95">
        <f>'BECF-pre-ret'!AA8</f>
        <v>0.44292718603095793</v>
      </c>
      <c r="AB8" s="95">
        <f>'BECF-pre-ret'!AB8</f>
        <v>0.44292718603095793</v>
      </c>
      <c r="AC8" s="95">
        <f>'BECF-pre-ret'!AC8</f>
        <v>0.44292718603095793</v>
      </c>
      <c r="AD8" s="95">
        <f>'BECF-pre-ret'!AD8</f>
        <v>0.44292718603095793</v>
      </c>
      <c r="AE8" s="95">
        <f>'BECF-pre-ret'!AE8</f>
        <v>0.44292718603095793</v>
      </c>
      <c r="AF8" s="95">
        <f>'BECF-pre-ret'!AF8</f>
        <v>0.44292718603095793</v>
      </c>
      <c r="AG8" s="95">
        <f>'BECF-pre-ret'!AG8</f>
        <v>0.44292718603095793</v>
      </c>
      <c r="AH8" s="95">
        <f>'BECF-pre-ret'!AH8</f>
        <v>0.44292718603095793</v>
      </c>
      <c r="AI8" s="95">
        <f>'BECF-pre-ret'!AI8</f>
        <v>0.44292718603095793</v>
      </c>
      <c r="AJ8" s="95">
        <f>'BECF-pre-ret'!AJ8</f>
        <v>0.44292718603095793</v>
      </c>
      <c r="AK8" s="95">
        <f>'BECF-pre-ret'!AK8</f>
        <v>0.44292718603095793</v>
      </c>
      <c r="AL8" s="95">
        <f>'BECF-pre-ret'!AL8</f>
        <v>0.44292718603095793</v>
      </c>
      <c r="AM8" s="95">
        <f>'BECF-pre-ret'!AM8</f>
        <v>0.44292718603095793</v>
      </c>
      <c r="AN8" s="95">
        <f>'BECF-pre-ret'!AN8</f>
        <v>0.44292718603095793</v>
      </c>
      <c r="AO8" s="95">
        <f>'BECF-pre-ret'!AO8</f>
        <v>0.44292718603095793</v>
      </c>
      <c r="AP8" s="95">
        <f>'BECF-pre-ret'!AP8</f>
        <v>0.44292718603095793</v>
      </c>
      <c r="AQ8" s="95">
        <f>'BECF-pre-ret'!AQ8</f>
        <v>0.44292718603095793</v>
      </c>
    </row>
    <row r="9" spans="1:43">
      <c r="A9" s="94" t="s">
        <v>131</v>
      </c>
      <c r="B9" s="95">
        <f>'BECF-pre-ret'!B9</f>
        <v>0.59372146118721458</v>
      </c>
      <c r="C9" s="95">
        <f>'BECF-pre-ret'!C9</f>
        <v>0.5931506849315068</v>
      </c>
      <c r="D9" s="95">
        <f>'BECF-pre-ret'!D9</f>
        <v>0.6067351598173516</v>
      </c>
      <c r="E9" s="95">
        <f>'BECF-pre-ret'!E9</f>
        <v>0.6067351598173516</v>
      </c>
      <c r="F9" s="95">
        <f>'BECF-pre-ret'!F9</f>
        <v>0.6067351598173516</v>
      </c>
      <c r="G9" s="95">
        <f>'BECF-pre-ret'!G9</f>
        <v>0.6067351598173516</v>
      </c>
      <c r="H9" s="95">
        <f>'BECF-pre-ret'!H9</f>
        <v>0.6067351598173516</v>
      </c>
      <c r="I9" s="95">
        <f>'BECF-pre-ret'!I9</f>
        <v>0.6067351598173516</v>
      </c>
      <c r="J9" s="95">
        <f>'BECF-pre-ret'!J9</f>
        <v>0.6067351598173516</v>
      </c>
      <c r="K9" s="95">
        <f>'BECF-pre-ret'!K9</f>
        <v>0.6067351598173516</v>
      </c>
      <c r="L9" s="95">
        <f>'BECF-pre-ret'!L9</f>
        <v>0.6067351598173516</v>
      </c>
      <c r="M9" s="95">
        <f>'BECF-pre-ret'!M9</f>
        <v>0.6067351598173516</v>
      </c>
      <c r="N9" s="95">
        <f>'BECF-pre-ret'!N9</f>
        <v>0.6067351598173516</v>
      </c>
      <c r="O9" s="95">
        <f>'BECF-pre-ret'!O9</f>
        <v>0.6067351598173516</v>
      </c>
      <c r="P9" s="95">
        <f>'BECF-pre-ret'!P9</f>
        <v>0.6067351598173516</v>
      </c>
      <c r="Q9" s="95">
        <f>'BECF-pre-ret'!Q9</f>
        <v>0.6067351598173516</v>
      </c>
      <c r="R9" s="95">
        <f>'BECF-pre-ret'!R9</f>
        <v>0.6067351598173516</v>
      </c>
      <c r="S9" s="95">
        <f>'BECF-pre-ret'!S9</f>
        <v>0.6067351598173516</v>
      </c>
      <c r="T9" s="95">
        <f>'BECF-pre-ret'!T9</f>
        <v>0.6067351598173516</v>
      </c>
      <c r="U9" s="95">
        <f>'BECF-pre-ret'!U9</f>
        <v>0.6067351598173516</v>
      </c>
      <c r="V9" s="95">
        <f>'BECF-pre-ret'!V9</f>
        <v>0.6067351598173516</v>
      </c>
      <c r="W9" s="95">
        <f>'BECF-pre-ret'!W9</f>
        <v>0.6067351598173516</v>
      </c>
      <c r="X9" s="95">
        <f>'BECF-pre-ret'!X9</f>
        <v>0.6067351598173516</v>
      </c>
      <c r="Y9" s="95">
        <f>'BECF-pre-ret'!Y9</f>
        <v>0.6067351598173516</v>
      </c>
      <c r="Z9" s="95">
        <f>'BECF-pre-ret'!Z9</f>
        <v>0.6067351598173516</v>
      </c>
      <c r="AA9" s="95">
        <f>'BECF-pre-ret'!AA9</f>
        <v>0.6067351598173516</v>
      </c>
      <c r="AB9" s="95">
        <f>'BECF-pre-ret'!AB9</f>
        <v>0.6067351598173516</v>
      </c>
      <c r="AC9" s="95">
        <f>'BECF-pre-ret'!AC9</f>
        <v>0.6067351598173516</v>
      </c>
      <c r="AD9" s="95">
        <f>'BECF-pre-ret'!AD9</f>
        <v>0.6067351598173516</v>
      </c>
      <c r="AE9" s="95">
        <f>'BECF-pre-ret'!AE9</f>
        <v>0.6067351598173516</v>
      </c>
      <c r="AF9" s="95">
        <f>'BECF-pre-ret'!AF9</f>
        <v>0.6067351598173516</v>
      </c>
      <c r="AG9" s="95">
        <f>'BECF-pre-ret'!AG9</f>
        <v>0.6067351598173516</v>
      </c>
      <c r="AH9" s="95">
        <f>'BECF-pre-ret'!AH9</f>
        <v>0.6067351598173516</v>
      </c>
      <c r="AI9" s="95">
        <f>'BECF-pre-ret'!AI9</f>
        <v>0.6067351598173516</v>
      </c>
      <c r="AJ9" s="95">
        <f>'BECF-pre-ret'!AJ9</f>
        <v>0.6067351598173516</v>
      </c>
      <c r="AK9" s="95">
        <f>'BECF-pre-ret'!AK9</f>
        <v>0.6067351598173516</v>
      </c>
      <c r="AL9" s="95">
        <f>'BECF-pre-ret'!AL9</f>
        <v>0.6067351598173516</v>
      </c>
      <c r="AM9" s="95">
        <f>'BECF-pre-ret'!AM9</f>
        <v>0.6067351598173516</v>
      </c>
      <c r="AN9" s="95">
        <f>'BECF-pre-ret'!AN9</f>
        <v>0.6067351598173516</v>
      </c>
      <c r="AO9" s="95">
        <f>'BECF-pre-ret'!AO9</f>
        <v>0.6067351598173516</v>
      </c>
      <c r="AP9" s="95">
        <f>'BECF-pre-ret'!AP9</f>
        <v>0.6067351598173516</v>
      </c>
      <c r="AQ9" s="95">
        <f>'BECF-pre-ret'!AQ9</f>
        <v>0.6067351598173516</v>
      </c>
    </row>
    <row r="10" spans="1:43">
      <c r="A10" s="94" t="s">
        <v>130</v>
      </c>
      <c r="B10" s="95">
        <f>'BECF-pre-ret'!B10</f>
        <v>0.69599999999999995</v>
      </c>
      <c r="C10" s="95">
        <f>'BECF-pre-ret'!C10</f>
        <v>0.69599999999999995</v>
      </c>
      <c r="D10" s="95">
        <f>'BECF-pre-ret'!D10</f>
        <v>0.69599999999999995</v>
      </c>
      <c r="E10" s="95">
        <f>'BECF-pre-ret'!E10</f>
        <v>0.69599999999999995</v>
      </c>
      <c r="F10" s="95">
        <f>'BECF-pre-ret'!F10</f>
        <v>0.69599999999999995</v>
      </c>
      <c r="G10" s="95">
        <f>'BECF-pre-ret'!G10</f>
        <v>0.69599999999999995</v>
      </c>
      <c r="H10" s="95">
        <f>'BECF-pre-ret'!H10</f>
        <v>0.69599999999999995</v>
      </c>
      <c r="I10" s="95">
        <f>'BECF-pre-ret'!I10</f>
        <v>0.69599999999999995</v>
      </c>
      <c r="J10" s="95">
        <f>'BECF-pre-ret'!J10</f>
        <v>0.69599999999999995</v>
      </c>
      <c r="K10" s="95">
        <f>'BECF-pre-ret'!K10</f>
        <v>0.69599999999999995</v>
      </c>
      <c r="L10" s="95">
        <f>'BECF-pre-ret'!L10</f>
        <v>0.69599999999999995</v>
      </c>
      <c r="M10" s="95">
        <f>'BECF-pre-ret'!M10</f>
        <v>0.69599999999999995</v>
      </c>
      <c r="N10" s="95">
        <f>'BECF-pre-ret'!N10</f>
        <v>0.69599999999999995</v>
      </c>
      <c r="O10" s="95">
        <f>'BECF-pre-ret'!O10</f>
        <v>0.69599999999999995</v>
      </c>
      <c r="P10" s="95">
        <f>'BECF-pre-ret'!P10</f>
        <v>0.69599999999999995</v>
      </c>
      <c r="Q10" s="95">
        <f>'BECF-pre-ret'!Q10</f>
        <v>0.69599999999999995</v>
      </c>
      <c r="R10" s="95">
        <f>'BECF-pre-ret'!R10</f>
        <v>0.69599999999999995</v>
      </c>
      <c r="S10" s="95">
        <f>'BECF-pre-ret'!S10</f>
        <v>0.69599999999999995</v>
      </c>
      <c r="T10" s="95">
        <f>'BECF-pre-ret'!T10</f>
        <v>0.69599999999999995</v>
      </c>
      <c r="U10" s="95">
        <f>'BECF-pre-ret'!U10</f>
        <v>0.69599999999999995</v>
      </c>
      <c r="V10" s="95">
        <f>'BECF-pre-ret'!V10</f>
        <v>0.69599999999999995</v>
      </c>
      <c r="W10" s="95">
        <f>'BECF-pre-ret'!W10</f>
        <v>0.69599999999999995</v>
      </c>
      <c r="X10" s="95">
        <f>'BECF-pre-ret'!X10</f>
        <v>0.69599999999999995</v>
      </c>
      <c r="Y10" s="95">
        <f>'BECF-pre-ret'!Y10</f>
        <v>0.69599999999999995</v>
      </c>
      <c r="Z10" s="95">
        <f>'BECF-pre-ret'!Z10</f>
        <v>0.69599999999999995</v>
      </c>
      <c r="AA10" s="95">
        <f>'BECF-pre-ret'!AA10</f>
        <v>0.69599999999999995</v>
      </c>
      <c r="AB10" s="95">
        <f>'BECF-pre-ret'!AB10</f>
        <v>0.69599999999999995</v>
      </c>
      <c r="AC10" s="95">
        <f>'BECF-pre-ret'!AC10</f>
        <v>0.69599999999999995</v>
      </c>
      <c r="AD10" s="95">
        <f>'BECF-pre-ret'!AD10</f>
        <v>0.69599999999999995</v>
      </c>
      <c r="AE10" s="95">
        <f>'BECF-pre-ret'!AE10</f>
        <v>0.69599999999999995</v>
      </c>
      <c r="AF10" s="95">
        <f>'BECF-pre-ret'!AF10</f>
        <v>0.69599999999999995</v>
      </c>
      <c r="AG10" s="95">
        <f>'BECF-pre-ret'!AG10</f>
        <v>0.69599999999999995</v>
      </c>
      <c r="AH10" s="95">
        <f>'BECF-pre-ret'!AH10</f>
        <v>0.69599999999999995</v>
      </c>
      <c r="AI10" s="95">
        <f>'BECF-pre-ret'!AI10</f>
        <v>0.69599999999999995</v>
      </c>
      <c r="AJ10" s="95">
        <f>'BECF-pre-ret'!AJ10</f>
        <v>0.69599999999999995</v>
      </c>
      <c r="AK10" s="95">
        <f>'BECF-pre-ret'!AK10</f>
        <v>0.69599999999999995</v>
      </c>
      <c r="AL10" s="95">
        <f>'BECF-pre-ret'!AL10</f>
        <v>0.69599999999999995</v>
      </c>
      <c r="AM10" s="95">
        <f>'BECF-pre-ret'!AM10</f>
        <v>0.69599999999999995</v>
      </c>
      <c r="AN10" s="95">
        <f>'BECF-pre-ret'!AN10</f>
        <v>0.69599999999999995</v>
      </c>
      <c r="AO10" s="95">
        <f>'BECF-pre-ret'!AO10</f>
        <v>0.69599999999999995</v>
      </c>
      <c r="AP10" s="95">
        <f>'BECF-pre-ret'!AP10</f>
        <v>0.69599999999999995</v>
      </c>
      <c r="AQ10" s="95">
        <f>'BECF-pre-ret'!AQ10</f>
        <v>0.69599999999999995</v>
      </c>
    </row>
    <row r="11" spans="1:43">
      <c r="A11" s="94" t="s">
        <v>129</v>
      </c>
      <c r="B11" s="95">
        <f>'BECF-pre-ret'!B11</f>
        <v>8.6757990867579904E-2</v>
      </c>
      <c r="C11" s="95">
        <f>'BECF-pre-ret'!C11</f>
        <v>9.851598173515981E-2</v>
      </c>
      <c r="D11" s="95">
        <f>'BECF-pre-ret'!D11</f>
        <v>9.851598173515981E-2</v>
      </c>
      <c r="E11" s="95">
        <f>'BECF-pre-ret'!E11</f>
        <v>9.851598173515981E-2</v>
      </c>
      <c r="F11" s="95">
        <f>'BECF-pre-ret'!F11</f>
        <v>9.851598173515981E-2</v>
      </c>
      <c r="G11" s="95">
        <f>'BECF-pre-ret'!G11</f>
        <v>9.851598173515981E-2</v>
      </c>
      <c r="H11" s="95">
        <f>'BECF-pre-ret'!H11</f>
        <v>9.851598173515981E-2</v>
      </c>
      <c r="I11" s="95">
        <f>'BECF-pre-ret'!I11</f>
        <v>9.851598173515981E-2</v>
      </c>
      <c r="J11" s="95">
        <f>'BECF-pre-ret'!J11</f>
        <v>9.851598173515981E-2</v>
      </c>
      <c r="K11" s="95">
        <f>'BECF-pre-ret'!K11</f>
        <v>9.851598173515981E-2</v>
      </c>
      <c r="L11" s="95">
        <f>'BECF-pre-ret'!L11</f>
        <v>9.851598173515981E-2</v>
      </c>
      <c r="M11" s="95">
        <f>'BECF-pre-ret'!M11</f>
        <v>9.851598173515981E-2</v>
      </c>
      <c r="N11" s="95">
        <f>'BECF-pre-ret'!N11</f>
        <v>9.851598173515981E-2</v>
      </c>
      <c r="O11" s="95">
        <f>'BECF-pre-ret'!O11</f>
        <v>9.851598173515981E-2</v>
      </c>
      <c r="P11" s="95">
        <f>'BECF-pre-ret'!P11</f>
        <v>9.851598173515981E-2</v>
      </c>
      <c r="Q11" s="95">
        <f>'BECF-pre-ret'!Q11</f>
        <v>9.851598173515981E-2</v>
      </c>
      <c r="R11" s="95">
        <f>'BECF-pre-ret'!R11</f>
        <v>9.851598173515981E-2</v>
      </c>
      <c r="S11" s="95">
        <f>'BECF-pre-ret'!S11</f>
        <v>9.851598173515981E-2</v>
      </c>
      <c r="T11" s="95">
        <f>'BECF-pre-ret'!T11</f>
        <v>9.851598173515981E-2</v>
      </c>
      <c r="U11" s="95">
        <f>'BECF-pre-ret'!U11</f>
        <v>9.851598173515981E-2</v>
      </c>
      <c r="V11" s="95">
        <f>'BECF-pre-ret'!V11</f>
        <v>9.851598173515981E-2</v>
      </c>
      <c r="W11" s="95">
        <f>'BECF-pre-ret'!W11</f>
        <v>9.851598173515981E-2</v>
      </c>
      <c r="X11" s="95">
        <f>'BECF-pre-ret'!X11</f>
        <v>9.851598173515981E-2</v>
      </c>
      <c r="Y11" s="95">
        <f>'BECF-pre-ret'!Y11</f>
        <v>9.851598173515981E-2</v>
      </c>
      <c r="Z11" s="95">
        <f>'BECF-pre-ret'!Z11</f>
        <v>9.851598173515981E-2</v>
      </c>
      <c r="AA11" s="95">
        <f>'BECF-pre-ret'!AA11</f>
        <v>9.851598173515981E-2</v>
      </c>
      <c r="AB11" s="95">
        <f>'BECF-pre-ret'!AB11</f>
        <v>9.851598173515981E-2</v>
      </c>
      <c r="AC11" s="95">
        <f>'BECF-pre-ret'!AC11</f>
        <v>9.851598173515981E-2</v>
      </c>
      <c r="AD11" s="95">
        <f>'BECF-pre-ret'!AD11</f>
        <v>9.851598173515981E-2</v>
      </c>
      <c r="AE11" s="95">
        <f>'BECF-pre-ret'!AE11</f>
        <v>9.851598173515981E-2</v>
      </c>
      <c r="AF11" s="95">
        <f>'BECF-pre-ret'!AF11</f>
        <v>9.851598173515981E-2</v>
      </c>
      <c r="AG11" s="95">
        <f>'BECF-pre-ret'!AG11</f>
        <v>9.851598173515981E-2</v>
      </c>
      <c r="AH11" s="95">
        <f>'BECF-pre-ret'!AH11</f>
        <v>9.851598173515981E-2</v>
      </c>
      <c r="AI11" s="95">
        <f>'BECF-pre-ret'!AI11</f>
        <v>9.851598173515981E-2</v>
      </c>
      <c r="AJ11" s="95">
        <f>'BECF-pre-ret'!AJ11</f>
        <v>9.851598173515981E-2</v>
      </c>
      <c r="AK11" s="95">
        <f>'BECF-pre-ret'!AK11</f>
        <v>9.851598173515981E-2</v>
      </c>
      <c r="AL11" s="95">
        <f>'BECF-pre-ret'!AL11</f>
        <v>9.851598173515981E-2</v>
      </c>
      <c r="AM11" s="95">
        <f>'BECF-pre-ret'!AM11</f>
        <v>9.851598173515981E-2</v>
      </c>
      <c r="AN11" s="95">
        <f>'BECF-pre-ret'!AN11</f>
        <v>9.851598173515981E-2</v>
      </c>
      <c r="AO11" s="95">
        <f>'BECF-pre-ret'!AO11</f>
        <v>9.851598173515981E-2</v>
      </c>
      <c r="AP11" s="95">
        <f>'BECF-pre-ret'!AP11</f>
        <v>9.851598173515981E-2</v>
      </c>
      <c r="AQ11" s="95">
        <f>'BECF-pre-ret'!AQ11</f>
        <v>9.851598173515981E-2</v>
      </c>
    </row>
    <row r="12" spans="1:43">
      <c r="A12" s="94" t="s">
        <v>128</v>
      </c>
      <c r="B12" s="95">
        <f>'BECF-pre-ret'!B12</f>
        <v>0.30205479452054795</v>
      </c>
      <c r="C12" s="95">
        <f>'BECF-pre-ret'!C12</f>
        <v>0.29794520547945208</v>
      </c>
      <c r="D12" s="95">
        <f>'BECF-pre-ret'!D12</f>
        <v>0.31586757990867581</v>
      </c>
      <c r="E12" s="95">
        <f>'BECF-pre-ret'!E12</f>
        <v>0.31586757990867581</v>
      </c>
      <c r="F12" s="95">
        <f>'BECF-pre-ret'!F12</f>
        <v>0.31586757990867581</v>
      </c>
      <c r="G12" s="95">
        <f>'BECF-pre-ret'!G12</f>
        <v>0.31586757990867581</v>
      </c>
      <c r="H12" s="95">
        <f>'BECF-pre-ret'!H12</f>
        <v>0.31586757990867581</v>
      </c>
      <c r="I12" s="95">
        <f>'BECF-pre-ret'!I12</f>
        <v>0.31586757990867581</v>
      </c>
      <c r="J12" s="95">
        <f>'BECF-pre-ret'!J12</f>
        <v>0.31586757990867581</v>
      </c>
      <c r="K12" s="95">
        <f>'BECF-pre-ret'!K12</f>
        <v>0.31586757990867581</v>
      </c>
      <c r="L12" s="95">
        <f>'BECF-pre-ret'!L12</f>
        <v>0.31586757990867581</v>
      </c>
      <c r="M12" s="95">
        <f>'BECF-pre-ret'!M12</f>
        <v>0.31586757990867581</v>
      </c>
      <c r="N12" s="95">
        <f>'BECF-pre-ret'!N12</f>
        <v>0.31586757990867581</v>
      </c>
      <c r="O12" s="95">
        <f>'BECF-pre-ret'!O12</f>
        <v>0.31586757990867581</v>
      </c>
      <c r="P12" s="95">
        <f>'BECF-pre-ret'!P12</f>
        <v>0.31586757990867581</v>
      </c>
      <c r="Q12" s="95">
        <f>'BECF-pre-ret'!Q12</f>
        <v>0.31586757990867581</v>
      </c>
      <c r="R12" s="95">
        <f>'BECF-pre-ret'!R12</f>
        <v>0.31586757990867581</v>
      </c>
      <c r="S12" s="95">
        <f>'BECF-pre-ret'!S12</f>
        <v>0.31586757990867581</v>
      </c>
      <c r="T12" s="95">
        <f>'BECF-pre-ret'!T12</f>
        <v>0.31586757990867581</v>
      </c>
      <c r="U12" s="95">
        <f>'BECF-pre-ret'!U12</f>
        <v>0.31586757990867581</v>
      </c>
      <c r="V12" s="95">
        <f>'BECF-pre-ret'!V12</f>
        <v>0.31586757990867581</v>
      </c>
      <c r="W12" s="95">
        <f>'BECF-pre-ret'!W12</f>
        <v>0.31586757990867581</v>
      </c>
      <c r="X12" s="95">
        <f>'BECF-pre-ret'!X12</f>
        <v>0.31586757990867581</v>
      </c>
      <c r="Y12" s="95">
        <f>'BECF-pre-ret'!Y12</f>
        <v>0.31586757990867581</v>
      </c>
      <c r="Z12" s="95">
        <f>'BECF-pre-ret'!Z12</f>
        <v>0.31586757990867581</v>
      </c>
      <c r="AA12" s="95">
        <f>'BECF-pre-ret'!AA12</f>
        <v>0.31586757990867581</v>
      </c>
      <c r="AB12" s="95">
        <f>'BECF-pre-ret'!AB12</f>
        <v>0.31586757990867581</v>
      </c>
      <c r="AC12" s="95">
        <f>'BECF-pre-ret'!AC12</f>
        <v>0.31586757990867581</v>
      </c>
      <c r="AD12" s="95">
        <f>'BECF-pre-ret'!AD12</f>
        <v>0.31586757990867581</v>
      </c>
      <c r="AE12" s="95">
        <f>'BECF-pre-ret'!AE12</f>
        <v>0.31586757990867581</v>
      </c>
      <c r="AF12" s="95">
        <f>'BECF-pre-ret'!AF12</f>
        <v>0.31586757990867581</v>
      </c>
      <c r="AG12" s="95">
        <f>'BECF-pre-ret'!AG12</f>
        <v>0.31586757990867581</v>
      </c>
      <c r="AH12" s="95">
        <f>'BECF-pre-ret'!AH12</f>
        <v>0.31586757990867581</v>
      </c>
      <c r="AI12" s="95">
        <f>'BECF-pre-ret'!AI12</f>
        <v>0.31586757990867581</v>
      </c>
      <c r="AJ12" s="95">
        <f>'BECF-pre-ret'!AJ12</f>
        <v>0.31586757990867581</v>
      </c>
      <c r="AK12" s="95">
        <f>'BECF-pre-ret'!AK12</f>
        <v>0.31586757990867581</v>
      </c>
      <c r="AL12" s="95">
        <f>'BECF-pre-ret'!AL12</f>
        <v>0.31586757990867581</v>
      </c>
      <c r="AM12" s="95">
        <f>'BECF-pre-ret'!AM12</f>
        <v>0.31586757990867581</v>
      </c>
      <c r="AN12" s="95">
        <f>'BECF-pre-ret'!AN12</f>
        <v>0.31586757990867581</v>
      </c>
      <c r="AO12" s="95">
        <f>'BECF-pre-ret'!AO12</f>
        <v>0.31586757990867581</v>
      </c>
      <c r="AP12" s="95">
        <f>'BECF-pre-ret'!AP12</f>
        <v>0.31586757990867581</v>
      </c>
      <c r="AQ12" s="95">
        <f>'BECF-pre-ret'!AQ12</f>
        <v>0.31586757990867581</v>
      </c>
    </row>
    <row r="13" spans="1:43">
      <c r="A13" s="94" t="s">
        <v>127</v>
      </c>
      <c r="B13" s="95">
        <f>'BECF-pre-ret'!B13</f>
        <v>0.50559360730593605</v>
      </c>
      <c r="C13" s="95">
        <f>'BECF-pre-ret'!C13</f>
        <v>0.49349315068493149</v>
      </c>
      <c r="D13" s="95">
        <f>'BECF-pre-ret'!D13</f>
        <v>0.51312785388127857</v>
      </c>
      <c r="E13" s="95">
        <f>'BECF-pre-ret'!E13</f>
        <v>0.51312785388127857</v>
      </c>
      <c r="F13" s="95">
        <f>'BECF-pre-ret'!F13</f>
        <v>0.51312785388127857</v>
      </c>
      <c r="G13" s="95">
        <f>'BECF-pre-ret'!G13</f>
        <v>0.51312785388127857</v>
      </c>
      <c r="H13" s="95">
        <f>'BECF-pre-ret'!H13</f>
        <v>0.51312785388127857</v>
      </c>
      <c r="I13" s="95">
        <f>'BECF-pre-ret'!I13</f>
        <v>0.51312785388127857</v>
      </c>
      <c r="J13" s="95">
        <f>'BECF-pre-ret'!J13</f>
        <v>0.51312785388127857</v>
      </c>
      <c r="K13" s="95">
        <f>'BECF-pre-ret'!K13</f>
        <v>0.51312785388127857</v>
      </c>
      <c r="L13" s="95">
        <f>'BECF-pre-ret'!L13</f>
        <v>0.51312785388127857</v>
      </c>
      <c r="M13" s="95">
        <f>'BECF-pre-ret'!M13</f>
        <v>0.51312785388127857</v>
      </c>
      <c r="N13" s="95">
        <f>'BECF-pre-ret'!N13</f>
        <v>0.51312785388127857</v>
      </c>
      <c r="O13" s="95">
        <f>'BECF-pre-ret'!O13</f>
        <v>0.51312785388127857</v>
      </c>
      <c r="P13" s="95">
        <f>'BECF-pre-ret'!P13</f>
        <v>0.51312785388127857</v>
      </c>
      <c r="Q13" s="95">
        <f>'BECF-pre-ret'!Q13</f>
        <v>0.51312785388127857</v>
      </c>
      <c r="R13" s="95">
        <f>'BECF-pre-ret'!R13</f>
        <v>0.51312785388127857</v>
      </c>
      <c r="S13" s="95">
        <f>'BECF-pre-ret'!S13</f>
        <v>0.51312785388127857</v>
      </c>
      <c r="T13" s="95">
        <f>'BECF-pre-ret'!T13</f>
        <v>0.51312785388127857</v>
      </c>
      <c r="U13" s="95">
        <f>'BECF-pre-ret'!U13</f>
        <v>0.51312785388127857</v>
      </c>
      <c r="V13" s="95">
        <f>'BECF-pre-ret'!V13</f>
        <v>0.51312785388127857</v>
      </c>
      <c r="W13" s="95">
        <f>'BECF-pre-ret'!W13</f>
        <v>0.51312785388127857</v>
      </c>
      <c r="X13" s="95">
        <f>'BECF-pre-ret'!X13</f>
        <v>0.51312785388127857</v>
      </c>
      <c r="Y13" s="95">
        <f>'BECF-pre-ret'!Y13</f>
        <v>0.51312785388127857</v>
      </c>
      <c r="Z13" s="95">
        <f>'BECF-pre-ret'!Z13</f>
        <v>0.51312785388127857</v>
      </c>
      <c r="AA13" s="95">
        <f>'BECF-pre-ret'!AA13</f>
        <v>0.51312785388127857</v>
      </c>
      <c r="AB13" s="95">
        <f>'BECF-pre-ret'!AB13</f>
        <v>0.51312785388127857</v>
      </c>
      <c r="AC13" s="95">
        <f>'BECF-pre-ret'!AC13</f>
        <v>0.51312785388127857</v>
      </c>
      <c r="AD13" s="95">
        <f>'BECF-pre-ret'!AD13</f>
        <v>0.51312785388127857</v>
      </c>
      <c r="AE13" s="95">
        <f>'BECF-pre-ret'!AE13</f>
        <v>0.51312785388127857</v>
      </c>
      <c r="AF13" s="95">
        <f>'BECF-pre-ret'!AF13</f>
        <v>0.51312785388127857</v>
      </c>
      <c r="AG13" s="95">
        <f>'BECF-pre-ret'!AG13</f>
        <v>0.51312785388127857</v>
      </c>
      <c r="AH13" s="95">
        <f>'BECF-pre-ret'!AH13</f>
        <v>0.51312785388127857</v>
      </c>
      <c r="AI13" s="95">
        <f>'BECF-pre-ret'!AI13</f>
        <v>0.51312785388127857</v>
      </c>
      <c r="AJ13" s="95">
        <f>'BECF-pre-ret'!AJ13</f>
        <v>0.51312785388127857</v>
      </c>
      <c r="AK13" s="95">
        <f>'BECF-pre-ret'!AK13</f>
        <v>0.51312785388127857</v>
      </c>
      <c r="AL13" s="95">
        <f>'BECF-pre-ret'!AL13</f>
        <v>0.51312785388127857</v>
      </c>
      <c r="AM13" s="95">
        <f>'BECF-pre-ret'!AM13</f>
        <v>0.51312785388127857</v>
      </c>
      <c r="AN13" s="95">
        <f>'BECF-pre-ret'!AN13</f>
        <v>0.51312785388127857</v>
      </c>
      <c r="AO13" s="95">
        <f>'BECF-pre-ret'!AO13</f>
        <v>0.51312785388127857</v>
      </c>
      <c r="AP13" s="95">
        <f>'BECF-pre-ret'!AP13</f>
        <v>0.51312785388127857</v>
      </c>
      <c r="AQ13" s="95">
        <f>'BECF-pre-ret'!AQ13</f>
        <v>0.51312785388127857</v>
      </c>
    </row>
    <row r="14" spans="1:43">
      <c r="A14" s="94" t="s">
        <v>126</v>
      </c>
      <c r="B14" s="95">
        <f>'BECF-pre-ret'!B14</f>
        <v>0.42336852177219364</v>
      </c>
      <c r="C14" s="95">
        <f>'BECF-pre-ret'!C14</f>
        <v>0.39061191680342972</v>
      </c>
      <c r="D14" s="95">
        <f>'BECF-pre-ret'!D14</f>
        <v>0.43164431941679643</v>
      </c>
      <c r="E14" s="95">
        <f>'BECF-pre-ret'!E14</f>
        <v>0.43164431941679643</v>
      </c>
      <c r="F14" s="95">
        <f>'BECF-pre-ret'!F14</f>
        <v>0.43164431941679643</v>
      </c>
      <c r="G14" s="95">
        <f>'BECF-pre-ret'!G14</f>
        <v>0.43164431941679643</v>
      </c>
      <c r="H14" s="95">
        <f>'BECF-pre-ret'!H14</f>
        <v>0.43164431941679643</v>
      </c>
      <c r="I14" s="95">
        <f>'BECF-pre-ret'!I14</f>
        <v>0.43164431941679643</v>
      </c>
      <c r="J14" s="95">
        <f>'BECF-pre-ret'!J14</f>
        <v>0.43164431941679643</v>
      </c>
      <c r="K14" s="95">
        <f>'BECF-pre-ret'!K14</f>
        <v>0.43164431941679643</v>
      </c>
      <c r="L14" s="95">
        <f>'BECF-pre-ret'!L14</f>
        <v>0.43164431941679643</v>
      </c>
      <c r="M14" s="95">
        <f>'BECF-pre-ret'!M14</f>
        <v>0.43164431941679643</v>
      </c>
      <c r="N14" s="95">
        <f>'BECF-pre-ret'!N14</f>
        <v>0.43164431941679643</v>
      </c>
      <c r="O14" s="95">
        <f>'BECF-pre-ret'!O14</f>
        <v>0.43164431941679643</v>
      </c>
      <c r="P14" s="95">
        <f>'BECF-pre-ret'!P14</f>
        <v>0.43164431941679643</v>
      </c>
      <c r="Q14" s="95">
        <f>'BECF-pre-ret'!Q14</f>
        <v>0.43164431941679643</v>
      </c>
      <c r="R14" s="95">
        <f>'BECF-pre-ret'!R14</f>
        <v>0.43164431941679643</v>
      </c>
      <c r="S14" s="95">
        <f>'BECF-pre-ret'!S14</f>
        <v>0.43164431941679643</v>
      </c>
      <c r="T14" s="95">
        <f>'BECF-pre-ret'!T14</f>
        <v>0.43164431941679643</v>
      </c>
      <c r="U14" s="95">
        <f>'BECF-pre-ret'!U14</f>
        <v>0.43164431941679643</v>
      </c>
      <c r="V14" s="95">
        <f>'BECF-pre-ret'!V14</f>
        <v>0.43164431941679643</v>
      </c>
      <c r="W14" s="95">
        <f>'BECF-pre-ret'!W14</f>
        <v>0.43164431941679643</v>
      </c>
      <c r="X14" s="95">
        <f>'BECF-pre-ret'!X14</f>
        <v>0.43164431941679643</v>
      </c>
      <c r="Y14" s="95">
        <f>'BECF-pre-ret'!Y14</f>
        <v>0.43164431941679643</v>
      </c>
      <c r="Z14" s="95">
        <f>'BECF-pre-ret'!Z14</f>
        <v>0.43164431941679643</v>
      </c>
      <c r="AA14" s="95">
        <f>'BECF-pre-ret'!AA14</f>
        <v>0.43164431941679643</v>
      </c>
      <c r="AB14" s="95">
        <f>'BECF-pre-ret'!AB14</f>
        <v>0.43164431941679643</v>
      </c>
      <c r="AC14" s="95">
        <f>'BECF-pre-ret'!AC14</f>
        <v>0.43164431941679643</v>
      </c>
      <c r="AD14" s="95">
        <f>'BECF-pre-ret'!AD14</f>
        <v>0.43164431941679643</v>
      </c>
      <c r="AE14" s="95">
        <f>'BECF-pre-ret'!AE14</f>
        <v>0.43164431941679643</v>
      </c>
      <c r="AF14" s="95">
        <f>'BECF-pre-ret'!AF14</f>
        <v>0.43164431941679643</v>
      </c>
      <c r="AG14" s="95">
        <f>'BECF-pre-ret'!AG14</f>
        <v>0.43164431941679643</v>
      </c>
      <c r="AH14" s="95">
        <f>'BECF-pre-ret'!AH14</f>
        <v>0.43164431941679643</v>
      </c>
      <c r="AI14" s="95">
        <f>'BECF-pre-ret'!AI14</f>
        <v>0.43164431941679643</v>
      </c>
      <c r="AJ14" s="95">
        <f>'BECF-pre-ret'!AJ14</f>
        <v>0.43164431941679643</v>
      </c>
      <c r="AK14" s="95">
        <f>'BECF-pre-ret'!AK14</f>
        <v>0.43164431941679643</v>
      </c>
      <c r="AL14" s="95">
        <f>'BECF-pre-ret'!AL14</f>
        <v>0.43164431941679643</v>
      </c>
      <c r="AM14" s="95">
        <f>'BECF-pre-ret'!AM14</f>
        <v>0.43164431941679643</v>
      </c>
      <c r="AN14" s="95">
        <f>'BECF-pre-ret'!AN14</f>
        <v>0.43164431941679643</v>
      </c>
      <c r="AO14" s="95">
        <f>'BECF-pre-ret'!AO14</f>
        <v>0.43164431941679643</v>
      </c>
      <c r="AP14" s="95">
        <f>'BECF-pre-ret'!AP14</f>
        <v>0.43164431941679643</v>
      </c>
      <c r="AQ14" s="95">
        <f>'BECF-pre-ret'!AQ14</f>
        <v>0.43164431941679643</v>
      </c>
    </row>
    <row r="15" spans="1:43">
      <c r="A15" s="94" t="s">
        <v>125</v>
      </c>
      <c r="B15" s="95">
        <f>'BECF-pre-ret'!B15</f>
        <v>8.6757990867579904E-2</v>
      </c>
      <c r="C15" s="95">
        <f>'BECF-pre-ret'!C15</f>
        <v>9.851598173515981E-2</v>
      </c>
      <c r="D15" s="95">
        <f>'BECF-pre-ret'!D15</f>
        <v>9.851598173515981E-2</v>
      </c>
      <c r="E15" s="95">
        <f>'BECF-pre-ret'!E15</f>
        <v>9.851598173515981E-2</v>
      </c>
      <c r="F15" s="95">
        <f>'BECF-pre-ret'!F15</f>
        <v>9.851598173515981E-2</v>
      </c>
      <c r="G15" s="95">
        <f>'BECF-pre-ret'!G15</f>
        <v>9.851598173515981E-2</v>
      </c>
      <c r="H15" s="95">
        <f>'BECF-pre-ret'!H15</f>
        <v>9.851598173515981E-2</v>
      </c>
      <c r="I15" s="95">
        <f>'BECF-pre-ret'!I15</f>
        <v>9.851598173515981E-2</v>
      </c>
      <c r="J15" s="95">
        <f>'BECF-pre-ret'!J15</f>
        <v>9.851598173515981E-2</v>
      </c>
      <c r="K15" s="95">
        <f>'BECF-pre-ret'!K15</f>
        <v>9.851598173515981E-2</v>
      </c>
      <c r="L15" s="95">
        <f>'BECF-pre-ret'!L15</f>
        <v>9.851598173515981E-2</v>
      </c>
      <c r="M15" s="95">
        <f>'BECF-pre-ret'!M15</f>
        <v>9.851598173515981E-2</v>
      </c>
      <c r="N15" s="95">
        <f>'BECF-pre-ret'!N15</f>
        <v>9.851598173515981E-2</v>
      </c>
      <c r="O15" s="95">
        <f>'BECF-pre-ret'!O15</f>
        <v>9.851598173515981E-2</v>
      </c>
      <c r="P15" s="95">
        <f>'BECF-pre-ret'!P15</f>
        <v>9.851598173515981E-2</v>
      </c>
      <c r="Q15" s="95">
        <f>'BECF-pre-ret'!Q15</f>
        <v>9.851598173515981E-2</v>
      </c>
      <c r="R15" s="95">
        <f>'BECF-pre-ret'!R15</f>
        <v>9.851598173515981E-2</v>
      </c>
      <c r="S15" s="95">
        <f>'BECF-pre-ret'!S15</f>
        <v>9.851598173515981E-2</v>
      </c>
      <c r="T15" s="95">
        <f>'BECF-pre-ret'!T15</f>
        <v>9.851598173515981E-2</v>
      </c>
      <c r="U15" s="95">
        <f>'BECF-pre-ret'!U15</f>
        <v>9.851598173515981E-2</v>
      </c>
      <c r="V15" s="95">
        <f>'BECF-pre-ret'!V15</f>
        <v>9.851598173515981E-2</v>
      </c>
      <c r="W15" s="95">
        <f>'BECF-pre-ret'!W15</f>
        <v>9.851598173515981E-2</v>
      </c>
      <c r="X15" s="95">
        <f>'BECF-pre-ret'!X15</f>
        <v>9.851598173515981E-2</v>
      </c>
      <c r="Y15" s="95">
        <f>'BECF-pre-ret'!Y15</f>
        <v>9.851598173515981E-2</v>
      </c>
      <c r="Z15" s="95">
        <f>'BECF-pre-ret'!Z15</f>
        <v>9.851598173515981E-2</v>
      </c>
      <c r="AA15" s="95">
        <f>'BECF-pre-ret'!AA15</f>
        <v>9.851598173515981E-2</v>
      </c>
      <c r="AB15" s="95">
        <f>'BECF-pre-ret'!AB15</f>
        <v>9.851598173515981E-2</v>
      </c>
      <c r="AC15" s="95">
        <f>'BECF-pre-ret'!AC15</f>
        <v>9.851598173515981E-2</v>
      </c>
      <c r="AD15" s="95">
        <f>'BECF-pre-ret'!AD15</f>
        <v>9.851598173515981E-2</v>
      </c>
      <c r="AE15" s="95">
        <f>'BECF-pre-ret'!AE15</f>
        <v>9.851598173515981E-2</v>
      </c>
      <c r="AF15" s="95">
        <f>'BECF-pre-ret'!AF15</f>
        <v>9.851598173515981E-2</v>
      </c>
      <c r="AG15" s="95">
        <f>'BECF-pre-ret'!AG15</f>
        <v>9.851598173515981E-2</v>
      </c>
      <c r="AH15" s="95">
        <f>'BECF-pre-ret'!AH15</f>
        <v>9.851598173515981E-2</v>
      </c>
      <c r="AI15" s="95">
        <f>'BECF-pre-ret'!AI15</f>
        <v>9.851598173515981E-2</v>
      </c>
      <c r="AJ15" s="95">
        <f>'BECF-pre-ret'!AJ15</f>
        <v>9.851598173515981E-2</v>
      </c>
      <c r="AK15" s="95">
        <f>'BECF-pre-ret'!AK15</f>
        <v>9.851598173515981E-2</v>
      </c>
      <c r="AL15" s="95">
        <f>'BECF-pre-ret'!AL15</f>
        <v>9.851598173515981E-2</v>
      </c>
      <c r="AM15" s="95">
        <f>'BECF-pre-ret'!AM15</f>
        <v>9.851598173515981E-2</v>
      </c>
      <c r="AN15" s="95">
        <f>'BECF-pre-ret'!AN15</f>
        <v>9.851598173515981E-2</v>
      </c>
      <c r="AO15" s="95">
        <f>'BECF-pre-ret'!AO15</f>
        <v>9.851598173515981E-2</v>
      </c>
      <c r="AP15" s="95">
        <f>'BECF-pre-ret'!AP15</f>
        <v>9.851598173515981E-2</v>
      </c>
      <c r="AQ15" s="95">
        <f>'BECF-pre-ret'!AQ15</f>
        <v>9.851598173515981E-2</v>
      </c>
    </row>
    <row r="16" spans="1:43">
      <c r="A16" s="94" t="s">
        <v>124</v>
      </c>
      <c r="B16" s="95">
        <f>'BECF-pre-ret'!B16</f>
        <v>8.6757990867579904E-2</v>
      </c>
      <c r="C16" s="95">
        <f>'BECF-pre-ret'!C16</f>
        <v>9.851598173515981E-2</v>
      </c>
      <c r="D16" s="95">
        <f>'BECF-pre-ret'!D16</f>
        <v>9.851598173515981E-2</v>
      </c>
      <c r="E16" s="95">
        <f>'BECF-pre-ret'!E16</f>
        <v>9.851598173515981E-2</v>
      </c>
      <c r="F16" s="95">
        <f>'BECF-pre-ret'!F16</f>
        <v>9.851598173515981E-2</v>
      </c>
      <c r="G16" s="95">
        <f>'BECF-pre-ret'!G16</f>
        <v>9.851598173515981E-2</v>
      </c>
      <c r="H16" s="95">
        <f>'BECF-pre-ret'!H16</f>
        <v>9.851598173515981E-2</v>
      </c>
      <c r="I16" s="95">
        <f>'BECF-pre-ret'!I16</f>
        <v>9.851598173515981E-2</v>
      </c>
      <c r="J16" s="95">
        <f>'BECF-pre-ret'!J16</f>
        <v>9.851598173515981E-2</v>
      </c>
      <c r="K16" s="95">
        <f>'BECF-pre-ret'!K16</f>
        <v>9.851598173515981E-2</v>
      </c>
      <c r="L16" s="95">
        <f>'BECF-pre-ret'!L16</f>
        <v>9.851598173515981E-2</v>
      </c>
      <c r="M16" s="95">
        <f>'BECF-pre-ret'!M16</f>
        <v>9.851598173515981E-2</v>
      </c>
      <c r="N16" s="95">
        <f>'BECF-pre-ret'!N16</f>
        <v>9.851598173515981E-2</v>
      </c>
      <c r="O16" s="95">
        <f>'BECF-pre-ret'!O16</f>
        <v>9.851598173515981E-2</v>
      </c>
      <c r="P16" s="95">
        <f>'BECF-pre-ret'!P16</f>
        <v>9.851598173515981E-2</v>
      </c>
      <c r="Q16" s="95">
        <f>'BECF-pre-ret'!Q16</f>
        <v>9.851598173515981E-2</v>
      </c>
      <c r="R16" s="95">
        <f>'BECF-pre-ret'!R16</f>
        <v>9.851598173515981E-2</v>
      </c>
      <c r="S16" s="95">
        <f>'BECF-pre-ret'!S16</f>
        <v>9.851598173515981E-2</v>
      </c>
      <c r="T16" s="95">
        <f>'BECF-pre-ret'!T16</f>
        <v>9.851598173515981E-2</v>
      </c>
      <c r="U16" s="95">
        <f>'BECF-pre-ret'!U16</f>
        <v>9.851598173515981E-2</v>
      </c>
      <c r="V16" s="95">
        <f>'BECF-pre-ret'!V16</f>
        <v>9.851598173515981E-2</v>
      </c>
      <c r="W16" s="95">
        <f>'BECF-pre-ret'!W16</f>
        <v>9.851598173515981E-2</v>
      </c>
      <c r="X16" s="95">
        <f>'BECF-pre-ret'!X16</f>
        <v>9.851598173515981E-2</v>
      </c>
      <c r="Y16" s="95">
        <f>'BECF-pre-ret'!Y16</f>
        <v>9.851598173515981E-2</v>
      </c>
      <c r="Z16" s="95">
        <f>'BECF-pre-ret'!Z16</f>
        <v>9.851598173515981E-2</v>
      </c>
      <c r="AA16" s="95">
        <f>'BECF-pre-ret'!AA16</f>
        <v>9.851598173515981E-2</v>
      </c>
      <c r="AB16" s="95">
        <f>'BECF-pre-ret'!AB16</f>
        <v>9.851598173515981E-2</v>
      </c>
      <c r="AC16" s="95">
        <f>'BECF-pre-ret'!AC16</f>
        <v>9.851598173515981E-2</v>
      </c>
      <c r="AD16" s="95">
        <f>'BECF-pre-ret'!AD16</f>
        <v>9.851598173515981E-2</v>
      </c>
      <c r="AE16" s="95">
        <f>'BECF-pre-ret'!AE16</f>
        <v>9.851598173515981E-2</v>
      </c>
      <c r="AF16" s="95">
        <f>'BECF-pre-ret'!AF16</f>
        <v>9.851598173515981E-2</v>
      </c>
      <c r="AG16" s="95">
        <f>'BECF-pre-ret'!AG16</f>
        <v>9.851598173515981E-2</v>
      </c>
      <c r="AH16" s="95">
        <f>'BECF-pre-ret'!AH16</f>
        <v>9.851598173515981E-2</v>
      </c>
      <c r="AI16" s="95">
        <f>'BECF-pre-ret'!AI16</f>
        <v>9.851598173515981E-2</v>
      </c>
      <c r="AJ16" s="95">
        <f>'BECF-pre-ret'!AJ16</f>
        <v>9.851598173515981E-2</v>
      </c>
      <c r="AK16" s="95">
        <f>'BECF-pre-ret'!AK16</f>
        <v>9.851598173515981E-2</v>
      </c>
      <c r="AL16" s="95">
        <f>'BECF-pre-ret'!AL16</f>
        <v>9.851598173515981E-2</v>
      </c>
      <c r="AM16" s="95">
        <f>'BECF-pre-ret'!AM16</f>
        <v>9.851598173515981E-2</v>
      </c>
      <c r="AN16" s="95">
        <f>'BECF-pre-ret'!AN16</f>
        <v>9.851598173515981E-2</v>
      </c>
      <c r="AO16" s="95">
        <f>'BECF-pre-ret'!AO16</f>
        <v>9.851598173515981E-2</v>
      </c>
      <c r="AP16" s="95">
        <f>'BECF-pre-ret'!AP16</f>
        <v>9.851598173515981E-2</v>
      </c>
      <c r="AQ16" s="95">
        <f>'BECF-pre-ret'!AQ16</f>
        <v>9.851598173515981E-2</v>
      </c>
    </row>
    <row r="17" spans="1:43">
      <c r="A17" s="94" t="s">
        <v>123</v>
      </c>
      <c r="B17" s="95">
        <f>'BECF-pre-ret'!B17</f>
        <v>0.66563926940639273</v>
      </c>
      <c r="C17" s="95">
        <f>'BECF-pre-ret'!C17</f>
        <v>0.67305936073059358</v>
      </c>
      <c r="D17" s="95">
        <f>'BECF-pre-ret'!D17</f>
        <v>0.67305936073059358</v>
      </c>
      <c r="E17" s="95">
        <f>'BECF-pre-ret'!E17</f>
        <v>0.67305936073059358</v>
      </c>
      <c r="F17" s="95">
        <f>'BECF-pre-ret'!F17</f>
        <v>0.67305936073059358</v>
      </c>
      <c r="G17" s="95">
        <f>'BECF-pre-ret'!G17</f>
        <v>0.67305936073059358</v>
      </c>
      <c r="H17" s="95">
        <f>'BECF-pre-ret'!H17</f>
        <v>0.67305936073059358</v>
      </c>
      <c r="I17" s="95">
        <f>'BECF-pre-ret'!I17</f>
        <v>0.67305936073059358</v>
      </c>
      <c r="J17" s="95">
        <f>'BECF-pre-ret'!J17</f>
        <v>0.67305936073059358</v>
      </c>
      <c r="K17" s="95">
        <f>'BECF-pre-ret'!K17</f>
        <v>0.67305936073059358</v>
      </c>
      <c r="L17" s="95">
        <f>'BECF-pre-ret'!L17</f>
        <v>0.67305936073059358</v>
      </c>
      <c r="M17" s="95">
        <f>'BECF-pre-ret'!M17</f>
        <v>0.67305936073059358</v>
      </c>
      <c r="N17" s="95">
        <f>'BECF-pre-ret'!N17</f>
        <v>0.67305936073059358</v>
      </c>
      <c r="O17" s="95">
        <f>'BECF-pre-ret'!O17</f>
        <v>0.67305936073059358</v>
      </c>
      <c r="P17" s="95">
        <f>'BECF-pre-ret'!P17</f>
        <v>0.67305936073059358</v>
      </c>
      <c r="Q17" s="95">
        <f>'BECF-pre-ret'!Q17</f>
        <v>0.67305936073059358</v>
      </c>
      <c r="R17" s="95">
        <f>'BECF-pre-ret'!R17</f>
        <v>0.67305936073059358</v>
      </c>
      <c r="S17" s="95">
        <f>'BECF-pre-ret'!S17</f>
        <v>0.67305936073059358</v>
      </c>
      <c r="T17" s="95">
        <f>'BECF-pre-ret'!T17</f>
        <v>0.67305936073059358</v>
      </c>
      <c r="U17" s="95">
        <f>'BECF-pre-ret'!U17</f>
        <v>0.67305936073059358</v>
      </c>
      <c r="V17" s="95">
        <f>'BECF-pre-ret'!V17</f>
        <v>0.67305936073059358</v>
      </c>
      <c r="W17" s="95">
        <f>'BECF-pre-ret'!W17</f>
        <v>0.67305936073059358</v>
      </c>
      <c r="X17" s="95">
        <f>'BECF-pre-ret'!X17</f>
        <v>0.67305936073059358</v>
      </c>
      <c r="Y17" s="95">
        <f>'BECF-pre-ret'!Y17</f>
        <v>0.67305936073059358</v>
      </c>
      <c r="Z17" s="95">
        <f>'BECF-pre-ret'!Z17</f>
        <v>0.67305936073059358</v>
      </c>
      <c r="AA17" s="95">
        <f>'BECF-pre-ret'!AA17</f>
        <v>0.67305936073059358</v>
      </c>
      <c r="AB17" s="95">
        <f>'BECF-pre-ret'!AB17</f>
        <v>0.67305936073059358</v>
      </c>
      <c r="AC17" s="95">
        <f>'BECF-pre-ret'!AC17</f>
        <v>0.67305936073059358</v>
      </c>
      <c r="AD17" s="95">
        <f>'BECF-pre-ret'!AD17</f>
        <v>0.67305936073059358</v>
      </c>
      <c r="AE17" s="95">
        <f>'BECF-pre-ret'!AE17</f>
        <v>0.67305936073059358</v>
      </c>
      <c r="AF17" s="95">
        <f>'BECF-pre-ret'!AF17</f>
        <v>0.67305936073059358</v>
      </c>
      <c r="AG17" s="95">
        <f>'BECF-pre-ret'!AG17</f>
        <v>0.67305936073059358</v>
      </c>
      <c r="AH17" s="95">
        <f>'BECF-pre-ret'!AH17</f>
        <v>0.67305936073059358</v>
      </c>
      <c r="AI17" s="95">
        <f>'BECF-pre-ret'!AI17</f>
        <v>0.67305936073059358</v>
      </c>
      <c r="AJ17" s="95">
        <f>'BECF-pre-ret'!AJ17</f>
        <v>0.67305936073059358</v>
      </c>
      <c r="AK17" s="95">
        <f>'BECF-pre-ret'!AK17</f>
        <v>0.67305936073059358</v>
      </c>
      <c r="AL17" s="95">
        <f>'BECF-pre-ret'!AL17</f>
        <v>0.67305936073059358</v>
      </c>
      <c r="AM17" s="95">
        <f>'BECF-pre-ret'!AM17</f>
        <v>0.67305936073059358</v>
      </c>
      <c r="AN17" s="95">
        <f>'BECF-pre-ret'!AN17</f>
        <v>0.67305936073059358</v>
      </c>
      <c r="AO17" s="95">
        <f>'BECF-pre-ret'!AO17</f>
        <v>0.67305936073059358</v>
      </c>
      <c r="AP17" s="95">
        <f>'BECF-pre-ret'!AP17</f>
        <v>0.67305936073059358</v>
      </c>
      <c r="AQ17" s="95">
        <f>'BECF-pre-ret'!AQ17</f>
        <v>0.67305936073059358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Sheet8</vt:lpstr>
      <vt:lpstr>2016</vt:lpstr>
      <vt:lpstr>2017</vt:lpstr>
      <vt:lpstr>2018</vt:lpstr>
      <vt:lpstr>2019</vt:lpstr>
      <vt:lpstr>2020</vt:lpstr>
      <vt:lpstr>Biomass</vt:lpstr>
      <vt:lpstr>Thermal</vt:lpstr>
      <vt:lpstr>Solar</vt:lpstr>
      <vt:lpstr>Offshore</vt:lpstr>
      <vt:lpstr>Solar Thermal</vt:lpstr>
      <vt:lpstr>BECF-pre-ret</vt:lpstr>
      <vt:lpstr>BECF-pre-nonret</vt:lpstr>
      <vt:lpstr>BECF-new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Wang</dc:creator>
  <cp:lastModifiedBy>admin</cp:lastModifiedBy>
  <cp:lastPrinted>2022-03-04T04:53:35Z</cp:lastPrinted>
  <dcterms:created xsi:type="dcterms:W3CDTF">2023-03-10T07:29:22Z</dcterms:created>
  <dcterms:modified xsi:type="dcterms:W3CDTF">2023-03-15T13:41:13Z</dcterms:modified>
</cp:coreProperties>
</file>