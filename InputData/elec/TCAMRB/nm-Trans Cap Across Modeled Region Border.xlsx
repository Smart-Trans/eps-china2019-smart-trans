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EPS\GitHub Push\Inner Mongolia\eps-Inner-Mongolia-smart-trans\InputData\elec\TCAMRB\"/>
    </mc:Choice>
  </mc:AlternateContent>
  <xr:revisionPtr revIDLastSave="0" documentId="8_{C629B01E-C534-4BFB-B58C-9BA4FDFE01ED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About" sheetId="13" r:id="rId1"/>
    <sheet name="AC Transmission" sheetId="5" r:id="rId2"/>
    <sheet name="DC Transmission" sheetId="6" r:id="rId3"/>
    <sheet name="Back2Back" sheetId="7" r:id="rId4"/>
    <sheet name="Total Power Exchange" sheetId="4" r:id="rId5"/>
    <sheet name="Database" sheetId="12" r:id="rId6"/>
    <sheet name="Tally" sheetId="8" r:id="rId7"/>
    <sheet name="TCAMRB" sheetId="9" r:id="rId8"/>
  </sheets>
  <definedNames>
    <definedName name="_xlnm._FilterDatabase" localSheetId="1" hidden="1">'AC Transmission'!$A$1:$O$1</definedName>
    <definedName name="_xlnm._FilterDatabase" localSheetId="2" hidden="1">'DC Transmission'!$A$1:$R$46</definedName>
    <definedName name="_xlnm._FilterDatabase" localSheetId="4" hidden="1">'Total Power Exchange'!$I$1:$K$1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D18" i="8"/>
  <c r="D16" i="8"/>
  <c r="D15" i="8"/>
</calcChain>
</file>

<file path=xl/sharedStrings.xml><?xml version="1.0" encoding="utf-8"?>
<sst xmlns="http://schemas.openxmlformats.org/spreadsheetml/2006/main" count="1707" uniqueCount="763">
  <si>
    <t>±800</t>
  </si>
  <si>
    <t>2010.6.</t>
  </si>
  <si>
    <t>2010.7.</t>
  </si>
  <si>
    <t>2012.12.</t>
  </si>
  <si>
    <t>2015.5.</t>
  </si>
  <si>
    <t>2014.1.</t>
  </si>
  <si>
    <t>2014.7.</t>
  </si>
  <si>
    <t>2016.9.</t>
  </si>
  <si>
    <t>2017.6.</t>
  </si>
  <si>
    <t>2017.7.</t>
  </si>
  <si>
    <t>2017.10.</t>
  </si>
  <si>
    <t>2017.12.</t>
  </si>
  <si>
    <t>±1100</t>
  </si>
  <si>
    <t>2019.9.</t>
  </si>
  <si>
    <t>2020.12.</t>
  </si>
  <si>
    <t>Yunnan-Guangdong</t>
    <phoneticPr fontId="3" type="noConversion"/>
  </si>
  <si>
    <t>Jindongnan-Nanyang-Jingmen</t>
    <phoneticPr fontId="3" type="noConversion"/>
  </si>
  <si>
    <t>锦屏-苏南</t>
  </si>
  <si>
    <t>Nuozadu-Guangdong</t>
  </si>
  <si>
    <t>Haini-Zhengzhou</t>
  </si>
  <si>
    <t>灵州-绍兴</t>
  </si>
  <si>
    <t>Jiuquan-Hunan</t>
  </si>
  <si>
    <t>Yuheng-Weifang</t>
  </si>
  <si>
    <t>锡盟-江苏</t>
  </si>
  <si>
    <t>扎鲁特-青州</t>
  </si>
  <si>
    <t>Zhakite-Qingzhou</t>
  </si>
  <si>
    <t>上海庙-临沂</t>
  </si>
  <si>
    <t>Shanghaimiao-Linyi</t>
  </si>
  <si>
    <t>Dianxi-Guangdong</t>
  </si>
  <si>
    <t>准东-皖南</t>
  </si>
  <si>
    <t>Zhundong-Wannan</t>
  </si>
  <si>
    <t>Mengxi-Jinzhong</t>
  </si>
  <si>
    <t>青海-河南</t>
  </si>
  <si>
    <t>Qinghai-Henan</t>
  </si>
  <si>
    <t>昆柳龙直流工程</t>
  </si>
  <si>
    <t>Wudongde-Guangxi-Guangdong</t>
  </si>
  <si>
    <t>Jinping--Southern-Jiangsu</t>
  </si>
  <si>
    <t>Huainan-Zhqjiang-North-Shanghai</t>
  </si>
  <si>
    <t>Xiluodu-Zhejiang-West</t>
  </si>
  <si>
    <t>Zhejiang-North--Fuzhou</t>
  </si>
  <si>
    <t>Shanxi-North-Jiangsu</t>
  </si>
  <si>
    <t>Xilingol-League-Jiangsu</t>
  </si>
  <si>
    <t>Xiangjiaba-Shanghai</t>
    <phoneticPr fontId="3" type="noConversion"/>
  </si>
  <si>
    <t>Lingzhou-Shaoxing</t>
    <phoneticPr fontId="3" type="noConversion"/>
  </si>
  <si>
    <t>Inner Mongolia West-Tianjin</t>
    <phoneticPr fontId="3" type="noConversion"/>
  </si>
  <si>
    <t>Weifang-Linyi-Zaozhuang-Heze-Shijiazhuang</t>
    <phoneticPr fontId="3" type="noConversion"/>
  </si>
  <si>
    <t>陕西-湖北</t>
    <phoneticPr fontId="3" type="noConversion"/>
  </si>
  <si>
    <t>雅中-江西</t>
    <phoneticPr fontId="3" type="noConversion"/>
  </si>
  <si>
    <t>白鹤滩-江苏</t>
    <phoneticPr fontId="3" type="noConversion"/>
  </si>
  <si>
    <t>白鹤滩-浙江</t>
    <phoneticPr fontId="3" type="noConversion"/>
  </si>
  <si>
    <t>Zhangbei-Xiongan</t>
    <phoneticPr fontId="3" type="noConversion"/>
  </si>
  <si>
    <t>Zhumadian-Nanyang</t>
    <phoneticPr fontId="3" type="noConversion"/>
  </si>
  <si>
    <t>Nanyang-Jingmen-Changsha</t>
    <phoneticPr fontId="3" type="noConversion"/>
  </si>
  <si>
    <t>Shanbei-Hubei</t>
    <phoneticPr fontId="3" type="noConversion"/>
  </si>
  <si>
    <t>Yazhong-Jiangxi</t>
    <phoneticPr fontId="3" type="noConversion"/>
  </si>
  <si>
    <t>Baihetan-Jiangsu</t>
    <phoneticPr fontId="3" type="noConversion"/>
  </si>
  <si>
    <t>Baihetan-Zhejiang</t>
    <phoneticPr fontId="3" type="noConversion"/>
  </si>
  <si>
    <t>潍坊-临沂-枣庄-菏泽-石家庄</t>
    <phoneticPr fontId="3" type="noConversion"/>
  </si>
  <si>
    <t>HVDC</t>
  </si>
  <si>
    <t>准备</t>
  </si>
  <si>
    <t>2020.2.</t>
  </si>
  <si>
    <t>山东省</t>
    <phoneticPr fontId="3" type="noConversion"/>
  </si>
  <si>
    <t>内蒙古自治区</t>
    <phoneticPr fontId="3" type="noConversion"/>
  </si>
  <si>
    <t>锡林郭勒盟</t>
    <phoneticPr fontId="3" type="noConversion"/>
  </si>
  <si>
    <t>济南市</t>
    <phoneticPr fontId="3" type="noConversion"/>
  </si>
  <si>
    <t>山西省</t>
    <phoneticPr fontId="3" type="noConversion"/>
  </si>
  <si>
    <t>榆横</t>
    <phoneticPr fontId="3" type="noConversion"/>
  </si>
  <si>
    <t>潍坊市</t>
    <phoneticPr fontId="3" type="noConversion"/>
  </si>
  <si>
    <t>吉林省</t>
    <phoneticPr fontId="3" type="noConversion"/>
  </si>
  <si>
    <t>扎鲁特</t>
    <phoneticPr fontId="3" type="noConversion"/>
  </si>
  <si>
    <t>青州</t>
    <phoneticPr fontId="3" type="noConversion"/>
  </si>
  <si>
    <t>宁夏回族自治区</t>
    <phoneticPr fontId="3" type="noConversion"/>
  </si>
  <si>
    <t>上海庙</t>
    <phoneticPr fontId="3" type="noConversion"/>
  </si>
  <si>
    <t>圣智，临沂</t>
  </si>
  <si>
    <t>浙北-浙中-浙南-福州</t>
    <phoneticPr fontId="3" type="noConversion"/>
  </si>
  <si>
    <t>淮南-南京-泰州-苏州-上海</t>
    <phoneticPr fontId="3" type="noConversion"/>
  </si>
  <si>
    <t>锡盟-北京东-天津南-济南</t>
    <phoneticPr fontId="3" type="noConversion"/>
  </si>
  <si>
    <t>蒙西-晋北-雄安-天津南</t>
    <phoneticPr fontId="3" type="noConversion"/>
  </si>
  <si>
    <t>榆横-晋中-石家庄-潍坊</t>
    <phoneticPr fontId="3" type="noConversion"/>
  </si>
  <si>
    <t>云南省</t>
    <phoneticPr fontId="3" type="noConversion"/>
  </si>
  <si>
    <t>广东省</t>
    <phoneticPr fontId="3" type="noConversion"/>
  </si>
  <si>
    <t>上海市</t>
    <phoneticPr fontId="3" type="noConversion"/>
  </si>
  <si>
    <t>江苏省</t>
    <phoneticPr fontId="3" type="noConversion"/>
  </si>
  <si>
    <t>河南省</t>
    <phoneticPr fontId="3" type="noConversion"/>
  </si>
  <si>
    <t>浙江省</t>
    <phoneticPr fontId="3" type="noConversion"/>
  </si>
  <si>
    <t>湖南省</t>
    <phoneticPr fontId="3" type="noConversion"/>
  </si>
  <si>
    <t>安徽省</t>
    <phoneticPr fontId="3" type="noConversion"/>
  </si>
  <si>
    <t>湖北省</t>
    <phoneticPr fontId="3" type="noConversion"/>
  </si>
  <si>
    <t>云南省、四川省</t>
    <phoneticPr fontId="3" type="noConversion"/>
  </si>
  <si>
    <t>四川省</t>
    <phoneticPr fontId="3" type="noConversion"/>
  </si>
  <si>
    <t>新疆维吾尔自治区</t>
    <phoneticPr fontId="3" type="noConversion"/>
  </si>
  <si>
    <t>甘肃省</t>
    <phoneticPr fontId="3" type="noConversion"/>
  </si>
  <si>
    <t>青海省</t>
    <phoneticPr fontId="3" type="noConversion"/>
  </si>
  <si>
    <t>陕西省</t>
    <phoneticPr fontId="3" type="noConversion"/>
  </si>
  <si>
    <t>贵州省</t>
    <phoneticPr fontId="3" type="noConversion"/>
  </si>
  <si>
    <t>河北省</t>
    <phoneticPr fontId="3" type="noConversion"/>
  </si>
  <si>
    <t>福建省</t>
    <phoneticPr fontId="3" type="noConversion"/>
  </si>
  <si>
    <t>天津市</t>
    <phoneticPr fontId="3" type="noConversion"/>
  </si>
  <si>
    <t>起始省份</t>
    <phoneticPr fontId="3" type="noConversion"/>
  </si>
  <si>
    <t>终点省份</t>
    <phoneticPr fontId="3" type="noConversion"/>
  </si>
  <si>
    <t>Xilingol League-Shandong</t>
    <phoneticPr fontId="3" type="noConversion"/>
  </si>
  <si>
    <t>Huainan-Nanjing-Shanghai</t>
    <phoneticPr fontId="3" type="noConversion"/>
  </si>
  <si>
    <t>Xilingol League-Shengli</t>
    <phoneticPr fontId="3" type="noConversion"/>
  </si>
  <si>
    <t>-0•12</t>
  </si>
  <si>
    <t>7287|</t>
  </si>
  <si>
    <r>
      <rPr>
        <sz val="10"/>
        <rFont val="宋体"/>
        <family val="3"/>
        <charset val="134"/>
      </rPr>
      <t>东北</t>
    </r>
    <phoneticPr fontId="3" type="noConversion"/>
  </si>
  <si>
    <r>
      <rPr>
        <sz val="10"/>
        <rFont val="宋体"/>
        <family val="3"/>
        <charset val="134"/>
      </rPr>
      <t>出口</t>
    </r>
    <phoneticPr fontId="3" type="noConversion"/>
  </si>
  <si>
    <r>
      <rPr>
        <sz val="10"/>
        <rFont val="宋体"/>
        <family val="3"/>
        <charset val="134"/>
      </rPr>
      <t>华北</t>
    </r>
  </si>
  <si>
    <r>
      <rPr>
        <sz val="10"/>
        <rFont val="宋体"/>
        <family val="3"/>
        <charset val="134"/>
      </rPr>
      <t>华北</t>
    </r>
    <phoneticPr fontId="3" type="noConversion"/>
  </si>
  <si>
    <r>
      <rPr>
        <sz val="10"/>
        <rFont val="宋体"/>
        <family val="3"/>
        <charset val="134"/>
      </rPr>
      <t>华东</t>
    </r>
  </si>
  <si>
    <r>
      <rPr>
        <sz val="10"/>
        <rFont val="宋体"/>
        <family val="3"/>
        <charset val="134"/>
      </rPr>
      <t>华中</t>
    </r>
    <phoneticPr fontId="3" type="noConversion"/>
  </si>
  <si>
    <r>
      <rPr>
        <sz val="10"/>
        <rFont val="宋体"/>
        <family val="3"/>
        <charset val="134"/>
      </rPr>
      <t>西北</t>
    </r>
  </si>
  <si>
    <r>
      <rPr>
        <sz val="10"/>
        <rFont val="宋体"/>
        <family val="3"/>
        <charset val="134"/>
      </rPr>
      <t>华东</t>
    </r>
    <phoneticPr fontId="3" type="noConversion"/>
  </si>
  <si>
    <r>
      <rPr>
        <sz val="10"/>
        <rFont val="宋体"/>
        <family val="3"/>
        <charset val="134"/>
      </rPr>
      <t>南方</t>
    </r>
  </si>
  <si>
    <r>
      <rPr>
        <sz val="10"/>
        <rFont val="宋体"/>
        <family val="3"/>
        <charset val="134"/>
      </rPr>
      <t>西南</t>
    </r>
  </si>
  <si>
    <r>
      <rPr>
        <sz val="10"/>
        <rFont val="宋体"/>
        <family val="3"/>
        <charset val="134"/>
      </rPr>
      <t>南方</t>
    </r>
    <phoneticPr fontId="3" type="noConversion"/>
  </si>
  <si>
    <r>
      <rPr>
        <sz val="10"/>
        <rFont val="宋体"/>
        <family val="3"/>
        <charset val="134"/>
      </rPr>
      <t>华中</t>
    </r>
  </si>
  <si>
    <r>
      <rPr>
        <sz val="10"/>
        <rFont val="宋体"/>
        <family val="3"/>
        <charset val="134"/>
      </rPr>
      <t>西北</t>
    </r>
    <phoneticPr fontId="3" type="noConversion"/>
  </si>
  <si>
    <r>
      <rPr>
        <sz val="10"/>
        <rFont val="宋体"/>
        <family val="3"/>
        <charset val="134"/>
      </rPr>
      <t>西南</t>
    </r>
    <phoneticPr fontId="3" type="noConversion"/>
  </si>
  <si>
    <r>
      <rPr>
        <sz val="10"/>
        <rFont val="SimSun"/>
        <charset val="134"/>
      </rPr>
      <t>地区</t>
    </r>
  </si>
  <si>
    <r>
      <rPr>
        <sz val="10"/>
        <rFont val="SimSun"/>
        <charset val="134"/>
      </rPr>
      <t>送出电量</t>
    </r>
  </si>
  <si>
    <r>
      <rPr>
        <sz val="10"/>
        <rFont val="SimSun"/>
        <charset val="134"/>
      </rPr>
      <t>同比增长</t>
    </r>
  </si>
  <si>
    <r>
      <rPr>
        <sz val="10"/>
        <rFont val="SimSun"/>
        <charset val="134"/>
      </rPr>
      <t>吉林送朝鲜</t>
    </r>
  </si>
  <si>
    <r>
      <rPr>
        <sz val="10"/>
        <rFont val="SimSun"/>
        <charset val="134"/>
      </rPr>
      <t>东北送华北</t>
    </r>
  </si>
  <si>
    <r>
      <rPr>
        <sz val="10"/>
        <rFont val="SimSun"/>
        <charset val="134"/>
      </rPr>
      <t>鲁固直流</t>
    </r>
  </si>
  <si>
    <r>
      <rPr>
        <sz val="10"/>
        <rFont val="SimSun"/>
        <charset val="134"/>
      </rPr>
      <t>内蒙古送蒙古国</t>
    </r>
  </si>
  <si>
    <r>
      <rPr>
        <sz val="10"/>
        <rFont val="SimSun"/>
        <charset val="134"/>
      </rPr>
      <t>锡盟送蒙东</t>
    </r>
  </si>
  <si>
    <r>
      <rPr>
        <sz val="10"/>
        <rFont val="SimSun"/>
        <charset val="134"/>
      </rPr>
      <t>山西送江苏</t>
    </r>
  </si>
  <si>
    <r>
      <rPr>
        <sz val="10"/>
        <rFont val="SimSun"/>
        <charset val="134"/>
      </rPr>
      <t>锡盟送江苏</t>
    </r>
  </si>
  <si>
    <r>
      <rPr>
        <sz val="10"/>
        <rFont val="SimSun"/>
        <charset val="134"/>
      </rPr>
      <t>长南一线</t>
    </r>
  </si>
  <si>
    <r>
      <rPr>
        <sz val="10"/>
        <rFont val="SimSun"/>
        <charset val="134"/>
      </rPr>
      <t>华北送陕西</t>
    </r>
  </si>
  <si>
    <r>
      <rPr>
        <sz val="10"/>
        <rFont val="SimSun"/>
        <charset val="134"/>
      </rPr>
      <t>内蒙送宁夏</t>
    </r>
  </si>
  <si>
    <r>
      <rPr>
        <sz val="10"/>
        <rFont val="SimSun"/>
        <charset val="134"/>
      </rPr>
      <t>内蒙送陕西</t>
    </r>
  </si>
  <si>
    <r>
      <rPr>
        <sz val="10"/>
        <rFont val="SimSun"/>
        <charset val="134"/>
      </rPr>
      <t>山西送陕西</t>
    </r>
  </si>
  <si>
    <r>
      <rPr>
        <sz val="10"/>
        <rFont val="SimSun"/>
        <charset val="134"/>
      </rPr>
      <t>葛南直流</t>
    </r>
  </si>
  <si>
    <r>
      <rPr>
        <sz val="10"/>
        <rFont val="SimSun"/>
        <charset val="134"/>
      </rPr>
      <t>宜华直流</t>
    </r>
  </si>
  <si>
    <r>
      <rPr>
        <sz val="10"/>
        <rFont val="SimSun"/>
        <charset val="134"/>
      </rPr>
      <t>福建送广东</t>
    </r>
  </si>
  <si>
    <r>
      <rPr>
        <sz val="10"/>
        <rFont val="SimSun"/>
        <charset val="134"/>
      </rPr>
      <t>宾金直流</t>
    </r>
  </si>
  <si>
    <r>
      <rPr>
        <sz val="10"/>
        <rFont val="SimSun"/>
        <charset val="134"/>
      </rPr>
      <t>向上直流</t>
    </r>
  </si>
  <si>
    <r>
      <rPr>
        <sz val="10"/>
        <rFont val="SimSun"/>
        <charset val="134"/>
      </rPr>
      <t>长南线</t>
    </r>
  </si>
  <si>
    <r>
      <rPr>
        <sz val="10"/>
        <rFont val="SimSun"/>
        <charset val="134"/>
      </rPr>
      <t>林枫直流</t>
    </r>
  </si>
  <si>
    <r>
      <rPr>
        <sz val="10"/>
        <rFont val="SimSun"/>
        <charset val="134"/>
      </rPr>
      <t>龙政直流</t>
    </r>
  </si>
  <si>
    <r>
      <rPr>
        <sz val="10"/>
        <rFont val="SimSun"/>
        <charset val="134"/>
      </rPr>
      <t>湖南送广西</t>
    </r>
  </si>
  <si>
    <r>
      <rPr>
        <sz val="10"/>
        <rFont val="SimSun"/>
        <charset val="134"/>
      </rPr>
      <t>湖南送贵州</t>
    </r>
  </si>
  <si>
    <r>
      <rPr>
        <sz val="10"/>
        <rFont val="SimSun"/>
        <charset val="134"/>
      </rPr>
      <t>江城直流</t>
    </r>
  </si>
  <si>
    <r>
      <rPr>
        <sz val="10"/>
        <rFont val="SimSun"/>
        <charset val="134"/>
      </rPr>
      <t>鲤鱼江电厂送广东</t>
    </r>
  </si>
  <si>
    <r>
      <rPr>
        <sz val="10"/>
        <rFont val="SimSun"/>
        <charset val="134"/>
      </rPr>
      <t>河南送青海</t>
    </r>
  </si>
  <si>
    <r>
      <rPr>
        <sz val="10"/>
        <rFont val="SimSun"/>
        <charset val="134"/>
      </rPr>
      <t>湖南送甘肃</t>
    </r>
  </si>
  <si>
    <r>
      <rPr>
        <sz val="10"/>
        <rFont val="SimSun"/>
        <charset val="134"/>
      </rPr>
      <t>灵宝</t>
    </r>
    <r>
      <rPr>
        <sz val="10"/>
        <rFont val="Arial"/>
        <family val="2"/>
      </rPr>
      <t>I</t>
    </r>
    <r>
      <rPr>
        <sz val="10"/>
        <rFont val="SimSun"/>
        <charset val="134"/>
      </rPr>
      <t>、</t>
    </r>
    <r>
      <rPr>
        <sz val="10"/>
        <rFont val="Arial"/>
        <family val="2"/>
      </rPr>
      <t>II</t>
    </r>
    <r>
      <rPr>
        <sz val="10"/>
        <rFont val="SimSun"/>
        <charset val="134"/>
      </rPr>
      <t>回</t>
    </r>
  </si>
  <si>
    <r>
      <rPr>
        <sz val="10"/>
        <rFont val="SimSun"/>
        <charset val="134"/>
      </rPr>
      <t>湖北送重庆</t>
    </r>
  </si>
  <si>
    <r>
      <rPr>
        <sz val="10"/>
        <rFont val="SimSun"/>
        <charset val="134"/>
      </rPr>
      <t>广西送湖南</t>
    </r>
  </si>
  <si>
    <r>
      <rPr>
        <sz val="10"/>
        <rFont val="SimSun"/>
        <charset val="134"/>
      </rPr>
      <t>贵州送湖南</t>
    </r>
  </si>
  <si>
    <r>
      <rPr>
        <sz val="10"/>
        <rFont val="SimSun"/>
        <charset val="134"/>
      </rPr>
      <t>贵州送重庆</t>
    </r>
  </si>
  <si>
    <r>
      <rPr>
        <sz val="10"/>
        <rFont val="SimSun"/>
        <charset val="134"/>
      </rPr>
      <t>云南送四川</t>
    </r>
  </si>
  <si>
    <r>
      <rPr>
        <sz val="10"/>
        <rFont val="SimSun"/>
        <charset val="134"/>
      </rPr>
      <t>宁夏送内蒙古</t>
    </r>
  </si>
  <si>
    <r>
      <rPr>
        <sz val="10"/>
        <rFont val="SimSun"/>
        <charset val="134"/>
      </rPr>
      <t>宁夏送山东</t>
    </r>
  </si>
  <si>
    <r>
      <rPr>
        <sz val="10"/>
        <rFont val="SimSun"/>
        <charset val="134"/>
      </rPr>
      <t>陕西送河北</t>
    </r>
  </si>
  <si>
    <r>
      <rPr>
        <sz val="10"/>
        <rFont val="SimSun"/>
        <charset val="134"/>
      </rPr>
      <t>陕西送华北</t>
    </r>
  </si>
  <si>
    <r>
      <rPr>
        <sz val="10"/>
        <rFont val="SimSun"/>
        <charset val="134"/>
      </rPr>
      <t>宁夏送浙江</t>
    </r>
  </si>
  <si>
    <r>
      <rPr>
        <sz val="10"/>
        <rFont val="SimSun"/>
        <charset val="134"/>
      </rPr>
      <t>新疆送安徽</t>
    </r>
  </si>
  <si>
    <r>
      <rPr>
        <sz val="10"/>
        <rFont val="SimSun"/>
        <charset val="134"/>
      </rPr>
      <t>甘肃送湖南</t>
    </r>
  </si>
  <si>
    <r>
      <rPr>
        <sz val="10"/>
        <rFont val="SimSun"/>
        <charset val="134"/>
      </rPr>
      <t>哈郑直流天中线</t>
    </r>
  </si>
  <si>
    <r>
      <rPr>
        <sz val="10"/>
        <rFont val="SimSun"/>
        <charset val="134"/>
      </rPr>
      <t>青海送河南</t>
    </r>
  </si>
  <si>
    <r>
      <rPr>
        <sz val="10"/>
        <rFont val="SimSun"/>
        <charset val="134"/>
      </rPr>
      <t>陕西售河南</t>
    </r>
  </si>
  <si>
    <r>
      <rPr>
        <sz val="10"/>
        <rFont val="SimSun"/>
        <charset val="134"/>
      </rPr>
      <t>陕西售湖北</t>
    </r>
  </si>
  <si>
    <r>
      <rPr>
        <sz val="10"/>
        <rFont val="SimSun"/>
        <charset val="134"/>
      </rPr>
      <t>陕西送华中</t>
    </r>
  </si>
  <si>
    <r>
      <rPr>
        <sz val="10"/>
        <rFont val="SimSun"/>
        <charset val="134"/>
      </rPr>
      <t>甘肃送四川</t>
    </r>
  </si>
  <si>
    <r>
      <rPr>
        <sz val="10"/>
        <rFont val="SimSun"/>
        <charset val="134"/>
      </rPr>
      <t>青海送西藏</t>
    </r>
  </si>
  <si>
    <r>
      <rPr>
        <sz val="10"/>
        <rFont val="SimSun"/>
        <charset val="134"/>
      </rPr>
      <t>陕西送四川</t>
    </r>
  </si>
  <si>
    <r>
      <rPr>
        <sz val="10"/>
        <rFont val="SimSun"/>
        <charset val="134"/>
      </rPr>
      <t>锦苏直流</t>
    </r>
  </si>
  <si>
    <r>
      <rPr>
        <sz val="10"/>
        <rFont val="SimSun"/>
        <charset val="134"/>
      </rPr>
      <t>重庆送湖北</t>
    </r>
  </si>
  <si>
    <r>
      <rPr>
        <sz val="10"/>
        <rFont val="SimSun"/>
        <charset val="134"/>
      </rPr>
      <t>重庆送湖南</t>
    </r>
  </si>
  <si>
    <r>
      <rPr>
        <sz val="10"/>
        <rFont val="SimSun"/>
        <charset val="134"/>
      </rPr>
      <t>四川送贵州</t>
    </r>
  </si>
  <si>
    <r>
      <rPr>
        <sz val="10"/>
        <rFont val="SimSun"/>
        <charset val="134"/>
      </rPr>
      <t>重庆送贵州</t>
    </r>
  </si>
  <si>
    <r>
      <rPr>
        <sz val="10"/>
        <rFont val="SimSun"/>
        <charset val="134"/>
      </rPr>
      <t>德宝直流</t>
    </r>
  </si>
  <si>
    <r>
      <rPr>
        <sz val="10"/>
        <rFont val="SimSun"/>
        <charset val="134"/>
      </rPr>
      <t>西藏送青海</t>
    </r>
  </si>
  <si>
    <r>
      <rPr>
        <sz val="10"/>
        <rFont val="宋体"/>
        <family val="3"/>
        <charset val="134"/>
      </rPr>
      <t>全国</t>
    </r>
    <phoneticPr fontId="3" type="noConversion"/>
  </si>
  <si>
    <r>
      <rPr>
        <sz val="10"/>
        <rFont val="宋体"/>
        <family val="3"/>
        <charset val="134"/>
      </rPr>
      <t>其它</t>
    </r>
    <phoneticPr fontId="3" type="noConversion"/>
  </si>
  <si>
    <r>
      <rPr>
        <sz val="10"/>
        <rFont val="SimSun"/>
        <charset val="134"/>
      </rPr>
      <t>江苏</t>
    </r>
  </si>
  <si>
    <r>
      <rPr>
        <sz val="10"/>
        <rFont val="SimSun"/>
        <charset val="134"/>
      </rPr>
      <t>安徽</t>
    </r>
  </si>
  <si>
    <r>
      <rPr>
        <sz val="10"/>
        <rFont val="SimSun"/>
        <charset val="134"/>
      </rPr>
      <t>浙江</t>
    </r>
  </si>
  <si>
    <r>
      <rPr>
        <sz val="10"/>
        <rFont val="SimSun"/>
        <charset val="134"/>
      </rPr>
      <t>河北</t>
    </r>
  </si>
  <si>
    <r>
      <rPr>
        <sz val="10"/>
        <rFont val="SimSun"/>
        <charset val="134"/>
      </rPr>
      <t>北京</t>
    </r>
  </si>
  <si>
    <r>
      <rPr>
        <sz val="10"/>
        <rFont val="SimSun"/>
        <charset val="134"/>
      </rPr>
      <t>广东</t>
    </r>
  </si>
  <si>
    <r>
      <rPr>
        <sz val="10"/>
        <rFont val="SimSun"/>
        <charset val="134"/>
      </rPr>
      <t>福建</t>
    </r>
  </si>
  <si>
    <r>
      <rPr>
        <sz val="10"/>
        <rFont val="SimSun"/>
        <charset val="134"/>
      </rPr>
      <t>江西</t>
    </r>
  </si>
  <si>
    <r>
      <rPr>
        <sz val="10"/>
        <rFont val="SimSun"/>
        <charset val="134"/>
      </rPr>
      <t>湖南</t>
    </r>
  </si>
  <si>
    <r>
      <rPr>
        <sz val="10"/>
        <rFont val="SimSun"/>
        <charset val="134"/>
      </rPr>
      <t>甘肃</t>
    </r>
  </si>
  <si>
    <r>
      <rPr>
        <sz val="10"/>
        <rFont val="SimSun"/>
        <charset val="134"/>
      </rPr>
      <t>宁夏</t>
    </r>
  </si>
  <si>
    <r>
      <rPr>
        <sz val="10"/>
        <rFont val="SimSun"/>
        <charset val="134"/>
      </rPr>
      <t>青海</t>
    </r>
  </si>
  <si>
    <r>
      <rPr>
        <sz val="10"/>
        <rFont val="SimSun"/>
        <charset val="134"/>
      </rPr>
      <t>陕西</t>
    </r>
  </si>
  <si>
    <r>
      <rPr>
        <sz val="10"/>
        <rFont val="SimSun"/>
        <charset val="134"/>
      </rPr>
      <t>四川</t>
    </r>
  </si>
  <si>
    <r>
      <rPr>
        <sz val="10"/>
        <rFont val="SimSun"/>
        <charset val="134"/>
      </rPr>
      <t>新疆</t>
    </r>
  </si>
  <si>
    <r>
      <rPr>
        <sz val="10"/>
        <rFont val="SimSun"/>
        <charset val="134"/>
      </rPr>
      <t>澳门特别行政区</t>
    </r>
  </si>
  <si>
    <r>
      <rPr>
        <sz val="10"/>
        <rFont val="SimSun"/>
        <charset val="134"/>
      </rPr>
      <t>海南</t>
    </r>
  </si>
  <si>
    <r>
      <rPr>
        <sz val="10"/>
        <rFont val="SimSun"/>
        <charset val="134"/>
      </rPr>
      <t>香港特别行政区</t>
    </r>
  </si>
  <si>
    <r>
      <rPr>
        <sz val="10"/>
        <rFont val="SimSun"/>
        <charset val="134"/>
      </rPr>
      <t>广西</t>
    </r>
  </si>
  <si>
    <r>
      <rPr>
        <sz val="10"/>
        <rFont val="SimSun"/>
        <charset val="134"/>
      </rPr>
      <t>贵州</t>
    </r>
  </si>
  <si>
    <r>
      <rPr>
        <sz val="10"/>
        <rFont val="SimSun"/>
        <charset val="134"/>
      </rPr>
      <t>云南</t>
    </r>
  </si>
  <si>
    <r>
      <rPr>
        <sz val="10"/>
        <rFont val="SimSun"/>
        <charset val="134"/>
      </rPr>
      <t>重庆</t>
    </r>
  </si>
  <si>
    <r>
      <rPr>
        <sz val="10"/>
        <rFont val="SimSun"/>
        <charset val="134"/>
      </rPr>
      <t>华北</t>
    </r>
  </si>
  <si>
    <r>
      <rPr>
        <sz val="10"/>
        <rFont val="SimSun"/>
        <charset val="134"/>
      </rPr>
      <t>天津</t>
    </r>
  </si>
  <si>
    <r>
      <rPr>
        <sz val="10"/>
        <rFont val="SimSun"/>
        <charset val="134"/>
      </rPr>
      <t>湖北</t>
    </r>
  </si>
  <si>
    <r>
      <rPr>
        <sz val="10"/>
        <rFont val="SimSun"/>
        <charset val="134"/>
      </rPr>
      <t>河南</t>
    </r>
  </si>
  <si>
    <r>
      <rPr>
        <sz val="10"/>
        <rFont val="SimSun"/>
        <charset val="134"/>
      </rPr>
      <t>特高压输出</t>
    </r>
  </si>
  <si>
    <r>
      <rPr>
        <sz val="10"/>
        <rFont val="SimSun"/>
        <charset val="134"/>
      </rPr>
      <t>吉林</t>
    </r>
  </si>
  <si>
    <r>
      <rPr>
        <sz val="10"/>
        <rFont val="SimSun"/>
        <charset val="134"/>
      </rPr>
      <t>黑龙江</t>
    </r>
  </si>
  <si>
    <r>
      <rPr>
        <sz val="10"/>
        <rFont val="SimSun"/>
        <charset val="134"/>
      </rPr>
      <t>内蒙古</t>
    </r>
  </si>
  <si>
    <r>
      <rPr>
        <sz val="10"/>
        <rFont val="SimSun"/>
        <charset val="134"/>
      </rPr>
      <t>上海</t>
    </r>
  </si>
  <si>
    <r>
      <rPr>
        <sz val="10"/>
        <rFont val="SimSun"/>
        <charset val="134"/>
      </rPr>
      <t>特高压</t>
    </r>
  </si>
  <si>
    <r>
      <rPr>
        <sz val="10"/>
        <rFont val="SimSun"/>
        <charset val="134"/>
      </rPr>
      <t>辽宁</t>
    </r>
  </si>
  <si>
    <r>
      <rPr>
        <sz val="10"/>
        <rFont val="SimSun"/>
        <charset val="134"/>
      </rPr>
      <t>其它</t>
    </r>
  </si>
  <si>
    <r>
      <rPr>
        <sz val="10"/>
        <rFont val="SimSun"/>
        <charset val="134"/>
      </rPr>
      <t>蒙古国</t>
    </r>
  </si>
  <si>
    <r>
      <rPr>
        <sz val="10"/>
        <rFont val="SimSun"/>
        <charset val="134"/>
      </rPr>
      <t>山东</t>
    </r>
  </si>
  <si>
    <r>
      <rPr>
        <sz val="10"/>
        <rFont val="SimSun"/>
        <charset val="134"/>
      </rPr>
      <t>山西</t>
    </r>
  </si>
  <si>
    <r>
      <rPr>
        <sz val="10"/>
        <rFont val="SimSun"/>
        <charset val="134"/>
      </rPr>
      <t>西藏</t>
    </r>
  </si>
  <si>
    <r>
      <rPr>
        <sz val="10"/>
        <rFont val="SimSun"/>
        <charset val="134"/>
      </rPr>
      <t>华中</t>
    </r>
  </si>
  <si>
    <r>
      <rPr>
        <sz val="10"/>
        <rFont val="SimSun"/>
        <charset val="134"/>
      </rPr>
      <t>复奉</t>
    </r>
  </si>
  <si>
    <r>
      <rPr>
        <sz val="10"/>
        <rFont val="SimSun"/>
        <charset val="134"/>
      </rPr>
      <t>葛洲坝</t>
    </r>
  </si>
  <si>
    <r>
      <rPr>
        <sz val="10"/>
        <rFont val="SimSun"/>
        <charset val="134"/>
      </rPr>
      <t>宜都</t>
    </r>
  </si>
  <si>
    <r>
      <rPr>
        <sz val="10"/>
        <rFont val="SimSun"/>
        <charset val="134"/>
      </rPr>
      <t>西北</t>
    </r>
  </si>
  <si>
    <r>
      <rPr>
        <sz val="10"/>
        <rFont val="SimSun"/>
        <charset val="134"/>
      </rPr>
      <t>老挝</t>
    </r>
  </si>
  <si>
    <r>
      <rPr>
        <sz val="10"/>
        <rFont val="SimSun"/>
        <charset val="134"/>
      </rPr>
      <t>缅甸</t>
    </r>
  </si>
  <si>
    <r>
      <rPr>
        <sz val="10"/>
        <rFont val="SimSun"/>
        <charset val="134"/>
      </rPr>
      <t>越南</t>
    </r>
  </si>
  <si>
    <t>送出地区</t>
    <phoneticPr fontId="3" type="noConversion"/>
  </si>
  <si>
    <t>送入地区</t>
    <phoneticPr fontId="3" type="noConversion"/>
  </si>
  <si>
    <r>
      <rPr>
        <sz val="10"/>
        <rFont val="SimSun"/>
        <charset val="134"/>
      </rPr>
      <t>电量</t>
    </r>
  </si>
  <si>
    <r>
      <rPr>
        <sz val="10"/>
        <rFont val="SimSun"/>
        <charset val="134"/>
      </rPr>
      <t>进出口电量合计</t>
    </r>
  </si>
  <si>
    <r>
      <t>(</t>
    </r>
    <r>
      <rPr>
        <sz val="10"/>
        <rFont val="SimSun"/>
        <charset val="134"/>
      </rPr>
      <t>一）进口</t>
    </r>
  </si>
  <si>
    <r>
      <rPr>
        <sz val="10"/>
        <rFont val="SimSun"/>
        <charset val="134"/>
      </rPr>
      <t>辽宁购朝鲜</t>
    </r>
  </si>
  <si>
    <r>
      <rPr>
        <sz val="10"/>
        <rFont val="SimSun"/>
        <charset val="134"/>
      </rPr>
      <t>内蒙古购蒙古国</t>
    </r>
  </si>
  <si>
    <r>
      <rPr>
        <sz val="10"/>
        <rFont val="SimSun"/>
        <charset val="134"/>
      </rPr>
      <t>黑龙江购俄罗斯</t>
    </r>
  </si>
  <si>
    <r>
      <rPr>
        <sz val="10"/>
        <rFont val="SimSun"/>
        <charset val="134"/>
      </rPr>
      <t>广东购香港特别行政区</t>
    </r>
  </si>
  <si>
    <r>
      <rPr>
        <sz val="10"/>
        <rFont val="SimSun"/>
        <charset val="134"/>
      </rPr>
      <t>云南购緬甸</t>
    </r>
  </si>
  <si>
    <r>
      <rPr>
        <sz val="10"/>
        <rFont val="SimSun"/>
        <charset val="134"/>
      </rPr>
      <t>云南购老挝</t>
    </r>
  </si>
  <si>
    <r>
      <t>(</t>
    </r>
    <r>
      <rPr>
        <sz val="10"/>
        <rFont val="SimSun"/>
        <charset val="134"/>
      </rPr>
      <t>二）出口</t>
    </r>
  </si>
  <si>
    <r>
      <rPr>
        <sz val="10"/>
        <rFont val="SimSun"/>
        <charset val="134"/>
      </rPr>
      <t>辽宁送朝鲜</t>
    </r>
  </si>
  <si>
    <r>
      <rPr>
        <sz val="10"/>
        <rFont val="SimSun"/>
        <charset val="134"/>
      </rPr>
      <t>广东售香港特别行政区</t>
    </r>
  </si>
  <si>
    <r>
      <rPr>
        <sz val="10"/>
        <rFont val="SimSun"/>
        <charset val="134"/>
      </rPr>
      <t>广东送香港特别行政区</t>
    </r>
  </si>
  <si>
    <r>
      <rPr>
        <sz val="10"/>
        <rFont val="SimSun"/>
        <charset val="134"/>
      </rPr>
      <t>广东售澳门特别行政区</t>
    </r>
  </si>
  <si>
    <r>
      <rPr>
        <sz val="10"/>
        <rFont val="SimSun"/>
        <charset val="134"/>
      </rPr>
      <t>云南送越南</t>
    </r>
  </si>
  <si>
    <r>
      <rPr>
        <sz val="10"/>
        <rFont val="SimSun"/>
        <charset val="134"/>
      </rPr>
      <t>广西送越南</t>
    </r>
  </si>
  <si>
    <r>
      <rPr>
        <sz val="10"/>
        <rFont val="SimSun"/>
        <charset val="134"/>
      </rPr>
      <t>云南送緬甸</t>
    </r>
  </si>
  <si>
    <r>
      <rPr>
        <sz val="10"/>
        <rFont val="SimSun"/>
        <charset val="134"/>
      </rPr>
      <t>云南送老挝</t>
    </r>
  </si>
  <si>
    <r>
      <rPr>
        <sz val="10"/>
        <rFont val="SimSun"/>
        <charset val="134"/>
      </rPr>
      <t>新疆送蒙古国</t>
    </r>
  </si>
  <si>
    <t>序号</t>
    <phoneticPr fontId="3" type="noConversion"/>
  </si>
  <si>
    <t>跨省跨区输电线路</t>
    <phoneticPr fontId="3" type="noConversion"/>
  </si>
  <si>
    <t>线路长度</t>
    <phoneticPr fontId="3" type="noConversion"/>
  </si>
  <si>
    <t>电压等级</t>
    <phoneticPr fontId="3" type="noConversion"/>
  </si>
  <si>
    <t>开工时间</t>
    <phoneticPr fontId="3" type="noConversion"/>
  </si>
  <si>
    <t>投运时间</t>
    <phoneticPr fontId="3" type="noConversion"/>
  </si>
  <si>
    <t>±330</t>
    <phoneticPr fontId="3" type="noConversion"/>
  </si>
  <si>
    <t>2010年</t>
    <phoneticPr fontId="3" type="noConversion"/>
  </si>
  <si>
    <t>鲁西背靠背直流异步联网工程</t>
    <phoneticPr fontId="3" type="noConversion"/>
  </si>
  <si>
    <t>±500</t>
    <phoneticPr fontId="3" type="noConversion"/>
  </si>
  <si>
    <t>葛南直流</t>
    <phoneticPr fontId="3" type="noConversion"/>
  </si>
  <si>
    <t>高岭背靠背直流（东北-华北直流联网工程）</t>
    <phoneticPr fontId="3" type="noConversion"/>
  </si>
  <si>
    <t>银东直流</t>
    <phoneticPr fontId="3" type="noConversion"/>
  </si>
  <si>
    <t>锦界/府谷送河北</t>
    <phoneticPr fontId="3" type="noConversion"/>
  </si>
  <si>
    <t>辛洹线</t>
    <phoneticPr fontId="3" type="noConversion"/>
  </si>
  <si>
    <t>2011年</t>
  </si>
  <si>
    <t>直流交流</t>
    <phoneticPr fontId="3" type="noConversion"/>
  </si>
  <si>
    <t>交流</t>
    <phoneticPr fontId="3" type="noConversion"/>
  </si>
  <si>
    <t>直流</t>
    <phoneticPr fontId="3" type="noConversion"/>
  </si>
  <si>
    <t>环流容量（万千瓦安）</t>
    <phoneticPr fontId="3" type="noConversion"/>
  </si>
  <si>
    <t>±420</t>
  </si>
  <si>
    <t>晋东南-南阳-荆门1000千伏特高压交流工程</t>
    <phoneticPr fontId="3" type="noConversion"/>
  </si>
  <si>
    <t>淮南-浙北-上海1000千伏特高压交流输电工程</t>
    <phoneticPr fontId="3" type="noConversion"/>
  </si>
  <si>
    <t>2x649</t>
  </si>
  <si>
    <t>张北-雄安1000千伏特高压交流工程</t>
    <phoneticPr fontId="3" type="noConversion"/>
  </si>
  <si>
    <t>浙北-福州1000千伏特高压交流输电工程</t>
    <phoneticPr fontId="3" type="noConversion"/>
  </si>
  <si>
    <t>2x603</t>
  </si>
  <si>
    <t>淮南-南京-上海1000千伏特高压交流输电工程</t>
    <phoneticPr fontId="3" type="noConversion"/>
  </si>
  <si>
    <t>2x738</t>
  </si>
  <si>
    <t>锡盟-山东1000千伏特高压交流输电工程</t>
    <phoneticPr fontId="3" type="noConversion"/>
  </si>
  <si>
    <t>2x730</t>
  </si>
  <si>
    <t>青海格尔木-西藏拉萨±400千伏直流联网工程</t>
    <phoneticPr fontId="3" type="noConversion"/>
  </si>
  <si>
    <t>±400</t>
  </si>
  <si>
    <t>蒙西-天津南1000千伏特高压交流输电工程</t>
    <phoneticPr fontId="3" type="noConversion"/>
  </si>
  <si>
    <t>2x608</t>
  </si>
  <si>
    <t>三峡-上海±500千伏直流输电工程</t>
    <phoneticPr fontId="3" type="noConversion"/>
  </si>
  <si>
    <t>±500</t>
  </si>
  <si>
    <t>榆横-潍坊1000千伏特高压交流输电工程</t>
    <phoneticPr fontId="3" type="noConversion"/>
  </si>
  <si>
    <t>2x1049</t>
  </si>
  <si>
    <t>锡盟-胜利1000千伏特高压交流输电工程</t>
    <phoneticPr fontId="3" type="noConversion"/>
  </si>
  <si>
    <t>2x240</t>
  </si>
  <si>
    <t>山东-河北1000千伏特高压交流输电工程</t>
    <phoneticPr fontId="3" type="noConversion"/>
  </si>
  <si>
    <t>北京西-石家庄1000千伏特高压交流输电工程</t>
    <phoneticPr fontId="3" type="noConversion"/>
  </si>
  <si>
    <t>2x228</t>
  </si>
  <si>
    <t>蒙西-晋中1000千伏特高压交流工程</t>
    <phoneticPr fontId="3" type="noConversion"/>
  </si>
  <si>
    <t>2x304</t>
  </si>
  <si>
    <t>南阳-荆门-长沙1000千伏特高压交流工程</t>
    <phoneticPr fontId="3" type="noConversion"/>
  </si>
  <si>
    <t>云贵互联通道±500千伏直流工程</t>
    <phoneticPr fontId="3" type="noConversion"/>
  </si>
  <si>
    <t>呼伦贝尔-辽宁±500直流输电工程</t>
    <phoneticPr fontId="3" type="noConversion"/>
  </si>
  <si>
    <t>三峡-广东±500千伏直流输电工程</t>
    <phoneticPr fontId="3" type="noConversion"/>
  </si>
  <si>
    <t>三峡-常州±500千伏直流输电工程</t>
    <phoneticPr fontId="3" type="noConversion"/>
  </si>
  <si>
    <t>德宝直流（四川德阳-陕西宝鸡）</t>
    <phoneticPr fontId="3" type="noConversion"/>
  </si>
  <si>
    <t>苏通GIL综合管廊工程</t>
    <phoneticPr fontId="3" type="noConversion"/>
  </si>
  <si>
    <t>内蒙古临河北500千伏输变电工程</t>
    <phoneticPr fontId="3" type="noConversion"/>
  </si>
  <si>
    <t>天广直流（天生桥-广州）</t>
    <phoneticPr fontId="3" type="noConversion"/>
  </si>
  <si>
    <t>±660</t>
  </si>
  <si>
    <t>云南-广州±800千伏特高压直流输电工程</t>
    <phoneticPr fontId="3" type="noConversion"/>
  </si>
  <si>
    <t>锦屏-苏南±800千伏特高压直流输电工程</t>
    <phoneticPr fontId="3" type="noConversion"/>
  </si>
  <si>
    <t>宁东-浙江±800千伏特高压直流输电工程</t>
    <phoneticPr fontId="3" type="noConversion"/>
  </si>
  <si>
    <t>酒泉-湖南±800千伏特高压直流输电工程</t>
    <phoneticPr fontId="3" type="noConversion"/>
  </si>
  <si>
    <t>锡盟-江苏泰州±800千伏特高压直流输电工程</t>
    <phoneticPr fontId="3" type="noConversion"/>
  </si>
  <si>
    <t>扎鲁特-青州±800千伏特高压直流输电工程</t>
    <phoneticPr fontId="3" type="noConversion"/>
  </si>
  <si>
    <t>青海-河南±800千伏特高压直流工程</t>
    <phoneticPr fontId="3" type="noConversion"/>
  </si>
  <si>
    <t>陕北-湖北±800千伏特高压直流工程</t>
    <phoneticPr fontId="3" type="noConversion"/>
  </si>
  <si>
    <t>白鹤滩-江苏±800千伏特高压直流工程</t>
    <phoneticPr fontId="3" type="noConversion"/>
  </si>
  <si>
    <t>闽粤联网直流背靠背及相关配套工程</t>
    <phoneticPr fontId="3" type="noConversion"/>
  </si>
  <si>
    <t>2006年8月</t>
  </si>
  <si>
    <t>交流</t>
  </si>
  <si>
    <t>2018年5月</t>
  </si>
  <si>
    <t>2011年10月</t>
  </si>
  <si>
    <t>2013年4月</t>
  </si>
  <si>
    <t>2016年1月</t>
  </si>
  <si>
    <t>2014年7月</t>
  </si>
  <si>
    <t>灵宝直流</t>
  </si>
  <si>
    <t>2014年11月</t>
  </si>
  <si>
    <t>2015年3月</t>
  </si>
  <si>
    <t>2004年12月</t>
  </si>
  <si>
    <t>2015年5月</t>
  </si>
  <si>
    <t>2005年6月</t>
  </si>
  <si>
    <t>2016年4月</t>
  </si>
  <si>
    <t>2017年7月</t>
  </si>
  <si>
    <t>2011年2月</t>
  </si>
  <si>
    <t>2017年1月</t>
  </si>
  <si>
    <t>2018年3月</t>
  </si>
  <si>
    <t>±500千伏海南联网I回工程</t>
    <phoneticPr fontId="3" type="noConversion"/>
  </si>
  <si>
    <t>阳城送江苏</t>
  </si>
  <si>
    <t>1984年</t>
  </si>
  <si>
    <t>新疆与西北主网联网750千伏第二通道输变电工程</t>
    <phoneticPr fontId="3" type="noConversion"/>
  </si>
  <si>
    <t>2008年</t>
  </si>
  <si>
    <t>2016年8月</t>
  </si>
  <si>
    <t>2010年</t>
  </si>
  <si>
    <t>宁东工程</t>
  </si>
  <si>
    <t>2009年6月</t>
  </si>
  <si>
    <t>2011年12月</t>
  </si>
  <si>
    <t>2012年5月</t>
  </si>
  <si>
    <t>2012年7月</t>
  </si>
  <si>
    <t>2014年9月</t>
  </si>
  <si>
    <t>2015年6月</t>
  </si>
  <si>
    <t>2015年12月</t>
  </si>
  <si>
    <t>直流</t>
  </si>
  <si>
    <t>白鹤滩-浙江±800千伏直流工程</t>
    <phoneticPr fontId="3" type="noConversion"/>
  </si>
  <si>
    <t>昌吉-古泉±1100千伏特高压直流输电工程</t>
    <phoneticPr fontId="3" type="noConversion"/>
  </si>
  <si>
    <t>柴达木</t>
    <phoneticPr fontId="3" type="noConversion"/>
  </si>
  <si>
    <t>西藏自治区</t>
    <phoneticPr fontId="3" type="noConversion"/>
  </si>
  <si>
    <t>拉萨</t>
    <phoneticPr fontId="3" type="noConversion"/>
  </si>
  <si>
    <t>银川东</t>
    <phoneticPr fontId="3" type="noConversion"/>
  </si>
  <si>
    <t>胶东</t>
    <phoneticPr fontId="3" type="noConversion"/>
  </si>
  <si>
    <t>辽宁省</t>
    <phoneticPr fontId="3" type="noConversion"/>
  </si>
  <si>
    <t>柴拉直流</t>
    <phoneticPr fontId="3" type="noConversion"/>
  </si>
  <si>
    <t>德阳</t>
    <phoneticPr fontId="3" type="noConversion"/>
  </si>
  <si>
    <t>龙政直流</t>
    <phoneticPr fontId="3" type="noConversion"/>
  </si>
  <si>
    <t>国家电网建成呼辽±500千伏直流输电工程－国务院国有资产监督管理委员会 (sasac.gov.cn)</t>
  </si>
  <si>
    <t>三峡</t>
    <phoneticPr fontId="3" type="noConversion"/>
  </si>
  <si>
    <t>三峡-上海±500千伏直流输电工程大负荷试验成功 (www.gov.cn)</t>
  </si>
  <si>
    <t>三峡广东±500千伏直流输电工程通过验收-搜狐财经 (sohu.com)</t>
  </si>
  <si>
    <t>荆州</t>
    <phoneticPr fontId="3" type="noConversion"/>
  </si>
  <si>
    <t>惠州</t>
    <phoneticPr fontId="3" type="noConversion"/>
  </si>
  <si>
    <t>葛南直流输电系统十年运行的回顾与展望 - 豆丁网 (docin.com)</t>
  </si>
  <si>
    <t>葛洲坝-上海南桥±500千伏直流输电工程</t>
    <phoneticPr fontId="3" type="noConversion"/>
  </si>
  <si>
    <t>三沪直流/宜华直流</t>
    <phoneticPr fontId="3" type="noConversion"/>
  </si>
  <si>
    <t>华新</t>
    <phoneticPr fontId="3" type="noConversion"/>
  </si>
  <si>
    <t>中州</t>
    <phoneticPr fontId="3" type="noConversion"/>
  </si>
  <si>
    <t>哈密天山</t>
    <phoneticPr fontId="3" type="noConversion"/>
  </si>
  <si>
    <t>灵宝背靠背换流站简介 - 百度文库 (baidu.com)</t>
  </si>
  <si>
    <t>罗敷变电站</t>
    <phoneticPr fontId="3" type="noConversion"/>
  </si>
  <si>
    <t>灵宝背靠背工程</t>
    <phoneticPr fontId="3" type="noConversion"/>
  </si>
  <si>
    <t>三门峡灵宝（紫东变电站）</t>
    <phoneticPr fontId="3" type="noConversion"/>
  </si>
  <si>
    <t>沙河营变电站</t>
    <phoneticPr fontId="3" type="noConversion"/>
  </si>
  <si>
    <t>天马变电站</t>
    <phoneticPr fontId="3" type="noConversion"/>
  </si>
  <si>
    <t>中国的背靠背直流工程-国际电力网 (in-en.com)</t>
  </si>
  <si>
    <t>罗平变电站</t>
    <phoneticPr fontId="3" type="noConversion"/>
  </si>
  <si>
    <t>渝鄂直流背靠背联网工程北通道</t>
    <phoneticPr fontId="3" type="noConversion"/>
  </si>
  <si>
    <t>渝鄂直流背靠背联网工程南通道</t>
    <phoneticPr fontId="3" type="noConversion"/>
  </si>
  <si>
    <t>重庆市</t>
    <phoneticPr fontId="3" type="noConversion"/>
  </si>
  <si>
    <t>宜昌市龙泉换流站</t>
    <phoneticPr fontId="3" type="noConversion"/>
  </si>
  <si>
    <t>九盘变电站</t>
    <phoneticPr fontId="3" type="noConversion"/>
  </si>
  <si>
    <t>张家坝变电站</t>
    <phoneticPr fontId="3" type="noConversion"/>
  </si>
  <si>
    <t>恩施变电站</t>
    <phoneticPr fontId="3" type="noConversion"/>
  </si>
  <si>
    <t>三广直流/江城直流</t>
    <phoneticPr fontId="3" type="noConversion"/>
  </si>
  <si>
    <t>东林变</t>
    <phoneticPr fontId="3" type="noConversion"/>
  </si>
  <si>
    <t>嘉应变</t>
    <phoneticPr fontId="3" type="noConversion"/>
  </si>
  <si>
    <t>新东直流</t>
    <phoneticPr fontId="3" type="noConversion"/>
  </si>
  <si>
    <t>滇西北-广东±800千伏特高压直流输电工程</t>
    <phoneticPr fontId="3" type="noConversion"/>
  </si>
  <si>
    <t>大理剑川新松换流站</t>
    <phoneticPr fontId="3" type="noConversion"/>
  </si>
  <si>
    <t>深圳宝安东方换流站</t>
    <phoneticPr fontId="3" type="noConversion"/>
  </si>
  <si>
    <t>丽江金官换流站</t>
    <phoneticPr fontId="3" type="noConversion"/>
  </si>
  <si>
    <t>金中直流</t>
    <phoneticPr fontId="3" type="noConversion"/>
  </si>
  <si>
    <t>云南金沙江-广西±500千伏直流输电工程</t>
    <phoneticPr fontId="3" type="noConversion"/>
  </si>
  <si>
    <t>广西壮族自治区</t>
    <phoneticPr fontId="3" type="noConversion"/>
  </si>
  <si>
    <t>柳州柳南换流站</t>
    <phoneticPr fontId="3" type="noConversion"/>
  </si>
  <si>
    <t>糯扎渡工程/普侨直流</t>
    <phoneticPr fontId="3" type="noConversion"/>
  </si>
  <si>
    <t>云南普洱-广东江门±800千伏特高压直流输电工程</t>
    <phoneticPr fontId="3" type="noConversion"/>
  </si>
  <si>
    <t>普洱换流站</t>
    <phoneticPr fontId="3" type="noConversion"/>
  </si>
  <si>
    <t>江门侨乡换流站</t>
    <phoneticPr fontId="3" type="noConversion"/>
  </si>
  <si>
    <t>云南省，广西壮族自治区，贵州省</t>
    <phoneticPr fontId="3" type="noConversion"/>
  </si>
  <si>
    <t>天生桥换流站</t>
    <phoneticPr fontId="3" type="noConversion"/>
  </si>
  <si>
    <t>广州换流站</t>
    <phoneticPr fontId="3" type="noConversion"/>
  </si>
  <si>
    <t>贵广二回</t>
    <phoneticPr fontId="3" type="noConversion"/>
  </si>
  <si>
    <t>高肇直流</t>
    <phoneticPr fontId="3" type="noConversion"/>
  </si>
  <si>
    <t>兴安直流</t>
    <phoneticPr fontId="3" type="noConversion"/>
  </si>
  <si>
    <t>深圳宝安</t>
    <phoneticPr fontId="3" type="noConversion"/>
  </si>
  <si>
    <t>兴仁</t>
    <phoneticPr fontId="3" type="noConversion"/>
  </si>
  <si>
    <t>溪洛渡右岸送广州±500千伏双回I</t>
    <phoneticPr fontId="3" type="noConversion"/>
  </si>
  <si>
    <t>溪洛渡右岸送广州±500千伏双回II</t>
    <phoneticPr fontId="3" type="noConversion"/>
  </si>
  <si>
    <t>溪广直流/牛从直流I</t>
    <phoneticPr fontId="3" type="noConversion"/>
  </si>
  <si>
    <t>溪广直流/牛从直流II</t>
    <phoneticPr fontId="3" type="noConversion"/>
  </si>
  <si>
    <t>昭通牛寨换流站</t>
    <phoneticPr fontId="3" type="noConversion"/>
  </si>
  <si>
    <t>从化从西换流站</t>
    <phoneticPr fontId="3" type="noConversion"/>
  </si>
  <si>
    <t>云广直流/楚穗直流</t>
    <phoneticPr fontId="3" type="noConversion"/>
  </si>
  <si>
    <t>楚雄换流站</t>
    <phoneticPr fontId="3" type="noConversion"/>
  </si>
  <si>
    <t>增城穗东换流站</t>
    <phoneticPr fontId="3" type="noConversion"/>
  </si>
  <si>
    <t>云南省，贵州省</t>
    <phoneticPr fontId="3" type="noConversion"/>
  </si>
  <si>
    <t>禄劝换流站，高坡换流站</t>
    <phoneticPr fontId="3" type="noConversion"/>
  </si>
  <si>
    <t>肇庆换流站</t>
    <phoneticPr fontId="3" type="noConversion"/>
  </si>
  <si>
    <t>宁东</t>
    <phoneticPr fontId="3" type="noConversion"/>
  </si>
  <si>
    <t>青岛</t>
    <phoneticPr fontId="3" type="noConversion"/>
  </si>
  <si>
    <t>±500千伏海南联网II回工程</t>
    <phoneticPr fontId="3" type="noConversion"/>
  </si>
  <si>
    <t>海南省</t>
    <phoneticPr fontId="3" type="noConversion"/>
  </si>
  <si>
    <t>湛江南岭</t>
    <phoneticPr fontId="3" type="noConversion"/>
  </si>
  <si>
    <t>澄迈福山</t>
    <phoneticPr fontId="3" type="noConversion"/>
  </si>
  <si>
    <t>白鹤滩</t>
    <phoneticPr fontId="3" type="noConversion"/>
  </si>
  <si>
    <t>浙北换流站</t>
    <phoneticPr fontId="3" type="noConversion"/>
  </si>
  <si>
    <t>向上工程/复奉直流</t>
  </si>
  <si>
    <t>向家坝-上海±800千伏特高压直流输电工理</t>
    <phoneticPr fontId="3" type="noConversion"/>
  </si>
  <si>
    <t>天中直流/哈郑工程</t>
    <phoneticPr fontId="3" type="noConversion"/>
  </si>
  <si>
    <t>哈密南-郑州±800千伏特高压直流输电工程</t>
    <phoneticPr fontId="3" type="noConversion"/>
  </si>
  <si>
    <t>乌东德电站送电广东广西特高压多端直流示范工程</t>
    <phoneticPr fontId="3" type="noConversion"/>
  </si>
  <si>
    <t>三端混直</t>
    <phoneticPr fontId="3" type="noConversion"/>
  </si>
  <si>
    <t>线路简称</t>
    <phoneticPr fontId="3" type="noConversion"/>
  </si>
  <si>
    <t>起始站点</t>
    <phoneticPr fontId="3" type="noConversion"/>
  </si>
  <si>
    <t>终止站点</t>
    <phoneticPr fontId="3" type="noConversion"/>
  </si>
  <si>
    <t>线路长度（KM）</t>
    <phoneticPr fontId="3" type="noConversion"/>
  </si>
  <si>
    <t>电压等级（KV）</t>
    <phoneticPr fontId="3" type="noConversion"/>
  </si>
  <si>
    <t>输电容量（万千瓦）</t>
    <phoneticPr fontId="3" type="noConversion"/>
  </si>
  <si>
    <t>额定电流（安）</t>
    <phoneticPr fontId="3" type="noConversion"/>
  </si>
  <si>
    <t>额定功率（万千瓦）</t>
    <phoneticPr fontId="3" type="noConversion"/>
  </si>
  <si>
    <t>换流容量（万千瓦）</t>
    <phoneticPr fontId="3" type="noConversion"/>
  </si>
  <si>
    <t>线路英文</t>
    <phoneticPr fontId="3" type="noConversion"/>
  </si>
  <si>
    <t>相关链接</t>
    <phoneticPr fontId="3" type="noConversion"/>
  </si>
  <si>
    <t>天广I回</t>
    <phoneticPr fontId="3" type="noConversion"/>
  </si>
  <si>
    <t>天广II回</t>
    <phoneticPr fontId="3" type="noConversion"/>
  </si>
  <si>
    <t>天广III回</t>
    <phoneticPr fontId="3" type="noConversion"/>
  </si>
  <si>
    <t>天广IV回</t>
    <phoneticPr fontId="3" type="noConversion"/>
  </si>
  <si>
    <t>贵广I回</t>
    <phoneticPr fontId="3" type="noConversion"/>
  </si>
  <si>
    <t>贵广II回</t>
    <phoneticPr fontId="3" type="noConversion"/>
  </si>
  <si>
    <t>施贤I回</t>
    <phoneticPr fontId="3" type="noConversion"/>
  </si>
  <si>
    <t>施贤II回</t>
    <phoneticPr fontId="3" type="noConversion"/>
  </si>
  <si>
    <t>柔性直流</t>
    <phoneticPr fontId="3" type="noConversion"/>
  </si>
  <si>
    <t>上海南汇示范工程</t>
    <phoneticPr fontId="3" type="noConversion"/>
  </si>
  <si>
    <t>±30</t>
    <phoneticPr fontId="3" type="noConversion"/>
  </si>
  <si>
    <t>电压（KV）</t>
    <phoneticPr fontId="3" type="noConversion"/>
  </si>
  <si>
    <t>容量（MW）</t>
    <phoneticPr fontId="3" type="noConversion"/>
  </si>
  <si>
    <t>投运</t>
    <phoneticPr fontId="3" type="noConversion"/>
  </si>
  <si>
    <t>舟山五端直流</t>
    <phoneticPr fontId="3" type="noConversion"/>
  </si>
  <si>
    <t>±200</t>
    <phoneticPr fontId="3" type="noConversion"/>
  </si>
  <si>
    <t>上海南汇风电场</t>
    <phoneticPr fontId="3" type="noConversion"/>
  </si>
  <si>
    <t>上海书柔换流站</t>
    <phoneticPr fontId="3" type="noConversion"/>
  </si>
  <si>
    <t>上海大冶州变电站</t>
    <phoneticPr fontId="3" type="noConversion"/>
  </si>
  <si>
    <t>渝鄂背靠背</t>
    <phoneticPr fontId="3" type="noConversion"/>
  </si>
  <si>
    <t>鲁西背靠背</t>
    <phoneticPr fontId="3" type="noConversion"/>
  </si>
  <si>
    <t>±320</t>
    <phoneticPr fontId="3" type="noConversion"/>
  </si>
  <si>
    <t>南澳岛青澳换流站</t>
    <phoneticPr fontId="3" type="noConversion"/>
  </si>
  <si>
    <t>南澳岛金牛换流站</t>
    <phoneticPr fontId="3" type="noConversion"/>
  </si>
  <si>
    <t>汕头塑城换流站</t>
    <phoneticPr fontId="3" type="noConversion"/>
  </si>
  <si>
    <t>±160</t>
    <phoneticPr fontId="3" type="noConversion"/>
  </si>
  <si>
    <t>舟山定海</t>
    <phoneticPr fontId="3" type="noConversion"/>
  </si>
  <si>
    <t>舟山岱山</t>
    <phoneticPr fontId="3" type="noConversion"/>
  </si>
  <si>
    <t>舟山衢山</t>
    <phoneticPr fontId="3" type="noConversion"/>
  </si>
  <si>
    <t>舟山洋山</t>
    <phoneticPr fontId="3" type="noConversion"/>
  </si>
  <si>
    <t>舟山泗礁</t>
    <phoneticPr fontId="3" type="noConversion"/>
  </si>
  <si>
    <t>上海柔性直流示范工程地理接线图</t>
    <phoneticPr fontId="3" type="noConversion"/>
  </si>
  <si>
    <t>广东南澳三端直流</t>
    <phoneticPr fontId="3" type="noConversion"/>
  </si>
  <si>
    <t>张北四端直流</t>
    <phoneticPr fontId="3" type="noConversion"/>
  </si>
  <si>
    <t>厦门真双极柔性直流</t>
    <phoneticPr fontId="3" type="noConversion"/>
  </si>
  <si>
    <t>鹭岛湖边换流站</t>
    <phoneticPr fontId="3" type="noConversion"/>
  </si>
  <si>
    <t>浦园彭厝换流站</t>
    <phoneticPr fontId="3" type="noConversion"/>
  </si>
  <si>
    <t>张北</t>
    <phoneticPr fontId="3" type="noConversion"/>
  </si>
  <si>
    <t>康保</t>
    <phoneticPr fontId="3" type="noConversion"/>
  </si>
  <si>
    <t>丰宁</t>
    <phoneticPr fontId="3" type="noConversion"/>
  </si>
  <si>
    <t>京津唐</t>
    <phoneticPr fontId="3" type="noConversion"/>
  </si>
  <si>
    <t>±350</t>
    <phoneticPr fontId="3" type="noConversion"/>
  </si>
  <si>
    <t>±420</t>
    <phoneticPr fontId="3" type="noConversion"/>
  </si>
  <si>
    <t>云南昆北换流站</t>
    <phoneticPr fontId="3" type="noConversion"/>
  </si>
  <si>
    <t>广西柳北换流站</t>
    <phoneticPr fontId="3" type="noConversion"/>
  </si>
  <si>
    <t>广东龙门换流站</t>
    <phoneticPr fontId="3" type="noConversion"/>
  </si>
  <si>
    <t>线路名称</t>
    <phoneticPr fontId="3" type="noConversion"/>
  </si>
  <si>
    <t>技术类型</t>
    <phoneticPr fontId="3" type="noConversion"/>
  </si>
  <si>
    <t>中国的柔性直流工程 (qq.com)</t>
  </si>
  <si>
    <t>广西省</t>
    <phoneticPr fontId="3" type="noConversion"/>
  </si>
  <si>
    <t>滇南I回</t>
    <phoneticPr fontId="3" type="noConversion"/>
  </si>
  <si>
    <t>滇南II回</t>
    <phoneticPr fontId="3" type="noConversion"/>
  </si>
  <si>
    <t>红河</t>
    <phoneticPr fontId="3" type="noConversion"/>
  </si>
  <si>
    <t>南宁</t>
    <phoneticPr fontId="3" type="noConversion"/>
  </si>
  <si>
    <t>砚山</t>
    <phoneticPr fontId="3" type="noConversion"/>
  </si>
  <si>
    <t>靖西</t>
    <phoneticPr fontId="3" type="noConversion"/>
  </si>
  <si>
    <t>施秉-黎平-桂林-贤令山</t>
  </si>
  <si>
    <t>天二电站</t>
  </si>
  <si>
    <t>天生桥</t>
  </si>
  <si>
    <t>云南罗平</t>
  </si>
  <si>
    <t>贵阳青岩</t>
  </si>
  <si>
    <t>黔东南施秉</t>
  </si>
  <si>
    <t>广东佛山罗洞</t>
  </si>
  <si>
    <t>广东茂名</t>
  </si>
  <si>
    <t>广东清远贤令山</t>
  </si>
  <si>
    <t>天二电站-平果-来宾-梧州-罗洞</t>
  </si>
  <si>
    <t>天生桥-百色-南宁-玉林-茂名</t>
  </si>
  <si>
    <t>罗平-百色-南宁-玉林-茂名</t>
  </si>
  <si>
    <t>青岩-河池-柳州-贺州-罗洞</t>
  </si>
  <si>
    <t>路径</t>
    <phoneticPr fontId="3" type="noConversion"/>
  </si>
  <si>
    <t>起点省份</t>
    <phoneticPr fontId="3" type="noConversion"/>
  </si>
  <si>
    <t>起点站</t>
    <phoneticPr fontId="3" type="noConversion"/>
  </si>
  <si>
    <t>终点站</t>
    <phoneticPr fontId="3" type="noConversion"/>
  </si>
  <si>
    <t>砚山-靖西-崇左</t>
    <phoneticPr fontId="3" type="noConversion"/>
  </si>
  <si>
    <t>雁淮直流</t>
    <phoneticPr fontId="3" type="noConversion"/>
  </si>
  <si>
    <t>阳城-淮安</t>
    <phoneticPr fontId="3" type="noConversion"/>
  </si>
  <si>
    <t>阳城电厂</t>
    <phoneticPr fontId="3" type="noConversion"/>
  </si>
  <si>
    <t>淮安</t>
    <phoneticPr fontId="3" type="noConversion"/>
  </si>
  <si>
    <t>锦界&amp;府谷</t>
    <phoneticPr fontId="3" type="noConversion"/>
  </si>
  <si>
    <t>锦界-府谷-忻都-正定</t>
    <phoneticPr fontId="3" type="noConversion"/>
  </si>
  <si>
    <t>正定</t>
    <phoneticPr fontId="3" type="noConversion"/>
  </si>
  <si>
    <t>辛安-洹安</t>
    <phoneticPr fontId="3" type="noConversion"/>
  </si>
  <si>
    <t>辛安</t>
    <phoneticPr fontId="3" type="noConversion"/>
  </si>
  <si>
    <t>洹安</t>
    <phoneticPr fontId="3" type="noConversion"/>
  </si>
  <si>
    <t>2x1079</t>
    <phoneticPr fontId="3" type="noConversion"/>
  </si>
  <si>
    <t>哈密边关墩-哈密南-沙洲-鱼卡-柴达木-敦煌</t>
    <phoneticPr fontId="3" type="noConversion"/>
  </si>
  <si>
    <t>新疆</t>
    <phoneticPr fontId="3" type="noConversion"/>
  </si>
  <si>
    <t>青海</t>
    <phoneticPr fontId="3" type="noConversion"/>
  </si>
  <si>
    <t>格尔木</t>
    <phoneticPr fontId="3" type="noConversion"/>
  </si>
  <si>
    <t>哈密</t>
    <phoneticPr fontId="3" type="noConversion"/>
  </si>
  <si>
    <t>苏州-南通</t>
    <phoneticPr fontId="3" type="noConversion"/>
  </si>
  <si>
    <t>苏州</t>
    <phoneticPr fontId="3" type="noConversion"/>
  </si>
  <si>
    <t>南通</t>
    <phoneticPr fontId="3" type="noConversion"/>
  </si>
  <si>
    <t>金安桥水电站</t>
    <phoneticPr fontId="3" type="noConversion"/>
  </si>
  <si>
    <t>金安桥水电站-楚雄</t>
    <phoneticPr fontId="3" type="noConversion"/>
  </si>
  <si>
    <t>巴里坤哈萨克自治县</t>
  </si>
  <si>
    <t>渝北区</t>
  </si>
  <si>
    <t>新疆自治区</t>
    <phoneticPr fontId="3" type="noConversion"/>
  </si>
  <si>
    <t>红河-南宁</t>
    <phoneticPr fontId="3" type="noConversion"/>
  </si>
  <si>
    <t>宁夏灵武市白土岗乡灵州</t>
  </si>
  <si>
    <t>诸暨市次坞镇绍兴换流站</t>
    <phoneticPr fontId="3" type="noConversion"/>
  </si>
  <si>
    <t>四川宜宾复龙换流站</t>
  </si>
  <si>
    <t>上海奉贤换流站</t>
  </si>
  <si>
    <t>西昌市裕隆乡锦屏换流站</t>
  </si>
  <si>
    <t>苏州市苏州换流站</t>
  </si>
  <si>
    <t>溪浙工程</t>
  </si>
  <si>
    <t>宜宾双龙换流站</t>
  </si>
  <si>
    <t>浙江金华换流站</t>
  </si>
  <si>
    <t>鲁西换流站</t>
  </si>
  <si>
    <t>宝鸡换流站</t>
  </si>
  <si>
    <t>山西晋北一江苏南京±800千伏特高压直流输电工程</t>
    <phoneticPr fontId="3" type="noConversion"/>
  </si>
  <si>
    <t>晋北换流站</t>
    <phoneticPr fontId="3" type="noConversion"/>
  </si>
  <si>
    <t>南京换流站</t>
    <phoneticPr fontId="3" type="noConversion"/>
  </si>
  <si>
    <t>酒泉桥湾换流站</t>
    <phoneticPr fontId="3" type="noConversion"/>
  </si>
  <si>
    <t>湖南湘潭(射埠)换流站</t>
  </si>
  <si>
    <t>锡盟换流站</t>
    <phoneticPr fontId="3" type="noConversion"/>
  </si>
  <si>
    <t>泰州换流站</t>
    <phoneticPr fontId="3" type="noConversion"/>
  </si>
  <si>
    <t>上海庙—临沂特高压直流输电工程</t>
    <phoneticPr fontId="3" type="noConversion"/>
  </si>
  <si>
    <t>内蒙古上海庙</t>
  </si>
  <si>
    <t>云南省大理州剑川县</t>
  </si>
  <si>
    <t>广东省深圳市宝安区</t>
  </si>
  <si>
    <t>新疆准东（昌吉）换流站</t>
    <phoneticPr fontId="3" type="noConversion"/>
  </si>
  <si>
    <t>安徽宣城（古泉）换流站</t>
  </si>
  <si>
    <t>四川省盐源县</t>
  </si>
  <si>
    <t>江西省抚州市</t>
  </si>
  <si>
    <t>江西省抚州市鄱阳湖换流站</t>
    <phoneticPr fontId="3" type="noConversion"/>
  </si>
  <si>
    <t>凉山州盐源县雅砻江换流站</t>
    <phoneticPr fontId="3" type="noConversion"/>
  </si>
  <si>
    <t>榆林市陕北换流站</t>
  </si>
  <si>
    <t>武汉市武汉换流站</t>
  </si>
  <si>
    <t>昆柳龙直流工程</t>
    <phoneticPr fontId="3" type="noConversion"/>
  </si>
  <si>
    <t>昆明市禄劝县昆北换流站、柳州市鹿寨县柳北换流站</t>
    <phoneticPr fontId="3" type="noConversion"/>
  </si>
  <si>
    <t>惠州市龙门县龙门换流站</t>
    <phoneticPr fontId="3" type="noConversion"/>
  </si>
  <si>
    <t>河南省驻马店市</t>
    <phoneticPr fontId="3" type="noConversion"/>
  </si>
  <si>
    <t>青海省海南藏族自治州</t>
    <phoneticPr fontId="3" type="noConversion"/>
  </si>
  <si>
    <t>海南换流站</t>
  </si>
  <si>
    <t>驻马店换流站</t>
    <phoneticPr fontId="3" type="noConversion"/>
  </si>
  <si>
    <t>四川省凉山州布拖县</t>
    <phoneticPr fontId="3" type="noConversion"/>
  </si>
  <si>
    <t>江苏省苏州常熟</t>
    <phoneticPr fontId="3" type="noConversion"/>
  </si>
  <si>
    <t>全球首个混合级联特高压直流工程</t>
  </si>
  <si>
    <t>虞城换流站</t>
    <phoneticPr fontId="3" type="noConversion"/>
  </si>
  <si>
    <t>南桥换流站</t>
    <phoneticPr fontId="3" type="noConversion"/>
  </si>
  <si>
    <t>宜昌葛洲坝换流站</t>
    <phoneticPr fontId="3" type="noConversion"/>
  </si>
  <si>
    <t>三峡龙泉换流站</t>
    <phoneticPr fontId="3" type="noConversion"/>
  </si>
  <si>
    <t>常州政平换流站</t>
    <phoneticPr fontId="3" type="noConversion"/>
  </si>
  <si>
    <t>贵广一回直流输电工程</t>
    <phoneticPr fontId="3" type="noConversion"/>
  </si>
  <si>
    <t>安顺换流站</t>
    <phoneticPr fontId="3" type="noConversion"/>
  </si>
  <si>
    <t>木家换流站</t>
    <phoneticPr fontId="3" type="noConversion"/>
  </si>
  <si>
    <t>伊敏换流站</t>
    <phoneticPr fontId="3" type="noConversion"/>
  </si>
  <si>
    <t>宜都换流站,</t>
  </si>
  <si>
    <t>晋东南（长治）变电站</t>
  </si>
  <si>
    <t>湖北荆门变电站</t>
  </si>
  <si>
    <t>内蒙古自治区巴彦淖尔市</t>
  </si>
  <si>
    <t>淮南变电站</t>
  </si>
  <si>
    <t>沪西变电站</t>
  </si>
  <si>
    <t>淮南-皖南、浙北-上海</t>
    <phoneticPr fontId="3" type="noConversion"/>
  </si>
  <si>
    <t>浙北变电站</t>
    <phoneticPr fontId="3" type="noConversion"/>
  </si>
  <si>
    <t>福州变电站</t>
    <phoneticPr fontId="3" type="noConversion"/>
  </si>
  <si>
    <t>天津南变电站</t>
    <phoneticPr fontId="3" type="noConversion"/>
  </si>
  <si>
    <t>准格尔旗蒙西变电站</t>
    <phoneticPr fontId="3" type="noConversion"/>
  </si>
  <si>
    <t>特高压锡盟站</t>
  </si>
  <si>
    <t>特高压胜利站</t>
  </si>
  <si>
    <t>锡盟-锡盟锡林浩特市、正蓝旗、多伦县-胜利</t>
    <phoneticPr fontId="3" type="noConversion"/>
  </si>
  <si>
    <t>驻马店变电站</t>
    <phoneticPr fontId="3" type="noConversion"/>
  </si>
  <si>
    <t>南阳变电站</t>
    <phoneticPr fontId="3" type="noConversion"/>
  </si>
  <si>
    <t>河南省驻马店市、平顶山市和南阳市</t>
  </si>
  <si>
    <t>张家口张北特高压变电站</t>
  </si>
  <si>
    <t>保定雄安特高压变电站</t>
  </si>
  <si>
    <t>长沙变电站</t>
    <phoneticPr fontId="3" type="noConversion"/>
  </si>
  <si>
    <t>潍坊变电站</t>
    <phoneticPr fontId="3" type="noConversion"/>
  </si>
  <si>
    <t>石家庄变电站</t>
    <phoneticPr fontId="3" type="noConversion"/>
  </si>
  <si>
    <t>蒙西变电站</t>
  </si>
  <si>
    <t>晋中变电站</t>
  </si>
  <si>
    <t>北京西变电站（即雄安变电站）</t>
  </si>
  <si>
    <t>金安桥水电站送出工程</t>
    <phoneticPr fontId="3" type="noConversion"/>
  </si>
  <si>
    <t>Transmission Capacity Across Modeled Region Border (MW)</t>
  </si>
  <si>
    <t>MW</t>
  </si>
  <si>
    <t>Column1</t>
  </si>
  <si>
    <t>name</t>
  </si>
  <si>
    <t>voltage</t>
  </si>
  <si>
    <t>Max Flow</t>
  </si>
  <si>
    <t>Commission Date</t>
  </si>
  <si>
    <t>from_node</t>
  </si>
  <si>
    <t>to_node</t>
  </si>
  <si>
    <t>category</t>
  </si>
  <si>
    <t>天广I回</t>
  </si>
  <si>
    <t>Guangxi</t>
  </si>
  <si>
    <t>Guangdong</t>
  </si>
  <si>
    <t>AC</t>
  </si>
  <si>
    <t>天广II回</t>
  </si>
  <si>
    <t>Shanxi</t>
  </si>
  <si>
    <t>Jiangsu</t>
  </si>
  <si>
    <t>天广III回</t>
  </si>
  <si>
    <t>贵广I回</t>
  </si>
  <si>
    <t>Guizhou</t>
  </si>
  <si>
    <t>贵广II回（贵广两交一直输电总量450</t>
  </si>
  <si>
    <t>天广IV回</t>
  </si>
  <si>
    <t>辛洹线</t>
  </si>
  <si>
    <t>Hebei</t>
  </si>
  <si>
    <t>Henan</t>
  </si>
  <si>
    <t>锦界/府谷送河北</t>
  </si>
  <si>
    <t>Shaanxi</t>
  </si>
  <si>
    <t>滇南II回</t>
  </si>
  <si>
    <t>Yunnan</t>
  </si>
  <si>
    <t>施贤II回</t>
  </si>
  <si>
    <t>施贤I回</t>
  </si>
  <si>
    <t>晋东南-南阳-荆门1000千伏特高压交流工程</t>
  </si>
  <si>
    <t>Hubei</t>
  </si>
  <si>
    <t>金安桥水电站送出工程</t>
  </si>
  <si>
    <t>新疆与西北主网联网750千伏第二通道输变电工程</t>
  </si>
  <si>
    <t>Xinjiang</t>
  </si>
  <si>
    <t>Qinghai</t>
  </si>
  <si>
    <t>淮南-浙北-上海1000千伏特高压交流输电工程</t>
  </si>
  <si>
    <t>Anhui</t>
  </si>
  <si>
    <t>Shanghai</t>
  </si>
  <si>
    <t>浙北-福州1000千伏特高压交流输电工程</t>
  </si>
  <si>
    <t>Zhejiang</t>
  </si>
  <si>
    <t>Fujian</t>
  </si>
  <si>
    <t>滇南I回</t>
  </si>
  <si>
    <t>淮南-南京-上海1000千伏特高压交流输电工程</t>
  </si>
  <si>
    <t>蒙西-天津南1000千伏特高压交流输电工程</t>
  </si>
  <si>
    <t>Inner Mongolia</t>
  </si>
  <si>
    <t>Tianjin</t>
  </si>
  <si>
    <t>锡盟-山东1000千伏特高压交流输电工程</t>
  </si>
  <si>
    <t>Shandong</t>
  </si>
  <si>
    <t>锡盟-胜利1000千伏特高压交流输电工程</t>
  </si>
  <si>
    <t>榆横-潍坊1000千伏特高压交流输电工程</t>
  </si>
  <si>
    <t>驻马店—南阳1000千伏交流特高压输变电工程</t>
  </si>
  <si>
    <t>张北-雄安1000千伏特高压交流工程</t>
  </si>
  <si>
    <t>北京西-石家庄1000千伏特高压交流输电工程</t>
  </si>
  <si>
    <t>山东-河北1000千伏特高压交流输电工程</t>
  </si>
  <si>
    <t>南阳-荆门-长沙1000千伏特高压交流工程</t>
  </si>
  <si>
    <t>Hunan</t>
  </si>
  <si>
    <t>蒙西-晋中1000千伏特高压交流工程</t>
  </si>
  <si>
    <t>苏通GIL综合管廊工程</t>
  </si>
  <si>
    <t>葛洲坝-上海南桥±500千伏直流输电工程</t>
  </si>
  <si>
    <t>DC</t>
  </si>
  <si>
    <t>高岭背靠背直流（东北-华北直流联网工程）</t>
  </si>
  <si>
    <t>Liaoning</t>
  </si>
  <si>
    <t>天广直流（天生桥-广州）</t>
  </si>
  <si>
    <t>灵宝背靠背工程</t>
  </si>
  <si>
    <t>三峡-常州±500千伏直流输电工程</t>
  </si>
  <si>
    <t>贵广一回直流输电工程</t>
  </si>
  <si>
    <t>三峡-广东±500千伏直流输电工程</t>
  </si>
  <si>
    <t>三峡-上海±500千伏直流输电工程</t>
  </si>
  <si>
    <t>贵广二回</t>
  </si>
  <si>
    <t>±500千伏海南联网I回工程</t>
  </si>
  <si>
    <t>Hainan</t>
  </si>
  <si>
    <t>德宝直流（四川德阳-陕西宝鸡）</t>
  </si>
  <si>
    <t>Sichuan</t>
  </si>
  <si>
    <t>云南-广州±800千伏特高压直流输电工程</t>
  </si>
  <si>
    <t>向家坝-上海±800千伏特高压直流输电工理</t>
  </si>
  <si>
    <t>呼伦贝尔-辽宁±500直流输电工程</t>
  </si>
  <si>
    <t>Ningxia</t>
  </si>
  <si>
    <t>银东直流</t>
  </si>
  <si>
    <t>青海格尔木-西藏拉萨±400千伏直流联网工程</t>
  </si>
  <si>
    <t>Xizang</t>
  </si>
  <si>
    <t>锦屏-苏南±800千伏特高压直流输电工程</t>
  </si>
  <si>
    <t>云南普洱-广东江门±800千伏特高压直流输电工程</t>
  </si>
  <si>
    <t>哈密南-郑州±800千伏特高压直流输电工程</t>
  </si>
  <si>
    <t>溪洛渡右岸送广州±500千伏双回I</t>
  </si>
  <si>
    <t>溪洛渡右岸送广州±500千伏双回II</t>
  </si>
  <si>
    <t>溪洛渡左岸-浙江±800千伏特高压直流输电工程</t>
  </si>
  <si>
    <t>云南金沙江-广西±500千伏直流输电工程</t>
  </si>
  <si>
    <t>鲁西背靠背直流异步联网工程</t>
  </si>
  <si>
    <t>宁东-浙江±800千伏特高压直流输电工程</t>
  </si>
  <si>
    <t>山西晋北一江苏南京±800千伏特高压直流输电工程</t>
  </si>
  <si>
    <t>酒泉-湖南±800千伏特高压直流输电工程</t>
  </si>
  <si>
    <t>Gansu</t>
  </si>
  <si>
    <t>锡盟-江苏泰州±800千伏特高压直流输电工程</t>
  </si>
  <si>
    <t>上海庙—临沂特高压直流输电工程</t>
  </si>
  <si>
    <t>扎鲁特-青州±800千伏特高压直流输电工程</t>
  </si>
  <si>
    <t>滇西北-广东±800千伏特高压直流输电工程</t>
  </si>
  <si>
    <t>渝鄂直流背靠背联网工程北通道</t>
  </si>
  <si>
    <t>Chongqing</t>
  </si>
  <si>
    <t>渝鄂直流背靠背联网工程南通道</t>
  </si>
  <si>
    <t>±500千伏海南联网II回工程</t>
  </si>
  <si>
    <t>昌吉-古泉±1100千伏特高压直流输电工程</t>
  </si>
  <si>
    <t>雅中-江西±800千伏特高压直流输电工程</t>
  </si>
  <si>
    <t>Jiangxi</t>
  </si>
  <si>
    <t>陕北-湖北±800千伏特高压直流工程</t>
  </si>
  <si>
    <t>云贵互联通道±500千伏直流工程</t>
  </si>
  <si>
    <t>乌东德电站送电广东广西特高压多端直流示范工程</t>
  </si>
  <si>
    <t>青海-河南±800千伏特高压直流工程</t>
  </si>
  <si>
    <t>白鹤滩-江苏±800千伏特高压直流工程</t>
  </si>
  <si>
    <t>白鹤滩-浙江±800千伏直流工程</t>
  </si>
  <si>
    <t>闽粤联网直流背靠背及相关配套工程</t>
  </si>
  <si>
    <t>哈密—重庆±800千伏特高压直流通道</t>
  </si>
  <si>
    <t>TCAMRB Transmission Capacity Across Modeled Region Border</t>
  </si>
  <si>
    <t>Sources:</t>
  </si>
  <si>
    <t>Interprovincial Transmission Projects</t>
  </si>
  <si>
    <t>Gathered from Online Sources</t>
  </si>
  <si>
    <t>基于网络资料收集整理</t>
  </si>
  <si>
    <t>Total Power Exchange</t>
  </si>
  <si>
    <t>China Electricity Council</t>
  </si>
  <si>
    <t>中国电力工业统计资料汇编</t>
    <phoneticPr fontId="6" type="noConversion"/>
  </si>
  <si>
    <t>Compilation of China Power Sector Statistics</t>
  </si>
  <si>
    <t>2019-2021</t>
    <phoneticPr fontId="6" type="noConversion"/>
  </si>
  <si>
    <t>Chapter 3 (Power Consumption)</t>
  </si>
  <si>
    <t>Notes:</t>
  </si>
  <si>
    <t>Information of interprovincial transmission are gathered from online sources, including locations, technology parameters and construction timelines. However information on lower  voltage interprovincial transmission are harder to find.</t>
  </si>
  <si>
    <r>
      <t>林枫直流/</t>
    </r>
    <r>
      <rPr>
        <b/>
        <sz val="10"/>
        <rFont val="宋体"/>
        <charset val="134"/>
      </rPr>
      <t>三沪直流工程</t>
    </r>
  </si>
  <si>
    <r>
      <t>沪西（枫泾）</t>
    </r>
    <r>
      <rPr>
        <b/>
        <sz val="10"/>
        <rFont val="宋体"/>
        <charset val="134"/>
      </rPr>
      <t>青浦区华新换流站</t>
    </r>
  </si>
  <si>
    <r>
      <t>溪洛渡</t>
    </r>
    <r>
      <rPr>
        <b/>
        <sz val="10"/>
        <rFont val="宋体"/>
        <charset val="134"/>
      </rPr>
      <t>左岸</t>
    </r>
    <r>
      <rPr>
        <sz val="10"/>
        <rFont val="宋体"/>
        <charset val="134"/>
      </rPr>
      <t>-浙</t>
    </r>
    <r>
      <rPr>
        <b/>
        <sz val="10"/>
        <rFont val="宋体"/>
        <charset val="134"/>
      </rPr>
      <t>江</t>
    </r>
    <r>
      <rPr>
        <sz val="10"/>
        <rFont val="宋体"/>
        <charset val="134"/>
      </rPr>
      <t>±800千伏特高压直流输电工程</t>
    </r>
  </si>
  <si>
    <t>酒泉瓜州-湖南湘潭</t>
  </si>
  <si>
    <r>
      <t>雅中-江西±800千伏特高压直流</t>
    </r>
    <r>
      <rPr>
        <b/>
        <sz val="10"/>
        <rFont val="宋体"/>
        <charset val="134"/>
      </rPr>
      <t>输电</t>
    </r>
    <r>
      <rPr>
        <sz val="10"/>
        <rFont val="宋体"/>
        <charset val="134"/>
      </rPr>
      <t>工程</t>
    </r>
  </si>
  <si>
    <r>
      <t>云南省、</t>
    </r>
    <r>
      <rPr>
        <b/>
        <sz val="10"/>
        <rFont val="宋体"/>
        <charset val="134"/>
      </rPr>
      <t>广西省</t>
    </r>
  </si>
  <si>
    <t>白鹤滩水电站（白鹤滩换流站</t>
  </si>
  <si>
    <t>2023年</t>
  </si>
  <si>
    <r>
      <t>晋东南-南阳（</t>
    </r>
    <r>
      <rPr>
        <b/>
        <sz val="10"/>
        <rFont val="宋体"/>
        <charset val="134"/>
      </rPr>
      <t>南阳开关站</t>
    </r>
    <r>
      <rPr>
        <sz val="10"/>
        <rFont val="宋体"/>
        <charset val="134"/>
      </rPr>
      <t>）-荆门</t>
    </r>
  </si>
  <si>
    <t>保定市-辛集市、衡水市、邢台市-石家庄</t>
  </si>
  <si>
    <r>
      <t>南阳-</t>
    </r>
    <r>
      <rPr>
        <b/>
        <sz val="10"/>
        <rFont val="宋体"/>
        <charset val="134"/>
      </rPr>
      <t>襄阳市、</t>
    </r>
    <r>
      <rPr>
        <sz val="10"/>
        <rFont val="宋体"/>
        <charset val="134"/>
      </rPr>
      <t>荆门、</t>
    </r>
    <r>
      <rPr>
        <b/>
        <sz val="10"/>
        <rFont val="宋体"/>
        <charset val="134"/>
      </rPr>
      <t>潜江市、荆州市、岳阳市</t>
    </r>
    <r>
      <rPr>
        <sz val="10"/>
        <rFont val="宋体"/>
        <charset val="134"/>
      </rPr>
      <t>-长沙</t>
    </r>
  </si>
  <si>
    <r>
      <t>蒙西-</t>
    </r>
    <r>
      <rPr>
        <b/>
        <sz val="10"/>
        <rFont val="宋体"/>
        <charset val="134"/>
      </rPr>
      <t>内蒙古自治区鄂尔多斯市，山西省忻州、太原、吕梁</t>
    </r>
    <r>
      <rPr>
        <sz val="10"/>
        <rFont val="宋体"/>
        <charset val="134"/>
      </rPr>
      <t>-晋中</t>
    </r>
  </si>
  <si>
    <r>
      <t>张家口张北-</t>
    </r>
    <r>
      <rPr>
        <sz val="10"/>
        <rFont val="宋体"/>
        <charset val="134"/>
      </rPr>
      <t>保定市</t>
    </r>
    <r>
      <rPr>
        <b/>
        <sz val="10"/>
        <rFont val="宋体"/>
        <charset val="134"/>
      </rPr>
      <t>-雄安</t>
    </r>
  </si>
  <si>
    <t>Total AC Capacity</t>
  </si>
  <si>
    <t>Total DC Capacity</t>
  </si>
  <si>
    <t>交流传输容量（MWA）</t>
  </si>
  <si>
    <t>直流传输容量（MWA）</t>
  </si>
  <si>
    <t>Total Transmission Capacity</t>
  </si>
  <si>
    <t>总传输容量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</si>
</sst>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;@"/>
  </numFmts>
  <fonts count="19">
    <font>
      <sz val="10"/>
      <name val="Arial"/>
    </font>
    <font>
      <sz val="10"/>
      <name val="SimSun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2"/>
      <charset val="134"/>
    </font>
    <font>
      <sz val="10"/>
      <name val="宋体"/>
      <family val="3"/>
      <charset val="134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0"/>
      <name val="Arial"/>
      <family val="2"/>
    </font>
    <font>
      <sz val="10"/>
      <name val="宋体"/>
      <charset val="134"/>
    </font>
    <font>
      <u/>
      <sz val="10"/>
      <color theme="10"/>
      <name val="宋体"/>
      <charset val="134"/>
    </font>
    <font>
      <b/>
      <sz val="10"/>
      <name val="宋体"/>
      <charset val="134"/>
    </font>
    <font>
      <u/>
      <sz val="10"/>
      <name val="宋体"/>
      <charset val="134"/>
    </font>
    <font>
      <sz val="10"/>
      <color rgb="FFFF0000"/>
      <name val="宋体"/>
      <charset val="134"/>
    </font>
    <font>
      <sz val="10"/>
      <color rgb="FF4A4A4A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2" fillId="0" borderId="13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top"/>
    </xf>
    <xf numFmtId="0" fontId="2" fillId="0" borderId="13" xfId="0" applyFont="1" applyBorder="1" applyAlignment="1">
      <alignment horizontal="left" vertical="top" indent="4"/>
    </xf>
    <xf numFmtId="0" fontId="2" fillId="0" borderId="13" xfId="0" applyFont="1" applyBorder="1" applyAlignment="1">
      <alignment horizontal="right"/>
    </xf>
    <xf numFmtId="0" fontId="2" fillId="0" borderId="13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top" indent="5"/>
    </xf>
    <xf numFmtId="0" fontId="2" fillId="0" borderId="13" xfId="0" applyFont="1" applyBorder="1" applyAlignment="1">
      <alignment horizontal="left" vertical="top" indent="1"/>
    </xf>
    <xf numFmtId="0" fontId="2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indent="3"/>
    </xf>
    <xf numFmtId="0" fontId="2" fillId="0" borderId="13" xfId="0" applyFont="1" applyBorder="1" applyAlignment="1">
      <alignment horizontal="left" vertical="top" indent="6"/>
    </xf>
    <xf numFmtId="0" fontId="5" fillId="0" borderId="13" xfId="0" applyFont="1" applyBorder="1" applyAlignment="1">
      <alignment horizontal="center" vertical="center"/>
    </xf>
    <xf numFmtId="0" fontId="6" fillId="0" borderId="0" xfId="1">
      <alignment vertical="center"/>
    </xf>
    <xf numFmtId="0" fontId="7" fillId="0" borderId="0" xfId="3"/>
    <xf numFmtId="0" fontId="8" fillId="0" borderId="0" xfId="3" applyFont="1"/>
    <xf numFmtId="0" fontId="8" fillId="4" borderId="0" xfId="3" applyFont="1" applyFill="1"/>
    <xf numFmtId="0" fontId="7" fillId="0" borderId="0" xfId="3" applyAlignment="1">
      <alignment horizontal="left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>
      <alignment vertical="center"/>
    </xf>
    <xf numFmtId="0" fontId="13" fillId="0" borderId="13" xfId="0" applyFont="1" applyBorder="1" applyAlignment="1">
      <alignment horizontal="left" vertical="center"/>
    </xf>
    <xf numFmtId="0" fontId="13" fillId="0" borderId="0" xfId="0" applyFont="1">
      <alignment vertical="center"/>
    </xf>
    <xf numFmtId="164" fontId="13" fillId="0" borderId="13" xfId="0" applyNumberFormat="1" applyFont="1" applyBorder="1" applyAlignment="1">
      <alignment horizontal="center" vertical="center"/>
    </xf>
    <xf numFmtId="0" fontId="14" fillId="0" borderId="13" xfId="1" applyFont="1" applyBorder="1">
      <alignment vertical="center"/>
    </xf>
    <xf numFmtId="0" fontId="13" fillId="0" borderId="12" xfId="0" applyFont="1" applyBorder="1" applyAlignment="1">
      <alignment horizontal="center" vertical="center"/>
    </xf>
    <xf numFmtId="14" fontId="13" fillId="0" borderId="13" xfId="0" applyNumberFormat="1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6" fillId="0" borderId="0" xfId="1" applyFont="1">
      <alignment vertical="center"/>
    </xf>
    <xf numFmtId="0" fontId="15" fillId="0" borderId="13" xfId="0" applyFont="1" applyBorder="1" applyAlignment="1">
      <alignment horizontal="center" vertical="center"/>
    </xf>
    <xf numFmtId="0" fontId="16" fillId="0" borderId="0" xfId="1" applyFont="1" applyBorder="1">
      <alignment vertical="center"/>
    </xf>
    <xf numFmtId="164" fontId="13" fillId="0" borderId="13" xfId="0" applyNumberFormat="1" applyFont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/>
    </xf>
    <xf numFmtId="14" fontId="13" fillId="0" borderId="13" xfId="0" applyNumberFormat="1" applyFont="1" applyBorder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164" fontId="15" fillId="0" borderId="13" xfId="0" applyNumberFormat="1" applyFont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8" fillId="0" borderId="0" xfId="0" applyFont="1" applyBorder="1">
      <alignment vertical="center"/>
    </xf>
  </cellXfs>
  <cellStyles count="5">
    <cellStyle name="Hyperlink" xfId="1" builtinId="8"/>
    <cellStyle name="Hyperlink 2" xfId="4" xr:uid="{F53A6180-3E9A-4938-BC19-274E4D0798C4}"/>
    <cellStyle name="Normal" xfId="0" builtinId="0"/>
    <cellStyle name="Normal 2" xfId="3" xr:uid="{7D18B598-22D2-4FA8-AF0E-6667070F3E0C}"/>
    <cellStyle name="常规 2" xfId="2" xr:uid="{76C70289-CE58-4950-8549-C2103F246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609599</xdr:colOff>
      <xdr:row>1</xdr:row>
      <xdr:rowOff>0</xdr:rowOff>
    </xdr:from>
    <xdr:to>
      <xdr:col>16</xdr:col>
      <xdr:colOff>600074</xdr:colOff>
      <xdr:row>17</xdr:row>
      <xdr:rowOff>24990</xdr:rowOff>
    </xdr:to>
    <xdr:pic>
      <xdr:nvPicPr>
        <xdr:cNvPr id="4" name="图片 3" descr="图片">
          <a:extLst>
            <a:ext uri="{FF2B5EF4-FFF2-40B4-BE49-F238E27FC236}">
              <a16:creationId xmlns:a16="http://schemas.microsoft.com/office/drawing/2014/main" id="{386505CB-646B-4BB6-82C7-7FD792FC5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4" y="161925"/>
          <a:ext cx="3648075" cy="2615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17</xdr:col>
      <xdr:colOff>12517</xdr:colOff>
      <xdr:row>26</xdr:row>
      <xdr:rowOff>123825</xdr:rowOff>
    </xdr:to>
    <xdr:pic>
      <xdr:nvPicPr>
        <xdr:cNvPr id="6" name="图片 5" descr="图片">
          <a:extLst>
            <a:ext uri="{FF2B5EF4-FFF2-40B4-BE49-F238E27FC236}">
              <a16:creationId xmlns:a16="http://schemas.microsoft.com/office/drawing/2014/main" id="{0B63AACA-15D9-43D3-A341-EC7489CEB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3076575"/>
          <a:ext cx="3670117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</xdr:row>
      <xdr:rowOff>1</xdr:rowOff>
    </xdr:from>
    <xdr:to>
      <xdr:col>23</xdr:col>
      <xdr:colOff>581025</xdr:colOff>
      <xdr:row>20</xdr:row>
      <xdr:rowOff>104654</xdr:rowOff>
    </xdr:to>
    <xdr:pic>
      <xdr:nvPicPr>
        <xdr:cNvPr id="7" name="图片 6" descr="图片">
          <a:extLst>
            <a:ext uri="{FF2B5EF4-FFF2-40B4-BE49-F238E27FC236}">
              <a16:creationId xmlns:a16="http://schemas.microsoft.com/office/drawing/2014/main" id="{CA3010E7-97BC-1589-6CE8-7B28B4CE9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125" y="161926"/>
          <a:ext cx="3629025" cy="3181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24</xdr:col>
      <xdr:colOff>0</xdr:colOff>
      <xdr:row>29</xdr:row>
      <xdr:rowOff>106357</xdr:rowOff>
    </xdr:to>
    <xdr:pic>
      <xdr:nvPicPr>
        <xdr:cNvPr id="8" name="图片 7" descr="图片">
          <a:extLst>
            <a:ext uri="{FF2B5EF4-FFF2-40B4-BE49-F238E27FC236}">
              <a16:creationId xmlns:a16="http://schemas.microsoft.com/office/drawing/2014/main" id="{DCC358C5-A06B-88D3-4BC3-830EFEB2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125" y="3400425"/>
          <a:ext cx="3657600" cy="2535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24</xdr:col>
      <xdr:colOff>18272</xdr:colOff>
      <xdr:row>45</xdr:row>
      <xdr:rowOff>152400</xdr:rowOff>
    </xdr:to>
    <xdr:pic>
      <xdr:nvPicPr>
        <xdr:cNvPr id="10" name="图片 9" descr="图片">
          <a:extLst>
            <a:ext uri="{FF2B5EF4-FFF2-40B4-BE49-F238E27FC236}">
              <a16:creationId xmlns:a16="http://schemas.microsoft.com/office/drawing/2014/main" id="{50ED1729-E0A0-42E4-9C10-6E274893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3125" y="5991225"/>
          <a:ext cx="3675872" cy="290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31</xdr:col>
      <xdr:colOff>0</xdr:colOff>
      <xdr:row>18</xdr:row>
      <xdr:rowOff>86206</xdr:rowOff>
    </xdr:to>
    <xdr:pic>
      <xdr:nvPicPr>
        <xdr:cNvPr id="13" name="图片 12" descr="图片">
          <a:extLst>
            <a:ext uri="{FF2B5EF4-FFF2-40B4-BE49-F238E27FC236}">
              <a16:creationId xmlns:a16="http://schemas.microsoft.com/office/drawing/2014/main" id="{2A2F274D-E94E-459C-B609-F43E0D3D9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0325" y="161925"/>
          <a:ext cx="3657600" cy="2838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</xdr:colOff>
      <xdr:row>14</xdr:row>
      <xdr:rowOff>0</xdr:rowOff>
    </xdr:from>
    <xdr:to>
      <xdr:col>30</xdr:col>
      <xdr:colOff>600025</xdr:colOff>
      <xdr:row>33</xdr:row>
      <xdr:rowOff>95250</xdr:rowOff>
    </xdr:to>
    <xdr:pic>
      <xdr:nvPicPr>
        <xdr:cNvPr id="14" name="图片 13" descr="图片">
          <a:extLst>
            <a:ext uri="{FF2B5EF4-FFF2-40B4-BE49-F238E27FC236}">
              <a16:creationId xmlns:a16="http://schemas.microsoft.com/office/drawing/2014/main" id="{E316897A-3376-C5BA-E95E-8F6B9185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0326" y="3076575"/>
          <a:ext cx="3648024" cy="3171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aike.baidu.com/item/%E7%9B%90%E6%BA%90%E5%8E%BF/6862688" TargetMode="External"/><Relationship Id="rId3" Type="http://schemas.openxmlformats.org/officeDocument/2006/relationships/hyperlink" Target="https://business.sohu.com/20041220/n223552589.shtml" TargetMode="External"/><Relationship Id="rId7" Type="http://schemas.openxmlformats.org/officeDocument/2006/relationships/hyperlink" Target="https://power.in-en.com/html/power-2376675.shtml" TargetMode="External"/><Relationship Id="rId2" Type="http://schemas.openxmlformats.org/officeDocument/2006/relationships/hyperlink" Target="http://www.gov.cn/jrzg/2006-11/08/content_436269.htm" TargetMode="External"/><Relationship Id="rId1" Type="http://schemas.openxmlformats.org/officeDocument/2006/relationships/hyperlink" Target="http://www.sasac.gov.cn/n2588025/n2588124/c4050671/content.html" TargetMode="External"/><Relationship Id="rId6" Type="http://schemas.openxmlformats.org/officeDocument/2006/relationships/hyperlink" Target="https://power.in-en.com/html/power-2376675.shtml" TargetMode="External"/><Relationship Id="rId5" Type="http://schemas.openxmlformats.org/officeDocument/2006/relationships/hyperlink" Target="https://wenku.baidu.com/view/4489072a15fc700abb68a98271fe910ef12dae8d.html" TargetMode="External"/><Relationship Id="rId4" Type="http://schemas.openxmlformats.org/officeDocument/2006/relationships/hyperlink" Target="https://www.docin.com/p-1374550241.html" TargetMode="External"/><Relationship Id="rId9" Type="http://schemas.openxmlformats.org/officeDocument/2006/relationships/hyperlink" Target="https://baike.baidu.com/item/%E6%8A%9A%E5%B7%9E%E5%B8%82/52035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p.weixin.qq.com/s/HMg7qB_UooteOUnceaKs0Q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sac.gov.cn/n2588025/n2588124/c4050671/cont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2E96-8C10-4A89-8F0D-5C13D4CEE76B}">
  <dimension ref="A1:B14"/>
  <sheetViews>
    <sheetView workbookViewId="0">
      <selection activeCell="B15" sqref="B15"/>
    </sheetView>
  </sheetViews>
  <sheetFormatPr defaultRowHeight="13.2"/>
  <cols>
    <col min="2" max="2" width="63.44140625" bestFit="1" customWidth="1"/>
  </cols>
  <sheetData>
    <row r="1" spans="1:2" ht="14.4">
      <c r="A1" s="21" t="s">
        <v>731</v>
      </c>
      <c r="B1" s="20"/>
    </row>
    <row r="3" spans="1:2" ht="14.4">
      <c r="A3" s="21" t="s">
        <v>732</v>
      </c>
      <c r="B3" s="22" t="s">
        <v>733</v>
      </c>
    </row>
    <row r="4" spans="1:2" ht="14.4">
      <c r="A4" s="20"/>
      <c r="B4" s="20" t="s">
        <v>734</v>
      </c>
    </row>
    <row r="5" spans="1:2" ht="14.4">
      <c r="A5" s="20"/>
      <c r="B5" s="23" t="s">
        <v>735</v>
      </c>
    </row>
    <row r="6" spans="1:2" ht="14.4">
      <c r="A6" s="20"/>
      <c r="B6" s="20"/>
    </row>
    <row r="7" spans="1:2" ht="14.4">
      <c r="A7" s="20"/>
      <c r="B7" s="22" t="s">
        <v>736</v>
      </c>
    </row>
    <row r="8" spans="1:2" ht="14.4">
      <c r="A8" s="20"/>
      <c r="B8" s="24" t="s">
        <v>737</v>
      </c>
    </row>
    <row r="9" spans="1:2" ht="14.4">
      <c r="B9" s="25" t="s">
        <v>738</v>
      </c>
    </row>
    <row r="10" spans="1:2">
      <c r="B10" s="26" t="s">
        <v>739</v>
      </c>
    </row>
    <row r="11" spans="1:2" ht="14.4">
      <c r="B11" s="25" t="s">
        <v>740</v>
      </c>
    </row>
    <row r="12" spans="1:2" ht="14.4">
      <c r="B12" s="25" t="s">
        <v>741</v>
      </c>
    </row>
    <row r="14" spans="1:2" ht="57.6">
      <c r="A14" s="27" t="s">
        <v>742</v>
      </c>
      <c r="B14" s="25" t="s">
        <v>743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29DB-0637-433A-9ED9-1C722BD39187}">
  <dimension ref="A1:O32"/>
  <sheetViews>
    <sheetView topLeftCell="D1" workbookViewId="0">
      <selection activeCell="D1" sqref="A1:XFD1"/>
    </sheetView>
  </sheetViews>
  <sheetFormatPr defaultColWidth="9.109375" defaultRowHeight="12"/>
  <cols>
    <col min="1" max="1" width="9.33203125" style="62" bestFit="1" customWidth="1"/>
    <col min="2" max="2" width="42.5546875" style="62" customWidth="1"/>
    <col min="3" max="4" width="9.33203125" style="62" bestFit="1" customWidth="1"/>
    <col min="5" max="5" width="9.109375" style="62"/>
    <col min="6" max="6" width="9.33203125" style="62" bestFit="1" customWidth="1"/>
    <col min="7" max="8" width="13.88671875" style="62" customWidth="1"/>
    <col min="9" max="9" width="9.109375" style="62"/>
    <col min="10" max="10" width="54.33203125" style="62" customWidth="1"/>
    <col min="11" max="11" width="17.109375" style="62" customWidth="1"/>
    <col min="12" max="12" width="15.33203125" style="62" bestFit="1" customWidth="1"/>
    <col min="13" max="13" width="23.6640625" style="62" customWidth="1"/>
    <col min="14" max="15" width="15.33203125" style="62" bestFit="1" customWidth="1"/>
    <col min="16" max="16384" width="9.109375" style="62"/>
  </cols>
  <sheetData>
    <row r="1" spans="1:15" ht="36">
      <c r="A1" s="28" t="s">
        <v>245</v>
      </c>
      <c r="B1" s="28" t="s">
        <v>246</v>
      </c>
      <c r="C1" s="28" t="s">
        <v>247</v>
      </c>
      <c r="D1" s="28" t="s">
        <v>248</v>
      </c>
      <c r="E1" s="30"/>
      <c r="F1" s="28" t="s">
        <v>264</v>
      </c>
      <c r="G1" s="28" t="s">
        <v>249</v>
      </c>
      <c r="H1" s="28" t="s">
        <v>250</v>
      </c>
      <c r="I1" s="28" t="s">
        <v>261</v>
      </c>
      <c r="J1" s="30" t="s">
        <v>513</v>
      </c>
      <c r="K1" s="30"/>
      <c r="L1" s="30" t="s">
        <v>514</v>
      </c>
      <c r="M1" s="30" t="s">
        <v>515</v>
      </c>
      <c r="N1" s="30" t="s">
        <v>99</v>
      </c>
      <c r="O1" s="30" t="s">
        <v>516</v>
      </c>
    </row>
    <row r="2" spans="1:15">
      <c r="A2" s="30">
        <v>1</v>
      </c>
      <c r="B2" s="30" t="s">
        <v>444</v>
      </c>
      <c r="C2" s="30">
        <v>935</v>
      </c>
      <c r="D2" s="30">
        <v>500</v>
      </c>
      <c r="E2" s="30"/>
      <c r="F2" s="30">
        <v>80</v>
      </c>
      <c r="G2" s="30"/>
      <c r="H2" s="59">
        <v>1993</v>
      </c>
      <c r="I2" s="30" t="s">
        <v>312</v>
      </c>
      <c r="J2" s="30" t="s">
        <v>509</v>
      </c>
      <c r="K2" s="30"/>
      <c r="L2" s="30" t="s">
        <v>393</v>
      </c>
      <c r="M2" s="30" t="s">
        <v>501</v>
      </c>
      <c r="N2" s="30" t="s">
        <v>80</v>
      </c>
      <c r="O2" s="30" t="s">
        <v>506</v>
      </c>
    </row>
    <row r="3" spans="1:15">
      <c r="A3" s="30">
        <v>2</v>
      </c>
      <c r="B3" s="30" t="s">
        <v>445</v>
      </c>
      <c r="C3" s="30">
        <v>939</v>
      </c>
      <c r="D3" s="30">
        <v>500</v>
      </c>
      <c r="E3" s="30"/>
      <c r="F3" s="30">
        <v>80</v>
      </c>
      <c r="G3" s="30"/>
      <c r="H3" s="59">
        <v>1998</v>
      </c>
      <c r="I3" s="30" t="s">
        <v>312</v>
      </c>
      <c r="J3" s="30" t="s">
        <v>509</v>
      </c>
      <c r="K3" s="30"/>
      <c r="L3" s="30" t="s">
        <v>393</v>
      </c>
      <c r="M3" s="30" t="s">
        <v>501</v>
      </c>
      <c r="N3" s="30" t="s">
        <v>80</v>
      </c>
      <c r="O3" s="30" t="s">
        <v>506</v>
      </c>
    </row>
    <row r="4" spans="1:15">
      <c r="A4" s="30">
        <v>3</v>
      </c>
      <c r="B4" s="30" t="s">
        <v>330</v>
      </c>
      <c r="C4" s="30">
        <v>760</v>
      </c>
      <c r="D4" s="30">
        <v>500</v>
      </c>
      <c r="E4" s="30"/>
      <c r="F4" s="30"/>
      <c r="G4" s="30"/>
      <c r="H4" s="34">
        <v>36557</v>
      </c>
      <c r="I4" s="30" t="s">
        <v>312</v>
      </c>
      <c r="J4" s="30" t="s">
        <v>519</v>
      </c>
      <c r="K4" s="30"/>
      <c r="L4" s="30" t="s">
        <v>65</v>
      </c>
      <c r="M4" s="30" t="s">
        <v>520</v>
      </c>
      <c r="N4" s="30" t="s">
        <v>82</v>
      </c>
      <c r="O4" s="30" t="s">
        <v>521</v>
      </c>
    </row>
    <row r="5" spans="1:15">
      <c r="A5" s="30">
        <v>4</v>
      </c>
      <c r="B5" s="30" t="s">
        <v>446</v>
      </c>
      <c r="C5" s="30">
        <v>765</v>
      </c>
      <c r="D5" s="30">
        <v>500</v>
      </c>
      <c r="E5" s="30"/>
      <c r="F5" s="30">
        <v>80</v>
      </c>
      <c r="G5" s="30"/>
      <c r="H5" s="59">
        <v>2002</v>
      </c>
      <c r="I5" s="30" t="s">
        <v>312</v>
      </c>
      <c r="J5" s="30" t="s">
        <v>510</v>
      </c>
      <c r="K5" s="30"/>
      <c r="L5" s="30" t="s">
        <v>393</v>
      </c>
      <c r="M5" s="30" t="s">
        <v>502</v>
      </c>
      <c r="N5" s="30" t="s">
        <v>80</v>
      </c>
      <c r="O5" s="30" t="s">
        <v>507</v>
      </c>
    </row>
    <row r="6" spans="1:15">
      <c r="A6" s="30">
        <v>5</v>
      </c>
      <c r="B6" s="30" t="s">
        <v>448</v>
      </c>
      <c r="C6" s="30">
        <v>900</v>
      </c>
      <c r="D6" s="30">
        <v>500</v>
      </c>
      <c r="E6" s="30"/>
      <c r="F6" s="30">
        <v>150</v>
      </c>
      <c r="G6" s="30"/>
      <c r="H6" s="59">
        <v>2003</v>
      </c>
      <c r="I6" s="30" t="s">
        <v>312</v>
      </c>
      <c r="J6" s="30" t="s">
        <v>512</v>
      </c>
      <c r="K6" s="30"/>
      <c r="L6" s="30" t="s">
        <v>94</v>
      </c>
      <c r="M6" s="30" t="s">
        <v>504</v>
      </c>
      <c r="N6" s="30" t="s">
        <v>80</v>
      </c>
      <c r="O6" s="30" t="s">
        <v>506</v>
      </c>
    </row>
    <row r="7" spans="1:15">
      <c r="A7" s="30">
        <v>6</v>
      </c>
      <c r="B7" s="30" t="s">
        <v>449</v>
      </c>
      <c r="C7" s="30">
        <v>900</v>
      </c>
      <c r="D7" s="30">
        <v>500</v>
      </c>
      <c r="E7" s="30"/>
      <c r="F7" s="30">
        <v>300</v>
      </c>
      <c r="G7" s="30"/>
      <c r="H7" s="59">
        <v>2003</v>
      </c>
      <c r="I7" s="30" t="s">
        <v>312</v>
      </c>
      <c r="J7" s="30" t="s">
        <v>512</v>
      </c>
      <c r="K7" s="30"/>
      <c r="L7" s="30" t="s">
        <v>94</v>
      </c>
      <c r="M7" s="30" t="s">
        <v>504</v>
      </c>
      <c r="N7" s="30" t="s">
        <v>80</v>
      </c>
      <c r="O7" s="30" t="s">
        <v>506</v>
      </c>
    </row>
    <row r="8" spans="1:15">
      <c r="A8" s="30">
        <v>7</v>
      </c>
      <c r="B8" s="30" t="s">
        <v>447</v>
      </c>
      <c r="C8" s="30">
        <v>853</v>
      </c>
      <c r="D8" s="30">
        <v>500</v>
      </c>
      <c r="E8" s="30"/>
      <c r="F8" s="30">
        <v>120</v>
      </c>
      <c r="G8" s="30"/>
      <c r="H8" s="59">
        <v>2005</v>
      </c>
      <c r="I8" s="30" t="s">
        <v>312</v>
      </c>
      <c r="J8" s="30" t="s">
        <v>511</v>
      </c>
      <c r="K8" s="30"/>
      <c r="L8" s="30" t="s">
        <v>393</v>
      </c>
      <c r="M8" s="30" t="s">
        <v>503</v>
      </c>
      <c r="N8" s="30" t="s">
        <v>80</v>
      </c>
      <c r="O8" s="30" t="s">
        <v>507</v>
      </c>
    </row>
    <row r="9" spans="1:15">
      <c r="A9" s="30">
        <v>8</v>
      </c>
      <c r="B9" s="30" t="s">
        <v>259</v>
      </c>
      <c r="C9" s="30">
        <v>69</v>
      </c>
      <c r="D9" s="30">
        <v>500</v>
      </c>
      <c r="E9" s="30"/>
      <c r="F9" s="30">
        <v>320</v>
      </c>
      <c r="G9" s="30"/>
      <c r="H9" s="34">
        <v>37865</v>
      </c>
      <c r="I9" s="30" t="s">
        <v>312</v>
      </c>
      <c r="J9" s="30" t="s">
        <v>525</v>
      </c>
      <c r="K9" s="30"/>
      <c r="L9" s="30" t="s">
        <v>95</v>
      </c>
      <c r="M9" s="30" t="s">
        <v>526</v>
      </c>
      <c r="N9" s="30" t="s">
        <v>83</v>
      </c>
      <c r="O9" s="30" t="s">
        <v>527</v>
      </c>
    </row>
    <row r="10" spans="1:15">
      <c r="A10" s="30">
        <v>9</v>
      </c>
      <c r="B10" s="30" t="s">
        <v>258</v>
      </c>
      <c r="C10" s="30">
        <v>661</v>
      </c>
      <c r="D10" s="30">
        <v>500</v>
      </c>
      <c r="E10" s="30"/>
      <c r="F10" s="30">
        <v>264</v>
      </c>
      <c r="G10" s="30"/>
      <c r="H10" s="34">
        <v>38930</v>
      </c>
      <c r="I10" s="30" t="s">
        <v>312</v>
      </c>
      <c r="J10" s="30" t="s">
        <v>523</v>
      </c>
      <c r="K10" s="30"/>
      <c r="L10" s="30" t="s">
        <v>93</v>
      </c>
      <c r="M10" s="30" t="s">
        <v>522</v>
      </c>
      <c r="N10" s="30" t="s">
        <v>95</v>
      </c>
      <c r="O10" s="30" t="s">
        <v>524</v>
      </c>
    </row>
    <row r="11" spans="1:15">
      <c r="A11" s="30">
        <v>10</v>
      </c>
      <c r="B11" s="30" t="s">
        <v>495</v>
      </c>
      <c r="C11" s="30">
        <v>252.7</v>
      </c>
      <c r="D11" s="30">
        <v>500</v>
      </c>
      <c r="E11" s="30"/>
      <c r="F11" s="30">
        <v>50</v>
      </c>
      <c r="G11" s="30"/>
      <c r="H11" s="59">
        <v>2008</v>
      </c>
      <c r="I11" s="30" t="s">
        <v>312</v>
      </c>
      <c r="J11" s="30" t="s">
        <v>517</v>
      </c>
      <c r="K11" s="30"/>
      <c r="L11" s="30" t="s">
        <v>79</v>
      </c>
      <c r="M11" s="30" t="s">
        <v>498</v>
      </c>
      <c r="N11" s="30" t="s">
        <v>393</v>
      </c>
      <c r="O11" s="30" t="s">
        <v>499</v>
      </c>
    </row>
    <row r="12" spans="1:15">
      <c r="A12" s="30">
        <v>11</v>
      </c>
      <c r="B12" s="30" t="s">
        <v>451</v>
      </c>
      <c r="C12" s="30">
        <v>620</v>
      </c>
      <c r="D12" s="30">
        <v>500</v>
      </c>
      <c r="E12" s="30"/>
      <c r="F12" s="30"/>
      <c r="G12" s="30"/>
      <c r="H12" s="59">
        <v>2008</v>
      </c>
      <c r="I12" s="30" t="s">
        <v>312</v>
      </c>
      <c r="J12" s="30" t="s">
        <v>500</v>
      </c>
      <c r="K12" s="30"/>
      <c r="L12" s="30" t="s">
        <v>94</v>
      </c>
      <c r="M12" s="30" t="s">
        <v>505</v>
      </c>
      <c r="N12" s="30" t="s">
        <v>80</v>
      </c>
      <c r="O12" s="30" t="s">
        <v>508</v>
      </c>
    </row>
    <row r="13" spans="1:15">
      <c r="A13" s="30">
        <v>12</v>
      </c>
      <c r="B13" s="30" t="s">
        <v>450</v>
      </c>
      <c r="C13" s="30">
        <v>620</v>
      </c>
      <c r="D13" s="30">
        <v>500</v>
      </c>
      <c r="E13" s="30"/>
      <c r="F13" s="30"/>
      <c r="G13" s="30"/>
      <c r="H13" s="59">
        <v>2008</v>
      </c>
      <c r="I13" s="30" t="s">
        <v>312</v>
      </c>
      <c r="J13" s="30" t="s">
        <v>500</v>
      </c>
      <c r="K13" s="30"/>
      <c r="L13" s="30" t="s">
        <v>94</v>
      </c>
      <c r="M13" s="30" t="s">
        <v>505</v>
      </c>
      <c r="N13" s="30" t="s">
        <v>80</v>
      </c>
      <c r="O13" s="30" t="s">
        <v>508</v>
      </c>
    </row>
    <row r="14" spans="1:15">
      <c r="A14" s="30">
        <v>13</v>
      </c>
      <c r="B14" s="28" t="s">
        <v>266</v>
      </c>
      <c r="C14" s="30">
        <v>640</v>
      </c>
      <c r="D14" s="30">
        <v>1000</v>
      </c>
      <c r="E14" s="30">
        <v>5</v>
      </c>
      <c r="F14" s="30">
        <v>2400</v>
      </c>
      <c r="G14" s="30" t="s">
        <v>311</v>
      </c>
      <c r="H14" s="34">
        <v>39814</v>
      </c>
      <c r="I14" s="30" t="s">
        <v>312</v>
      </c>
      <c r="J14" s="30" t="s">
        <v>752</v>
      </c>
      <c r="K14" s="30" t="s">
        <v>16</v>
      </c>
      <c r="L14" s="30" t="s">
        <v>65</v>
      </c>
      <c r="M14" s="33" t="s">
        <v>593</v>
      </c>
      <c r="N14" s="30" t="s">
        <v>87</v>
      </c>
      <c r="O14" s="33" t="s">
        <v>594</v>
      </c>
    </row>
    <row r="15" spans="1:15">
      <c r="A15" s="30">
        <v>14</v>
      </c>
      <c r="B15" s="63" t="s">
        <v>298</v>
      </c>
      <c r="C15" s="30">
        <v>239</v>
      </c>
      <c r="D15" s="30">
        <v>500</v>
      </c>
      <c r="E15" s="30"/>
      <c r="F15" s="30"/>
      <c r="G15" s="30" t="s">
        <v>335</v>
      </c>
      <c r="H15" s="34"/>
      <c r="I15" s="30" t="s">
        <v>312</v>
      </c>
      <c r="J15" s="39" t="s">
        <v>595</v>
      </c>
      <c r="K15" s="30"/>
      <c r="L15" s="30"/>
      <c r="M15" s="30"/>
      <c r="N15" s="30"/>
      <c r="O15" s="30"/>
    </row>
    <row r="16" spans="1:15">
      <c r="A16" s="30">
        <v>15</v>
      </c>
      <c r="B16" s="30" t="s">
        <v>617</v>
      </c>
      <c r="C16" s="30">
        <v>576</v>
      </c>
      <c r="D16" s="30">
        <v>500</v>
      </c>
      <c r="E16" s="30"/>
      <c r="F16" s="30"/>
      <c r="G16" s="30" t="s">
        <v>260</v>
      </c>
      <c r="H16" s="34">
        <v>41061</v>
      </c>
      <c r="I16" s="30" t="s">
        <v>312</v>
      </c>
      <c r="J16" s="30" t="s">
        <v>538</v>
      </c>
      <c r="K16" s="30"/>
      <c r="L16" s="30" t="s">
        <v>79</v>
      </c>
      <c r="M16" s="30" t="s">
        <v>537</v>
      </c>
      <c r="N16" s="30" t="s">
        <v>79</v>
      </c>
      <c r="O16" s="30" t="s">
        <v>414</v>
      </c>
    </row>
    <row r="17" spans="1:15" ht="24">
      <c r="A17" s="30">
        <v>16</v>
      </c>
      <c r="B17" s="28" t="s">
        <v>332</v>
      </c>
      <c r="C17" s="30" t="s">
        <v>528</v>
      </c>
      <c r="D17" s="30">
        <v>750</v>
      </c>
      <c r="E17" s="30"/>
      <c r="F17" s="30"/>
      <c r="G17" s="30"/>
      <c r="H17" s="34">
        <v>41426</v>
      </c>
      <c r="I17" s="30" t="s">
        <v>312</v>
      </c>
      <c r="J17" s="30" t="s">
        <v>529</v>
      </c>
      <c r="K17" s="30"/>
      <c r="L17" s="30" t="s">
        <v>530</v>
      </c>
      <c r="M17" s="30" t="s">
        <v>533</v>
      </c>
      <c r="N17" s="30" t="s">
        <v>531</v>
      </c>
      <c r="O17" s="30" t="s">
        <v>532</v>
      </c>
    </row>
    <row r="18" spans="1:15">
      <c r="A18" s="30">
        <v>17</v>
      </c>
      <c r="B18" s="28" t="s">
        <v>267</v>
      </c>
      <c r="C18" s="30" t="s">
        <v>268</v>
      </c>
      <c r="D18" s="30">
        <v>1000</v>
      </c>
      <c r="E18" s="30">
        <v>8</v>
      </c>
      <c r="F18" s="30">
        <v>2100</v>
      </c>
      <c r="G18" s="30" t="s">
        <v>314</v>
      </c>
      <c r="H18" s="34">
        <v>41518</v>
      </c>
      <c r="I18" s="30" t="s">
        <v>262</v>
      </c>
      <c r="J18" s="55" t="s">
        <v>598</v>
      </c>
      <c r="K18" s="30" t="s">
        <v>37</v>
      </c>
      <c r="L18" s="30" t="s">
        <v>86</v>
      </c>
      <c r="M18" s="33" t="s">
        <v>596</v>
      </c>
      <c r="N18" s="30" t="s">
        <v>81</v>
      </c>
      <c r="O18" s="33" t="s">
        <v>597</v>
      </c>
    </row>
    <row r="19" spans="1:15">
      <c r="A19" s="30">
        <v>18</v>
      </c>
      <c r="B19" s="28" t="s">
        <v>270</v>
      </c>
      <c r="C19" s="30" t="s">
        <v>271</v>
      </c>
      <c r="D19" s="30">
        <v>1000</v>
      </c>
      <c r="E19" s="30">
        <v>6.8</v>
      </c>
      <c r="F19" s="30">
        <v>1800</v>
      </c>
      <c r="G19" s="30" t="s">
        <v>315</v>
      </c>
      <c r="H19" s="34">
        <v>41974</v>
      </c>
      <c r="I19" s="30" t="s">
        <v>312</v>
      </c>
      <c r="J19" s="30" t="s">
        <v>74</v>
      </c>
      <c r="K19" s="30" t="s">
        <v>39</v>
      </c>
      <c r="L19" s="30" t="s">
        <v>84</v>
      </c>
      <c r="M19" s="38" t="s">
        <v>599</v>
      </c>
      <c r="N19" s="30" t="s">
        <v>96</v>
      </c>
      <c r="O19" s="38" t="s">
        <v>600</v>
      </c>
    </row>
    <row r="20" spans="1:15">
      <c r="A20" s="30">
        <v>19</v>
      </c>
      <c r="B20" s="30" t="s">
        <v>494</v>
      </c>
      <c r="C20" s="30">
        <v>600</v>
      </c>
      <c r="D20" s="30">
        <v>500</v>
      </c>
      <c r="E20" s="30"/>
      <c r="F20" s="30">
        <v>90</v>
      </c>
      <c r="G20" s="30"/>
      <c r="H20" s="59">
        <v>2015</v>
      </c>
      <c r="I20" s="30" t="s">
        <v>312</v>
      </c>
      <c r="J20" s="30" t="s">
        <v>542</v>
      </c>
      <c r="K20" s="30"/>
      <c r="L20" s="30" t="s">
        <v>79</v>
      </c>
      <c r="M20" s="30" t="s">
        <v>496</v>
      </c>
      <c r="N20" s="30" t="s">
        <v>393</v>
      </c>
      <c r="O20" s="30" t="s">
        <v>497</v>
      </c>
    </row>
    <row r="21" spans="1:15">
      <c r="A21" s="30">
        <v>20</v>
      </c>
      <c r="B21" s="28" t="s">
        <v>272</v>
      </c>
      <c r="C21" s="30" t="s">
        <v>273</v>
      </c>
      <c r="D21" s="30">
        <v>1000</v>
      </c>
      <c r="E21" s="30"/>
      <c r="F21" s="30">
        <v>1200</v>
      </c>
      <c r="G21" s="30" t="s">
        <v>317</v>
      </c>
      <c r="H21" s="34">
        <v>42675</v>
      </c>
      <c r="I21" s="30" t="s">
        <v>262</v>
      </c>
      <c r="J21" s="30" t="s">
        <v>75</v>
      </c>
      <c r="K21" s="30" t="s">
        <v>101</v>
      </c>
      <c r="L21" s="30" t="s">
        <v>86</v>
      </c>
      <c r="M21" s="38" t="s">
        <v>596</v>
      </c>
      <c r="N21" s="30" t="s">
        <v>81</v>
      </c>
      <c r="O21" s="38" t="s">
        <v>597</v>
      </c>
    </row>
    <row r="22" spans="1:15">
      <c r="A22" s="30">
        <v>21</v>
      </c>
      <c r="B22" s="28" t="s">
        <v>278</v>
      </c>
      <c r="C22" s="30" t="s">
        <v>279</v>
      </c>
      <c r="D22" s="30">
        <v>1000</v>
      </c>
      <c r="E22" s="30">
        <v>5</v>
      </c>
      <c r="F22" s="30">
        <v>2400</v>
      </c>
      <c r="G22" s="30" t="s">
        <v>320</v>
      </c>
      <c r="H22" s="34">
        <v>42675</v>
      </c>
      <c r="I22" s="30" t="s">
        <v>312</v>
      </c>
      <c r="J22" s="30" t="s">
        <v>77</v>
      </c>
      <c r="K22" s="30" t="s">
        <v>44</v>
      </c>
      <c r="L22" s="30" t="s">
        <v>62</v>
      </c>
      <c r="M22" s="38" t="s">
        <v>602</v>
      </c>
      <c r="N22" s="30" t="s">
        <v>97</v>
      </c>
      <c r="O22" s="38" t="s">
        <v>601</v>
      </c>
    </row>
    <row r="23" spans="1:15">
      <c r="A23" s="30">
        <v>22</v>
      </c>
      <c r="B23" s="28" t="s">
        <v>274</v>
      </c>
      <c r="C23" s="30" t="s">
        <v>275</v>
      </c>
      <c r="D23" s="30">
        <v>1000</v>
      </c>
      <c r="E23" s="30">
        <v>9</v>
      </c>
      <c r="F23" s="30">
        <v>1500</v>
      </c>
      <c r="G23" s="30" t="s">
        <v>319</v>
      </c>
      <c r="H23" s="34">
        <v>42552</v>
      </c>
      <c r="I23" s="30" t="s">
        <v>312</v>
      </c>
      <c r="J23" s="30" t="s">
        <v>76</v>
      </c>
      <c r="K23" s="30" t="s">
        <v>100</v>
      </c>
      <c r="L23" s="30" t="s">
        <v>62</v>
      </c>
      <c r="M23" s="30" t="s">
        <v>63</v>
      </c>
      <c r="N23" s="40" t="s">
        <v>61</v>
      </c>
      <c r="O23" s="30" t="s">
        <v>64</v>
      </c>
    </row>
    <row r="24" spans="1:15">
      <c r="A24" s="30">
        <v>23</v>
      </c>
      <c r="B24" s="28" t="s">
        <v>284</v>
      </c>
      <c r="C24" s="30" t="s">
        <v>285</v>
      </c>
      <c r="D24" s="30">
        <v>1000</v>
      </c>
      <c r="E24" s="30"/>
      <c r="F24" s="30">
        <v>600</v>
      </c>
      <c r="G24" s="30" t="s">
        <v>324</v>
      </c>
      <c r="H24" s="34">
        <v>42917</v>
      </c>
      <c r="I24" s="30" t="s">
        <v>312</v>
      </c>
      <c r="J24" s="39" t="s">
        <v>605</v>
      </c>
      <c r="K24" s="30" t="s">
        <v>102</v>
      </c>
      <c r="L24" s="30" t="s">
        <v>62</v>
      </c>
      <c r="M24" s="38" t="s">
        <v>603</v>
      </c>
      <c r="N24" s="30" t="s">
        <v>62</v>
      </c>
      <c r="O24" s="38" t="s">
        <v>604</v>
      </c>
    </row>
    <row r="25" spans="1:15">
      <c r="A25" s="30">
        <v>24</v>
      </c>
      <c r="B25" s="28" t="s">
        <v>282</v>
      </c>
      <c r="C25" s="30" t="s">
        <v>283</v>
      </c>
      <c r="D25" s="30">
        <v>1000</v>
      </c>
      <c r="E25" s="30"/>
      <c r="F25" s="30">
        <v>1500</v>
      </c>
      <c r="G25" s="30" t="s">
        <v>322</v>
      </c>
      <c r="H25" s="34">
        <v>42948</v>
      </c>
      <c r="I25" s="30" t="s">
        <v>312</v>
      </c>
      <c r="J25" s="30" t="s">
        <v>78</v>
      </c>
      <c r="K25" s="30" t="s">
        <v>22</v>
      </c>
      <c r="L25" s="30" t="s">
        <v>65</v>
      </c>
      <c r="M25" s="30" t="s">
        <v>66</v>
      </c>
      <c r="N25" s="40" t="s">
        <v>61</v>
      </c>
      <c r="O25" s="30" t="s">
        <v>67</v>
      </c>
    </row>
    <row r="26" spans="1:15">
      <c r="A26" s="30">
        <v>25</v>
      </c>
      <c r="B26" s="38" t="s">
        <v>670</v>
      </c>
      <c r="C26" s="30">
        <v>190</v>
      </c>
      <c r="D26" s="30">
        <v>1000</v>
      </c>
      <c r="E26" s="30"/>
      <c r="F26" s="30"/>
      <c r="G26" s="30"/>
      <c r="H26" s="59">
        <v>2019</v>
      </c>
      <c r="I26" s="30" t="s">
        <v>312</v>
      </c>
      <c r="J26" s="39" t="s">
        <v>608</v>
      </c>
      <c r="K26" s="30" t="s">
        <v>51</v>
      </c>
      <c r="L26" s="30" t="s">
        <v>83</v>
      </c>
      <c r="M26" s="33" t="s">
        <v>606</v>
      </c>
      <c r="N26" s="30" t="s">
        <v>83</v>
      </c>
      <c r="O26" s="33" t="s">
        <v>607</v>
      </c>
    </row>
    <row r="27" spans="1:15">
      <c r="A27" s="30">
        <v>26</v>
      </c>
      <c r="B27" s="28" t="s">
        <v>269</v>
      </c>
      <c r="C27" s="30">
        <v>320</v>
      </c>
      <c r="D27" s="30">
        <v>1000</v>
      </c>
      <c r="E27" s="30"/>
      <c r="F27" s="30">
        <v>600</v>
      </c>
      <c r="G27" s="30"/>
      <c r="H27" s="64">
        <v>44044</v>
      </c>
      <c r="I27" s="30" t="s">
        <v>312</v>
      </c>
      <c r="J27" s="55" t="s">
        <v>756</v>
      </c>
      <c r="K27" s="30" t="s">
        <v>50</v>
      </c>
      <c r="L27" s="30" t="s">
        <v>95</v>
      </c>
      <c r="M27" s="33" t="s">
        <v>609</v>
      </c>
      <c r="N27" s="30" t="s">
        <v>95</v>
      </c>
      <c r="O27" s="33" t="s">
        <v>610</v>
      </c>
    </row>
    <row r="28" spans="1:15">
      <c r="A28" s="30">
        <v>27</v>
      </c>
      <c r="B28" s="65" t="s">
        <v>287</v>
      </c>
      <c r="C28" s="30" t="s">
        <v>288</v>
      </c>
      <c r="D28" s="30">
        <v>1000</v>
      </c>
      <c r="E28" s="30"/>
      <c r="F28" s="30"/>
      <c r="G28" s="30" t="s">
        <v>325</v>
      </c>
      <c r="H28" s="34">
        <v>43617</v>
      </c>
      <c r="I28" s="30" t="s">
        <v>312</v>
      </c>
      <c r="J28" s="62" t="s">
        <v>753</v>
      </c>
      <c r="K28" s="30"/>
      <c r="L28" s="55" t="s">
        <v>95</v>
      </c>
      <c r="M28" s="66" t="s">
        <v>616</v>
      </c>
      <c r="N28" s="55" t="s">
        <v>95</v>
      </c>
      <c r="O28" s="38" t="s">
        <v>613</v>
      </c>
    </row>
    <row r="29" spans="1:15">
      <c r="A29" s="30">
        <v>29</v>
      </c>
      <c r="B29" s="65" t="s">
        <v>286</v>
      </c>
      <c r="C29" s="30">
        <v>820</v>
      </c>
      <c r="D29" s="30">
        <v>1000</v>
      </c>
      <c r="E29" s="30"/>
      <c r="F29" s="30">
        <v>1500</v>
      </c>
      <c r="G29" s="30" t="s">
        <v>327</v>
      </c>
      <c r="H29" s="34">
        <v>43831</v>
      </c>
      <c r="I29" s="30" t="s">
        <v>312</v>
      </c>
      <c r="J29" s="30" t="s">
        <v>57</v>
      </c>
      <c r="K29" s="30" t="s">
        <v>45</v>
      </c>
      <c r="L29" s="30" t="s">
        <v>61</v>
      </c>
      <c r="M29" s="55" t="s">
        <v>612</v>
      </c>
      <c r="N29" s="30" t="s">
        <v>95</v>
      </c>
      <c r="O29" s="55" t="s">
        <v>613</v>
      </c>
    </row>
    <row r="30" spans="1:15">
      <c r="A30" s="30">
        <v>30</v>
      </c>
      <c r="B30" s="28" t="s">
        <v>291</v>
      </c>
      <c r="C30" s="30"/>
      <c r="D30" s="30">
        <v>1000</v>
      </c>
      <c r="E30" s="30"/>
      <c r="F30" s="30">
        <v>600</v>
      </c>
      <c r="G30" s="37">
        <v>44348</v>
      </c>
      <c r="H30" s="57">
        <v>44774</v>
      </c>
      <c r="I30" s="30" t="s">
        <v>312</v>
      </c>
      <c r="J30" s="30" t="s">
        <v>754</v>
      </c>
      <c r="K30" s="30" t="s">
        <v>52</v>
      </c>
      <c r="L30" s="30" t="s">
        <v>83</v>
      </c>
      <c r="M30" s="55" t="s">
        <v>607</v>
      </c>
      <c r="N30" s="30" t="s">
        <v>85</v>
      </c>
      <c r="O30" s="55" t="s">
        <v>611</v>
      </c>
    </row>
    <row r="31" spans="1:15">
      <c r="A31" s="30">
        <v>31</v>
      </c>
      <c r="B31" s="28" t="s">
        <v>289</v>
      </c>
      <c r="C31" s="30" t="s">
        <v>290</v>
      </c>
      <c r="D31" s="30">
        <v>1000</v>
      </c>
      <c r="E31" s="30"/>
      <c r="F31" s="30">
        <v>800</v>
      </c>
      <c r="G31" s="30" t="s">
        <v>328</v>
      </c>
      <c r="H31" s="34">
        <v>43466</v>
      </c>
      <c r="I31" s="30" t="s">
        <v>312</v>
      </c>
      <c r="J31" s="30" t="s">
        <v>755</v>
      </c>
      <c r="K31" s="30" t="s">
        <v>31</v>
      </c>
      <c r="L31" s="30" t="s">
        <v>62</v>
      </c>
      <c r="M31" s="33" t="s">
        <v>614</v>
      </c>
      <c r="N31" s="30" t="s">
        <v>65</v>
      </c>
      <c r="O31" s="33" t="s">
        <v>615</v>
      </c>
    </row>
    <row r="32" spans="1:15">
      <c r="A32" s="30">
        <v>32</v>
      </c>
      <c r="B32" s="30" t="s">
        <v>297</v>
      </c>
      <c r="C32" s="30">
        <v>5.8</v>
      </c>
      <c r="D32" s="30"/>
      <c r="E32" s="30"/>
      <c r="F32" s="30"/>
      <c r="G32" s="30" t="s">
        <v>334</v>
      </c>
      <c r="H32" s="34">
        <v>43709</v>
      </c>
      <c r="I32" s="30" t="s">
        <v>312</v>
      </c>
      <c r="J32" s="30" t="s">
        <v>534</v>
      </c>
      <c r="K32" s="30"/>
      <c r="L32" s="30" t="s">
        <v>82</v>
      </c>
      <c r="M32" s="30" t="s">
        <v>535</v>
      </c>
      <c r="N32" s="30" t="s">
        <v>82</v>
      </c>
      <c r="O32" s="30" t="s">
        <v>536</v>
      </c>
    </row>
  </sheetData>
  <autoFilter ref="A1:O1" xr:uid="{AB1629DB-0637-433A-9ED9-1C722BD39187}">
    <sortState xmlns:xlrd2="http://schemas.microsoft.com/office/spreadsheetml/2017/richdata2" ref="A2:O32">
      <sortCondition ref="A1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E89D-979D-4885-A848-ABBC8439ACAC}">
  <dimension ref="A1:AA47"/>
  <sheetViews>
    <sheetView topLeftCell="A16" zoomScaleNormal="100" workbookViewId="0">
      <selection activeCell="A32" activeCellId="3" sqref="A1:XFD1 A15:XFD15 A31:XFD31 A32:XFD32"/>
    </sheetView>
  </sheetViews>
  <sheetFormatPr defaultRowHeight="12"/>
  <cols>
    <col min="1" max="1" width="5.44140625" style="33" bestFit="1" customWidth="1"/>
    <col min="2" max="2" width="48.5546875" style="61" customWidth="1"/>
    <col min="3" max="3" width="21.88671875" style="62" customWidth="1"/>
    <col min="4" max="4" width="19" style="33" customWidth="1"/>
    <col min="5" max="5" width="19" style="61" customWidth="1"/>
    <col min="6" max="6" width="49.44140625" style="62" customWidth="1"/>
    <col min="7" max="7" width="19" style="62" customWidth="1"/>
    <col min="8" max="8" width="33" style="62" customWidth="1"/>
    <col min="9" max="9" width="9.33203125" style="33" bestFit="1" customWidth="1"/>
    <col min="10" max="10" width="8.88671875" style="33"/>
    <col min="11" max="11" width="9.33203125" style="62" customWidth="1"/>
    <col min="12" max="12" width="9.33203125" style="62" bestFit="1" customWidth="1"/>
    <col min="13" max="13" width="9.33203125" style="62" customWidth="1"/>
    <col min="14" max="14" width="9.33203125" style="33" bestFit="1" customWidth="1"/>
    <col min="15" max="16" width="11.5546875" style="33" bestFit="1" customWidth="1"/>
    <col min="17" max="17" width="9.109375" style="33" bestFit="1" customWidth="1"/>
    <col min="18" max="22" width="8.88671875" style="33"/>
    <col min="23" max="23" width="7.33203125" style="33" bestFit="1" customWidth="1"/>
    <col min="24" max="16384" width="8.88671875" style="33"/>
  </cols>
  <sheetData>
    <row r="1" spans="1:27" ht="36.6" thickBot="1">
      <c r="A1" s="28" t="s">
        <v>245</v>
      </c>
      <c r="B1" s="29" t="s">
        <v>246</v>
      </c>
      <c r="C1" s="30" t="s">
        <v>433</v>
      </c>
      <c r="D1" s="31" t="s">
        <v>442</v>
      </c>
      <c r="E1" s="32" t="s">
        <v>98</v>
      </c>
      <c r="F1" s="30" t="s">
        <v>434</v>
      </c>
      <c r="G1" s="30" t="s">
        <v>99</v>
      </c>
      <c r="H1" s="30" t="s">
        <v>435</v>
      </c>
      <c r="I1" s="28" t="s">
        <v>436</v>
      </c>
      <c r="J1" s="28" t="s">
        <v>437</v>
      </c>
      <c r="K1" s="28" t="s">
        <v>439</v>
      </c>
      <c r="L1" s="28" t="s">
        <v>440</v>
      </c>
      <c r="M1" s="28" t="s">
        <v>441</v>
      </c>
      <c r="N1" s="28" t="s">
        <v>438</v>
      </c>
      <c r="O1" s="28" t="s">
        <v>249</v>
      </c>
      <c r="P1" s="28" t="s">
        <v>250</v>
      </c>
      <c r="Q1" s="28" t="s">
        <v>261</v>
      </c>
      <c r="R1" s="31" t="s">
        <v>443</v>
      </c>
    </row>
    <row r="2" spans="1:27" ht="12.6" thickBot="1">
      <c r="A2" s="30">
        <v>1</v>
      </c>
      <c r="B2" s="32" t="s">
        <v>363</v>
      </c>
      <c r="C2" s="30" t="s">
        <v>255</v>
      </c>
      <c r="D2" s="31"/>
      <c r="E2" s="32" t="s">
        <v>87</v>
      </c>
      <c r="F2" s="30" t="s">
        <v>585</v>
      </c>
      <c r="G2" s="30" t="s">
        <v>81</v>
      </c>
      <c r="H2" s="30" t="s">
        <v>584</v>
      </c>
      <c r="I2" s="30">
        <v>1045.7</v>
      </c>
      <c r="J2" s="30" t="s">
        <v>281</v>
      </c>
      <c r="K2" s="30"/>
      <c r="L2" s="30"/>
      <c r="M2" s="30"/>
      <c r="N2" s="30">
        <v>1200</v>
      </c>
      <c r="O2" s="30" t="s">
        <v>331</v>
      </c>
      <c r="P2" s="34">
        <v>33086</v>
      </c>
      <c r="Q2" s="30" t="s">
        <v>263</v>
      </c>
      <c r="R2" s="35" t="s">
        <v>362</v>
      </c>
      <c r="W2" s="36" t="s">
        <v>58</v>
      </c>
      <c r="X2" s="36" t="s">
        <v>12</v>
      </c>
      <c r="Y2" s="36">
        <v>3324</v>
      </c>
      <c r="AA2" s="36" t="s">
        <v>13</v>
      </c>
    </row>
    <row r="3" spans="1:27">
      <c r="A3" s="30">
        <v>2</v>
      </c>
      <c r="B3" s="29" t="s">
        <v>256</v>
      </c>
      <c r="C3" s="30"/>
      <c r="D3" s="31"/>
      <c r="E3" s="32" t="s">
        <v>352</v>
      </c>
      <c r="F3" s="30" t="s">
        <v>372</v>
      </c>
      <c r="G3" s="30" t="s">
        <v>95</v>
      </c>
      <c r="H3" s="30" t="s">
        <v>373</v>
      </c>
      <c r="I3" s="30"/>
      <c r="J3" s="30" t="s">
        <v>281</v>
      </c>
      <c r="K3" s="30"/>
      <c r="L3" s="30"/>
      <c r="M3" s="30"/>
      <c r="N3" s="30">
        <v>300</v>
      </c>
      <c r="O3" s="30"/>
      <c r="P3" s="34">
        <v>37012</v>
      </c>
      <c r="Q3" s="30" t="s">
        <v>263</v>
      </c>
      <c r="R3" s="35" t="s">
        <v>374</v>
      </c>
    </row>
    <row r="4" spans="1:27">
      <c r="A4" s="30">
        <v>3</v>
      </c>
      <c r="B4" s="32" t="s">
        <v>299</v>
      </c>
      <c r="C4" s="30"/>
      <c r="D4" s="31"/>
      <c r="E4" s="32" t="s">
        <v>399</v>
      </c>
      <c r="F4" s="30" t="s">
        <v>400</v>
      </c>
      <c r="G4" s="30" t="s">
        <v>80</v>
      </c>
      <c r="H4" s="30" t="s">
        <v>401</v>
      </c>
      <c r="I4" s="30">
        <v>960</v>
      </c>
      <c r="J4" s="30" t="s">
        <v>281</v>
      </c>
      <c r="K4" s="30"/>
      <c r="L4" s="30"/>
      <c r="M4" s="30"/>
      <c r="N4" s="30">
        <v>180</v>
      </c>
      <c r="O4" s="30"/>
      <c r="P4" s="34">
        <v>37043</v>
      </c>
      <c r="Q4" s="30" t="s">
        <v>263</v>
      </c>
      <c r="R4" s="31"/>
    </row>
    <row r="5" spans="1:27">
      <c r="A5" s="30">
        <v>4</v>
      </c>
      <c r="B5" s="32" t="s">
        <v>370</v>
      </c>
      <c r="C5" s="30" t="s">
        <v>318</v>
      </c>
      <c r="D5" s="31"/>
      <c r="E5" s="32" t="s">
        <v>93</v>
      </c>
      <c r="F5" s="30" t="s">
        <v>369</v>
      </c>
      <c r="G5" s="30" t="s">
        <v>83</v>
      </c>
      <c r="H5" s="30" t="s">
        <v>371</v>
      </c>
      <c r="I5" s="30"/>
      <c r="J5" s="30" t="s">
        <v>251</v>
      </c>
      <c r="K5" s="30"/>
      <c r="L5" s="30"/>
      <c r="M5" s="30"/>
      <c r="N5" s="30">
        <v>111</v>
      </c>
      <c r="O5" s="30"/>
      <c r="P5" s="34">
        <v>37408</v>
      </c>
      <c r="Q5" s="30" t="s">
        <v>263</v>
      </c>
      <c r="R5" s="35" t="s">
        <v>368</v>
      </c>
    </row>
    <row r="6" spans="1:27">
      <c r="A6" s="30">
        <v>5</v>
      </c>
      <c r="B6" s="29" t="s">
        <v>295</v>
      </c>
      <c r="C6" s="30" t="s">
        <v>355</v>
      </c>
      <c r="D6" s="31"/>
      <c r="E6" s="32" t="s">
        <v>87</v>
      </c>
      <c r="F6" s="30" t="s">
        <v>586</v>
      </c>
      <c r="G6" s="30" t="s">
        <v>82</v>
      </c>
      <c r="H6" s="30" t="s">
        <v>587</v>
      </c>
      <c r="I6" s="30">
        <v>860</v>
      </c>
      <c r="J6" s="30" t="s">
        <v>281</v>
      </c>
      <c r="K6" s="30"/>
      <c r="L6" s="30"/>
      <c r="M6" s="30"/>
      <c r="N6" s="30">
        <v>300</v>
      </c>
      <c r="O6" s="30"/>
      <c r="P6" s="34">
        <v>37591</v>
      </c>
      <c r="Q6" s="30" t="s">
        <v>263</v>
      </c>
      <c r="R6" s="31"/>
    </row>
    <row r="7" spans="1:27">
      <c r="A7" s="30">
        <v>6</v>
      </c>
      <c r="B7" s="29" t="s">
        <v>588</v>
      </c>
      <c r="C7" s="30" t="s">
        <v>403</v>
      </c>
      <c r="D7" s="31"/>
      <c r="E7" s="32" t="s">
        <v>94</v>
      </c>
      <c r="F7" s="30" t="s">
        <v>589</v>
      </c>
      <c r="G7" s="30" t="s">
        <v>80</v>
      </c>
      <c r="H7" s="30" t="s">
        <v>418</v>
      </c>
      <c r="I7" s="30"/>
      <c r="J7" s="30"/>
      <c r="K7" s="30"/>
      <c r="L7" s="30"/>
      <c r="M7" s="30"/>
      <c r="N7" s="30"/>
      <c r="O7" s="30"/>
      <c r="P7" s="34">
        <v>37987</v>
      </c>
      <c r="Q7" s="30" t="s">
        <v>263</v>
      </c>
      <c r="R7" s="35"/>
    </row>
    <row r="8" spans="1:27">
      <c r="A8" s="30">
        <v>7</v>
      </c>
      <c r="B8" s="29" t="s">
        <v>294</v>
      </c>
      <c r="C8" s="30" t="s">
        <v>383</v>
      </c>
      <c r="D8" s="31"/>
      <c r="E8" s="32" t="s">
        <v>87</v>
      </c>
      <c r="F8" s="30" t="s">
        <v>360</v>
      </c>
      <c r="G8" s="30" t="s">
        <v>80</v>
      </c>
      <c r="H8" s="30" t="s">
        <v>361</v>
      </c>
      <c r="I8" s="30">
        <v>941</v>
      </c>
      <c r="J8" s="30" t="s">
        <v>281</v>
      </c>
      <c r="K8" s="30"/>
      <c r="L8" s="30"/>
      <c r="M8" s="30"/>
      <c r="N8" s="30">
        <v>300</v>
      </c>
      <c r="O8" s="30"/>
      <c r="P8" s="34">
        <v>38108</v>
      </c>
      <c r="Q8" s="30" t="s">
        <v>263</v>
      </c>
      <c r="R8" s="35" t="s">
        <v>359</v>
      </c>
    </row>
    <row r="9" spans="1:27">
      <c r="A9" s="30">
        <v>8</v>
      </c>
      <c r="B9" s="29" t="s">
        <v>280</v>
      </c>
      <c r="C9" s="30" t="s">
        <v>364</v>
      </c>
      <c r="D9" s="31"/>
      <c r="E9" s="32" t="s">
        <v>87</v>
      </c>
      <c r="F9" s="30" t="s">
        <v>357</v>
      </c>
      <c r="G9" s="30" t="s">
        <v>81</v>
      </c>
      <c r="H9" s="30" t="s">
        <v>365</v>
      </c>
      <c r="I9" s="30">
        <v>1040</v>
      </c>
      <c r="J9" s="30" t="s">
        <v>281</v>
      </c>
      <c r="K9" s="30">
        <v>3000</v>
      </c>
      <c r="L9" s="30"/>
      <c r="M9" s="30"/>
      <c r="N9" s="30">
        <v>300</v>
      </c>
      <c r="O9" s="30" t="s">
        <v>321</v>
      </c>
      <c r="P9" s="34">
        <v>39022</v>
      </c>
      <c r="Q9" s="30" t="s">
        <v>263</v>
      </c>
      <c r="R9" s="35" t="s">
        <v>358</v>
      </c>
    </row>
    <row r="10" spans="1:27">
      <c r="A10" s="30">
        <v>9</v>
      </c>
      <c r="B10" s="32" t="s">
        <v>402</v>
      </c>
      <c r="C10" s="30" t="s">
        <v>404</v>
      </c>
      <c r="D10" s="31"/>
      <c r="E10" s="32" t="s">
        <v>94</v>
      </c>
      <c r="F10" s="30" t="s">
        <v>406</v>
      </c>
      <c r="G10" s="30" t="s">
        <v>80</v>
      </c>
      <c r="H10" s="30" t="s">
        <v>405</v>
      </c>
      <c r="I10" s="30">
        <v>1194</v>
      </c>
      <c r="J10" s="30" t="s">
        <v>281</v>
      </c>
      <c r="K10" s="30"/>
      <c r="L10" s="30"/>
      <c r="M10" s="30"/>
      <c r="N10" s="30">
        <v>300</v>
      </c>
      <c r="O10" s="30" t="s">
        <v>323</v>
      </c>
      <c r="P10" s="34">
        <v>39417</v>
      </c>
      <c r="Q10" s="30" t="s">
        <v>263</v>
      </c>
      <c r="R10" s="31"/>
    </row>
    <row r="11" spans="1:27">
      <c r="A11" s="30">
        <v>10</v>
      </c>
      <c r="B11" s="32" t="s">
        <v>329</v>
      </c>
      <c r="C11" s="30"/>
      <c r="D11" s="31"/>
      <c r="E11" s="32" t="s">
        <v>80</v>
      </c>
      <c r="F11" s="30" t="s">
        <v>423</v>
      </c>
      <c r="G11" s="30" t="s">
        <v>422</v>
      </c>
      <c r="H11" s="30" t="s">
        <v>424</v>
      </c>
      <c r="I11" s="30">
        <v>240</v>
      </c>
      <c r="J11" s="30" t="s">
        <v>281</v>
      </c>
      <c r="K11" s="30"/>
      <c r="L11" s="30"/>
      <c r="M11" s="30"/>
      <c r="N11" s="30">
        <v>60</v>
      </c>
      <c r="O11" s="30"/>
      <c r="P11" s="34">
        <v>39965</v>
      </c>
      <c r="Q11" s="30" t="s">
        <v>263</v>
      </c>
      <c r="R11" s="31"/>
    </row>
    <row r="12" spans="1:27">
      <c r="A12" s="30">
        <v>11</v>
      </c>
      <c r="B12" s="32" t="s">
        <v>296</v>
      </c>
      <c r="C12" s="30"/>
      <c r="D12" s="31"/>
      <c r="E12" s="32" t="s">
        <v>89</v>
      </c>
      <c r="F12" s="30" t="s">
        <v>354</v>
      </c>
      <c r="G12" s="30" t="s">
        <v>93</v>
      </c>
      <c r="H12" s="33" t="s">
        <v>553</v>
      </c>
      <c r="I12" s="30">
        <v>534.06899999999996</v>
      </c>
      <c r="J12" s="30" t="s">
        <v>281</v>
      </c>
      <c r="K12" s="30"/>
      <c r="L12" s="30"/>
      <c r="M12" s="30"/>
      <c r="N12" s="30"/>
      <c r="O12" s="30" t="s">
        <v>333</v>
      </c>
      <c r="P12" s="34">
        <v>40148</v>
      </c>
      <c r="Q12" s="30" t="s">
        <v>263</v>
      </c>
      <c r="R12" s="31"/>
    </row>
    <row r="13" spans="1:27">
      <c r="A13" s="30">
        <v>12</v>
      </c>
      <c r="B13" s="29" t="s">
        <v>301</v>
      </c>
      <c r="C13" s="30" t="s">
        <v>413</v>
      </c>
      <c r="D13" s="30" t="s">
        <v>15</v>
      </c>
      <c r="E13" s="32" t="s">
        <v>79</v>
      </c>
      <c r="F13" s="30" t="s">
        <v>414</v>
      </c>
      <c r="G13" s="30" t="s">
        <v>80</v>
      </c>
      <c r="H13" s="30" t="s">
        <v>415</v>
      </c>
      <c r="I13" s="30">
        <v>1438</v>
      </c>
      <c r="J13" s="30" t="s">
        <v>0</v>
      </c>
      <c r="K13" s="30"/>
      <c r="L13" s="30">
        <v>5</v>
      </c>
      <c r="M13" s="30"/>
      <c r="N13" s="30">
        <v>1000</v>
      </c>
      <c r="O13" s="37">
        <v>39052</v>
      </c>
      <c r="P13" s="34">
        <v>40330</v>
      </c>
      <c r="Q13" s="30" t="s">
        <v>263</v>
      </c>
      <c r="R13" s="31"/>
    </row>
    <row r="14" spans="1:27">
      <c r="A14" s="30">
        <v>13</v>
      </c>
      <c r="B14" s="29" t="s">
        <v>428</v>
      </c>
      <c r="C14" s="30" t="s">
        <v>427</v>
      </c>
      <c r="D14" s="30" t="s">
        <v>42</v>
      </c>
      <c r="E14" s="32" t="s">
        <v>88</v>
      </c>
      <c r="F14" s="38" t="s">
        <v>545</v>
      </c>
      <c r="G14" s="30" t="s">
        <v>81</v>
      </c>
      <c r="H14" s="38" t="s">
        <v>546</v>
      </c>
      <c r="I14" s="30">
        <v>1907</v>
      </c>
      <c r="J14" s="30" t="s">
        <v>0</v>
      </c>
      <c r="K14" s="30"/>
      <c r="L14" s="30">
        <v>6.4</v>
      </c>
      <c r="M14" s="30"/>
      <c r="N14" s="30">
        <v>1280</v>
      </c>
      <c r="O14" s="37">
        <v>39783</v>
      </c>
      <c r="P14" s="34">
        <v>40360</v>
      </c>
      <c r="Q14" s="30" t="s">
        <v>263</v>
      </c>
      <c r="R14" s="31"/>
    </row>
    <row r="15" spans="1:27">
      <c r="A15" s="30">
        <v>14</v>
      </c>
      <c r="B15" s="29" t="s">
        <v>293</v>
      </c>
      <c r="C15" s="30"/>
      <c r="D15" s="31"/>
      <c r="E15" s="32" t="s">
        <v>62</v>
      </c>
      <c r="F15" s="30" t="s">
        <v>591</v>
      </c>
      <c r="G15" s="39" t="s">
        <v>352</v>
      </c>
      <c r="H15" s="38" t="s">
        <v>590</v>
      </c>
      <c r="I15" s="30">
        <v>908</v>
      </c>
      <c r="J15" s="30" t="s">
        <v>281</v>
      </c>
      <c r="K15" s="30"/>
      <c r="L15" s="30"/>
      <c r="M15" s="30"/>
      <c r="N15" s="30">
        <v>300</v>
      </c>
      <c r="O15" s="30"/>
      <c r="P15" s="34">
        <v>40422</v>
      </c>
      <c r="Q15" s="30" t="s">
        <v>263</v>
      </c>
      <c r="R15" s="35" t="s">
        <v>356</v>
      </c>
    </row>
    <row r="16" spans="1:27">
      <c r="A16" s="30">
        <v>15</v>
      </c>
      <c r="B16" s="32" t="s">
        <v>336</v>
      </c>
      <c r="C16" s="32" t="s">
        <v>336</v>
      </c>
      <c r="D16" s="31"/>
      <c r="E16" s="32" t="s">
        <v>71</v>
      </c>
      <c r="F16" s="30" t="s">
        <v>419</v>
      </c>
      <c r="G16" s="40" t="s">
        <v>61</v>
      </c>
      <c r="H16" s="30" t="s">
        <v>420</v>
      </c>
      <c r="I16" s="30">
        <v>1333</v>
      </c>
      <c r="J16" s="30" t="s">
        <v>300</v>
      </c>
      <c r="K16" s="30"/>
      <c r="L16" s="30"/>
      <c r="M16" s="30"/>
      <c r="N16" s="30">
        <v>400</v>
      </c>
      <c r="O16" s="30" t="s">
        <v>337</v>
      </c>
      <c r="P16" s="34">
        <v>40575</v>
      </c>
      <c r="Q16" s="30" t="s">
        <v>263</v>
      </c>
      <c r="R16" s="31"/>
    </row>
    <row r="17" spans="1:27">
      <c r="A17" s="30">
        <v>16</v>
      </c>
      <c r="B17" s="32" t="s">
        <v>257</v>
      </c>
      <c r="C17" s="32" t="s">
        <v>257</v>
      </c>
      <c r="D17" s="31"/>
      <c r="E17" s="32" t="s">
        <v>71</v>
      </c>
      <c r="F17" s="30" t="s">
        <v>350</v>
      </c>
      <c r="G17" s="40" t="s">
        <v>61</v>
      </c>
      <c r="H17" s="30" t="s">
        <v>351</v>
      </c>
      <c r="I17" s="30">
        <v>1335</v>
      </c>
      <c r="J17" s="30" t="s">
        <v>300</v>
      </c>
      <c r="K17" s="30"/>
      <c r="L17" s="30"/>
      <c r="M17" s="30"/>
      <c r="N17" s="30">
        <v>400</v>
      </c>
      <c r="O17" s="30"/>
      <c r="P17" s="34">
        <v>40575</v>
      </c>
      <c r="Q17" s="30" t="s">
        <v>263</v>
      </c>
      <c r="R17" s="31"/>
    </row>
    <row r="18" spans="1:27">
      <c r="A18" s="30">
        <v>17</v>
      </c>
      <c r="B18" s="29" t="s">
        <v>280</v>
      </c>
      <c r="C18" s="30" t="s">
        <v>744</v>
      </c>
      <c r="D18" s="31"/>
      <c r="E18" s="32" t="s">
        <v>87</v>
      </c>
      <c r="F18" s="38" t="s">
        <v>592</v>
      </c>
      <c r="G18" s="30" t="s">
        <v>81</v>
      </c>
      <c r="H18" s="30" t="s">
        <v>745</v>
      </c>
      <c r="I18" s="30">
        <v>976</v>
      </c>
      <c r="J18" s="30" t="s">
        <v>281</v>
      </c>
      <c r="K18" s="30"/>
      <c r="L18" s="30"/>
      <c r="M18" s="30"/>
      <c r="N18" s="30">
        <v>300</v>
      </c>
      <c r="O18" s="30"/>
      <c r="P18" s="34">
        <v>40603</v>
      </c>
      <c r="Q18" s="30" t="s">
        <v>263</v>
      </c>
      <c r="R18" s="31"/>
    </row>
    <row r="19" spans="1:27">
      <c r="A19" s="30">
        <v>18</v>
      </c>
      <c r="B19" s="29" t="s">
        <v>276</v>
      </c>
      <c r="C19" s="30" t="s">
        <v>353</v>
      </c>
      <c r="D19" s="31"/>
      <c r="E19" s="32" t="s">
        <v>92</v>
      </c>
      <c r="F19" s="30" t="s">
        <v>347</v>
      </c>
      <c r="G19" s="30" t="s">
        <v>348</v>
      </c>
      <c r="H19" s="30" t="s">
        <v>349</v>
      </c>
      <c r="I19" s="30">
        <v>1038</v>
      </c>
      <c r="J19" s="30" t="s">
        <v>277</v>
      </c>
      <c r="K19" s="30"/>
      <c r="L19" s="30"/>
      <c r="M19" s="30"/>
      <c r="N19" s="30"/>
      <c r="O19" s="30" t="s">
        <v>252</v>
      </c>
      <c r="P19" s="34">
        <v>40878</v>
      </c>
      <c r="Q19" s="30" t="s">
        <v>263</v>
      </c>
      <c r="R19" s="31"/>
    </row>
    <row r="20" spans="1:27">
      <c r="A20" s="30">
        <v>19</v>
      </c>
      <c r="B20" s="29" t="s">
        <v>302</v>
      </c>
      <c r="C20" s="30" t="s">
        <v>17</v>
      </c>
      <c r="D20" s="30" t="s">
        <v>36</v>
      </c>
      <c r="E20" s="32" t="s">
        <v>89</v>
      </c>
      <c r="F20" s="33" t="s">
        <v>547</v>
      </c>
      <c r="G20" s="30" t="s">
        <v>82</v>
      </c>
      <c r="H20" s="33" t="s">
        <v>548</v>
      </c>
      <c r="I20" s="30">
        <v>2059</v>
      </c>
      <c r="J20" s="30" t="s">
        <v>0</v>
      </c>
      <c r="K20" s="30"/>
      <c r="L20" s="30">
        <v>7.2</v>
      </c>
      <c r="M20" s="30"/>
      <c r="N20" s="30">
        <v>1440</v>
      </c>
      <c r="O20" s="37">
        <v>39783</v>
      </c>
      <c r="P20" s="34">
        <v>41244</v>
      </c>
      <c r="Q20" s="30" t="s">
        <v>263</v>
      </c>
      <c r="R20" s="31"/>
    </row>
    <row r="21" spans="1:27">
      <c r="A21" s="30">
        <v>20</v>
      </c>
      <c r="B21" s="29" t="s">
        <v>396</v>
      </c>
      <c r="C21" s="30" t="s">
        <v>395</v>
      </c>
      <c r="D21" s="30" t="s">
        <v>18</v>
      </c>
      <c r="E21" s="32" t="s">
        <v>79</v>
      </c>
      <c r="F21" s="30" t="s">
        <v>397</v>
      </c>
      <c r="G21" s="30" t="s">
        <v>80</v>
      </c>
      <c r="H21" s="30" t="s">
        <v>398</v>
      </c>
      <c r="I21" s="30">
        <v>1413</v>
      </c>
      <c r="J21" s="30" t="s">
        <v>0</v>
      </c>
      <c r="K21" s="30"/>
      <c r="L21" s="30">
        <v>5</v>
      </c>
      <c r="M21" s="30"/>
      <c r="N21" s="30">
        <v>1000</v>
      </c>
      <c r="O21" s="30" t="s">
        <v>338</v>
      </c>
      <c r="P21" s="34">
        <v>41518</v>
      </c>
      <c r="Q21" s="30" t="s">
        <v>263</v>
      </c>
      <c r="R21" s="31"/>
    </row>
    <row r="22" spans="1:27">
      <c r="A22" s="30">
        <v>21</v>
      </c>
      <c r="B22" s="29" t="s">
        <v>430</v>
      </c>
      <c r="C22" s="30" t="s">
        <v>429</v>
      </c>
      <c r="D22" s="30" t="s">
        <v>19</v>
      </c>
      <c r="E22" s="32" t="s">
        <v>90</v>
      </c>
      <c r="F22" s="30" t="s">
        <v>367</v>
      </c>
      <c r="G22" s="30" t="s">
        <v>83</v>
      </c>
      <c r="H22" s="30" t="s">
        <v>366</v>
      </c>
      <c r="I22" s="30">
        <v>2210</v>
      </c>
      <c r="J22" s="30" t="s">
        <v>0</v>
      </c>
      <c r="K22" s="30"/>
      <c r="L22" s="30">
        <v>8</v>
      </c>
      <c r="M22" s="30"/>
      <c r="N22" s="30">
        <v>1600</v>
      </c>
      <c r="O22" s="30" t="s">
        <v>339</v>
      </c>
      <c r="P22" s="34">
        <v>41640</v>
      </c>
      <c r="Q22" s="30" t="s">
        <v>263</v>
      </c>
      <c r="R22" s="31"/>
    </row>
    <row r="23" spans="1:27">
      <c r="A23" s="30">
        <v>22</v>
      </c>
      <c r="B23" s="32" t="s">
        <v>407</v>
      </c>
      <c r="C23" s="30" t="s">
        <v>409</v>
      </c>
      <c r="D23" s="31"/>
      <c r="E23" s="32" t="s">
        <v>79</v>
      </c>
      <c r="F23" s="30" t="s">
        <v>411</v>
      </c>
      <c r="G23" s="30" t="s">
        <v>80</v>
      </c>
      <c r="H23" s="30" t="s">
        <v>412</v>
      </c>
      <c r="I23" s="30">
        <v>1223</v>
      </c>
      <c r="J23" s="30" t="s">
        <v>281</v>
      </c>
      <c r="K23" s="30"/>
      <c r="L23" s="30"/>
      <c r="M23" s="30"/>
      <c r="N23" s="30">
        <v>320</v>
      </c>
      <c r="O23" s="30" t="s">
        <v>326</v>
      </c>
      <c r="P23" s="34">
        <v>41821</v>
      </c>
      <c r="Q23" s="30" t="s">
        <v>263</v>
      </c>
      <c r="R23" s="31"/>
    </row>
    <row r="24" spans="1:27" ht="12.6" thickBot="1">
      <c r="A24" s="30">
        <v>23</v>
      </c>
      <c r="B24" s="32" t="s">
        <v>408</v>
      </c>
      <c r="C24" s="30" t="s">
        <v>410</v>
      </c>
      <c r="D24" s="31"/>
      <c r="E24" s="32" t="s">
        <v>79</v>
      </c>
      <c r="F24" s="30" t="s">
        <v>411</v>
      </c>
      <c r="G24" s="30" t="s">
        <v>80</v>
      </c>
      <c r="H24" s="30" t="s">
        <v>412</v>
      </c>
      <c r="I24" s="30">
        <v>1223</v>
      </c>
      <c r="J24" s="30" t="s">
        <v>281</v>
      </c>
      <c r="K24" s="30"/>
      <c r="L24" s="30"/>
      <c r="M24" s="30"/>
      <c r="N24" s="30">
        <v>320</v>
      </c>
      <c r="O24" s="30" t="s">
        <v>326</v>
      </c>
      <c r="P24" s="34">
        <v>41821</v>
      </c>
      <c r="Q24" s="30" t="s">
        <v>263</v>
      </c>
      <c r="R24" s="31"/>
    </row>
    <row r="25" spans="1:27" ht="12.6" thickBot="1">
      <c r="A25" s="30">
        <v>24</v>
      </c>
      <c r="B25" s="29" t="s">
        <v>746</v>
      </c>
      <c r="C25" s="39" t="s">
        <v>549</v>
      </c>
      <c r="D25" s="30" t="s">
        <v>38</v>
      </c>
      <c r="E25" s="32" t="s">
        <v>88</v>
      </c>
      <c r="F25" s="33" t="s">
        <v>550</v>
      </c>
      <c r="G25" s="30" t="s">
        <v>84</v>
      </c>
      <c r="H25" s="33" t="s">
        <v>551</v>
      </c>
      <c r="I25" s="30">
        <v>1669</v>
      </c>
      <c r="J25" s="30" t="s">
        <v>0</v>
      </c>
      <c r="K25" s="30"/>
      <c r="L25" s="30">
        <v>8</v>
      </c>
      <c r="M25" s="30"/>
      <c r="N25" s="30">
        <v>1600</v>
      </c>
      <c r="O25" s="30" t="s">
        <v>340</v>
      </c>
      <c r="P25" s="34">
        <v>41821</v>
      </c>
      <c r="Q25" s="30" t="s">
        <v>263</v>
      </c>
      <c r="R25" s="31"/>
      <c r="W25" s="41" t="s">
        <v>58</v>
      </c>
      <c r="X25" s="42" t="s">
        <v>0</v>
      </c>
      <c r="Y25" s="43">
        <v>1438</v>
      </c>
      <c r="AA25" s="42" t="s">
        <v>1</v>
      </c>
    </row>
    <row r="26" spans="1:27" ht="12.6" thickBot="1">
      <c r="A26" s="30">
        <v>25</v>
      </c>
      <c r="B26" s="29" t="s">
        <v>392</v>
      </c>
      <c r="C26" s="30" t="s">
        <v>391</v>
      </c>
      <c r="D26" s="31"/>
      <c r="E26" s="32" t="s">
        <v>79</v>
      </c>
      <c r="F26" s="30" t="s">
        <v>390</v>
      </c>
      <c r="G26" s="30" t="s">
        <v>393</v>
      </c>
      <c r="H26" s="30" t="s">
        <v>394</v>
      </c>
      <c r="I26" s="30">
        <v>1105</v>
      </c>
      <c r="J26" s="30" t="s">
        <v>254</v>
      </c>
      <c r="K26" s="30"/>
      <c r="L26" s="30"/>
      <c r="M26" s="30"/>
      <c r="N26" s="30">
        <v>320</v>
      </c>
      <c r="O26" s="30" t="s">
        <v>319</v>
      </c>
      <c r="P26" s="34">
        <v>42491</v>
      </c>
      <c r="Q26" s="30" t="s">
        <v>263</v>
      </c>
      <c r="R26" s="31"/>
      <c r="W26" s="44" t="s">
        <v>58</v>
      </c>
      <c r="X26" s="45" t="s">
        <v>0</v>
      </c>
      <c r="Y26" s="44">
        <v>1907</v>
      </c>
      <c r="AA26" s="45" t="s">
        <v>2</v>
      </c>
    </row>
    <row r="27" spans="1:27" ht="12.6" thickBot="1">
      <c r="A27" s="30">
        <v>26</v>
      </c>
      <c r="B27" s="32" t="s">
        <v>253</v>
      </c>
      <c r="C27" s="30"/>
      <c r="D27" s="31"/>
      <c r="E27" s="32" t="s">
        <v>79</v>
      </c>
      <c r="F27" s="30" t="s">
        <v>375</v>
      </c>
      <c r="G27" s="30" t="s">
        <v>493</v>
      </c>
      <c r="H27" s="33" t="s">
        <v>552</v>
      </c>
      <c r="I27" s="30"/>
      <c r="J27" s="30" t="s">
        <v>254</v>
      </c>
      <c r="K27" s="30"/>
      <c r="L27" s="30"/>
      <c r="M27" s="30"/>
      <c r="N27" s="30">
        <v>300</v>
      </c>
      <c r="O27" s="30" t="s">
        <v>320</v>
      </c>
      <c r="P27" s="34">
        <v>42522</v>
      </c>
      <c r="Q27" s="30" t="s">
        <v>263</v>
      </c>
      <c r="R27" s="35" t="s">
        <v>374</v>
      </c>
      <c r="W27" s="41" t="s">
        <v>58</v>
      </c>
      <c r="X27" s="42" t="s">
        <v>0</v>
      </c>
      <c r="Y27" s="46">
        <v>2059</v>
      </c>
      <c r="AA27" s="42" t="s">
        <v>3</v>
      </c>
    </row>
    <row r="28" spans="1:27" ht="12.6" thickBot="1">
      <c r="A28" s="30">
        <v>27</v>
      </c>
      <c r="B28" s="29" t="s">
        <v>303</v>
      </c>
      <c r="C28" s="30" t="s">
        <v>20</v>
      </c>
      <c r="D28" s="30" t="s">
        <v>43</v>
      </c>
      <c r="E28" s="32" t="s">
        <v>71</v>
      </c>
      <c r="F28" s="38" t="s">
        <v>543</v>
      </c>
      <c r="G28" s="30" t="s">
        <v>84</v>
      </c>
      <c r="H28" s="38" t="s">
        <v>544</v>
      </c>
      <c r="I28" s="30">
        <v>1720</v>
      </c>
      <c r="J28" s="30" t="s">
        <v>0</v>
      </c>
      <c r="K28" s="30"/>
      <c r="L28" s="30">
        <v>8</v>
      </c>
      <c r="M28" s="30"/>
      <c r="N28" s="30">
        <v>1600</v>
      </c>
      <c r="O28" s="30" t="s">
        <v>341</v>
      </c>
      <c r="P28" s="34">
        <v>42614</v>
      </c>
      <c r="Q28" s="30" t="s">
        <v>263</v>
      </c>
      <c r="R28" s="31"/>
      <c r="W28" s="44" t="s">
        <v>58</v>
      </c>
      <c r="X28" s="45" t="s">
        <v>0</v>
      </c>
      <c r="Y28" s="47">
        <v>1413</v>
      </c>
      <c r="AA28" s="45" t="s">
        <v>4</v>
      </c>
    </row>
    <row r="29" spans="1:27" ht="12.6" thickBot="1">
      <c r="A29" s="30">
        <v>28</v>
      </c>
      <c r="B29" s="29" t="s">
        <v>554</v>
      </c>
      <c r="C29" s="30" t="s">
        <v>518</v>
      </c>
      <c r="D29" s="30" t="s">
        <v>40</v>
      </c>
      <c r="E29" s="32" t="s">
        <v>65</v>
      </c>
      <c r="F29" s="33" t="s">
        <v>555</v>
      </c>
      <c r="G29" s="30" t="s">
        <v>82</v>
      </c>
      <c r="H29" s="33" t="s">
        <v>556</v>
      </c>
      <c r="I29" s="30">
        <v>1119</v>
      </c>
      <c r="J29" s="30" t="s">
        <v>0</v>
      </c>
      <c r="K29" s="30"/>
      <c r="L29" s="30">
        <v>8</v>
      </c>
      <c r="M29" s="30"/>
      <c r="N29" s="30">
        <v>1600</v>
      </c>
      <c r="O29" s="30" t="s">
        <v>342</v>
      </c>
      <c r="P29" s="34">
        <v>42887</v>
      </c>
      <c r="Q29" s="30" t="s">
        <v>263</v>
      </c>
      <c r="R29" s="31"/>
      <c r="W29" s="44" t="s">
        <v>58</v>
      </c>
      <c r="X29" s="45" t="s">
        <v>0</v>
      </c>
      <c r="Y29" s="47">
        <v>2210</v>
      </c>
      <c r="AA29" s="45" t="s">
        <v>5</v>
      </c>
    </row>
    <row r="30" spans="1:27" ht="12.6" thickBot="1">
      <c r="A30" s="30">
        <v>29</v>
      </c>
      <c r="B30" s="29" t="s">
        <v>304</v>
      </c>
      <c r="C30" s="30" t="s">
        <v>747</v>
      </c>
      <c r="D30" s="30" t="s">
        <v>21</v>
      </c>
      <c r="E30" s="32" t="s">
        <v>91</v>
      </c>
      <c r="F30" s="32" t="s">
        <v>557</v>
      </c>
      <c r="G30" s="30" t="s">
        <v>85</v>
      </c>
      <c r="H30" s="38" t="s">
        <v>558</v>
      </c>
      <c r="I30" s="30">
        <v>2447</v>
      </c>
      <c r="J30" s="30" t="s">
        <v>0</v>
      </c>
      <c r="K30" s="30"/>
      <c r="L30" s="30">
        <v>8</v>
      </c>
      <c r="M30" s="30"/>
      <c r="N30" s="30">
        <v>1600</v>
      </c>
      <c r="O30" s="30" t="s">
        <v>342</v>
      </c>
      <c r="P30" s="34">
        <v>42887</v>
      </c>
      <c r="Q30" s="30" t="s">
        <v>263</v>
      </c>
      <c r="R30" s="31"/>
      <c r="W30" s="44" t="s">
        <v>58</v>
      </c>
      <c r="X30" s="45" t="s">
        <v>0</v>
      </c>
      <c r="Y30" s="47">
        <v>1680</v>
      </c>
      <c r="AA30" s="45" t="s">
        <v>6</v>
      </c>
    </row>
    <row r="31" spans="1:27" ht="12.6" thickBot="1">
      <c r="A31" s="30">
        <v>30</v>
      </c>
      <c r="B31" s="29" t="s">
        <v>305</v>
      </c>
      <c r="C31" s="30" t="s">
        <v>23</v>
      </c>
      <c r="D31" s="30" t="s">
        <v>41</v>
      </c>
      <c r="E31" s="32" t="s">
        <v>62</v>
      </c>
      <c r="F31" s="32" t="s">
        <v>559</v>
      </c>
      <c r="G31" s="30" t="s">
        <v>82</v>
      </c>
      <c r="H31" s="32" t="s">
        <v>560</v>
      </c>
      <c r="I31" s="30">
        <v>1620</v>
      </c>
      <c r="J31" s="30" t="s">
        <v>0</v>
      </c>
      <c r="K31" s="30"/>
      <c r="L31" s="30">
        <v>10</v>
      </c>
      <c r="M31" s="30"/>
      <c r="N31" s="30">
        <v>2000</v>
      </c>
      <c r="O31" s="30" t="s">
        <v>343</v>
      </c>
      <c r="P31" s="34">
        <v>43009</v>
      </c>
      <c r="Q31" s="30" t="s">
        <v>263</v>
      </c>
      <c r="R31" s="31"/>
      <c r="W31" s="44" t="s">
        <v>58</v>
      </c>
      <c r="X31" s="45" t="s">
        <v>0</v>
      </c>
      <c r="Y31" s="47">
        <v>1720</v>
      </c>
      <c r="AA31" s="45" t="s">
        <v>7</v>
      </c>
    </row>
    <row r="32" spans="1:27" ht="12.6" thickBot="1">
      <c r="A32" s="30">
        <v>31</v>
      </c>
      <c r="B32" s="48" t="s">
        <v>561</v>
      </c>
      <c r="C32" s="30" t="s">
        <v>26</v>
      </c>
      <c r="D32" s="30" t="s">
        <v>27</v>
      </c>
      <c r="E32" s="38" t="s">
        <v>562</v>
      </c>
      <c r="F32" s="30" t="s">
        <v>72</v>
      </c>
      <c r="G32" s="40" t="s">
        <v>61</v>
      </c>
      <c r="H32" s="30" t="s">
        <v>73</v>
      </c>
      <c r="I32" s="30">
        <v>1238</v>
      </c>
      <c r="J32" s="30" t="s">
        <v>0</v>
      </c>
      <c r="K32" s="30"/>
      <c r="L32" s="30">
        <v>10</v>
      </c>
      <c r="M32" s="30"/>
      <c r="N32" s="30">
        <v>2000</v>
      </c>
      <c r="O32" s="30" t="s">
        <v>343</v>
      </c>
      <c r="P32" s="34">
        <v>43070</v>
      </c>
      <c r="Q32" s="30" t="s">
        <v>263</v>
      </c>
      <c r="R32" s="31"/>
      <c r="W32" s="44" t="s">
        <v>58</v>
      </c>
      <c r="X32" s="45" t="s">
        <v>0</v>
      </c>
      <c r="Y32" s="47">
        <v>2383</v>
      </c>
      <c r="AA32" s="49" t="s">
        <v>8</v>
      </c>
    </row>
    <row r="33" spans="1:27" ht="12.6" thickBot="1">
      <c r="A33" s="30">
        <v>32</v>
      </c>
      <c r="B33" s="29" t="s">
        <v>306</v>
      </c>
      <c r="C33" s="30" t="s">
        <v>24</v>
      </c>
      <c r="D33" s="30" t="s">
        <v>25</v>
      </c>
      <c r="E33" s="32" t="s">
        <v>68</v>
      </c>
      <c r="F33" s="30" t="s">
        <v>69</v>
      </c>
      <c r="G33" s="40" t="s">
        <v>61</v>
      </c>
      <c r="H33" s="30" t="s">
        <v>70</v>
      </c>
      <c r="I33" s="30">
        <v>1234</v>
      </c>
      <c r="J33" s="30" t="s">
        <v>0</v>
      </c>
      <c r="K33" s="30"/>
      <c r="L33" s="30">
        <v>10</v>
      </c>
      <c r="M33" s="30"/>
      <c r="N33" s="30">
        <v>2000</v>
      </c>
      <c r="O33" s="30" t="s">
        <v>334</v>
      </c>
      <c r="P33" s="34">
        <v>43070</v>
      </c>
      <c r="Q33" s="30" t="s">
        <v>263</v>
      </c>
      <c r="R33" s="31"/>
      <c r="W33" s="41" t="s">
        <v>58</v>
      </c>
      <c r="X33" s="43" t="s">
        <v>0</v>
      </c>
      <c r="Y33" s="41">
        <v>1119</v>
      </c>
      <c r="AA33" s="50" t="s">
        <v>9</v>
      </c>
    </row>
    <row r="34" spans="1:27" ht="12.6" thickBot="1">
      <c r="A34" s="30">
        <v>33</v>
      </c>
      <c r="B34" s="29" t="s">
        <v>387</v>
      </c>
      <c r="C34" s="30" t="s">
        <v>386</v>
      </c>
      <c r="D34" s="30" t="s">
        <v>28</v>
      </c>
      <c r="E34" s="38" t="s">
        <v>563</v>
      </c>
      <c r="F34" s="30" t="s">
        <v>388</v>
      </c>
      <c r="G34" s="38" t="s">
        <v>564</v>
      </c>
      <c r="H34" s="30" t="s">
        <v>389</v>
      </c>
      <c r="I34" s="30">
        <v>1929</v>
      </c>
      <c r="J34" s="30" t="s">
        <v>0</v>
      </c>
      <c r="K34" s="30"/>
      <c r="L34" s="30">
        <v>5</v>
      </c>
      <c r="M34" s="30"/>
      <c r="N34" s="30">
        <v>1000</v>
      </c>
      <c r="O34" s="30" t="s">
        <v>316</v>
      </c>
      <c r="P34" s="34">
        <v>43221</v>
      </c>
      <c r="Q34" s="30" t="s">
        <v>263</v>
      </c>
      <c r="R34" s="31"/>
      <c r="W34" s="51" t="s">
        <v>58</v>
      </c>
      <c r="X34" s="52" t="s">
        <v>0</v>
      </c>
      <c r="Y34" s="51">
        <v>1620</v>
      </c>
      <c r="AA34" s="36" t="s">
        <v>10</v>
      </c>
    </row>
    <row r="35" spans="1:27" ht="12.6" thickBot="1">
      <c r="A35" s="30">
        <v>34</v>
      </c>
      <c r="B35" s="32" t="s">
        <v>376</v>
      </c>
      <c r="C35" s="30"/>
      <c r="D35" s="31"/>
      <c r="E35" s="32" t="s">
        <v>378</v>
      </c>
      <c r="F35" s="30" t="s">
        <v>380</v>
      </c>
      <c r="G35" s="30" t="s">
        <v>87</v>
      </c>
      <c r="H35" s="30" t="s">
        <v>379</v>
      </c>
      <c r="I35" s="30"/>
      <c r="J35" s="30" t="s">
        <v>265</v>
      </c>
      <c r="K35" s="30"/>
      <c r="L35" s="30"/>
      <c r="M35" s="30"/>
      <c r="N35" s="30">
        <v>250</v>
      </c>
      <c r="O35" s="37">
        <v>42705</v>
      </c>
      <c r="P35" s="34">
        <v>43617</v>
      </c>
      <c r="Q35" s="30" t="s">
        <v>344</v>
      </c>
      <c r="R35" s="31"/>
      <c r="W35" s="41" t="s">
        <v>58</v>
      </c>
      <c r="X35" s="50" t="s">
        <v>0</v>
      </c>
      <c r="Y35" s="43">
        <v>1238</v>
      </c>
      <c r="AA35" s="42" t="s">
        <v>11</v>
      </c>
    </row>
    <row r="36" spans="1:27" ht="12.6" thickBot="1">
      <c r="A36" s="30">
        <v>35</v>
      </c>
      <c r="B36" s="32" t="s">
        <v>377</v>
      </c>
      <c r="C36" s="30"/>
      <c r="D36" s="31"/>
      <c r="E36" s="32" t="s">
        <v>378</v>
      </c>
      <c r="F36" s="30" t="s">
        <v>381</v>
      </c>
      <c r="G36" s="30" t="s">
        <v>87</v>
      </c>
      <c r="H36" s="30" t="s">
        <v>382</v>
      </c>
      <c r="I36" s="30"/>
      <c r="J36" s="30" t="s">
        <v>265</v>
      </c>
      <c r="K36" s="30"/>
      <c r="L36" s="30"/>
      <c r="M36" s="30"/>
      <c r="N36" s="30">
        <v>250</v>
      </c>
      <c r="O36" s="37">
        <v>42705</v>
      </c>
      <c r="P36" s="34">
        <v>43617</v>
      </c>
      <c r="Q36" s="30" t="s">
        <v>344</v>
      </c>
      <c r="R36" s="31"/>
      <c r="W36" s="41" t="s">
        <v>58</v>
      </c>
      <c r="X36" s="50" t="s">
        <v>0</v>
      </c>
      <c r="Y36" s="43">
        <v>1959</v>
      </c>
      <c r="AA36" s="42" t="s">
        <v>11</v>
      </c>
    </row>
    <row r="37" spans="1:27" ht="12.6" thickBot="1">
      <c r="A37" s="30">
        <v>36</v>
      </c>
      <c r="B37" s="32" t="s">
        <v>421</v>
      </c>
      <c r="C37" s="30"/>
      <c r="D37" s="31"/>
      <c r="E37" s="32" t="s">
        <v>80</v>
      </c>
      <c r="F37" s="30" t="s">
        <v>423</v>
      </c>
      <c r="G37" s="30" t="s">
        <v>422</v>
      </c>
      <c r="H37" s="30" t="s">
        <v>424</v>
      </c>
      <c r="I37" s="30"/>
      <c r="J37" s="30" t="s">
        <v>281</v>
      </c>
      <c r="K37" s="30"/>
      <c r="L37" s="30"/>
      <c r="M37" s="30"/>
      <c r="N37" s="30">
        <v>60</v>
      </c>
      <c r="O37" s="30"/>
      <c r="P37" s="34">
        <v>43647</v>
      </c>
      <c r="Q37" s="30" t="s">
        <v>263</v>
      </c>
      <c r="R37" s="31"/>
      <c r="W37" s="41" t="s">
        <v>58</v>
      </c>
      <c r="X37" s="43" t="s">
        <v>0</v>
      </c>
      <c r="Y37" s="42">
        <v>1234</v>
      </c>
      <c r="AA37" s="42" t="s">
        <v>11</v>
      </c>
    </row>
    <row r="38" spans="1:27" ht="12.6" thickBot="1">
      <c r="A38" s="30">
        <v>37</v>
      </c>
      <c r="B38" s="29" t="s">
        <v>346</v>
      </c>
      <c r="C38" s="30" t="s">
        <v>29</v>
      </c>
      <c r="D38" s="30" t="s">
        <v>30</v>
      </c>
      <c r="E38" s="32" t="s">
        <v>90</v>
      </c>
      <c r="F38" s="53" t="s">
        <v>565</v>
      </c>
      <c r="G38" s="30" t="s">
        <v>86</v>
      </c>
      <c r="H38" s="38" t="s">
        <v>566</v>
      </c>
      <c r="I38" s="30">
        <v>3293.1</v>
      </c>
      <c r="J38" s="30" t="s">
        <v>12</v>
      </c>
      <c r="K38" s="30"/>
      <c r="L38" s="30">
        <v>900</v>
      </c>
      <c r="M38" s="30">
        <v>2400</v>
      </c>
      <c r="N38" s="30">
        <v>1200</v>
      </c>
      <c r="O38" s="30" t="s">
        <v>316</v>
      </c>
      <c r="P38" s="34">
        <v>43709</v>
      </c>
      <c r="Q38" s="30" t="s">
        <v>263</v>
      </c>
      <c r="R38" s="31"/>
      <c r="W38" s="36" t="s">
        <v>58</v>
      </c>
      <c r="X38" s="36" t="s">
        <v>0</v>
      </c>
      <c r="Y38" s="36">
        <v>1489</v>
      </c>
      <c r="AA38" s="36" t="s">
        <v>14</v>
      </c>
    </row>
    <row r="39" spans="1:27" ht="12.6" thickBot="1">
      <c r="A39" s="30">
        <v>38</v>
      </c>
      <c r="B39" s="29" t="s">
        <v>748</v>
      </c>
      <c r="C39" s="30" t="s">
        <v>47</v>
      </c>
      <c r="D39" s="30" t="s">
        <v>54</v>
      </c>
      <c r="E39" s="54" t="s">
        <v>567</v>
      </c>
      <c r="F39" s="55" t="s">
        <v>570</v>
      </c>
      <c r="G39" s="56" t="s">
        <v>568</v>
      </c>
      <c r="H39" s="38" t="s">
        <v>569</v>
      </c>
      <c r="I39" s="30">
        <v>1711</v>
      </c>
      <c r="J39" s="30" t="s">
        <v>0</v>
      </c>
      <c r="K39" s="30"/>
      <c r="L39" s="30">
        <v>8</v>
      </c>
      <c r="M39" s="30"/>
      <c r="N39" s="30">
        <v>800</v>
      </c>
      <c r="O39" s="30"/>
      <c r="P39" s="34">
        <v>43709</v>
      </c>
      <c r="Q39" s="30" t="s">
        <v>344</v>
      </c>
      <c r="R39" s="31"/>
      <c r="W39" s="36" t="s">
        <v>58</v>
      </c>
      <c r="X39" s="36" t="s">
        <v>0</v>
      </c>
      <c r="Y39" s="36">
        <v>1587</v>
      </c>
      <c r="AA39" s="36" t="s">
        <v>14</v>
      </c>
    </row>
    <row r="40" spans="1:27" ht="12.6" thickBot="1">
      <c r="A40" s="30">
        <v>39</v>
      </c>
      <c r="B40" s="29" t="s">
        <v>308</v>
      </c>
      <c r="C40" s="30" t="s">
        <v>46</v>
      </c>
      <c r="D40" s="30" t="s">
        <v>53</v>
      </c>
      <c r="E40" s="32" t="s">
        <v>93</v>
      </c>
      <c r="F40" s="33" t="s">
        <v>571</v>
      </c>
      <c r="G40" s="30" t="s">
        <v>87</v>
      </c>
      <c r="H40" s="33" t="s">
        <v>572</v>
      </c>
      <c r="I40" s="30">
        <v>1137</v>
      </c>
      <c r="J40" s="30" t="s">
        <v>0</v>
      </c>
      <c r="K40" s="30"/>
      <c r="L40" s="30"/>
      <c r="M40" s="30"/>
      <c r="N40" s="30">
        <v>800</v>
      </c>
      <c r="O40" s="30"/>
      <c r="P40" s="34">
        <v>43862</v>
      </c>
      <c r="Q40" s="30" t="s">
        <v>344</v>
      </c>
      <c r="R40" s="31"/>
      <c r="W40" s="36" t="s">
        <v>58</v>
      </c>
      <c r="X40" s="36" t="s">
        <v>0</v>
      </c>
      <c r="Y40" s="36">
        <v>1137</v>
      </c>
      <c r="AA40" s="36" t="s">
        <v>60</v>
      </c>
    </row>
    <row r="41" spans="1:27" ht="12.6" thickBot="1">
      <c r="A41" s="30">
        <v>40</v>
      </c>
      <c r="B41" s="29" t="s">
        <v>292</v>
      </c>
      <c r="C41" s="30"/>
      <c r="D41" s="31"/>
      <c r="E41" s="32" t="s">
        <v>416</v>
      </c>
      <c r="F41" s="30" t="s">
        <v>417</v>
      </c>
      <c r="G41" s="30" t="s">
        <v>80</v>
      </c>
      <c r="H41" s="30" t="s">
        <v>418</v>
      </c>
      <c r="I41" s="30">
        <v>386</v>
      </c>
      <c r="J41" s="30" t="s">
        <v>281</v>
      </c>
      <c r="K41" s="30"/>
      <c r="L41" s="30"/>
      <c r="M41" s="30"/>
      <c r="N41" s="30">
        <v>300</v>
      </c>
      <c r="O41" s="30"/>
      <c r="P41" s="57">
        <v>43983</v>
      </c>
      <c r="Q41" s="28" t="s">
        <v>432</v>
      </c>
      <c r="R41" s="31"/>
      <c r="W41" s="36" t="s">
        <v>58</v>
      </c>
      <c r="X41" s="36" t="s">
        <v>0</v>
      </c>
      <c r="Y41" s="36">
        <v>1711</v>
      </c>
      <c r="AA41" s="36" t="s">
        <v>13</v>
      </c>
    </row>
    <row r="42" spans="1:27" ht="12.6" thickBot="1">
      <c r="A42" s="30">
        <v>41</v>
      </c>
      <c r="B42" s="29" t="s">
        <v>431</v>
      </c>
      <c r="C42" s="30" t="s">
        <v>573</v>
      </c>
      <c r="D42" s="30" t="s">
        <v>35</v>
      </c>
      <c r="E42" s="32" t="s">
        <v>749</v>
      </c>
      <c r="F42" s="55" t="s">
        <v>574</v>
      </c>
      <c r="G42" s="30" t="s">
        <v>80</v>
      </c>
      <c r="H42" s="55" t="s">
        <v>575</v>
      </c>
      <c r="I42" s="30">
        <v>1489</v>
      </c>
      <c r="J42" s="30" t="s">
        <v>0</v>
      </c>
      <c r="K42" s="30"/>
      <c r="L42" s="30">
        <v>8</v>
      </c>
      <c r="M42" s="30"/>
      <c r="N42" s="30">
        <v>1600</v>
      </c>
      <c r="O42" s="30" t="s">
        <v>313</v>
      </c>
      <c r="P42" s="34">
        <v>44166</v>
      </c>
      <c r="Q42" s="28" t="s">
        <v>432</v>
      </c>
      <c r="R42" s="31"/>
      <c r="W42" s="36" t="s">
        <v>58</v>
      </c>
      <c r="X42" s="36" t="s">
        <v>0</v>
      </c>
      <c r="Y42" s="36">
        <v>2172</v>
      </c>
      <c r="AA42" s="36" t="s">
        <v>59</v>
      </c>
    </row>
    <row r="43" spans="1:27" ht="12.6" thickBot="1">
      <c r="A43" s="30">
        <v>42</v>
      </c>
      <c r="B43" s="29" t="s">
        <v>307</v>
      </c>
      <c r="C43" s="30" t="s">
        <v>32</v>
      </c>
      <c r="D43" s="30" t="s">
        <v>33</v>
      </c>
      <c r="E43" s="38" t="s">
        <v>577</v>
      </c>
      <c r="F43" s="38" t="s">
        <v>578</v>
      </c>
      <c r="G43" s="38" t="s">
        <v>576</v>
      </c>
      <c r="H43" s="38" t="s">
        <v>579</v>
      </c>
      <c r="I43" s="30">
        <v>1587</v>
      </c>
      <c r="J43" s="30" t="s">
        <v>0</v>
      </c>
      <c r="K43" s="30"/>
      <c r="L43" s="30">
        <v>8</v>
      </c>
      <c r="M43" s="30"/>
      <c r="N43" s="30">
        <v>800</v>
      </c>
      <c r="O43" s="30"/>
      <c r="P43" s="34">
        <v>44166</v>
      </c>
      <c r="Q43" s="30" t="s">
        <v>344</v>
      </c>
      <c r="R43" s="31"/>
      <c r="W43" s="36" t="s">
        <v>58</v>
      </c>
      <c r="X43" s="36" t="s">
        <v>0</v>
      </c>
      <c r="Y43" s="36">
        <v>2193</v>
      </c>
      <c r="AA43" s="36" t="s">
        <v>14</v>
      </c>
    </row>
    <row r="44" spans="1:27">
      <c r="A44" s="30">
        <v>43</v>
      </c>
      <c r="B44" s="58" t="s">
        <v>309</v>
      </c>
      <c r="C44" s="30" t="s">
        <v>48</v>
      </c>
      <c r="D44" s="30" t="s">
        <v>55</v>
      </c>
      <c r="E44" s="38" t="s">
        <v>580</v>
      </c>
      <c r="F44" s="38" t="s">
        <v>750</v>
      </c>
      <c r="G44" s="38" t="s">
        <v>581</v>
      </c>
      <c r="H44" s="38" t="s">
        <v>583</v>
      </c>
      <c r="I44" s="30">
        <v>2172</v>
      </c>
      <c r="J44" s="30" t="s">
        <v>0</v>
      </c>
      <c r="K44" s="30"/>
      <c r="L44" s="30"/>
      <c r="M44" s="30"/>
      <c r="N44" s="30">
        <v>800</v>
      </c>
      <c r="O44" s="30"/>
      <c r="P44" s="34">
        <v>44743</v>
      </c>
      <c r="Q44" s="30" t="s">
        <v>344</v>
      </c>
      <c r="R44" s="31"/>
      <c r="S44" s="33" t="s">
        <v>582</v>
      </c>
    </row>
    <row r="45" spans="1:27">
      <c r="A45" s="30">
        <v>44</v>
      </c>
      <c r="B45" s="32" t="s">
        <v>345</v>
      </c>
      <c r="C45" s="30" t="s">
        <v>49</v>
      </c>
      <c r="D45" s="30" t="s">
        <v>56</v>
      </c>
      <c r="E45" s="32" t="s">
        <v>88</v>
      </c>
      <c r="F45" s="30" t="s">
        <v>425</v>
      </c>
      <c r="G45" s="30" t="s">
        <v>84</v>
      </c>
      <c r="H45" s="30" t="s">
        <v>426</v>
      </c>
      <c r="I45" s="30">
        <v>2193</v>
      </c>
      <c r="J45" s="30" t="s">
        <v>0</v>
      </c>
      <c r="K45" s="30"/>
      <c r="L45" s="30"/>
      <c r="M45" s="30"/>
      <c r="N45" s="30">
        <v>800</v>
      </c>
      <c r="O45" s="30"/>
      <c r="P45" s="34">
        <v>44743</v>
      </c>
      <c r="Q45" s="30" t="s">
        <v>344</v>
      </c>
      <c r="R45" s="31"/>
    </row>
    <row r="46" spans="1:27">
      <c r="A46" s="30">
        <v>45</v>
      </c>
      <c r="B46" s="29" t="s">
        <v>310</v>
      </c>
      <c r="C46" s="30"/>
      <c r="D46" s="31"/>
      <c r="E46" s="32" t="s">
        <v>80</v>
      </c>
      <c r="F46" s="30" t="s">
        <v>385</v>
      </c>
      <c r="G46" s="30" t="s">
        <v>96</v>
      </c>
      <c r="H46" s="30" t="s">
        <v>384</v>
      </c>
      <c r="I46" s="30">
        <v>79</v>
      </c>
      <c r="J46" s="30"/>
      <c r="K46" s="30"/>
      <c r="L46" s="30"/>
      <c r="M46" s="30"/>
      <c r="N46" s="30">
        <v>200</v>
      </c>
      <c r="O46" s="37">
        <v>44287</v>
      </c>
      <c r="P46" s="34">
        <v>44743</v>
      </c>
      <c r="Q46" s="59" t="s">
        <v>263</v>
      </c>
      <c r="R46" s="31"/>
    </row>
    <row r="47" spans="1:27">
      <c r="A47" s="30">
        <v>46</v>
      </c>
      <c r="B47" s="32" t="s">
        <v>730</v>
      </c>
      <c r="C47" s="30"/>
      <c r="D47" s="31"/>
      <c r="E47" s="32" t="s">
        <v>541</v>
      </c>
      <c r="F47" s="30" t="s">
        <v>539</v>
      </c>
      <c r="G47" s="30" t="s">
        <v>378</v>
      </c>
      <c r="H47" s="30" t="s">
        <v>540</v>
      </c>
      <c r="I47" s="31"/>
      <c r="J47" s="31"/>
      <c r="K47" s="30"/>
      <c r="L47" s="30"/>
      <c r="M47" s="30"/>
      <c r="N47" s="30">
        <v>800</v>
      </c>
      <c r="O47" s="60">
        <v>44774</v>
      </c>
      <c r="P47" s="31" t="s">
        <v>751</v>
      </c>
      <c r="Q47" s="59" t="s">
        <v>263</v>
      </c>
      <c r="R47" s="31"/>
    </row>
  </sheetData>
  <autoFilter ref="A1:R46" xr:uid="{70FFE89D-979D-4885-A848-ABBC8439ACAC}">
    <sortState xmlns:xlrd2="http://schemas.microsoft.com/office/spreadsheetml/2017/richdata2" ref="A2:R47">
      <sortCondition ref="A1:A46"/>
    </sortState>
  </autoFilter>
  <phoneticPr fontId="3" type="noConversion"/>
  <hyperlinks>
    <hyperlink ref="R15" r:id="rId1" display="http://www.sasac.gov.cn/n2588025/n2588124/c4050671/content.html" xr:uid="{550DB126-D056-49D3-8D83-5681D9F9660C}"/>
    <hyperlink ref="R9" r:id="rId2" display="http://www.gov.cn/jrzg/2006-11/08/content_436269.htm" xr:uid="{F72DA78D-F48A-4D8C-8321-E3F165F7EF33}"/>
    <hyperlink ref="R8" r:id="rId3" display="https://business.sohu.com/20041220/n223552589.shtml" xr:uid="{AD9A33D1-BD0C-4461-8E68-20C97087C97E}"/>
    <hyperlink ref="R2" r:id="rId4" display="https://www.docin.com/p-1374550241.html" xr:uid="{1448334B-ADB7-4E95-85A9-C76923656D6A}"/>
    <hyperlink ref="R5" r:id="rId5" display="https://wenku.baidu.com/view/4489072a15fc700abb68a98271fe910ef12dae8d.html" xr:uid="{9760D261-818C-44DE-B158-69D5CDB354E8}"/>
    <hyperlink ref="R3" r:id="rId6" display="https://power.in-en.com/html/power-2376675.shtml" xr:uid="{F92BB60E-B7EB-40C5-A29B-CBE87243B250}"/>
    <hyperlink ref="R27" r:id="rId7" display="https://power.in-en.com/html/power-2376675.shtml" xr:uid="{9EA3253C-9053-4CB6-8B23-F5C6429BB448}"/>
    <hyperlink ref="E39" r:id="rId8" display="https://baike.baidu.com/item/%E7%9B%90%E6%BA%90%E5%8E%BF/6862688" xr:uid="{2B98BC78-C3F4-4864-B4D5-5C82985CD670}"/>
    <hyperlink ref="G39" r:id="rId9" display="https://baike.baidu.com/item/%E6%8A%9A%E5%B7%9E%E5%B8%82/520352" xr:uid="{8A061B7E-12F5-421A-9C15-4901BFD9C75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7D8D-AE7B-4E3A-A27E-0D35B52086FC}">
  <dimension ref="A1:Z11"/>
  <sheetViews>
    <sheetView workbookViewId="0">
      <selection activeCell="F14" sqref="F14"/>
    </sheetView>
  </sheetViews>
  <sheetFormatPr defaultRowHeight="13.2"/>
  <cols>
    <col min="1" max="1" width="19.44140625" bestFit="1" customWidth="1"/>
    <col min="4" max="4" width="15.33203125" bestFit="1" customWidth="1"/>
    <col min="5" max="8" width="15.33203125" customWidth="1"/>
  </cols>
  <sheetData>
    <row r="1" spans="1:26">
      <c r="A1" s="18" t="s">
        <v>490</v>
      </c>
      <c r="B1" s="18" t="s">
        <v>455</v>
      </c>
      <c r="C1" s="18" t="s">
        <v>456</v>
      </c>
      <c r="D1" s="18"/>
      <c r="E1" s="18"/>
      <c r="F1" s="18"/>
      <c r="G1" s="18"/>
      <c r="H1" s="18"/>
      <c r="I1" s="18" t="s">
        <v>457</v>
      </c>
      <c r="J1" s="18" t="s">
        <v>491</v>
      </c>
      <c r="L1" s="1" t="s">
        <v>475</v>
      </c>
      <c r="S1" s="1" t="s">
        <v>458</v>
      </c>
      <c r="Z1" s="1" t="s">
        <v>477</v>
      </c>
    </row>
    <row r="2" spans="1:26">
      <c r="A2" s="18" t="s">
        <v>453</v>
      </c>
      <c r="B2" s="18" t="s">
        <v>454</v>
      </c>
      <c r="C2" s="18">
        <v>20</v>
      </c>
      <c r="D2" s="18" t="s">
        <v>460</v>
      </c>
      <c r="E2" s="18" t="s">
        <v>461</v>
      </c>
      <c r="F2" s="18" t="s">
        <v>462</v>
      </c>
      <c r="G2" s="18"/>
      <c r="H2" s="18"/>
      <c r="I2" s="18">
        <v>2011.07</v>
      </c>
      <c r="J2" s="18" t="s">
        <v>452</v>
      </c>
    </row>
    <row r="3" spans="1:26">
      <c r="A3" s="18" t="s">
        <v>476</v>
      </c>
      <c r="B3" s="18" t="s">
        <v>469</v>
      </c>
      <c r="C3" s="18">
        <v>200</v>
      </c>
      <c r="D3" s="18" t="s">
        <v>466</v>
      </c>
      <c r="E3" s="18" t="s">
        <v>467</v>
      </c>
      <c r="F3" s="18" t="s">
        <v>468</v>
      </c>
      <c r="G3" s="18"/>
      <c r="H3" s="18"/>
      <c r="I3" s="18">
        <v>2013.12</v>
      </c>
      <c r="J3" s="18" t="s">
        <v>452</v>
      </c>
    </row>
    <row r="4" spans="1:26">
      <c r="A4" s="18" t="s">
        <v>458</v>
      </c>
      <c r="B4" s="18" t="s">
        <v>459</v>
      </c>
      <c r="C4" s="18">
        <v>400</v>
      </c>
      <c r="D4" s="18" t="s">
        <v>470</v>
      </c>
      <c r="E4" s="18" t="s">
        <v>471</v>
      </c>
      <c r="F4" s="18" t="s">
        <v>472</v>
      </c>
      <c r="G4" s="18" t="s">
        <v>473</v>
      </c>
      <c r="H4" s="18" t="s">
        <v>474</v>
      </c>
      <c r="I4" s="18">
        <v>2014.7</v>
      </c>
      <c r="J4" s="18" t="s">
        <v>452</v>
      </c>
    </row>
    <row r="5" spans="1:26">
      <c r="A5" s="18" t="s">
        <v>463</v>
      </c>
      <c r="B5" s="18" t="s">
        <v>486</v>
      </c>
      <c r="C5" s="18">
        <v>5000</v>
      </c>
      <c r="D5" s="18" t="s">
        <v>380</v>
      </c>
      <c r="E5" s="18" t="s">
        <v>379</v>
      </c>
      <c r="F5" s="18" t="s">
        <v>381</v>
      </c>
      <c r="G5" s="18" t="s">
        <v>382</v>
      </c>
      <c r="H5" s="18"/>
      <c r="I5" s="18">
        <v>2019.6</v>
      </c>
      <c r="J5" s="18" t="s">
        <v>452</v>
      </c>
    </row>
    <row r="6" spans="1:26">
      <c r="A6" s="18" t="s">
        <v>464</v>
      </c>
      <c r="B6" s="18" t="s">
        <v>485</v>
      </c>
      <c r="C6" s="18">
        <v>3000</v>
      </c>
      <c r="D6" s="18" t="s">
        <v>375</v>
      </c>
      <c r="E6" s="18"/>
      <c r="F6" s="18"/>
      <c r="G6" s="18"/>
      <c r="H6" s="18"/>
      <c r="I6" s="18">
        <v>2016.6</v>
      </c>
      <c r="J6" s="18" t="s">
        <v>452</v>
      </c>
    </row>
    <row r="7" spans="1:26">
      <c r="A7" s="18" t="s">
        <v>34</v>
      </c>
      <c r="B7" s="18" t="s">
        <v>0</v>
      </c>
      <c r="C7" s="18">
        <v>1600</v>
      </c>
      <c r="D7" s="18" t="s">
        <v>487</v>
      </c>
      <c r="E7" s="18" t="s">
        <v>488</v>
      </c>
      <c r="F7" s="18" t="s">
        <v>489</v>
      </c>
      <c r="G7" s="18"/>
      <c r="H7" s="18"/>
      <c r="I7" s="18">
        <v>2020.7</v>
      </c>
      <c r="J7" s="18" t="s">
        <v>452</v>
      </c>
    </row>
    <row r="8" spans="1:26">
      <c r="A8" s="18" t="s">
        <v>478</v>
      </c>
      <c r="B8" s="18" t="s">
        <v>465</v>
      </c>
      <c r="C8" s="18">
        <v>1000</v>
      </c>
      <c r="D8" s="18" t="s">
        <v>479</v>
      </c>
      <c r="E8" s="18" t="s">
        <v>480</v>
      </c>
      <c r="F8" s="18"/>
      <c r="G8" s="18"/>
      <c r="H8" s="18"/>
      <c r="I8" s="18">
        <v>2015.12</v>
      </c>
      <c r="J8" s="18" t="s">
        <v>452</v>
      </c>
    </row>
    <row r="9" spans="1:26">
      <c r="A9" s="18" t="s">
        <v>477</v>
      </c>
      <c r="B9" s="18" t="s">
        <v>254</v>
      </c>
      <c r="C9" s="18">
        <v>3000</v>
      </c>
      <c r="D9" s="18" t="s">
        <v>481</v>
      </c>
      <c r="E9" s="18" t="s">
        <v>482</v>
      </c>
      <c r="F9" s="18" t="s">
        <v>483</v>
      </c>
      <c r="G9" s="18" t="s">
        <v>484</v>
      </c>
      <c r="H9" s="18"/>
      <c r="I9" s="18">
        <v>2019.4</v>
      </c>
      <c r="J9" s="18" t="s">
        <v>452</v>
      </c>
    </row>
    <row r="11" spans="1:26">
      <c r="A11" s="19" t="s">
        <v>492</v>
      </c>
    </row>
  </sheetData>
  <phoneticPr fontId="3" type="noConversion"/>
  <hyperlinks>
    <hyperlink ref="A11" r:id="rId1" display="https://mp.weixin.qq.com/s/HMg7qB_UooteOUnceaKs0Q" xr:uid="{07704707-ED26-49B0-8F79-CB5B18CD32BF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6F76-D9E2-4457-BE5E-A6744CC232AA}">
  <dimension ref="A1:Q130"/>
  <sheetViews>
    <sheetView topLeftCell="A4" workbookViewId="0">
      <selection activeCell="A34" sqref="A34:XFD34"/>
    </sheetView>
  </sheetViews>
  <sheetFormatPr defaultRowHeight="13.2"/>
  <cols>
    <col min="2" max="2" width="17.44140625" bestFit="1" customWidth="1"/>
    <col min="3" max="3" width="13.6640625" bestFit="1" customWidth="1"/>
    <col min="9" max="9" width="9.33203125" style="2" bestFit="1" customWidth="1"/>
    <col min="10" max="13" width="13.109375" style="2" customWidth="1"/>
    <col min="15" max="15" width="24.109375" bestFit="1" customWidth="1"/>
  </cols>
  <sheetData>
    <row r="1" spans="1:17">
      <c r="A1" s="3"/>
      <c r="B1" s="4" t="s">
        <v>119</v>
      </c>
      <c r="C1" s="4" t="s">
        <v>120</v>
      </c>
      <c r="D1" s="4" t="s">
        <v>121</v>
      </c>
      <c r="E1" s="15" t="s">
        <v>224</v>
      </c>
      <c r="F1" s="15" t="s">
        <v>225</v>
      </c>
      <c r="I1" s="4"/>
      <c r="J1" s="15" t="s">
        <v>224</v>
      </c>
      <c r="K1" s="15" t="s">
        <v>225</v>
      </c>
      <c r="L1" s="4" t="s">
        <v>120</v>
      </c>
      <c r="M1" s="4" t="s">
        <v>121</v>
      </c>
      <c r="O1" s="12"/>
      <c r="P1" s="4" t="s">
        <v>226</v>
      </c>
      <c r="Q1" s="4" t="s">
        <v>121</v>
      </c>
    </row>
    <row r="2" spans="1:17">
      <c r="A2" s="3">
        <v>1</v>
      </c>
      <c r="B2" s="5" t="s">
        <v>126</v>
      </c>
      <c r="C2" s="6">
        <v>508935</v>
      </c>
      <c r="D2" s="6">
        <v>-7.46</v>
      </c>
      <c r="E2" s="3" t="s">
        <v>108</v>
      </c>
      <c r="F2" s="3" t="s">
        <v>105</v>
      </c>
      <c r="I2" s="4">
        <v>1</v>
      </c>
      <c r="J2" s="4" t="s">
        <v>176</v>
      </c>
      <c r="K2" s="4" t="s">
        <v>177</v>
      </c>
      <c r="L2" s="4">
        <v>153355997</v>
      </c>
      <c r="M2" s="4">
        <v>7.73</v>
      </c>
      <c r="O2" s="4" t="s">
        <v>227</v>
      </c>
      <c r="P2" s="6">
        <v>2665761</v>
      </c>
      <c r="Q2" s="6">
        <v>1.49</v>
      </c>
    </row>
    <row r="3" spans="1:17">
      <c r="A3" s="3">
        <v>2</v>
      </c>
      <c r="B3" s="5" t="s">
        <v>129</v>
      </c>
      <c r="C3" s="6">
        <v>399874</v>
      </c>
      <c r="D3" s="6">
        <v>3</v>
      </c>
      <c r="E3" s="3" t="s">
        <v>108</v>
      </c>
      <c r="F3" s="3" t="s">
        <v>110</v>
      </c>
      <c r="I3" s="4">
        <v>3</v>
      </c>
      <c r="J3" s="4" t="s">
        <v>182</v>
      </c>
      <c r="K3" s="4" t="s">
        <v>181</v>
      </c>
      <c r="L3" s="4">
        <v>47528</v>
      </c>
      <c r="M3" s="4">
        <v>23.4</v>
      </c>
      <c r="O3" s="10" t="s">
        <v>228</v>
      </c>
      <c r="P3" s="6">
        <v>452466</v>
      </c>
      <c r="Q3" s="6">
        <v>1.4</v>
      </c>
    </row>
    <row r="4" spans="1:17">
      <c r="A4" s="3">
        <v>3</v>
      </c>
      <c r="B4" s="5" t="s">
        <v>127</v>
      </c>
      <c r="C4" s="6">
        <v>4242774</v>
      </c>
      <c r="D4" s="6">
        <v>0.96</v>
      </c>
      <c r="E4" s="3" t="s">
        <v>108</v>
      </c>
      <c r="F4" s="3" t="s">
        <v>109</v>
      </c>
      <c r="I4" s="4">
        <v>4</v>
      </c>
      <c r="J4" s="4" t="s">
        <v>201</v>
      </c>
      <c r="K4" s="4" t="s">
        <v>177</v>
      </c>
      <c r="L4" s="4">
        <v>1873341</v>
      </c>
      <c r="M4" s="4">
        <v>19.57</v>
      </c>
      <c r="O4" s="16" t="s">
        <v>229</v>
      </c>
      <c r="P4" s="17"/>
      <c r="Q4" s="11"/>
    </row>
    <row r="5" spans="1:17">
      <c r="A5" s="3">
        <v>4</v>
      </c>
      <c r="B5" s="5" t="s">
        <v>128</v>
      </c>
      <c r="C5" s="6">
        <v>1923995</v>
      </c>
      <c r="D5" s="6">
        <v>40.86</v>
      </c>
      <c r="E5" s="3" t="s">
        <v>108</v>
      </c>
      <c r="F5" s="3" t="s">
        <v>109</v>
      </c>
      <c r="I5" s="4">
        <v>6</v>
      </c>
      <c r="J5" s="4" t="s">
        <v>181</v>
      </c>
      <c r="K5" s="4" t="s">
        <v>200</v>
      </c>
      <c r="L5" s="4">
        <v>5049338</v>
      </c>
      <c r="M5" s="4">
        <v>11.94</v>
      </c>
      <c r="O5" s="16" t="s">
        <v>230</v>
      </c>
      <c r="P5" s="17"/>
      <c r="Q5" s="11"/>
    </row>
    <row r="6" spans="1:17">
      <c r="A6" s="3">
        <v>5</v>
      </c>
      <c r="B6" s="5" t="s">
        <v>131</v>
      </c>
      <c r="C6" s="6">
        <v>28066</v>
      </c>
      <c r="D6" s="6">
        <v>18.72</v>
      </c>
      <c r="E6" s="3" t="s">
        <v>108</v>
      </c>
      <c r="F6" s="3" t="s">
        <v>111</v>
      </c>
      <c r="I6" s="4">
        <v>7</v>
      </c>
      <c r="J6" s="4" t="s">
        <v>181</v>
      </c>
      <c r="K6" s="4" t="s">
        <v>182</v>
      </c>
      <c r="L6" s="4">
        <v>291546</v>
      </c>
      <c r="M6" s="13"/>
      <c r="O6" s="16" t="s">
        <v>231</v>
      </c>
      <c r="P6" s="6">
        <v>302804</v>
      </c>
      <c r="Q6" s="6">
        <v>-1.3</v>
      </c>
    </row>
    <row r="7" spans="1:17">
      <c r="A7" s="3">
        <v>6</v>
      </c>
      <c r="B7" s="5" t="s">
        <v>132</v>
      </c>
      <c r="C7" s="6">
        <v>175671</v>
      </c>
      <c r="D7" s="6">
        <v>27.24</v>
      </c>
      <c r="E7" s="3" t="s">
        <v>108</v>
      </c>
      <c r="F7" s="3" t="s">
        <v>111</v>
      </c>
      <c r="I7" s="4">
        <v>8</v>
      </c>
      <c r="J7" s="4" t="s">
        <v>181</v>
      </c>
      <c r="K7" s="4" t="s">
        <v>201</v>
      </c>
      <c r="L7" s="4">
        <v>225527</v>
      </c>
      <c r="M7" s="4">
        <v>-38.479999999999997</v>
      </c>
      <c r="O7" s="16" t="s">
        <v>232</v>
      </c>
      <c r="P7" s="17"/>
      <c r="Q7" s="11"/>
    </row>
    <row r="8" spans="1:17">
      <c r="A8" s="3">
        <v>7</v>
      </c>
      <c r="B8" s="5" t="s">
        <v>133</v>
      </c>
      <c r="C8" s="6">
        <v>39305</v>
      </c>
      <c r="D8" s="6">
        <v>-3.25</v>
      </c>
      <c r="E8" s="3" t="s">
        <v>108</v>
      </c>
      <c r="F8" s="3" t="s">
        <v>111</v>
      </c>
      <c r="I8" s="4">
        <v>10</v>
      </c>
      <c r="J8" s="4" t="s">
        <v>214</v>
      </c>
      <c r="K8" s="4" t="s">
        <v>178</v>
      </c>
      <c r="L8" s="4">
        <v>4242774</v>
      </c>
      <c r="M8" s="4">
        <v>0.96</v>
      </c>
      <c r="O8" s="16" t="s">
        <v>233</v>
      </c>
      <c r="P8" s="6">
        <v>149662</v>
      </c>
      <c r="Q8" s="6">
        <v>7.44</v>
      </c>
    </row>
    <row r="9" spans="1:17">
      <c r="A9" s="3">
        <v>8</v>
      </c>
      <c r="B9" s="5" t="s">
        <v>130</v>
      </c>
      <c r="C9" s="6">
        <v>132</v>
      </c>
      <c r="D9" s="6">
        <v>-79.98</v>
      </c>
      <c r="E9" s="3" t="s">
        <v>108</v>
      </c>
      <c r="F9" s="3" t="s">
        <v>111</v>
      </c>
      <c r="I9" s="4">
        <v>11</v>
      </c>
      <c r="J9" s="4" t="s">
        <v>214</v>
      </c>
      <c r="K9" s="4" t="s">
        <v>190</v>
      </c>
      <c r="L9" s="4">
        <v>39305</v>
      </c>
      <c r="M9" s="4">
        <v>-3.25</v>
      </c>
      <c r="O9" s="16" t="s">
        <v>234</v>
      </c>
      <c r="P9" s="17"/>
      <c r="Q9" s="11"/>
    </row>
    <row r="10" spans="1:17">
      <c r="A10" s="3">
        <v>9</v>
      </c>
      <c r="B10" s="5" t="s">
        <v>125</v>
      </c>
      <c r="C10" s="6">
        <v>138497</v>
      </c>
      <c r="D10" s="6">
        <v>3.16</v>
      </c>
      <c r="E10" s="3" t="s">
        <v>108</v>
      </c>
      <c r="F10" s="3" t="s">
        <v>106</v>
      </c>
      <c r="I10" s="4">
        <v>12</v>
      </c>
      <c r="J10" s="4" t="s">
        <v>214</v>
      </c>
      <c r="K10" s="4" t="s">
        <v>182</v>
      </c>
      <c r="L10" s="4">
        <v>1696938</v>
      </c>
      <c r="M10" s="4">
        <v>-0.04</v>
      </c>
      <c r="O10" s="10" t="s">
        <v>235</v>
      </c>
      <c r="P10" s="6">
        <v>2213295</v>
      </c>
      <c r="Q10" s="6">
        <v>1.51</v>
      </c>
    </row>
    <row r="11" spans="1:17">
      <c r="A11" s="3">
        <v>10</v>
      </c>
      <c r="B11" s="5" t="s">
        <v>123</v>
      </c>
      <c r="C11" s="6">
        <v>2445851</v>
      </c>
      <c r="D11" s="6">
        <v>-19.100000000000001</v>
      </c>
      <c r="E11" s="3" t="s">
        <v>105</v>
      </c>
      <c r="F11" s="3" t="s">
        <v>107</v>
      </c>
      <c r="I11" s="4">
        <v>13</v>
      </c>
      <c r="J11" s="4" t="s">
        <v>214</v>
      </c>
      <c r="K11" s="4" t="s">
        <v>202</v>
      </c>
      <c r="L11" s="4">
        <v>399874</v>
      </c>
      <c r="M11" s="4">
        <v>3</v>
      </c>
      <c r="O11" s="16" t="s">
        <v>122</v>
      </c>
      <c r="P11" s="6">
        <v>102</v>
      </c>
      <c r="Q11" s="6">
        <v>-10.53</v>
      </c>
    </row>
    <row r="12" spans="1:17">
      <c r="A12" s="3">
        <v>11</v>
      </c>
      <c r="B12" s="5" t="s">
        <v>124</v>
      </c>
      <c r="C12" s="6">
        <v>3309082</v>
      </c>
      <c r="D12" s="6">
        <v>40.39</v>
      </c>
      <c r="E12" s="3" t="s">
        <v>105</v>
      </c>
      <c r="F12" s="3" t="s">
        <v>107</v>
      </c>
      <c r="I12" s="4">
        <v>14</v>
      </c>
      <c r="J12" s="4" t="s">
        <v>214</v>
      </c>
      <c r="K12" s="4" t="s">
        <v>200</v>
      </c>
      <c r="L12" s="4">
        <v>1350157</v>
      </c>
      <c r="M12" s="4">
        <v>70.010000000000005</v>
      </c>
      <c r="O12" s="16" t="s">
        <v>236</v>
      </c>
      <c r="P12" s="17"/>
      <c r="Q12" s="11"/>
    </row>
    <row r="13" spans="1:17">
      <c r="A13" s="3">
        <v>12</v>
      </c>
      <c r="B13" s="5" t="s">
        <v>122</v>
      </c>
      <c r="C13" s="6">
        <v>101</v>
      </c>
      <c r="D13" s="6">
        <v>-12.93</v>
      </c>
      <c r="E13" s="3" t="s">
        <v>105</v>
      </c>
      <c r="F13" s="3" t="s">
        <v>106</v>
      </c>
      <c r="I13" s="4">
        <v>15</v>
      </c>
      <c r="J13" s="4" t="s">
        <v>214</v>
      </c>
      <c r="K13" s="4" t="s">
        <v>181</v>
      </c>
      <c r="L13" s="4">
        <v>3364811</v>
      </c>
      <c r="M13" s="4">
        <v>-3.11</v>
      </c>
      <c r="O13" s="16" t="s">
        <v>237</v>
      </c>
      <c r="P13" s="17"/>
      <c r="Q13" s="11"/>
    </row>
    <row r="14" spans="1:17">
      <c r="A14" s="3">
        <v>13</v>
      </c>
      <c r="B14" s="5" t="s">
        <v>134</v>
      </c>
      <c r="C14" s="6">
        <v>2</v>
      </c>
      <c r="D14" s="6">
        <v>-33.33</v>
      </c>
      <c r="E14" s="3" t="s">
        <v>112</v>
      </c>
      <c r="F14" s="3" t="s">
        <v>110</v>
      </c>
      <c r="I14" s="4">
        <v>16</v>
      </c>
      <c r="J14" s="4" t="s">
        <v>214</v>
      </c>
      <c r="K14" s="4" t="s">
        <v>207</v>
      </c>
      <c r="L14" s="4">
        <v>60540</v>
      </c>
      <c r="M14" s="13"/>
      <c r="O14" s="16" t="s">
        <v>238</v>
      </c>
      <c r="P14" s="6">
        <v>1307801</v>
      </c>
      <c r="Q14" s="6">
        <v>2.85</v>
      </c>
    </row>
    <row r="15" spans="1:17">
      <c r="A15" s="3">
        <v>14</v>
      </c>
      <c r="B15" s="5" t="s">
        <v>135</v>
      </c>
      <c r="C15" s="6">
        <v>141</v>
      </c>
      <c r="D15" s="6">
        <v>-1.4</v>
      </c>
      <c r="E15" s="3" t="s">
        <v>112</v>
      </c>
      <c r="F15" s="3" t="s">
        <v>110</v>
      </c>
      <c r="I15" s="4">
        <v>18</v>
      </c>
      <c r="J15" s="4" t="s">
        <v>207</v>
      </c>
      <c r="K15" s="4" t="s">
        <v>210</v>
      </c>
      <c r="L15" s="4">
        <v>4455399</v>
      </c>
      <c r="M15" s="4">
        <v>-16.579999999999998</v>
      </c>
      <c r="O15" s="16" t="s">
        <v>239</v>
      </c>
      <c r="P15" s="6">
        <v>485260</v>
      </c>
      <c r="Q15" s="6">
        <v>-2.48</v>
      </c>
    </row>
    <row r="16" spans="1:17">
      <c r="A16" s="3">
        <v>15</v>
      </c>
      <c r="B16" s="5" t="s">
        <v>138</v>
      </c>
      <c r="C16" s="6">
        <v>2</v>
      </c>
      <c r="D16" s="6">
        <v>-71.430000000000007</v>
      </c>
      <c r="E16" s="3" t="s">
        <v>112</v>
      </c>
      <c r="F16" s="3" t="s">
        <v>114</v>
      </c>
      <c r="I16" s="4">
        <v>19</v>
      </c>
      <c r="J16" s="4" t="s">
        <v>207</v>
      </c>
      <c r="K16" s="4" t="s">
        <v>205</v>
      </c>
      <c r="L16" s="4">
        <v>144306</v>
      </c>
      <c r="M16" s="4">
        <v>-8.83</v>
      </c>
      <c r="O16" s="16" t="s">
        <v>240</v>
      </c>
      <c r="P16" s="6">
        <v>194243</v>
      </c>
      <c r="Q16" s="6">
        <v>-12.59</v>
      </c>
    </row>
    <row r="17" spans="1:17">
      <c r="A17" s="3">
        <v>16</v>
      </c>
      <c r="B17" s="5" t="s">
        <v>137</v>
      </c>
      <c r="C17" s="6">
        <v>2</v>
      </c>
      <c r="D17" s="6">
        <v>-95</v>
      </c>
      <c r="E17" s="3" t="s">
        <v>112</v>
      </c>
      <c r="F17" s="3" t="s">
        <v>114</v>
      </c>
      <c r="I17" s="4">
        <v>20</v>
      </c>
      <c r="J17" s="4" t="s">
        <v>207</v>
      </c>
      <c r="K17" s="4" t="s">
        <v>206</v>
      </c>
      <c r="L17" s="4">
        <v>956530</v>
      </c>
      <c r="M17" s="4">
        <v>10.14</v>
      </c>
      <c r="O17" s="16" t="s">
        <v>241</v>
      </c>
      <c r="P17" s="17"/>
      <c r="Q17" s="11"/>
    </row>
    <row r="18" spans="1:17">
      <c r="A18" s="3">
        <v>17</v>
      </c>
      <c r="B18" s="5" t="s">
        <v>136</v>
      </c>
      <c r="C18" s="6">
        <v>1451</v>
      </c>
      <c r="D18" s="6">
        <v>-32.159999999999997</v>
      </c>
      <c r="E18" s="3" t="s">
        <v>112</v>
      </c>
      <c r="F18" s="3" t="s">
        <v>113</v>
      </c>
      <c r="I18" s="4">
        <v>21</v>
      </c>
      <c r="J18" s="4" t="s">
        <v>207</v>
      </c>
      <c r="K18" s="4" t="s">
        <v>181</v>
      </c>
      <c r="L18" s="4">
        <v>5729309</v>
      </c>
      <c r="M18" s="4">
        <v>-4.22</v>
      </c>
      <c r="O18" s="16" t="s">
        <v>242</v>
      </c>
      <c r="P18" s="6">
        <v>76968</v>
      </c>
      <c r="Q18" s="6">
        <v>45.11</v>
      </c>
    </row>
    <row r="19" spans="1:17">
      <c r="A19" s="3">
        <v>18</v>
      </c>
      <c r="B19" s="5" t="s">
        <v>139</v>
      </c>
      <c r="C19" s="6">
        <v>122476</v>
      </c>
      <c r="D19" s="6">
        <v>19.670000000000002</v>
      </c>
      <c r="E19" s="3" t="s">
        <v>110</v>
      </c>
      <c r="F19" s="3" t="s">
        <v>107</v>
      </c>
      <c r="I19" s="4">
        <v>22</v>
      </c>
      <c r="J19" s="4" t="s">
        <v>207</v>
      </c>
      <c r="K19" s="4" t="s">
        <v>214</v>
      </c>
      <c r="L19" s="4">
        <v>500615</v>
      </c>
      <c r="M19" s="4">
        <v>-14.64</v>
      </c>
      <c r="O19" s="16" t="s">
        <v>243</v>
      </c>
      <c r="P19" s="6">
        <v>9675</v>
      </c>
      <c r="Q19" s="6">
        <v>1022.1</v>
      </c>
    </row>
    <row r="20" spans="1:17">
      <c r="A20" s="3">
        <v>19</v>
      </c>
      <c r="B20" s="5" t="s">
        <v>134</v>
      </c>
      <c r="C20" s="6">
        <v>591453</v>
      </c>
      <c r="D20" s="6">
        <v>2.69</v>
      </c>
      <c r="E20" s="3" t="s">
        <v>110</v>
      </c>
      <c r="F20" s="3" t="s">
        <v>109</v>
      </c>
      <c r="I20" s="4">
        <v>23</v>
      </c>
      <c r="J20" s="4" t="s">
        <v>207</v>
      </c>
      <c r="K20" s="4" t="s">
        <v>190</v>
      </c>
      <c r="L20" s="4">
        <v>175671</v>
      </c>
      <c r="M20" s="4">
        <v>27.24</v>
      </c>
      <c r="O20" s="16" t="s">
        <v>125</v>
      </c>
      <c r="P20" s="6">
        <v>138497</v>
      </c>
      <c r="Q20" s="6">
        <v>3.16</v>
      </c>
    </row>
    <row r="21" spans="1:17">
      <c r="A21" s="3">
        <v>20</v>
      </c>
      <c r="B21" s="5" t="s">
        <v>141</v>
      </c>
      <c r="C21" s="6">
        <v>1098277</v>
      </c>
      <c r="D21" s="6">
        <v>1.1200000000000001</v>
      </c>
      <c r="E21" s="3" t="s">
        <v>110</v>
      </c>
      <c r="F21" s="3" t="s">
        <v>109</v>
      </c>
      <c r="I21" s="4">
        <v>24</v>
      </c>
      <c r="J21" s="4" t="s">
        <v>207</v>
      </c>
      <c r="K21" s="4" t="s">
        <v>188</v>
      </c>
      <c r="L21" s="14">
        <v>28066</v>
      </c>
      <c r="M21" s="4">
        <v>18.72</v>
      </c>
      <c r="O21" s="16" t="s">
        <v>244</v>
      </c>
      <c r="P21" s="6">
        <v>749</v>
      </c>
      <c r="Q21" s="6">
        <v>9.5</v>
      </c>
    </row>
    <row r="22" spans="1:17">
      <c r="A22" s="3">
        <v>21</v>
      </c>
      <c r="B22" s="5" t="s">
        <v>135</v>
      </c>
      <c r="C22" s="6">
        <v>1233268</v>
      </c>
      <c r="D22" s="6">
        <v>26.81</v>
      </c>
      <c r="E22" s="3" t="s">
        <v>110</v>
      </c>
      <c r="F22" s="3" t="s">
        <v>109</v>
      </c>
      <c r="I22" s="4">
        <v>25</v>
      </c>
      <c r="J22" s="4" t="s">
        <v>207</v>
      </c>
      <c r="K22" s="4" t="s">
        <v>212</v>
      </c>
      <c r="L22" s="4">
        <v>138497</v>
      </c>
      <c r="M22" s="4">
        <v>3.16</v>
      </c>
    </row>
    <row r="23" spans="1:17">
      <c r="A23" s="3">
        <v>22</v>
      </c>
      <c r="B23" s="5" t="s">
        <v>140</v>
      </c>
      <c r="C23" s="7">
        <v>1165611</v>
      </c>
      <c r="D23" s="7">
        <v>12.3</v>
      </c>
      <c r="E23" s="3" t="s">
        <v>110</v>
      </c>
      <c r="F23" s="3" t="s">
        <v>109</v>
      </c>
      <c r="I23" s="4">
        <v>26</v>
      </c>
      <c r="J23" s="4" t="s">
        <v>207</v>
      </c>
      <c r="K23" s="13" t="s">
        <v>201</v>
      </c>
      <c r="L23" s="13">
        <v>719200</v>
      </c>
      <c r="M23" s="13">
        <v>0.19</v>
      </c>
    </row>
    <row r="24" spans="1:17">
      <c r="A24" s="3">
        <v>23</v>
      </c>
      <c r="B24" s="5" t="s">
        <v>148</v>
      </c>
      <c r="C24" s="6">
        <v>0.2</v>
      </c>
      <c r="D24" s="6">
        <v>-52.38</v>
      </c>
      <c r="E24" s="3" t="s">
        <v>110</v>
      </c>
      <c r="F24" s="3" t="s">
        <v>111</v>
      </c>
      <c r="I24" s="4">
        <v>27</v>
      </c>
      <c r="J24" s="4" t="s">
        <v>207</v>
      </c>
      <c r="K24" s="4" t="s">
        <v>213</v>
      </c>
      <c r="L24" s="4">
        <v>6170101</v>
      </c>
      <c r="M24" s="4">
        <v>85.74</v>
      </c>
    </row>
    <row r="25" spans="1:17">
      <c r="A25" s="3">
        <v>24</v>
      </c>
      <c r="B25" s="5" t="s">
        <v>147</v>
      </c>
      <c r="C25" s="6">
        <v>2</v>
      </c>
      <c r="D25" s="6">
        <v>-91.14</v>
      </c>
      <c r="E25" s="3" t="s">
        <v>110</v>
      </c>
      <c r="F25" s="3" t="s">
        <v>111</v>
      </c>
      <c r="I25" s="4">
        <v>28</v>
      </c>
      <c r="J25" s="4" t="s">
        <v>207</v>
      </c>
      <c r="K25" s="4" t="s">
        <v>178</v>
      </c>
      <c r="L25" s="4">
        <v>1712034</v>
      </c>
      <c r="M25" s="4">
        <v>81.56</v>
      </c>
    </row>
    <row r="26" spans="1:17">
      <c r="A26" s="3">
        <v>25</v>
      </c>
      <c r="B26" s="5" t="s">
        <v>146</v>
      </c>
      <c r="C26" s="6">
        <v>67</v>
      </c>
      <c r="D26" s="8"/>
      <c r="E26" s="3" t="s">
        <v>110</v>
      </c>
      <c r="F26" s="3" t="s">
        <v>111</v>
      </c>
      <c r="I26" s="4">
        <v>29</v>
      </c>
      <c r="J26" s="4" t="s">
        <v>207</v>
      </c>
      <c r="K26" s="4" t="s">
        <v>200</v>
      </c>
      <c r="L26" s="4">
        <v>2377946</v>
      </c>
      <c r="M26" s="4">
        <v>-8.68</v>
      </c>
    </row>
    <row r="27" spans="1:17">
      <c r="A27" s="3">
        <v>26</v>
      </c>
      <c r="B27" s="5" t="s">
        <v>149</v>
      </c>
      <c r="C27" s="6">
        <v>406186</v>
      </c>
      <c r="D27" s="6">
        <v>102.27</v>
      </c>
      <c r="E27" s="3" t="s">
        <v>110</v>
      </c>
      <c r="F27" s="3" t="s">
        <v>114</v>
      </c>
      <c r="I27" s="4">
        <v>31</v>
      </c>
      <c r="J27" s="4" t="s">
        <v>210</v>
      </c>
      <c r="K27" s="4" t="s">
        <v>205</v>
      </c>
      <c r="L27" s="4">
        <v>1321</v>
      </c>
      <c r="M27" s="4">
        <v>87.64</v>
      </c>
    </row>
    <row r="28" spans="1:17">
      <c r="A28" s="3">
        <v>27</v>
      </c>
      <c r="B28" s="5" t="s">
        <v>144</v>
      </c>
      <c r="C28" s="6">
        <v>1697518</v>
      </c>
      <c r="D28" s="6">
        <v>5.22</v>
      </c>
      <c r="E28" s="3" t="s">
        <v>110</v>
      </c>
      <c r="F28" s="3" t="s">
        <v>113</v>
      </c>
      <c r="I28" s="4">
        <v>32</v>
      </c>
      <c r="J28" s="4" t="s">
        <v>210</v>
      </c>
      <c r="K28" s="4" t="s">
        <v>200</v>
      </c>
      <c r="L28" s="4">
        <v>2445851</v>
      </c>
      <c r="M28" s="4">
        <v>-19.100000000000001</v>
      </c>
    </row>
    <row r="29" spans="1:17">
      <c r="A29" s="3">
        <v>28</v>
      </c>
      <c r="B29" s="5" t="s">
        <v>145</v>
      </c>
      <c r="C29" s="6">
        <v>589435</v>
      </c>
      <c r="D29" s="6">
        <v>-3.95</v>
      </c>
      <c r="E29" s="3" t="s">
        <v>110</v>
      </c>
      <c r="F29" s="3" t="s">
        <v>113</v>
      </c>
      <c r="I29" s="4">
        <v>33</v>
      </c>
      <c r="J29" s="4" t="s">
        <v>210</v>
      </c>
      <c r="K29" s="4" t="s">
        <v>207</v>
      </c>
      <c r="L29" s="4">
        <v>7996</v>
      </c>
      <c r="M29" s="4">
        <v>53.42</v>
      </c>
    </row>
    <row r="30" spans="1:17">
      <c r="A30" s="3">
        <v>29</v>
      </c>
      <c r="B30" s="5" t="s">
        <v>142</v>
      </c>
      <c r="C30" s="7">
        <v>119735</v>
      </c>
      <c r="D30" s="7">
        <v>-16.940000000000001</v>
      </c>
      <c r="E30" s="3" t="s">
        <v>110</v>
      </c>
      <c r="F30" s="3" t="s">
        <v>113</v>
      </c>
      <c r="I30" s="4">
        <v>35</v>
      </c>
      <c r="J30" s="4" t="s">
        <v>205</v>
      </c>
      <c r="K30" s="4" t="s">
        <v>210</v>
      </c>
      <c r="L30" s="4">
        <v>1933828</v>
      </c>
      <c r="M30" s="4">
        <v>1.52</v>
      </c>
    </row>
    <row r="31" spans="1:17">
      <c r="A31" s="3">
        <v>30</v>
      </c>
      <c r="B31" s="5" t="s">
        <v>143</v>
      </c>
      <c r="C31" s="6">
        <v>189</v>
      </c>
      <c r="D31" s="6">
        <v>-99.64</v>
      </c>
      <c r="E31" s="3" t="s">
        <v>110</v>
      </c>
      <c r="F31" s="3" t="s">
        <v>113</v>
      </c>
      <c r="I31" s="4">
        <v>36</v>
      </c>
      <c r="J31" s="4" t="s">
        <v>205</v>
      </c>
      <c r="K31" s="4" t="s">
        <v>206</v>
      </c>
      <c r="L31" s="4">
        <v>1419</v>
      </c>
      <c r="M31" s="4">
        <v>519.65</v>
      </c>
    </row>
    <row r="32" spans="1:17">
      <c r="A32" s="3">
        <v>31</v>
      </c>
      <c r="B32" s="5" t="s">
        <v>155</v>
      </c>
      <c r="C32" s="7">
        <v>3080753</v>
      </c>
      <c r="D32" s="7">
        <v>-0.95</v>
      </c>
      <c r="E32" s="3" t="s">
        <v>117</v>
      </c>
      <c r="F32" s="3" t="s">
        <v>107</v>
      </c>
      <c r="I32" s="4">
        <v>37</v>
      </c>
      <c r="J32" s="4" t="s">
        <v>205</v>
      </c>
      <c r="K32" s="4" t="s">
        <v>207</v>
      </c>
      <c r="L32" s="4">
        <v>1604056</v>
      </c>
      <c r="M32" s="4">
        <v>37.909999999999997</v>
      </c>
    </row>
    <row r="33" spans="1:13">
      <c r="A33" s="3">
        <v>32</v>
      </c>
      <c r="B33" s="5" t="s">
        <v>156</v>
      </c>
      <c r="C33" s="7">
        <v>1889370</v>
      </c>
      <c r="D33" s="7">
        <v>-6.39</v>
      </c>
      <c r="E33" s="3" t="s">
        <v>117</v>
      </c>
      <c r="F33" s="3" t="s">
        <v>107</v>
      </c>
      <c r="I33" s="4">
        <v>38</v>
      </c>
      <c r="J33" s="4" t="s">
        <v>205</v>
      </c>
      <c r="K33" s="4" t="s">
        <v>211</v>
      </c>
      <c r="L33" s="14">
        <v>102</v>
      </c>
      <c r="M33" s="4">
        <v>-10.53</v>
      </c>
    </row>
    <row r="34" spans="1:13">
      <c r="A34" s="3">
        <v>33</v>
      </c>
      <c r="B34" s="5" t="s">
        <v>157</v>
      </c>
      <c r="C34" s="7">
        <v>1863703</v>
      </c>
      <c r="D34" s="7">
        <v>37.93</v>
      </c>
      <c r="E34" s="3" t="s">
        <v>117</v>
      </c>
      <c r="F34" s="3" t="s">
        <v>107</v>
      </c>
      <c r="I34" s="4">
        <v>40</v>
      </c>
      <c r="J34" s="4" t="s">
        <v>206</v>
      </c>
      <c r="K34" s="4" t="s">
        <v>205</v>
      </c>
      <c r="L34" s="4">
        <v>1561240</v>
      </c>
      <c r="M34" s="4">
        <v>6.83</v>
      </c>
    </row>
    <row r="35" spans="1:13">
      <c r="A35" s="3">
        <v>34</v>
      </c>
      <c r="B35" s="5" t="s">
        <v>154</v>
      </c>
      <c r="C35" s="7">
        <v>2650400</v>
      </c>
      <c r="D35" s="7">
        <v>58.84</v>
      </c>
      <c r="E35" s="3" t="s">
        <v>117</v>
      </c>
      <c r="F35" s="3" t="s">
        <v>107</v>
      </c>
      <c r="I35" s="4">
        <v>41</v>
      </c>
      <c r="J35" s="4" t="s">
        <v>206</v>
      </c>
      <c r="K35" s="4" t="s">
        <v>207</v>
      </c>
      <c r="L35" s="4">
        <v>656037</v>
      </c>
      <c r="M35" s="4">
        <v>5.14</v>
      </c>
    </row>
    <row r="36" spans="1:13">
      <c r="A36" s="3">
        <v>35</v>
      </c>
      <c r="B36" s="5" t="s">
        <v>158</v>
      </c>
      <c r="C36" s="6">
        <v>4982996</v>
      </c>
      <c r="D36" s="6">
        <v>20.11</v>
      </c>
      <c r="E36" s="3" t="s">
        <v>117</v>
      </c>
      <c r="F36" s="3" t="s">
        <v>109</v>
      </c>
      <c r="I36" s="4">
        <v>43</v>
      </c>
      <c r="J36" s="4" t="s">
        <v>208</v>
      </c>
      <c r="K36" s="4" t="s">
        <v>178</v>
      </c>
      <c r="L36" s="4">
        <v>675567</v>
      </c>
      <c r="M36" s="4">
        <v>-40.33</v>
      </c>
    </row>
    <row r="37" spans="1:13">
      <c r="A37" s="3">
        <v>36</v>
      </c>
      <c r="B37" s="5" t="s">
        <v>159</v>
      </c>
      <c r="C37" s="7">
        <v>4395593</v>
      </c>
      <c r="D37" s="7">
        <v>198.4</v>
      </c>
      <c r="E37" s="3" t="s">
        <v>117</v>
      </c>
      <c r="F37" s="3" t="s">
        <v>109</v>
      </c>
      <c r="I37" s="4">
        <v>44</v>
      </c>
      <c r="J37" s="4" t="s">
        <v>208</v>
      </c>
      <c r="K37" s="4" t="s">
        <v>180</v>
      </c>
      <c r="L37" s="4">
        <v>465514</v>
      </c>
      <c r="M37" s="4">
        <v>90.04</v>
      </c>
    </row>
    <row r="38" spans="1:13">
      <c r="A38" s="3">
        <v>37</v>
      </c>
      <c r="B38" s="5" t="s">
        <v>165</v>
      </c>
      <c r="C38" s="6">
        <v>911236</v>
      </c>
      <c r="D38" s="6">
        <v>-2.91</v>
      </c>
      <c r="E38" s="3" t="s">
        <v>117</v>
      </c>
      <c r="F38" s="3" t="s">
        <v>116</v>
      </c>
      <c r="I38" s="4">
        <v>45</v>
      </c>
      <c r="J38" s="4" t="s">
        <v>208</v>
      </c>
      <c r="K38" s="4" t="s">
        <v>218</v>
      </c>
      <c r="L38" s="14">
        <v>2</v>
      </c>
      <c r="M38" s="4">
        <v>-33.33</v>
      </c>
    </row>
    <row r="39" spans="1:13">
      <c r="A39" s="3">
        <v>38</v>
      </c>
      <c r="B39" s="5" t="s">
        <v>163</v>
      </c>
      <c r="C39" s="7">
        <v>22935</v>
      </c>
      <c r="D39" s="7">
        <v>-62.92</v>
      </c>
      <c r="E39" s="3" t="s">
        <v>117</v>
      </c>
      <c r="F39" s="3" t="s">
        <v>116</v>
      </c>
      <c r="I39" s="4">
        <v>46</v>
      </c>
      <c r="J39" s="4" t="s">
        <v>208</v>
      </c>
      <c r="K39" s="4" t="s">
        <v>219</v>
      </c>
      <c r="L39" s="4">
        <v>141</v>
      </c>
      <c r="M39" s="4">
        <v>-1.4</v>
      </c>
    </row>
    <row r="40" spans="1:13">
      <c r="A40" s="3">
        <v>39</v>
      </c>
      <c r="B40" s="5" t="s">
        <v>164</v>
      </c>
      <c r="C40" s="7">
        <v>7530</v>
      </c>
      <c r="D40" s="7">
        <v>-54.74</v>
      </c>
      <c r="E40" s="3" t="s">
        <v>117</v>
      </c>
      <c r="F40" s="3" t="s">
        <v>116</v>
      </c>
      <c r="I40" s="4">
        <v>47</v>
      </c>
      <c r="J40" s="4" t="s">
        <v>208</v>
      </c>
      <c r="K40" s="4" t="s">
        <v>217</v>
      </c>
      <c r="L40" s="4">
        <v>2</v>
      </c>
      <c r="M40" s="4">
        <v>-71.430000000000007</v>
      </c>
    </row>
    <row r="41" spans="1:13">
      <c r="A41" s="3">
        <v>40</v>
      </c>
      <c r="B41" s="5" t="s">
        <v>161</v>
      </c>
      <c r="C41" s="9">
        <v>4085790</v>
      </c>
      <c r="D41" s="9">
        <v>-1.54</v>
      </c>
      <c r="E41" s="3" t="s">
        <v>117</v>
      </c>
      <c r="F41" s="3" t="s">
        <v>116</v>
      </c>
      <c r="I41" s="4">
        <v>49</v>
      </c>
      <c r="J41" s="4" t="s">
        <v>178</v>
      </c>
      <c r="K41" s="4" t="s">
        <v>208</v>
      </c>
      <c r="L41" s="4">
        <v>1245628</v>
      </c>
      <c r="M41" s="4">
        <v>-15.13</v>
      </c>
    </row>
    <row r="42" spans="1:13">
      <c r="A42" s="3">
        <v>41</v>
      </c>
      <c r="B42" s="5" t="s">
        <v>160</v>
      </c>
      <c r="C42" s="9">
        <v>2245769</v>
      </c>
      <c r="D42" s="9">
        <v>25.19</v>
      </c>
      <c r="E42" s="3" t="s">
        <v>117</v>
      </c>
      <c r="F42" s="3" t="s">
        <v>116</v>
      </c>
      <c r="I42" s="4">
        <v>50</v>
      </c>
      <c r="J42" s="4" t="s">
        <v>178</v>
      </c>
      <c r="K42" s="4" t="s">
        <v>180</v>
      </c>
      <c r="L42" s="4">
        <v>117078</v>
      </c>
      <c r="M42" s="4">
        <v>-20.420000000000002</v>
      </c>
    </row>
    <row r="43" spans="1:13">
      <c r="A43" s="3">
        <v>42</v>
      </c>
      <c r="B43" s="5" t="s">
        <v>162</v>
      </c>
      <c r="C43" s="9">
        <v>340225</v>
      </c>
      <c r="D43" s="8"/>
      <c r="E43" s="3" t="s">
        <v>117</v>
      </c>
      <c r="F43" s="3" t="s">
        <v>116</v>
      </c>
      <c r="I43" s="4">
        <v>51</v>
      </c>
      <c r="J43" s="4" t="s">
        <v>178</v>
      </c>
      <c r="K43" s="4" t="s">
        <v>179</v>
      </c>
      <c r="L43" s="4">
        <v>52932</v>
      </c>
      <c r="M43" s="4">
        <v>-64.02</v>
      </c>
    </row>
    <row r="44" spans="1:13">
      <c r="A44" s="3">
        <v>43</v>
      </c>
      <c r="B44" s="5" t="s">
        <v>168</v>
      </c>
      <c r="C44" s="9">
        <v>1035573</v>
      </c>
      <c r="D44" s="9">
        <v>5.48</v>
      </c>
      <c r="E44" s="3" t="s">
        <v>117</v>
      </c>
      <c r="F44" s="3" t="s">
        <v>114</v>
      </c>
      <c r="I44" s="4">
        <v>53</v>
      </c>
      <c r="J44" s="4" t="s">
        <v>180</v>
      </c>
      <c r="K44" s="4" t="s">
        <v>208</v>
      </c>
      <c r="L44" s="4">
        <v>1343628</v>
      </c>
      <c r="M44" s="4">
        <v>-31.24</v>
      </c>
    </row>
    <row r="45" spans="1:13">
      <c r="A45" s="3">
        <v>44</v>
      </c>
      <c r="B45" s="5" t="s">
        <v>166</v>
      </c>
      <c r="C45" s="9">
        <v>39398</v>
      </c>
      <c r="D45" s="9">
        <v>19.23</v>
      </c>
      <c r="E45" s="3" t="s">
        <v>117</v>
      </c>
      <c r="F45" s="3" t="s">
        <v>114</v>
      </c>
      <c r="I45" s="4">
        <v>54</v>
      </c>
      <c r="J45" s="4" t="s">
        <v>180</v>
      </c>
      <c r="K45" s="4" t="s">
        <v>178</v>
      </c>
      <c r="L45" s="4">
        <v>117664</v>
      </c>
      <c r="M45" s="4">
        <v>-18.309999999999999</v>
      </c>
    </row>
    <row r="46" spans="1:13">
      <c r="A46" s="3">
        <v>45</v>
      </c>
      <c r="B46" s="5" t="s">
        <v>167</v>
      </c>
      <c r="C46" s="6">
        <v>117160</v>
      </c>
      <c r="D46" s="6">
        <v>10.8</v>
      </c>
      <c r="E46" s="3" t="s">
        <v>117</v>
      </c>
      <c r="F46" s="3" t="s">
        <v>114</v>
      </c>
      <c r="I46" s="4">
        <v>55</v>
      </c>
      <c r="J46" s="4" t="s">
        <v>180</v>
      </c>
      <c r="K46" s="4" t="s">
        <v>179</v>
      </c>
      <c r="L46" s="4">
        <v>346</v>
      </c>
      <c r="M46" s="4">
        <v>-72.8</v>
      </c>
    </row>
    <row r="47" spans="1:13">
      <c r="A47" s="3">
        <v>46</v>
      </c>
      <c r="B47" s="5" t="s">
        <v>138</v>
      </c>
      <c r="C47" s="6">
        <v>3068694</v>
      </c>
      <c r="D47" s="6">
        <v>1.68</v>
      </c>
      <c r="E47" s="3" t="s">
        <v>118</v>
      </c>
      <c r="F47" s="3" t="s">
        <v>109</v>
      </c>
      <c r="I47" s="4">
        <v>56</v>
      </c>
      <c r="J47" s="4" t="s">
        <v>180</v>
      </c>
      <c r="K47" s="4" t="s">
        <v>184</v>
      </c>
      <c r="L47" s="4">
        <v>15345</v>
      </c>
      <c r="M47" s="4">
        <v>18.13</v>
      </c>
    </row>
    <row r="48" spans="1:13">
      <c r="A48" s="3">
        <v>47</v>
      </c>
      <c r="B48" s="5" t="s">
        <v>169</v>
      </c>
      <c r="C48" s="6">
        <v>3742356</v>
      </c>
      <c r="D48" s="6">
        <v>2.2799999999999998</v>
      </c>
      <c r="E48" s="3" t="s">
        <v>118</v>
      </c>
      <c r="F48" s="3" t="s">
        <v>109</v>
      </c>
      <c r="I48" s="4">
        <v>57</v>
      </c>
      <c r="J48" s="4" t="s">
        <v>180</v>
      </c>
      <c r="K48" s="4" t="s">
        <v>191</v>
      </c>
      <c r="L48" s="4">
        <v>2</v>
      </c>
      <c r="M48" s="4">
        <v>-95</v>
      </c>
    </row>
    <row r="49" spans="1:13">
      <c r="A49" s="3">
        <v>48</v>
      </c>
      <c r="B49" s="5" t="s">
        <v>137</v>
      </c>
      <c r="C49" s="6">
        <v>3313038</v>
      </c>
      <c r="D49" s="6">
        <v>-2.7</v>
      </c>
      <c r="E49" s="3" t="s">
        <v>118</v>
      </c>
      <c r="F49" s="3" t="s">
        <v>109</v>
      </c>
      <c r="I49" s="4">
        <v>59</v>
      </c>
      <c r="J49" s="4" t="s">
        <v>179</v>
      </c>
      <c r="K49" s="4" t="s">
        <v>180</v>
      </c>
      <c r="L49" s="4">
        <v>4562097</v>
      </c>
      <c r="M49" s="4">
        <v>1.84</v>
      </c>
    </row>
    <row r="50" spans="1:13">
      <c r="A50" s="3">
        <v>49</v>
      </c>
      <c r="B50" s="5" t="s">
        <v>171</v>
      </c>
      <c r="C50" s="9">
        <v>75827</v>
      </c>
      <c r="D50" s="9">
        <v>37.15</v>
      </c>
      <c r="E50" s="3" t="s">
        <v>118</v>
      </c>
      <c r="F50" s="3" t="s">
        <v>116</v>
      </c>
      <c r="I50" s="4">
        <v>60</v>
      </c>
      <c r="J50" s="4" t="s">
        <v>179</v>
      </c>
      <c r="K50" s="4" t="s">
        <v>178</v>
      </c>
      <c r="L50" s="4">
        <v>3259618</v>
      </c>
      <c r="M50" s="4">
        <v>15.78</v>
      </c>
    </row>
    <row r="51" spans="1:13">
      <c r="A51" s="3">
        <v>50</v>
      </c>
      <c r="B51" s="5" t="s">
        <v>170</v>
      </c>
      <c r="C51" s="6">
        <v>436452</v>
      </c>
      <c r="D51" s="6" t="s">
        <v>103</v>
      </c>
      <c r="E51" s="3" t="s">
        <v>118</v>
      </c>
      <c r="F51" s="3" t="s">
        <v>116</v>
      </c>
      <c r="I51" s="4">
        <v>62</v>
      </c>
      <c r="J51" s="4" t="s">
        <v>184</v>
      </c>
      <c r="K51" s="4" t="s">
        <v>180</v>
      </c>
      <c r="L51" s="4">
        <v>1548320</v>
      </c>
      <c r="M51" s="4">
        <v>-9.7899999999999991</v>
      </c>
    </row>
    <row r="52" spans="1:13">
      <c r="A52" s="3">
        <v>51</v>
      </c>
      <c r="B52" s="5" t="s">
        <v>174</v>
      </c>
      <c r="C52" s="9">
        <v>776245</v>
      </c>
      <c r="D52" s="9">
        <v>44.17</v>
      </c>
      <c r="E52" s="3" t="s">
        <v>118</v>
      </c>
      <c r="F52" s="3" t="s">
        <v>111</v>
      </c>
      <c r="I52" s="4">
        <v>63</v>
      </c>
      <c r="J52" s="4" t="s">
        <v>184</v>
      </c>
      <c r="K52" s="4" t="s">
        <v>183</v>
      </c>
      <c r="L52" s="4">
        <v>1451</v>
      </c>
      <c r="M52" s="4">
        <v>-32.159999999999997</v>
      </c>
    </row>
    <row r="53" spans="1:13">
      <c r="A53" s="3">
        <v>52</v>
      </c>
      <c r="B53" s="5" t="s">
        <v>175</v>
      </c>
      <c r="C53" s="9">
        <v>100773</v>
      </c>
      <c r="D53" s="9">
        <v>17.100000000000001</v>
      </c>
      <c r="E53" s="3" t="s">
        <v>118</v>
      </c>
      <c r="F53" s="3" t="s">
        <v>111</v>
      </c>
      <c r="I53" s="4">
        <v>64</v>
      </c>
      <c r="J53" s="4" t="s">
        <v>184</v>
      </c>
      <c r="K53" s="13" t="s">
        <v>185</v>
      </c>
      <c r="L53" s="13">
        <v>11</v>
      </c>
      <c r="M53" s="13"/>
    </row>
    <row r="54" spans="1:13">
      <c r="A54" s="3">
        <v>53</v>
      </c>
      <c r="B54" s="5" t="s">
        <v>173</v>
      </c>
      <c r="C54" s="9">
        <v>3392</v>
      </c>
      <c r="D54" s="9">
        <v>87.59</v>
      </c>
      <c r="E54" s="3" t="s">
        <v>118</v>
      </c>
      <c r="F54" s="3" t="s">
        <v>113</v>
      </c>
      <c r="I54" s="4">
        <v>66</v>
      </c>
      <c r="J54" s="4" t="s">
        <v>185</v>
      </c>
      <c r="K54" s="4" t="s">
        <v>202</v>
      </c>
      <c r="L54" s="4">
        <v>359</v>
      </c>
      <c r="M54" s="4">
        <v>-84.84</v>
      </c>
    </row>
    <row r="55" spans="1:13">
      <c r="A55" s="3">
        <v>54</v>
      </c>
      <c r="B55" s="5" t="s">
        <v>172</v>
      </c>
      <c r="C55" s="9">
        <v>7397</v>
      </c>
      <c r="D55" s="9">
        <v>472.95</v>
      </c>
      <c r="E55" s="3" t="s">
        <v>118</v>
      </c>
      <c r="F55" s="3" t="s">
        <v>113</v>
      </c>
      <c r="I55" s="4">
        <v>68</v>
      </c>
      <c r="J55" s="4" t="s">
        <v>213</v>
      </c>
      <c r="K55" s="4" t="s">
        <v>181</v>
      </c>
      <c r="L55" s="4">
        <v>54860</v>
      </c>
      <c r="M55" s="4">
        <v>816.62</v>
      </c>
    </row>
    <row r="56" spans="1:13">
      <c r="A56" s="3">
        <v>55</v>
      </c>
      <c r="B56" s="5" t="s">
        <v>151</v>
      </c>
      <c r="C56" s="9">
        <v>1004578</v>
      </c>
      <c r="D56" s="9">
        <v>1.64</v>
      </c>
      <c r="E56" s="3" t="s">
        <v>115</v>
      </c>
      <c r="F56" s="3" t="s">
        <v>116</v>
      </c>
      <c r="I56" s="4">
        <v>69</v>
      </c>
      <c r="J56" s="4" t="s">
        <v>213</v>
      </c>
      <c r="K56" s="4" t="s">
        <v>201</v>
      </c>
      <c r="L56" s="4">
        <v>15775</v>
      </c>
      <c r="M56" s="4">
        <v>-76.37</v>
      </c>
    </row>
    <row r="57" spans="1:13">
      <c r="A57" s="3">
        <v>56</v>
      </c>
      <c r="B57" s="5" t="s">
        <v>150</v>
      </c>
      <c r="C57" s="6">
        <v>44145</v>
      </c>
      <c r="D57" s="6">
        <v>5.44</v>
      </c>
      <c r="E57" s="3" t="s">
        <v>115</v>
      </c>
      <c r="F57" s="3" t="s">
        <v>116</v>
      </c>
      <c r="I57" s="4">
        <v>71</v>
      </c>
      <c r="J57" s="4" t="s">
        <v>203</v>
      </c>
      <c r="K57" s="4" t="s">
        <v>202</v>
      </c>
      <c r="L57" s="4">
        <v>187062</v>
      </c>
      <c r="M57" s="4">
        <v>36.9</v>
      </c>
    </row>
    <row r="58" spans="1:13">
      <c r="A58" s="3">
        <v>57</v>
      </c>
      <c r="B58" s="5" t="s">
        <v>152</v>
      </c>
      <c r="C58" s="9">
        <v>469979</v>
      </c>
      <c r="D58" s="9">
        <v>-24.31</v>
      </c>
      <c r="E58" s="3" t="s">
        <v>115</v>
      </c>
      <c r="F58" s="3" t="s">
        <v>114</v>
      </c>
      <c r="I58" s="4">
        <v>72</v>
      </c>
      <c r="J58" s="4" t="s">
        <v>203</v>
      </c>
      <c r="K58" s="4" t="s">
        <v>189</v>
      </c>
      <c r="L58" s="4">
        <v>67</v>
      </c>
      <c r="M58" s="13"/>
    </row>
    <row r="59" spans="1:13">
      <c r="A59" s="3">
        <v>58</v>
      </c>
      <c r="B59" s="5" t="s">
        <v>153</v>
      </c>
      <c r="C59" s="9">
        <v>1714057</v>
      </c>
      <c r="D59" s="9">
        <v>-1.38</v>
      </c>
      <c r="E59" s="3" t="s">
        <v>115</v>
      </c>
      <c r="F59" s="3" t="s">
        <v>114</v>
      </c>
      <c r="I59" s="4">
        <v>73</v>
      </c>
      <c r="J59" s="4" t="s">
        <v>203</v>
      </c>
      <c r="K59" s="4" t="s">
        <v>204</v>
      </c>
      <c r="L59" s="4">
        <v>47249</v>
      </c>
      <c r="M59" s="4">
        <v>4.55</v>
      </c>
    </row>
    <row r="60" spans="1:13">
      <c r="I60" s="4">
        <v>75</v>
      </c>
      <c r="J60" s="4" t="s">
        <v>202</v>
      </c>
      <c r="K60" s="4" t="s">
        <v>203</v>
      </c>
      <c r="L60" s="4">
        <v>565262</v>
      </c>
      <c r="M60" s="4">
        <v>-2.5499999999999998</v>
      </c>
    </row>
    <row r="61" spans="1:13">
      <c r="I61" s="4">
        <v>76</v>
      </c>
      <c r="J61" s="4" t="s">
        <v>202</v>
      </c>
      <c r="K61" s="4" t="s">
        <v>186</v>
      </c>
      <c r="L61" s="4">
        <v>997217</v>
      </c>
      <c r="M61" s="4">
        <v>35.93</v>
      </c>
    </row>
    <row r="62" spans="1:13">
      <c r="I62" s="4">
        <v>77</v>
      </c>
      <c r="J62" s="4" t="s">
        <v>202</v>
      </c>
      <c r="K62" s="4" t="s">
        <v>185</v>
      </c>
      <c r="L62" s="4">
        <v>1517054</v>
      </c>
      <c r="M62" s="4">
        <v>13.41</v>
      </c>
    </row>
    <row r="63" spans="1:13">
      <c r="I63" s="4">
        <v>78</v>
      </c>
      <c r="J63" s="4" t="s">
        <v>202</v>
      </c>
      <c r="K63" s="4" t="s">
        <v>208</v>
      </c>
      <c r="L63" s="4">
        <v>2990331</v>
      </c>
      <c r="M63" s="4">
        <v>15.62</v>
      </c>
    </row>
    <row r="64" spans="1:13">
      <c r="I64" s="4">
        <v>79</v>
      </c>
      <c r="J64" s="4" t="s">
        <v>202</v>
      </c>
      <c r="K64" s="4" t="s">
        <v>199</v>
      </c>
      <c r="L64" s="4">
        <v>406186</v>
      </c>
      <c r="M64" s="4">
        <v>102.27</v>
      </c>
    </row>
    <row r="65" spans="9:13">
      <c r="I65" s="4">
        <v>80</v>
      </c>
      <c r="J65" s="4" t="s">
        <v>202</v>
      </c>
      <c r="K65" s="4" t="s">
        <v>183</v>
      </c>
      <c r="L65" s="4">
        <v>1697519</v>
      </c>
      <c r="M65" s="4">
        <v>5.22</v>
      </c>
    </row>
    <row r="66" spans="9:13">
      <c r="I66" s="4">
        <v>81</v>
      </c>
      <c r="J66" s="4" t="s">
        <v>202</v>
      </c>
      <c r="K66" s="4" t="s">
        <v>178</v>
      </c>
      <c r="L66" s="4">
        <v>1098276</v>
      </c>
      <c r="M66" s="4">
        <v>1.1200000000000001</v>
      </c>
    </row>
    <row r="67" spans="9:13">
      <c r="I67" s="4">
        <v>82</v>
      </c>
      <c r="J67" s="4" t="s">
        <v>202</v>
      </c>
      <c r="K67" s="4" t="s">
        <v>209</v>
      </c>
      <c r="L67" s="4">
        <v>470082</v>
      </c>
      <c r="M67" s="4">
        <v>82.28</v>
      </c>
    </row>
    <row r="68" spans="9:13">
      <c r="I68" s="4">
        <v>84</v>
      </c>
      <c r="J68" s="4" t="s">
        <v>186</v>
      </c>
      <c r="K68" s="4" t="s">
        <v>202</v>
      </c>
      <c r="L68" s="4">
        <v>19159</v>
      </c>
      <c r="M68" s="4">
        <v>-58.98</v>
      </c>
    </row>
    <row r="69" spans="9:13">
      <c r="I69" s="4">
        <v>85</v>
      </c>
      <c r="J69" s="4" t="s">
        <v>186</v>
      </c>
      <c r="K69" s="4" t="s">
        <v>196</v>
      </c>
      <c r="L69" s="4">
        <v>119735</v>
      </c>
      <c r="M69" s="4">
        <v>-16.940000000000001</v>
      </c>
    </row>
    <row r="70" spans="9:13">
      <c r="I70" s="4">
        <v>86</v>
      </c>
      <c r="J70" s="4" t="s">
        <v>186</v>
      </c>
      <c r="K70" s="4" t="s">
        <v>183</v>
      </c>
      <c r="L70" s="4">
        <v>589435</v>
      </c>
      <c r="M70" s="4">
        <v>-3.95</v>
      </c>
    </row>
    <row r="71" spans="9:13">
      <c r="I71" s="4">
        <v>87</v>
      </c>
      <c r="J71" s="4" t="s">
        <v>186</v>
      </c>
      <c r="K71" s="4" t="s">
        <v>197</v>
      </c>
      <c r="L71" s="4">
        <v>189</v>
      </c>
      <c r="M71" s="4">
        <v>-99.64</v>
      </c>
    </row>
    <row r="72" spans="9:13">
      <c r="I72" s="4">
        <v>88</v>
      </c>
      <c r="J72" s="4" t="s">
        <v>186</v>
      </c>
      <c r="K72" s="4" t="s">
        <v>187</v>
      </c>
      <c r="L72" s="4">
        <v>2</v>
      </c>
      <c r="M72" s="4">
        <v>-91.14</v>
      </c>
    </row>
    <row r="73" spans="9:13">
      <c r="I73" s="4">
        <v>90</v>
      </c>
      <c r="J73" s="4" t="s">
        <v>183</v>
      </c>
      <c r="K73" s="4" t="s">
        <v>193</v>
      </c>
      <c r="L73" s="4">
        <v>485260</v>
      </c>
      <c r="M73" s="4">
        <v>-2.48</v>
      </c>
    </row>
    <row r="74" spans="9:13">
      <c r="I74" s="4">
        <v>91</v>
      </c>
      <c r="J74" s="4" t="s">
        <v>183</v>
      </c>
      <c r="K74" s="13" t="s">
        <v>194</v>
      </c>
      <c r="L74" s="13">
        <v>6708</v>
      </c>
      <c r="M74" s="13">
        <v>77.680000000000007</v>
      </c>
    </row>
    <row r="75" spans="9:13">
      <c r="I75" s="4">
        <v>92</v>
      </c>
      <c r="J75" s="4" t="s">
        <v>183</v>
      </c>
      <c r="K75" s="4" t="s">
        <v>195</v>
      </c>
      <c r="L75" s="4">
        <v>1307801</v>
      </c>
      <c r="M75" s="4">
        <v>2.85</v>
      </c>
    </row>
    <row r="76" spans="9:13">
      <c r="I76" s="4">
        <v>94</v>
      </c>
      <c r="J76" s="13" t="s">
        <v>196</v>
      </c>
      <c r="K76" s="4" t="s">
        <v>183</v>
      </c>
      <c r="L76" s="4">
        <v>1024238</v>
      </c>
      <c r="M76" s="4">
        <v>-3.77</v>
      </c>
    </row>
    <row r="77" spans="9:13">
      <c r="I77" s="4">
        <v>95</v>
      </c>
      <c r="J77" s="13" t="s">
        <v>196</v>
      </c>
      <c r="K77" s="4" t="s">
        <v>186</v>
      </c>
      <c r="L77" s="4">
        <v>44145</v>
      </c>
      <c r="M77" s="4">
        <v>5.44</v>
      </c>
    </row>
    <row r="78" spans="9:13">
      <c r="I78" s="4">
        <v>96</v>
      </c>
      <c r="J78" s="13" t="s">
        <v>196</v>
      </c>
      <c r="K78" s="4" t="s">
        <v>197</v>
      </c>
      <c r="L78" s="4">
        <v>89964</v>
      </c>
      <c r="M78" s="4">
        <v>1341.96</v>
      </c>
    </row>
    <row r="79" spans="9:13">
      <c r="I79" s="4">
        <v>97</v>
      </c>
      <c r="J79" s="13" t="s">
        <v>196</v>
      </c>
      <c r="K79" s="4" t="s">
        <v>198</v>
      </c>
      <c r="L79" s="14">
        <v>111</v>
      </c>
      <c r="M79" s="4">
        <v>-47.62</v>
      </c>
    </row>
    <row r="80" spans="9:13">
      <c r="I80" s="4">
        <v>99</v>
      </c>
      <c r="J80" s="13" t="s">
        <v>194</v>
      </c>
      <c r="K80" s="14" t="s">
        <v>183</v>
      </c>
      <c r="L80" s="14" t="s">
        <v>104</v>
      </c>
      <c r="M80" s="14">
        <v>42.68</v>
      </c>
    </row>
    <row r="81" spans="9:13">
      <c r="I81" s="4">
        <v>101</v>
      </c>
      <c r="J81" s="4" t="s">
        <v>199</v>
      </c>
      <c r="K81" s="4" t="s">
        <v>186</v>
      </c>
      <c r="L81" s="4">
        <v>75827</v>
      </c>
      <c r="M81" s="4">
        <v>37.15</v>
      </c>
    </row>
    <row r="82" spans="9:13">
      <c r="I82" s="4">
        <v>102</v>
      </c>
      <c r="J82" s="4" t="s">
        <v>199</v>
      </c>
      <c r="K82" s="4" t="s">
        <v>202</v>
      </c>
      <c r="L82" s="4">
        <v>436452</v>
      </c>
      <c r="M82" s="4" t="s">
        <v>103</v>
      </c>
    </row>
    <row r="83" spans="9:13">
      <c r="I83" s="4">
        <v>103</v>
      </c>
      <c r="J83" s="4" t="s">
        <v>199</v>
      </c>
      <c r="K83" s="4" t="s">
        <v>197</v>
      </c>
      <c r="L83" s="4">
        <v>3392</v>
      </c>
      <c r="M83" s="4">
        <v>87.59</v>
      </c>
    </row>
    <row r="84" spans="9:13">
      <c r="I84" s="4">
        <v>104</v>
      </c>
      <c r="J84" s="4" t="s">
        <v>199</v>
      </c>
      <c r="K84" s="4" t="s">
        <v>191</v>
      </c>
      <c r="L84" s="4">
        <v>115844</v>
      </c>
      <c r="M84" s="4">
        <v>16.89</v>
      </c>
    </row>
    <row r="85" spans="9:13">
      <c r="I85" s="4">
        <v>106</v>
      </c>
      <c r="J85" s="4" t="s">
        <v>191</v>
      </c>
      <c r="K85" s="4" t="s">
        <v>199</v>
      </c>
      <c r="L85" s="4">
        <v>3328511</v>
      </c>
      <c r="M85" s="4">
        <v>4.04</v>
      </c>
    </row>
    <row r="86" spans="9:13">
      <c r="I86" s="4">
        <v>107</v>
      </c>
      <c r="J86" s="4" t="s">
        <v>191</v>
      </c>
      <c r="K86" s="4" t="s">
        <v>197</v>
      </c>
      <c r="L86" s="4">
        <v>7397</v>
      </c>
      <c r="M86" s="4">
        <v>472.95</v>
      </c>
    </row>
    <row r="87" spans="9:13">
      <c r="I87" s="4">
        <v>108</v>
      </c>
      <c r="J87" s="4" t="s">
        <v>191</v>
      </c>
      <c r="K87" s="4" t="s">
        <v>208</v>
      </c>
      <c r="L87" s="4">
        <v>3068694</v>
      </c>
      <c r="M87" s="4">
        <v>1.68</v>
      </c>
    </row>
    <row r="88" spans="9:13">
      <c r="I88" s="4">
        <v>109</v>
      </c>
      <c r="J88" s="4" t="s">
        <v>191</v>
      </c>
      <c r="K88" s="4" t="s">
        <v>190</v>
      </c>
      <c r="L88" s="4">
        <v>776245</v>
      </c>
      <c r="M88" s="4">
        <v>44.17</v>
      </c>
    </row>
    <row r="89" spans="9:13">
      <c r="I89" s="4">
        <v>110</v>
      </c>
      <c r="J89" s="4" t="s">
        <v>191</v>
      </c>
      <c r="K89" s="4" t="s">
        <v>178</v>
      </c>
      <c r="L89" s="4">
        <v>3742356</v>
      </c>
      <c r="M89" s="4">
        <v>2.2799999999999998</v>
      </c>
    </row>
    <row r="90" spans="9:13">
      <c r="I90" s="4">
        <v>111</v>
      </c>
      <c r="J90" s="4" t="s">
        <v>191</v>
      </c>
      <c r="K90" s="4" t="s">
        <v>180</v>
      </c>
      <c r="L90" s="4">
        <v>3313038</v>
      </c>
      <c r="M90" s="4">
        <v>-2.7</v>
      </c>
    </row>
    <row r="91" spans="9:13">
      <c r="I91" s="4">
        <v>112</v>
      </c>
      <c r="J91" s="4" t="s">
        <v>191</v>
      </c>
      <c r="K91" s="4" t="s">
        <v>215</v>
      </c>
      <c r="L91" s="4">
        <v>22331</v>
      </c>
      <c r="M91" s="4">
        <v>113.92</v>
      </c>
    </row>
    <row r="92" spans="9:13">
      <c r="I92" s="4">
        <v>114</v>
      </c>
      <c r="J92" s="4" t="s">
        <v>197</v>
      </c>
      <c r="K92" s="4" t="s">
        <v>199</v>
      </c>
      <c r="L92" s="4">
        <v>469979</v>
      </c>
      <c r="M92" s="4">
        <v>-24.31</v>
      </c>
    </row>
    <row r="93" spans="9:13">
      <c r="I93" s="4">
        <v>115</v>
      </c>
      <c r="J93" s="4" t="s">
        <v>197</v>
      </c>
      <c r="K93" s="4" t="s">
        <v>186</v>
      </c>
      <c r="L93" s="4">
        <v>1004578</v>
      </c>
      <c r="M93" s="4">
        <v>1.64</v>
      </c>
    </row>
    <row r="94" spans="9:13">
      <c r="I94" s="4">
        <v>116</v>
      </c>
      <c r="J94" s="4" t="s">
        <v>197</v>
      </c>
      <c r="K94" s="4" t="s">
        <v>196</v>
      </c>
      <c r="L94" s="4">
        <v>133021</v>
      </c>
      <c r="M94" s="4">
        <v>268.31</v>
      </c>
    </row>
    <row r="95" spans="9:13">
      <c r="I95" s="4">
        <v>117</v>
      </c>
      <c r="J95" s="4" t="s">
        <v>197</v>
      </c>
      <c r="K95" s="4" t="s">
        <v>183</v>
      </c>
      <c r="L95" s="4">
        <v>5813223</v>
      </c>
      <c r="M95" s="4">
        <v>5.08</v>
      </c>
    </row>
    <row r="96" spans="9:13">
      <c r="I96" s="4">
        <v>119</v>
      </c>
      <c r="J96" s="4" t="s">
        <v>198</v>
      </c>
      <c r="K96" s="4" t="s">
        <v>191</v>
      </c>
      <c r="L96" s="4">
        <v>1714057</v>
      </c>
      <c r="M96" s="4">
        <v>-1.38</v>
      </c>
    </row>
    <row r="97" spans="9:13">
      <c r="I97" s="4">
        <v>120</v>
      </c>
      <c r="J97" s="4" t="s">
        <v>198</v>
      </c>
      <c r="K97" s="4" t="s">
        <v>183</v>
      </c>
      <c r="L97" s="4">
        <v>13088258</v>
      </c>
      <c r="M97" s="4">
        <v>-0.11</v>
      </c>
    </row>
    <row r="98" spans="9:13">
      <c r="I98" s="4">
        <v>121</v>
      </c>
      <c r="J98" s="4" t="s">
        <v>198</v>
      </c>
      <c r="K98" s="13" t="s">
        <v>196</v>
      </c>
      <c r="L98" s="13">
        <v>1394946</v>
      </c>
      <c r="M98" s="13">
        <v>-1.19</v>
      </c>
    </row>
    <row r="99" spans="9:13">
      <c r="I99" s="4">
        <v>122</v>
      </c>
      <c r="J99" s="4" t="s">
        <v>198</v>
      </c>
      <c r="K99" s="4" t="s">
        <v>194</v>
      </c>
      <c r="L99" s="4">
        <v>164894</v>
      </c>
      <c r="M99" s="4">
        <v>50.24</v>
      </c>
    </row>
    <row r="100" spans="9:13">
      <c r="I100" s="4">
        <v>123</v>
      </c>
      <c r="J100" s="4" t="s">
        <v>198</v>
      </c>
      <c r="K100" s="4" t="s">
        <v>223</v>
      </c>
      <c r="L100" s="4">
        <v>194243</v>
      </c>
      <c r="M100" s="4">
        <v>-12.59</v>
      </c>
    </row>
    <row r="101" spans="9:13">
      <c r="I101" s="4">
        <v>124</v>
      </c>
      <c r="J101" s="4" t="s">
        <v>198</v>
      </c>
      <c r="K101" s="4" t="s">
        <v>222</v>
      </c>
      <c r="L101" s="4">
        <v>76968</v>
      </c>
      <c r="M101" s="4">
        <v>45.11</v>
      </c>
    </row>
    <row r="102" spans="9:13">
      <c r="I102" s="4">
        <v>125</v>
      </c>
      <c r="J102" s="4" t="s">
        <v>198</v>
      </c>
      <c r="K102" s="4" t="s">
        <v>221</v>
      </c>
      <c r="L102" s="4">
        <v>9675</v>
      </c>
      <c r="M102" s="4">
        <v>1022.1</v>
      </c>
    </row>
    <row r="103" spans="9:13">
      <c r="I103" s="4">
        <v>127</v>
      </c>
      <c r="J103" s="4" t="s">
        <v>215</v>
      </c>
      <c r="K103" s="13" t="s">
        <v>220</v>
      </c>
      <c r="L103" s="13">
        <v>100773</v>
      </c>
      <c r="M103" s="13">
        <v>17.100000000000001</v>
      </c>
    </row>
    <row r="104" spans="9:13">
      <c r="I104" s="4">
        <v>128</v>
      </c>
      <c r="J104" s="4" t="s">
        <v>215</v>
      </c>
      <c r="K104" s="4" t="s">
        <v>191</v>
      </c>
      <c r="L104" s="4">
        <v>80588</v>
      </c>
      <c r="M104" s="4">
        <v>-7.4</v>
      </c>
    </row>
    <row r="105" spans="9:13">
      <c r="I105" s="4">
        <v>130</v>
      </c>
      <c r="J105" s="4" t="s">
        <v>190</v>
      </c>
      <c r="K105" s="4" t="s">
        <v>187</v>
      </c>
      <c r="L105" s="4">
        <v>309653</v>
      </c>
      <c r="M105" s="4">
        <v>280.17</v>
      </c>
    </row>
    <row r="106" spans="9:13">
      <c r="I106" s="4">
        <v>131</v>
      </c>
      <c r="J106" s="4" t="s">
        <v>190</v>
      </c>
      <c r="K106" s="4" t="s">
        <v>200</v>
      </c>
      <c r="L106" s="4">
        <v>1863703</v>
      </c>
      <c r="M106" s="4">
        <v>37.950000000000003</v>
      </c>
    </row>
    <row r="107" spans="9:13">
      <c r="I107" s="4">
        <v>132</v>
      </c>
      <c r="J107" s="4" t="s">
        <v>190</v>
      </c>
      <c r="K107" s="4" t="s">
        <v>216</v>
      </c>
      <c r="L107" s="4">
        <v>911236</v>
      </c>
      <c r="M107" s="4">
        <v>-2.91</v>
      </c>
    </row>
    <row r="108" spans="9:13">
      <c r="I108" s="4">
        <v>133</v>
      </c>
      <c r="J108" s="4" t="s">
        <v>190</v>
      </c>
      <c r="K108" s="4" t="s">
        <v>203</v>
      </c>
      <c r="L108" s="4">
        <v>22935</v>
      </c>
      <c r="M108" s="4">
        <v>-62.92</v>
      </c>
    </row>
    <row r="109" spans="9:13">
      <c r="I109" s="4">
        <v>134</v>
      </c>
      <c r="J109" s="4" t="s">
        <v>190</v>
      </c>
      <c r="K109" s="4" t="s">
        <v>202</v>
      </c>
      <c r="L109" s="4">
        <v>7530</v>
      </c>
      <c r="M109" s="4">
        <v>-54.74</v>
      </c>
    </row>
    <row r="110" spans="9:13">
      <c r="I110" s="4">
        <v>135</v>
      </c>
      <c r="J110" s="4" t="s">
        <v>190</v>
      </c>
      <c r="K110" s="4" t="s">
        <v>191</v>
      </c>
      <c r="L110" s="4">
        <v>1035573</v>
      </c>
      <c r="M110" s="4">
        <v>5.48</v>
      </c>
    </row>
    <row r="111" spans="9:13">
      <c r="I111" s="4">
        <v>136</v>
      </c>
      <c r="J111" s="4" t="s">
        <v>190</v>
      </c>
      <c r="K111" s="4" t="s">
        <v>181</v>
      </c>
      <c r="L111" s="4">
        <v>1889370</v>
      </c>
      <c r="M111" s="4">
        <v>-6.39</v>
      </c>
    </row>
    <row r="112" spans="9:13">
      <c r="I112" s="4">
        <v>138</v>
      </c>
      <c r="J112" s="4" t="s">
        <v>187</v>
      </c>
      <c r="K112" s="4" t="s">
        <v>190</v>
      </c>
      <c r="L112" s="4">
        <v>1297373</v>
      </c>
      <c r="M112" s="4">
        <v>-28.77</v>
      </c>
    </row>
    <row r="113" spans="9:13">
      <c r="I113" s="4">
        <v>139</v>
      </c>
      <c r="J113" s="4" t="s">
        <v>187</v>
      </c>
      <c r="K113" s="4" t="s">
        <v>188</v>
      </c>
      <c r="L113" s="4">
        <v>3598309</v>
      </c>
      <c r="M113" s="4">
        <v>22.03</v>
      </c>
    </row>
    <row r="114" spans="9:13">
      <c r="I114" s="4">
        <v>140</v>
      </c>
      <c r="J114" s="4" t="s">
        <v>187</v>
      </c>
      <c r="K114" s="4" t="s">
        <v>189</v>
      </c>
      <c r="L114" s="4">
        <v>573112</v>
      </c>
      <c r="M114" s="4">
        <v>-19.43</v>
      </c>
    </row>
    <row r="115" spans="9:13">
      <c r="I115" s="4">
        <v>141</v>
      </c>
      <c r="J115" s="4" t="s">
        <v>187</v>
      </c>
      <c r="K115" s="4" t="s">
        <v>192</v>
      </c>
      <c r="L115" s="4">
        <v>119246</v>
      </c>
      <c r="M115" s="4">
        <v>41.06</v>
      </c>
    </row>
    <row r="116" spans="9:13">
      <c r="I116" s="4">
        <v>142</v>
      </c>
      <c r="J116" s="4" t="s">
        <v>187</v>
      </c>
      <c r="K116" s="4" t="s">
        <v>191</v>
      </c>
      <c r="L116" s="4">
        <v>39398</v>
      </c>
      <c r="M116" s="4">
        <v>19.23</v>
      </c>
    </row>
    <row r="117" spans="9:13">
      <c r="I117" s="4">
        <v>143</v>
      </c>
      <c r="J117" s="4" t="s">
        <v>187</v>
      </c>
      <c r="K117" s="4" t="s">
        <v>186</v>
      </c>
      <c r="L117" s="4">
        <v>2245769</v>
      </c>
      <c r="M117" s="4">
        <v>25.19</v>
      </c>
    </row>
    <row r="118" spans="9:13">
      <c r="I118" s="4">
        <v>145</v>
      </c>
      <c r="J118" s="4" t="s">
        <v>189</v>
      </c>
      <c r="K118" s="4" t="s">
        <v>215</v>
      </c>
      <c r="L118" s="4">
        <v>117160</v>
      </c>
      <c r="M118" s="4">
        <v>10.8</v>
      </c>
    </row>
    <row r="119" spans="9:13">
      <c r="I119" s="4">
        <v>146</v>
      </c>
      <c r="J119" s="4" t="s">
        <v>189</v>
      </c>
      <c r="K119" s="4" t="s">
        <v>203</v>
      </c>
      <c r="L119" s="4">
        <v>340225</v>
      </c>
      <c r="M119" s="13"/>
    </row>
    <row r="120" spans="9:13">
      <c r="I120" s="4">
        <v>147</v>
      </c>
      <c r="J120" s="4" t="s">
        <v>189</v>
      </c>
      <c r="K120" s="4" t="s">
        <v>187</v>
      </c>
      <c r="L120" s="4">
        <v>2266774</v>
      </c>
      <c r="M120" s="4">
        <v>-3.1</v>
      </c>
    </row>
    <row r="121" spans="9:13">
      <c r="I121" s="4">
        <v>148</v>
      </c>
      <c r="J121" s="4" t="s">
        <v>189</v>
      </c>
      <c r="K121" s="4" t="s">
        <v>192</v>
      </c>
      <c r="L121" s="4">
        <v>4707</v>
      </c>
      <c r="M121" s="4">
        <v>-37.21</v>
      </c>
    </row>
    <row r="122" spans="9:13">
      <c r="I122" s="4">
        <v>150</v>
      </c>
      <c r="J122" s="4" t="s">
        <v>188</v>
      </c>
      <c r="K122" s="4" t="s">
        <v>187</v>
      </c>
      <c r="L122" s="4">
        <v>80324</v>
      </c>
      <c r="M122" s="4">
        <v>-36.94</v>
      </c>
    </row>
    <row r="123" spans="9:13">
      <c r="I123" s="4">
        <v>151</v>
      </c>
      <c r="J123" s="4" t="s">
        <v>188</v>
      </c>
      <c r="K123" s="4" t="s">
        <v>190</v>
      </c>
      <c r="L123" s="4">
        <v>76611</v>
      </c>
      <c r="M123" s="4">
        <v>10.31</v>
      </c>
    </row>
    <row r="124" spans="9:13">
      <c r="I124" s="4">
        <v>152</v>
      </c>
      <c r="J124" s="4" t="s">
        <v>188</v>
      </c>
      <c r="K124" s="4" t="s">
        <v>207</v>
      </c>
      <c r="L124" s="4">
        <v>2650400</v>
      </c>
      <c r="M124" s="4">
        <v>58.84</v>
      </c>
    </row>
    <row r="125" spans="9:13">
      <c r="I125" s="4">
        <v>153</v>
      </c>
      <c r="J125" s="4" t="s">
        <v>188</v>
      </c>
      <c r="K125" s="4" t="s">
        <v>213</v>
      </c>
      <c r="L125" s="4">
        <v>3080753</v>
      </c>
      <c r="M125" s="4">
        <v>-0.95</v>
      </c>
    </row>
    <row r="126" spans="9:13">
      <c r="I126" s="4">
        <v>154</v>
      </c>
      <c r="J126" s="4" t="s">
        <v>188</v>
      </c>
      <c r="K126" s="4" t="s">
        <v>180</v>
      </c>
      <c r="L126" s="4">
        <v>4982996</v>
      </c>
      <c r="M126" s="14">
        <v>20.11</v>
      </c>
    </row>
    <row r="127" spans="9:13">
      <c r="I127" s="4">
        <v>156</v>
      </c>
      <c r="J127" s="4" t="s">
        <v>192</v>
      </c>
      <c r="K127" s="4" t="s">
        <v>203</v>
      </c>
      <c r="L127" s="4">
        <v>4085790</v>
      </c>
      <c r="M127" s="4">
        <v>-1.54</v>
      </c>
    </row>
    <row r="128" spans="9:13">
      <c r="I128" s="4">
        <v>157</v>
      </c>
      <c r="J128" s="4" t="s">
        <v>192</v>
      </c>
      <c r="K128" s="4" t="s">
        <v>187</v>
      </c>
      <c r="L128" s="4">
        <v>1117637</v>
      </c>
      <c r="M128" s="4">
        <v>-2.61</v>
      </c>
    </row>
    <row r="129" spans="9:13">
      <c r="I129" s="4">
        <v>158</v>
      </c>
      <c r="J129" s="4" t="s">
        <v>192</v>
      </c>
      <c r="K129" s="4" t="s">
        <v>212</v>
      </c>
      <c r="L129" s="4">
        <v>749</v>
      </c>
      <c r="M129" s="4">
        <v>9.5</v>
      </c>
    </row>
    <row r="130" spans="9:13">
      <c r="I130" s="4">
        <v>159</v>
      </c>
      <c r="J130" s="4" t="s">
        <v>192</v>
      </c>
      <c r="K130" s="4" t="s">
        <v>179</v>
      </c>
      <c r="L130" s="4">
        <v>4395593</v>
      </c>
      <c r="M130" s="4">
        <v>198.4</v>
      </c>
    </row>
  </sheetData>
  <autoFilter ref="I1:K130" xr:uid="{AEEE6F76-D9E2-4457-BE5E-A6744CC232AA}">
    <sortState xmlns:xlrd2="http://schemas.microsoft.com/office/spreadsheetml/2017/richdata2" ref="I2:K130">
      <sortCondition ref="I1"/>
    </sortState>
  </autoFilter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179B-A2C2-4EBE-B5CF-38CEDBFB1B3F}">
  <dimension ref="A1:H77"/>
  <sheetViews>
    <sheetView workbookViewId="0">
      <selection activeCell="F3" sqref="F3"/>
    </sheetView>
  </sheetViews>
  <sheetFormatPr defaultRowHeight="13.2"/>
  <cols>
    <col min="1" max="1" width="8.109375" bestFit="1" customWidth="1"/>
    <col min="2" max="2" width="43.6640625" bestFit="1" customWidth="1"/>
    <col min="3" max="3" width="6.5546875" bestFit="1" customWidth="1"/>
    <col min="4" max="4" width="8.44140625" bestFit="1" customWidth="1"/>
    <col min="5" max="5" width="15.33203125" bestFit="1" customWidth="1"/>
    <col min="6" max="7" width="13.109375" bestFit="1" customWidth="1"/>
    <col min="8" max="8" width="8.109375" bestFit="1" customWidth="1"/>
  </cols>
  <sheetData>
    <row r="1" spans="1:8">
      <c r="A1" t="s">
        <v>620</v>
      </c>
      <c r="B1" t="s">
        <v>621</v>
      </c>
      <c r="C1" t="s">
        <v>622</v>
      </c>
      <c r="D1" t="s">
        <v>623</v>
      </c>
      <c r="E1" t="s">
        <v>624</v>
      </c>
      <c r="F1" t="s">
        <v>625</v>
      </c>
      <c r="G1" t="s">
        <v>626</v>
      </c>
      <c r="H1" t="s">
        <v>627</v>
      </c>
    </row>
    <row r="2" spans="1:8">
      <c r="A2">
        <v>0</v>
      </c>
      <c r="B2" t="s">
        <v>628</v>
      </c>
      <c r="C2">
        <v>500</v>
      </c>
      <c r="D2">
        <v>800</v>
      </c>
      <c r="E2">
        <v>1993</v>
      </c>
      <c r="F2" t="s">
        <v>629</v>
      </c>
      <c r="G2" t="s">
        <v>630</v>
      </c>
      <c r="H2" t="s">
        <v>631</v>
      </c>
    </row>
    <row r="3" spans="1:8">
      <c r="A3">
        <v>1</v>
      </c>
      <c r="B3" t="s">
        <v>632</v>
      </c>
      <c r="C3">
        <v>500</v>
      </c>
      <c r="D3">
        <v>800</v>
      </c>
      <c r="E3">
        <v>1998</v>
      </c>
      <c r="F3" t="s">
        <v>629</v>
      </c>
      <c r="G3" t="s">
        <v>630</v>
      </c>
      <c r="H3" t="s">
        <v>631</v>
      </c>
    </row>
    <row r="4" spans="1:8">
      <c r="A4">
        <v>2</v>
      </c>
      <c r="B4" t="s">
        <v>330</v>
      </c>
      <c r="C4">
        <v>500</v>
      </c>
      <c r="D4">
        <v>1200</v>
      </c>
      <c r="E4">
        <v>2000</v>
      </c>
      <c r="F4" t="s">
        <v>633</v>
      </c>
      <c r="G4" t="s">
        <v>634</v>
      </c>
      <c r="H4" t="s">
        <v>631</v>
      </c>
    </row>
    <row r="5" spans="1:8">
      <c r="A5">
        <v>3</v>
      </c>
      <c r="B5" t="s">
        <v>635</v>
      </c>
      <c r="C5">
        <v>500</v>
      </c>
      <c r="D5">
        <v>800</v>
      </c>
      <c r="E5">
        <v>2002</v>
      </c>
      <c r="F5" t="s">
        <v>629</v>
      </c>
      <c r="G5" t="s">
        <v>630</v>
      </c>
      <c r="H5" t="s">
        <v>631</v>
      </c>
    </row>
    <row r="6" spans="1:8">
      <c r="A6">
        <v>4</v>
      </c>
      <c r="B6" t="s">
        <v>636</v>
      </c>
      <c r="C6">
        <v>500</v>
      </c>
      <c r="D6">
        <v>1500</v>
      </c>
      <c r="E6">
        <v>2003</v>
      </c>
      <c r="F6" t="s">
        <v>637</v>
      </c>
      <c r="G6" t="s">
        <v>630</v>
      </c>
      <c r="H6" t="s">
        <v>631</v>
      </c>
    </row>
    <row r="7" spans="1:8">
      <c r="A7">
        <v>5</v>
      </c>
      <c r="B7" t="s">
        <v>638</v>
      </c>
      <c r="C7">
        <v>500</v>
      </c>
      <c r="D7">
        <v>3000</v>
      </c>
      <c r="E7">
        <v>2003</v>
      </c>
      <c r="F7" t="s">
        <v>637</v>
      </c>
      <c r="G7" t="s">
        <v>630</v>
      </c>
      <c r="H7" t="s">
        <v>631</v>
      </c>
    </row>
    <row r="8" spans="1:8">
      <c r="A8">
        <v>6</v>
      </c>
      <c r="B8" t="s">
        <v>639</v>
      </c>
      <c r="C8">
        <v>500</v>
      </c>
      <c r="D8">
        <v>1612</v>
      </c>
      <c r="E8">
        <v>2005</v>
      </c>
      <c r="F8" t="s">
        <v>629</v>
      </c>
      <c r="G8" t="s">
        <v>630</v>
      </c>
      <c r="H8" t="s">
        <v>631</v>
      </c>
    </row>
    <row r="9" spans="1:8">
      <c r="A9">
        <v>7</v>
      </c>
      <c r="B9" t="s">
        <v>640</v>
      </c>
      <c r="C9">
        <v>500</v>
      </c>
      <c r="D9">
        <v>3200</v>
      </c>
      <c r="E9">
        <v>2003</v>
      </c>
      <c r="F9" t="s">
        <v>641</v>
      </c>
      <c r="G9" t="s">
        <v>642</v>
      </c>
      <c r="H9" t="s">
        <v>631</v>
      </c>
    </row>
    <row r="10" spans="1:8">
      <c r="A10">
        <v>8</v>
      </c>
      <c r="B10" t="s">
        <v>643</v>
      </c>
      <c r="C10">
        <v>500</v>
      </c>
      <c r="D10">
        <v>2640</v>
      </c>
      <c r="E10">
        <v>2006</v>
      </c>
      <c r="F10" t="s">
        <v>644</v>
      </c>
      <c r="G10" t="s">
        <v>641</v>
      </c>
      <c r="H10" t="s">
        <v>631</v>
      </c>
    </row>
    <row r="11" spans="1:8">
      <c r="A11">
        <v>9</v>
      </c>
      <c r="B11" t="s">
        <v>645</v>
      </c>
      <c r="C11">
        <v>500</v>
      </c>
      <c r="D11">
        <v>500</v>
      </c>
      <c r="E11">
        <v>2008</v>
      </c>
      <c r="F11" t="s">
        <v>646</v>
      </c>
      <c r="G11" t="s">
        <v>629</v>
      </c>
      <c r="H11" t="s">
        <v>631</v>
      </c>
    </row>
    <row r="12" spans="1:8">
      <c r="A12">
        <v>10</v>
      </c>
      <c r="B12" t="s">
        <v>647</v>
      </c>
      <c r="C12">
        <v>500</v>
      </c>
      <c r="D12">
        <v>1612</v>
      </c>
      <c r="E12">
        <v>2008</v>
      </c>
      <c r="F12" t="s">
        <v>637</v>
      </c>
      <c r="G12" t="s">
        <v>630</v>
      </c>
      <c r="H12" t="s">
        <v>631</v>
      </c>
    </row>
    <row r="13" spans="1:8">
      <c r="A13">
        <v>11</v>
      </c>
      <c r="B13" t="s">
        <v>648</v>
      </c>
      <c r="C13">
        <v>500</v>
      </c>
      <c r="D13">
        <v>1612</v>
      </c>
      <c r="E13">
        <v>2008</v>
      </c>
      <c r="F13" t="s">
        <v>637</v>
      </c>
      <c r="G13" t="s">
        <v>630</v>
      </c>
      <c r="H13" t="s">
        <v>631</v>
      </c>
    </row>
    <row r="14" spans="1:8">
      <c r="A14">
        <v>12</v>
      </c>
      <c r="B14" t="s">
        <v>649</v>
      </c>
      <c r="C14">
        <v>1000</v>
      </c>
      <c r="D14">
        <v>24000</v>
      </c>
      <c r="E14">
        <v>2009</v>
      </c>
      <c r="F14" t="s">
        <v>633</v>
      </c>
      <c r="G14" t="s">
        <v>650</v>
      </c>
      <c r="H14" t="s">
        <v>631</v>
      </c>
    </row>
    <row r="15" spans="1:8">
      <c r="A15">
        <v>13</v>
      </c>
      <c r="B15" t="s">
        <v>651</v>
      </c>
      <c r="C15">
        <v>500</v>
      </c>
      <c r="D15">
        <v>2400</v>
      </c>
      <c r="E15">
        <v>2012</v>
      </c>
      <c r="F15" t="s">
        <v>646</v>
      </c>
      <c r="G15" t="s">
        <v>646</v>
      </c>
      <c r="H15" t="s">
        <v>631</v>
      </c>
    </row>
    <row r="16" spans="1:8">
      <c r="A16">
        <v>14</v>
      </c>
      <c r="B16" t="s">
        <v>652</v>
      </c>
      <c r="C16">
        <v>750</v>
      </c>
      <c r="D16">
        <v>7889</v>
      </c>
      <c r="E16">
        <v>2013</v>
      </c>
      <c r="F16" t="s">
        <v>653</v>
      </c>
      <c r="G16" t="s">
        <v>654</v>
      </c>
      <c r="H16" t="s">
        <v>631</v>
      </c>
    </row>
    <row r="17" spans="1:8">
      <c r="A17">
        <v>15</v>
      </c>
      <c r="B17" t="s">
        <v>655</v>
      </c>
      <c r="C17">
        <v>1000</v>
      </c>
      <c r="D17">
        <v>21000</v>
      </c>
      <c r="E17">
        <v>2013</v>
      </c>
      <c r="F17" t="s">
        <v>656</v>
      </c>
      <c r="G17" t="s">
        <v>657</v>
      </c>
      <c r="H17" t="s">
        <v>631</v>
      </c>
    </row>
    <row r="18" spans="1:8">
      <c r="A18">
        <v>16</v>
      </c>
      <c r="B18" t="s">
        <v>658</v>
      </c>
      <c r="C18">
        <v>1000</v>
      </c>
      <c r="D18">
        <v>18000</v>
      </c>
      <c r="E18">
        <v>2014</v>
      </c>
      <c r="F18" t="s">
        <v>659</v>
      </c>
      <c r="G18" t="s">
        <v>660</v>
      </c>
      <c r="H18" t="s">
        <v>631</v>
      </c>
    </row>
    <row r="19" spans="1:8">
      <c r="A19">
        <v>17</v>
      </c>
      <c r="B19" t="s">
        <v>661</v>
      </c>
      <c r="C19">
        <v>500</v>
      </c>
      <c r="D19">
        <v>900</v>
      </c>
      <c r="E19">
        <v>2015</v>
      </c>
      <c r="F19" t="s">
        <v>646</v>
      </c>
      <c r="G19" t="s">
        <v>629</v>
      </c>
      <c r="H19" t="s">
        <v>631</v>
      </c>
    </row>
    <row r="20" spans="1:8">
      <c r="A20">
        <v>18</v>
      </c>
      <c r="B20" t="s">
        <v>662</v>
      </c>
      <c r="C20">
        <v>1000</v>
      </c>
      <c r="D20">
        <v>12000</v>
      </c>
      <c r="E20">
        <v>2016</v>
      </c>
      <c r="F20" t="s">
        <v>656</v>
      </c>
      <c r="G20" t="s">
        <v>657</v>
      </c>
      <c r="H20" t="s">
        <v>631</v>
      </c>
    </row>
    <row r="21" spans="1:8">
      <c r="A21">
        <v>19</v>
      </c>
      <c r="B21" t="s">
        <v>663</v>
      </c>
      <c r="C21">
        <v>1000</v>
      </c>
      <c r="D21">
        <v>24000</v>
      </c>
      <c r="E21">
        <v>2016</v>
      </c>
      <c r="F21" t="s">
        <v>664</v>
      </c>
      <c r="G21" t="s">
        <v>665</v>
      </c>
      <c r="H21" t="s">
        <v>631</v>
      </c>
    </row>
    <row r="22" spans="1:8">
      <c r="A22">
        <v>20</v>
      </c>
      <c r="B22" t="s">
        <v>666</v>
      </c>
      <c r="C22">
        <v>1000</v>
      </c>
      <c r="D22">
        <v>15000</v>
      </c>
      <c r="E22">
        <v>2016</v>
      </c>
      <c r="F22" t="s">
        <v>664</v>
      </c>
      <c r="G22" t="s">
        <v>667</v>
      </c>
      <c r="H22" t="s">
        <v>631</v>
      </c>
    </row>
    <row r="23" spans="1:8">
      <c r="A23">
        <v>21</v>
      </c>
      <c r="B23" t="s">
        <v>668</v>
      </c>
      <c r="C23">
        <v>1000</v>
      </c>
      <c r="D23">
        <v>6000</v>
      </c>
      <c r="E23">
        <v>2017</v>
      </c>
      <c r="F23" t="s">
        <v>664</v>
      </c>
      <c r="G23" t="s">
        <v>664</v>
      </c>
      <c r="H23" t="s">
        <v>631</v>
      </c>
    </row>
    <row r="24" spans="1:8">
      <c r="A24">
        <v>22</v>
      </c>
      <c r="B24" t="s">
        <v>669</v>
      </c>
      <c r="C24">
        <v>1000</v>
      </c>
      <c r="D24">
        <v>15000</v>
      </c>
      <c r="E24">
        <v>2017</v>
      </c>
      <c r="F24" t="s">
        <v>633</v>
      </c>
      <c r="G24" t="s">
        <v>667</v>
      </c>
      <c r="H24" t="s">
        <v>631</v>
      </c>
    </row>
    <row r="25" spans="1:8">
      <c r="A25">
        <v>23</v>
      </c>
      <c r="B25" t="s">
        <v>670</v>
      </c>
      <c r="C25">
        <v>1000</v>
      </c>
      <c r="D25">
        <v>14166</v>
      </c>
      <c r="E25">
        <v>2019</v>
      </c>
      <c r="F25" t="s">
        <v>642</v>
      </c>
      <c r="G25" t="s">
        <v>642</v>
      </c>
      <c r="H25" t="s">
        <v>631</v>
      </c>
    </row>
    <row r="26" spans="1:8">
      <c r="A26">
        <v>24</v>
      </c>
      <c r="B26" t="s">
        <v>671</v>
      </c>
      <c r="C26">
        <v>1000</v>
      </c>
      <c r="D26">
        <v>6000</v>
      </c>
      <c r="E26">
        <v>2020</v>
      </c>
      <c r="F26" t="s">
        <v>641</v>
      </c>
      <c r="G26" t="s">
        <v>641</v>
      </c>
      <c r="H26" t="s">
        <v>631</v>
      </c>
    </row>
    <row r="27" spans="1:8">
      <c r="A27">
        <v>25</v>
      </c>
      <c r="B27" t="s">
        <v>672</v>
      </c>
      <c r="C27">
        <v>1000</v>
      </c>
      <c r="D27">
        <v>14166</v>
      </c>
      <c r="E27">
        <v>2019</v>
      </c>
      <c r="F27" t="s">
        <v>641</v>
      </c>
      <c r="G27" t="s">
        <v>641</v>
      </c>
      <c r="H27" t="s">
        <v>631</v>
      </c>
    </row>
    <row r="28" spans="1:8">
      <c r="A28">
        <v>26</v>
      </c>
      <c r="B28" t="s">
        <v>673</v>
      </c>
      <c r="C28">
        <v>1000</v>
      </c>
      <c r="D28">
        <v>15000</v>
      </c>
      <c r="E28">
        <v>2020</v>
      </c>
      <c r="F28" t="s">
        <v>667</v>
      </c>
      <c r="G28" t="s">
        <v>641</v>
      </c>
      <c r="H28" t="s">
        <v>631</v>
      </c>
    </row>
    <row r="29" spans="1:8">
      <c r="A29">
        <v>27</v>
      </c>
      <c r="B29" t="s">
        <v>674</v>
      </c>
      <c r="C29">
        <v>1000</v>
      </c>
      <c r="D29">
        <v>6000</v>
      </c>
      <c r="E29">
        <v>2022</v>
      </c>
      <c r="F29" t="s">
        <v>642</v>
      </c>
      <c r="G29" t="s">
        <v>675</v>
      </c>
      <c r="H29" t="s">
        <v>631</v>
      </c>
    </row>
    <row r="30" spans="1:8">
      <c r="A30">
        <v>28</v>
      </c>
      <c r="B30" t="s">
        <v>676</v>
      </c>
      <c r="C30">
        <v>1000</v>
      </c>
      <c r="D30">
        <v>8000</v>
      </c>
      <c r="E30">
        <v>2019</v>
      </c>
      <c r="F30" t="s">
        <v>664</v>
      </c>
      <c r="G30" t="s">
        <v>633</v>
      </c>
      <c r="H30" t="s">
        <v>631</v>
      </c>
    </row>
    <row r="31" spans="1:8">
      <c r="A31">
        <v>29</v>
      </c>
      <c r="B31" t="s">
        <v>677</v>
      </c>
      <c r="C31">
        <v>1000</v>
      </c>
      <c r="D31">
        <v>14166</v>
      </c>
      <c r="E31">
        <v>2019</v>
      </c>
      <c r="F31" t="s">
        <v>634</v>
      </c>
      <c r="G31" t="s">
        <v>634</v>
      </c>
      <c r="H31" t="s">
        <v>631</v>
      </c>
    </row>
    <row r="32" spans="1:8">
      <c r="A32">
        <v>30</v>
      </c>
      <c r="B32" t="s">
        <v>678</v>
      </c>
      <c r="C32">
        <v>500</v>
      </c>
      <c r="D32">
        <v>12000</v>
      </c>
      <c r="E32">
        <v>1990</v>
      </c>
      <c r="F32" t="s">
        <v>650</v>
      </c>
      <c r="G32" t="s">
        <v>657</v>
      </c>
      <c r="H32" t="s">
        <v>679</v>
      </c>
    </row>
    <row r="33" spans="1:8">
      <c r="A33">
        <v>31</v>
      </c>
      <c r="B33" t="s">
        <v>680</v>
      </c>
      <c r="C33">
        <v>500</v>
      </c>
      <c r="D33">
        <v>3000</v>
      </c>
      <c r="E33">
        <v>2001</v>
      </c>
      <c r="F33" t="s">
        <v>681</v>
      </c>
      <c r="G33" t="s">
        <v>641</v>
      </c>
      <c r="H33" t="s">
        <v>679</v>
      </c>
    </row>
    <row r="34" spans="1:8">
      <c r="A34">
        <v>32</v>
      </c>
      <c r="B34" t="s">
        <v>682</v>
      </c>
      <c r="C34">
        <v>500</v>
      </c>
      <c r="D34">
        <v>1800</v>
      </c>
      <c r="E34">
        <v>2001</v>
      </c>
      <c r="F34" t="s">
        <v>646</v>
      </c>
      <c r="G34" t="s">
        <v>630</v>
      </c>
      <c r="H34" t="s">
        <v>679</v>
      </c>
    </row>
    <row r="35" spans="1:8">
      <c r="A35">
        <v>33</v>
      </c>
      <c r="B35" t="s">
        <v>683</v>
      </c>
      <c r="C35">
        <v>330</v>
      </c>
      <c r="D35">
        <v>1110</v>
      </c>
      <c r="E35">
        <v>2002</v>
      </c>
      <c r="F35" t="s">
        <v>644</v>
      </c>
      <c r="G35" t="s">
        <v>642</v>
      </c>
      <c r="H35" t="s">
        <v>679</v>
      </c>
    </row>
    <row r="36" spans="1:8">
      <c r="A36">
        <v>34</v>
      </c>
      <c r="B36" t="s">
        <v>684</v>
      </c>
      <c r="C36">
        <v>500</v>
      </c>
      <c r="D36">
        <v>3000</v>
      </c>
      <c r="E36">
        <v>2002</v>
      </c>
      <c r="F36" t="s">
        <v>650</v>
      </c>
      <c r="G36" t="s">
        <v>634</v>
      </c>
      <c r="H36" t="s">
        <v>679</v>
      </c>
    </row>
    <row r="37" spans="1:8">
      <c r="A37">
        <v>35</v>
      </c>
      <c r="B37" t="s">
        <v>685</v>
      </c>
      <c r="C37">
        <v>500</v>
      </c>
      <c r="D37">
        <v>3000</v>
      </c>
      <c r="E37">
        <v>2004</v>
      </c>
      <c r="F37" t="s">
        <v>637</v>
      </c>
      <c r="G37" t="s">
        <v>630</v>
      </c>
      <c r="H37" t="s">
        <v>679</v>
      </c>
    </row>
    <row r="38" spans="1:8">
      <c r="A38">
        <v>36</v>
      </c>
      <c r="B38" t="s">
        <v>686</v>
      </c>
      <c r="C38">
        <v>500</v>
      </c>
      <c r="D38">
        <v>3000</v>
      </c>
      <c r="E38">
        <v>2004</v>
      </c>
      <c r="F38" t="s">
        <v>650</v>
      </c>
      <c r="G38" t="s">
        <v>630</v>
      </c>
      <c r="H38" t="s">
        <v>679</v>
      </c>
    </row>
    <row r="39" spans="1:8">
      <c r="A39">
        <v>37</v>
      </c>
      <c r="B39" t="s">
        <v>687</v>
      </c>
      <c r="C39">
        <v>500</v>
      </c>
      <c r="D39">
        <v>3000</v>
      </c>
      <c r="E39">
        <v>2006</v>
      </c>
      <c r="F39" t="s">
        <v>650</v>
      </c>
      <c r="G39" t="s">
        <v>657</v>
      </c>
      <c r="H39" t="s">
        <v>679</v>
      </c>
    </row>
    <row r="40" spans="1:8">
      <c r="A40">
        <v>38</v>
      </c>
      <c r="B40" t="s">
        <v>688</v>
      </c>
      <c r="C40">
        <v>500</v>
      </c>
      <c r="D40">
        <v>3000</v>
      </c>
      <c r="E40">
        <v>2007</v>
      </c>
      <c r="F40" t="s">
        <v>637</v>
      </c>
      <c r="G40" t="s">
        <v>630</v>
      </c>
      <c r="H40" t="s">
        <v>679</v>
      </c>
    </row>
    <row r="41" spans="1:8">
      <c r="A41">
        <v>39</v>
      </c>
      <c r="B41" t="s">
        <v>689</v>
      </c>
      <c r="C41">
        <v>500</v>
      </c>
      <c r="D41">
        <v>600</v>
      </c>
      <c r="E41">
        <v>2009</v>
      </c>
      <c r="F41" t="s">
        <v>630</v>
      </c>
      <c r="G41" t="s">
        <v>690</v>
      </c>
      <c r="H41" t="s">
        <v>679</v>
      </c>
    </row>
    <row r="42" spans="1:8">
      <c r="A42">
        <v>40</v>
      </c>
      <c r="B42" t="s">
        <v>691</v>
      </c>
      <c r="C42">
        <v>500</v>
      </c>
      <c r="D42">
        <v>3000</v>
      </c>
      <c r="E42">
        <v>2009</v>
      </c>
      <c r="F42" t="s">
        <v>692</v>
      </c>
      <c r="G42" t="s">
        <v>644</v>
      </c>
      <c r="H42" t="s">
        <v>679</v>
      </c>
    </row>
    <row r="43" spans="1:8">
      <c r="A43">
        <v>41</v>
      </c>
      <c r="B43" t="s">
        <v>693</v>
      </c>
      <c r="C43">
        <v>800</v>
      </c>
      <c r="D43">
        <v>10000</v>
      </c>
      <c r="E43">
        <v>2010</v>
      </c>
      <c r="F43" t="s">
        <v>646</v>
      </c>
      <c r="G43" t="s">
        <v>630</v>
      </c>
      <c r="H43" t="s">
        <v>679</v>
      </c>
    </row>
    <row r="44" spans="1:8">
      <c r="A44">
        <v>42</v>
      </c>
      <c r="B44" t="s">
        <v>694</v>
      </c>
      <c r="C44">
        <v>800</v>
      </c>
      <c r="D44">
        <v>12800</v>
      </c>
      <c r="E44">
        <v>2010</v>
      </c>
      <c r="F44" t="s">
        <v>646</v>
      </c>
      <c r="G44" t="s">
        <v>657</v>
      </c>
      <c r="H44" t="s">
        <v>679</v>
      </c>
    </row>
    <row r="45" spans="1:8">
      <c r="A45">
        <v>43</v>
      </c>
      <c r="B45" t="s">
        <v>695</v>
      </c>
      <c r="C45">
        <v>500</v>
      </c>
      <c r="D45">
        <v>3000</v>
      </c>
      <c r="E45">
        <v>2010</v>
      </c>
      <c r="F45" t="s">
        <v>664</v>
      </c>
      <c r="G45" t="s">
        <v>681</v>
      </c>
      <c r="H45" t="s">
        <v>679</v>
      </c>
    </row>
    <row r="46" spans="1:8">
      <c r="A46">
        <v>44</v>
      </c>
      <c r="B46" t="s">
        <v>336</v>
      </c>
      <c r="C46">
        <v>660</v>
      </c>
      <c r="D46">
        <v>4000</v>
      </c>
      <c r="E46">
        <v>2011</v>
      </c>
      <c r="F46" t="s">
        <v>696</v>
      </c>
      <c r="G46" t="s">
        <v>667</v>
      </c>
      <c r="H46" t="s">
        <v>679</v>
      </c>
    </row>
    <row r="47" spans="1:8">
      <c r="A47">
        <v>45</v>
      </c>
      <c r="B47" t="s">
        <v>697</v>
      </c>
      <c r="C47">
        <v>660</v>
      </c>
      <c r="D47">
        <v>4000</v>
      </c>
      <c r="E47">
        <v>2011</v>
      </c>
      <c r="F47" t="s">
        <v>696</v>
      </c>
      <c r="G47" t="s">
        <v>667</v>
      </c>
      <c r="H47" t="s">
        <v>679</v>
      </c>
    </row>
    <row r="48" spans="1:8">
      <c r="A48">
        <v>46</v>
      </c>
      <c r="B48" t="s">
        <v>687</v>
      </c>
      <c r="C48">
        <v>500</v>
      </c>
      <c r="D48">
        <v>3000</v>
      </c>
      <c r="E48">
        <v>2011</v>
      </c>
      <c r="F48" t="s">
        <v>650</v>
      </c>
      <c r="G48" t="s">
        <v>657</v>
      </c>
      <c r="H48" t="s">
        <v>679</v>
      </c>
    </row>
    <row r="49" spans="1:8">
      <c r="A49">
        <v>47</v>
      </c>
      <c r="B49" t="s">
        <v>698</v>
      </c>
      <c r="C49">
        <v>400</v>
      </c>
      <c r="D49">
        <v>600</v>
      </c>
      <c r="E49">
        <v>2011</v>
      </c>
      <c r="F49" t="s">
        <v>654</v>
      </c>
      <c r="G49" t="s">
        <v>699</v>
      </c>
      <c r="H49" t="s">
        <v>679</v>
      </c>
    </row>
    <row r="50" spans="1:8">
      <c r="A50">
        <v>48</v>
      </c>
      <c r="B50" t="s">
        <v>700</v>
      </c>
      <c r="C50">
        <v>800</v>
      </c>
      <c r="D50">
        <v>14400</v>
      </c>
      <c r="E50">
        <v>2012</v>
      </c>
      <c r="F50" t="s">
        <v>692</v>
      </c>
      <c r="G50" t="s">
        <v>634</v>
      </c>
      <c r="H50" t="s">
        <v>679</v>
      </c>
    </row>
    <row r="51" spans="1:8">
      <c r="A51">
        <v>49</v>
      </c>
      <c r="B51" t="s">
        <v>701</v>
      </c>
      <c r="C51">
        <v>800</v>
      </c>
      <c r="D51">
        <v>10000</v>
      </c>
      <c r="E51">
        <v>2013</v>
      </c>
      <c r="F51" t="s">
        <v>646</v>
      </c>
      <c r="G51" t="s">
        <v>630</v>
      </c>
      <c r="H51" t="s">
        <v>679</v>
      </c>
    </row>
    <row r="52" spans="1:8">
      <c r="A52">
        <v>50</v>
      </c>
      <c r="B52" t="s">
        <v>702</v>
      </c>
      <c r="C52">
        <v>800</v>
      </c>
      <c r="D52">
        <v>16000</v>
      </c>
      <c r="E52">
        <v>2014</v>
      </c>
      <c r="F52" t="s">
        <v>653</v>
      </c>
      <c r="G52" t="s">
        <v>642</v>
      </c>
      <c r="H52" t="s">
        <v>679</v>
      </c>
    </row>
    <row r="53" spans="1:8">
      <c r="A53">
        <v>51</v>
      </c>
      <c r="B53" t="s">
        <v>703</v>
      </c>
      <c r="C53">
        <v>500</v>
      </c>
      <c r="D53">
        <v>3200</v>
      </c>
      <c r="E53">
        <v>2014</v>
      </c>
      <c r="F53" t="s">
        <v>646</v>
      </c>
      <c r="G53" t="s">
        <v>630</v>
      </c>
      <c r="H53" t="s">
        <v>679</v>
      </c>
    </row>
    <row r="54" spans="1:8">
      <c r="A54">
        <v>52</v>
      </c>
      <c r="B54" t="s">
        <v>704</v>
      </c>
      <c r="C54">
        <v>500</v>
      </c>
      <c r="D54">
        <v>3200</v>
      </c>
      <c r="E54">
        <v>2014</v>
      </c>
      <c r="F54" t="s">
        <v>646</v>
      </c>
      <c r="G54" t="s">
        <v>630</v>
      </c>
      <c r="H54" t="s">
        <v>679</v>
      </c>
    </row>
    <row r="55" spans="1:8">
      <c r="A55">
        <v>53</v>
      </c>
      <c r="B55" t="s">
        <v>705</v>
      </c>
      <c r="C55">
        <v>800</v>
      </c>
      <c r="D55">
        <v>16000</v>
      </c>
      <c r="E55">
        <v>2014</v>
      </c>
      <c r="F55" t="s">
        <v>646</v>
      </c>
      <c r="G55" t="s">
        <v>659</v>
      </c>
      <c r="H55" t="s">
        <v>679</v>
      </c>
    </row>
    <row r="56" spans="1:8">
      <c r="A56">
        <v>54</v>
      </c>
      <c r="B56" t="s">
        <v>706</v>
      </c>
      <c r="C56">
        <v>500</v>
      </c>
      <c r="D56">
        <v>3200</v>
      </c>
      <c r="E56">
        <v>2016</v>
      </c>
      <c r="F56" t="s">
        <v>646</v>
      </c>
      <c r="G56" t="s">
        <v>629</v>
      </c>
      <c r="H56" t="s">
        <v>679</v>
      </c>
    </row>
    <row r="57" spans="1:8">
      <c r="A57">
        <v>55</v>
      </c>
      <c r="B57" t="s">
        <v>707</v>
      </c>
      <c r="C57">
        <v>500</v>
      </c>
      <c r="D57">
        <v>3000</v>
      </c>
      <c r="E57">
        <v>2016</v>
      </c>
      <c r="F57" t="s">
        <v>646</v>
      </c>
      <c r="G57" t="s">
        <v>629</v>
      </c>
      <c r="H57" t="s">
        <v>679</v>
      </c>
    </row>
    <row r="58" spans="1:8">
      <c r="A58">
        <v>56</v>
      </c>
      <c r="B58" t="s">
        <v>708</v>
      </c>
      <c r="C58">
        <v>800</v>
      </c>
      <c r="D58">
        <v>16000</v>
      </c>
      <c r="E58">
        <v>2016</v>
      </c>
      <c r="F58" t="s">
        <v>696</v>
      </c>
      <c r="G58" t="s">
        <v>659</v>
      </c>
      <c r="H58" t="s">
        <v>679</v>
      </c>
    </row>
    <row r="59" spans="1:8">
      <c r="A59">
        <v>57</v>
      </c>
      <c r="B59" t="s">
        <v>709</v>
      </c>
      <c r="C59">
        <v>800</v>
      </c>
      <c r="D59">
        <v>16000</v>
      </c>
      <c r="E59">
        <v>2017</v>
      </c>
      <c r="F59" t="s">
        <v>633</v>
      </c>
      <c r="G59" t="s">
        <v>634</v>
      </c>
      <c r="H59" t="s">
        <v>679</v>
      </c>
    </row>
    <row r="60" spans="1:8">
      <c r="A60">
        <v>58</v>
      </c>
      <c r="B60" t="s">
        <v>710</v>
      </c>
      <c r="C60">
        <v>800</v>
      </c>
      <c r="D60">
        <v>16000</v>
      </c>
      <c r="E60">
        <v>2017</v>
      </c>
      <c r="F60" t="s">
        <v>711</v>
      </c>
      <c r="G60" t="s">
        <v>675</v>
      </c>
      <c r="H60" t="s">
        <v>679</v>
      </c>
    </row>
    <row r="61" spans="1:8">
      <c r="A61">
        <v>59</v>
      </c>
      <c r="B61" t="s">
        <v>712</v>
      </c>
      <c r="C61">
        <v>800</v>
      </c>
      <c r="D61">
        <v>20000</v>
      </c>
      <c r="E61">
        <v>2017</v>
      </c>
      <c r="F61" t="s">
        <v>664</v>
      </c>
      <c r="G61" t="s">
        <v>634</v>
      </c>
      <c r="H61" t="s">
        <v>679</v>
      </c>
    </row>
    <row r="62" spans="1:8">
      <c r="A62">
        <v>60</v>
      </c>
      <c r="B62" t="s">
        <v>713</v>
      </c>
      <c r="C62">
        <v>800</v>
      </c>
      <c r="D62">
        <v>20000</v>
      </c>
      <c r="E62">
        <v>2017</v>
      </c>
      <c r="F62" t="s">
        <v>664</v>
      </c>
      <c r="G62" t="s">
        <v>667</v>
      </c>
      <c r="H62" t="s">
        <v>679</v>
      </c>
    </row>
    <row r="63" spans="1:8">
      <c r="A63">
        <v>61</v>
      </c>
      <c r="B63" t="s">
        <v>714</v>
      </c>
      <c r="C63">
        <v>800</v>
      </c>
      <c r="D63">
        <v>20000</v>
      </c>
      <c r="E63">
        <v>2017</v>
      </c>
      <c r="F63" t="s">
        <v>664</v>
      </c>
      <c r="G63" t="s">
        <v>667</v>
      </c>
      <c r="H63" t="s">
        <v>679</v>
      </c>
    </row>
    <row r="64" spans="1:8">
      <c r="A64">
        <v>62</v>
      </c>
      <c r="B64" t="s">
        <v>715</v>
      </c>
      <c r="C64">
        <v>800</v>
      </c>
      <c r="D64">
        <v>10000</v>
      </c>
      <c r="E64">
        <v>2018</v>
      </c>
      <c r="F64" t="s">
        <v>646</v>
      </c>
      <c r="G64" t="s">
        <v>630</v>
      </c>
      <c r="H64" t="s">
        <v>679</v>
      </c>
    </row>
    <row r="65" spans="1:8">
      <c r="A65">
        <v>63</v>
      </c>
      <c r="B65" t="s">
        <v>716</v>
      </c>
      <c r="C65">
        <v>420</v>
      </c>
      <c r="D65">
        <v>2500</v>
      </c>
      <c r="E65">
        <v>2019</v>
      </c>
      <c r="F65" t="s">
        <v>717</v>
      </c>
      <c r="G65" t="s">
        <v>650</v>
      </c>
      <c r="H65" t="s">
        <v>679</v>
      </c>
    </row>
    <row r="66" spans="1:8">
      <c r="A66">
        <v>64</v>
      </c>
      <c r="B66" t="s">
        <v>718</v>
      </c>
      <c r="C66">
        <v>420</v>
      </c>
      <c r="D66">
        <v>2500</v>
      </c>
      <c r="E66">
        <v>2019</v>
      </c>
      <c r="F66" t="s">
        <v>717</v>
      </c>
      <c r="G66" t="s">
        <v>650</v>
      </c>
      <c r="H66" t="s">
        <v>679</v>
      </c>
    </row>
    <row r="67" spans="1:8">
      <c r="A67">
        <v>65</v>
      </c>
      <c r="B67" t="s">
        <v>719</v>
      </c>
      <c r="C67">
        <v>500</v>
      </c>
      <c r="D67">
        <v>600</v>
      </c>
      <c r="E67">
        <v>2019</v>
      </c>
      <c r="F67" t="s">
        <v>630</v>
      </c>
      <c r="G67" t="s">
        <v>690</v>
      </c>
      <c r="H67" t="s">
        <v>679</v>
      </c>
    </row>
    <row r="68" spans="1:8">
      <c r="A68">
        <v>66</v>
      </c>
      <c r="B68" t="s">
        <v>720</v>
      </c>
      <c r="C68">
        <v>1100</v>
      </c>
      <c r="D68">
        <v>12000</v>
      </c>
      <c r="E68">
        <v>2019</v>
      </c>
      <c r="F68" t="s">
        <v>653</v>
      </c>
      <c r="G68" t="s">
        <v>656</v>
      </c>
      <c r="H68" t="s">
        <v>679</v>
      </c>
    </row>
    <row r="69" spans="1:8">
      <c r="A69">
        <v>67</v>
      </c>
      <c r="B69" t="s">
        <v>721</v>
      </c>
      <c r="C69">
        <v>800</v>
      </c>
      <c r="D69">
        <v>8000</v>
      </c>
      <c r="E69">
        <v>2019</v>
      </c>
      <c r="F69" t="s">
        <v>692</v>
      </c>
      <c r="G69" t="s">
        <v>722</v>
      </c>
      <c r="H69" t="s">
        <v>679</v>
      </c>
    </row>
    <row r="70" spans="1:8">
      <c r="A70">
        <v>68</v>
      </c>
      <c r="B70" t="s">
        <v>723</v>
      </c>
      <c r="C70">
        <v>800</v>
      </c>
      <c r="D70">
        <v>8000</v>
      </c>
      <c r="E70">
        <v>2020</v>
      </c>
      <c r="F70" t="s">
        <v>644</v>
      </c>
      <c r="G70" t="s">
        <v>650</v>
      </c>
      <c r="H70" t="s">
        <v>679</v>
      </c>
    </row>
    <row r="71" spans="1:8">
      <c r="A71">
        <v>69</v>
      </c>
      <c r="B71" t="s">
        <v>724</v>
      </c>
      <c r="C71">
        <v>500</v>
      </c>
      <c r="D71">
        <v>3000</v>
      </c>
      <c r="E71">
        <v>2020</v>
      </c>
      <c r="F71" t="s">
        <v>646</v>
      </c>
      <c r="G71" t="s">
        <v>630</v>
      </c>
      <c r="H71" t="s">
        <v>679</v>
      </c>
    </row>
    <row r="72" spans="1:8">
      <c r="A72">
        <v>70</v>
      </c>
      <c r="B72" t="s">
        <v>725</v>
      </c>
      <c r="C72">
        <v>800</v>
      </c>
      <c r="D72">
        <v>16000</v>
      </c>
      <c r="E72">
        <v>2020</v>
      </c>
      <c r="F72" t="s">
        <v>646</v>
      </c>
      <c r="G72" t="s">
        <v>630</v>
      </c>
      <c r="H72" t="s">
        <v>679</v>
      </c>
    </row>
    <row r="73" spans="1:8">
      <c r="A73">
        <v>71</v>
      </c>
      <c r="B73" t="s">
        <v>726</v>
      </c>
      <c r="C73">
        <v>800</v>
      </c>
      <c r="D73">
        <v>8000</v>
      </c>
      <c r="E73">
        <v>2020</v>
      </c>
      <c r="F73" t="s">
        <v>654</v>
      </c>
      <c r="G73" t="s">
        <v>642</v>
      </c>
      <c r="H73" t="s">
        <v>679</v>
      </c>
    </row>
    <row r="74" spans="1:8">
      <c r="A74">
        <v>72</v>
      </c>
      <c r="B74" t="s">
        <v>727</v>
      </c>
      <c r="C74">
        <v>800</v>
      </c>
      <c r="D74">
        <v>8000</v>
      </c>
      <c r="E74">
        <v>2022</v>
      </c>
      <c r="F74" t="s">
        <v>692</v>
      </c>
      <c r="G74" t="s">
        <v>634</v>
      </c>
      <c r="H74" t="s">
        <v>679</v>
      </c>
    </row>
    <row r="75" spans="1:8">
      <c r="A75">
        <v>73</v>
      </c>
      <c r="B75" t="s">
        <v>728</v>
      </c>
      <c r="C75">
        <v>800</v>
      </c>
      <c r="D75">
        <v>8000</v>
      </c>
      <c r="E75">
        <v>2022</v>
      </c>
      <c r="F75" t="s">
        <v>646</v>
      </c>
      <c r="G75" t="s">
        <v>659</v>
      </c>
      <c r="H75" t="s">
        <v>679</v>
      </c>
    </row>
    <row r="76" spans="1:8">
      <c r="A76">
        <v>74</v>
      </c>
      <c r="B76" t="s">
        <v>729</v>
      </c>
      <c r="C76">
        <v>500</v>
      </c>
      <c r="D76">
        <v>2000</v>
      </c>
      <c r="E76">
        <v>2022</v>
      </c>
      <c r="F76" t="s">
        <v>630</v>
      </c>
      <c r="G76" t="s">
        <v>660</v>
      </c>
      <c r="H76" t="s">
        <v>679</v>
      </c>
    </row>
    <row r="77" spans="1:8">
      <c r="A77">
        <v>75</v>
      </c>
      <c r="B77" t="s">
        <v>730</v>
      </c>
      <c r="C77">
        <v>800</v>
      </c>
      <c r="D77">
        <v>8000</v>
      </c>
      <c r="E77">
        <v>2023</v>
      </c>
      <c r="F77" t="s">
        <v>653</v>
      </c>
      <c r="G77" t="s">
        <v>717</v>
      </c>
      <c r="H77" t="s">
        <v>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ABA9-71C0-419F-B773-470ECEA36FFE}">
  <dimension ref="A1:AA18"/>
  <sheetViews>
    <sheetView workbookViewId="0">
      <selection activeCell="D19" sqref="D19"/>
    </sheetView>
  </sheetViews>
  <sheetFormatPr defaultRowHeight="13.2"/>
  <cols>
    <col min="1" max="1" width="4.77734375" bestFit="1" customWidth="1"/>
    <col min="2" max="2" width="36.88671875" bestFit="1" customWidth="1"/>
    <col min="3" max="3" width="24" bestFit="1" customWidth="1"/>
    <col min="4" max="4" width="9" bestFit="1" customWidth="1"/>
    <col min="5" max="5" width="8.5546875" bestFit="1" customWidth="1"/>
    <col min="6" max="7" width="10.77734375" bestFit="1" customWidth="1"/>
    <col min="8" max="8" width="8.5546875" bestFit="1" customWidth="1"/>
    <col min="9" max="9" width="57.77734375" bestFit="1" customWidth="1"/>
    <col min="10" max="10" width="28.44140625" bestFit="1" customWidth="1"/>
    <col min="11" max="11" width="12.33203125" bestFit="1" customWidth="1"/>
    <col min="12" max="12" width="18.21875" bestFit="1" customWidth="1"/>
    <col min="13" max="14" width="12.33203125" bestFit="1" customWidth="1"/>
  </cols>
  <sheetData>
    <row r="1" spans="1:27" s="62" customFormat="1" ht="36">
      <c r="A1" s="28" t="s">
        <v>245</v>
      </c>
      <c r="B1" s="28" t="s">
        <v>246</v>
      </c>
      <c r="C1" s="28" t="s">
        <v>247</v>
      </c>
      <c r="D1" s="28" t="s">
        <v>248</v>
      </c>
      <c r="E1" s="28" t="s">
        <v>264</v>
      </c>
      <c r="F1" s="28" t="s">
        <v>249</v>
      </c>
      <c r="G1" s="28" t="s">
        <v>250</v>
      </c>
      <c r="H1" s="28" t="s">
        <v>261</v>
      </c>
      <c r="I1" s="30" t="s">
        <v>513</v>
      </c>
      <c r="J1" s="30"/>
      <c r="K1" s="30" t="s">
        <v>514</v>
      </c>
      <c r="L1" s="30" t="s">
        <v>515</v>
      </c>
      <c r="M1" s="30" t="s">
        <v>99</v>
      </c>
      <c r="N1" s="30" t="s">
        <v>516</v>
      </c>
    </row>
    <row r="2" spans="1:27" s="62" customFormat="1" ht="12">
      <c r="A2" s="30">
        <v>21</v>
      </c>
      <c r="B2" s="28" t="s">
        <v>278</v>
      </c>
      <c r="C2" s="30" t="s">
        <v>279</v>
      </c>
      <c r="D2" s="30">
        <v>1000</v>
      </c>
      <c r="E2" s="30">
        <v>2400</v>
      </c>
      <c r="F2" s="30" t="s">
        <v>320</v>
      </c>
      <c r="G2" s="34">
        <v>42675</v>
      </c>
      <c r="H2" s="30" t="s">
        <v>312</v>
      </c>
      <c r="I2" s="30" t="s">
        <v>77</v>
      </c>
      <c r="J2" s="30" t="s">
        <v>44</v>
      </c>
      <c r="K2" s="30" t="s">
        <v>62</v>
      </c>
      <c r="L2" s="38" t="s">
        <v>602</v>
      </c>
      <c r="M2" s="30" t="s">
        <v>97</v>
      </c>
      <c r="N2" s="38" t="s">
        <v>601</v>
      </c>
    </row>
    <row r="3" spans="1:27" s="62" customFormat="1" ht="12">
      <c r="A3" s="30">
        <v>22</v>
      </c>
      <c r="B3" s="28" t="s">
        <v>274</v>
      </c>
      <c r="C3" s="30" t="s">
        <v>275</v>
      </c>
      <c r="D3" s="30">
        <v>1000</v>
      </c>
      <c r="E3" s="30">
        <v>1500</v>
      </c>
      <c r="F3" s="30" t="s">
        <v>319</v>
      </c>
      <c r="G3" s="34">
        <v>42552</v>
      </c>
      <c r="H3" s="30" t="s">
        <v>312</v>
      </c>
      <c r="I3" s="30" t="s">
        <v>76</v>
      </c>
      <c r="J3" s="30" t="s">
        <v>100</v>
      </c>
      <c r="K3" s="30" t="s">
        <v>62</v>
      </c>
      <c r="L3" s="30" t="s">
        <v>63</v>
      </c>
      <c r="M3" s="40" t="s">
        <v>61</v>
      </c>
      <c r="N3" s="30" t="s">
        <v>64</v>
      </c>
    </row>
    <row r="4" spans="1:27" s="62" customFormat="1" ht="12">
      <c r="A4" s="30">
        <v>23</v>
      </c>
      <c r="B4" s="28" t="s">
        <v>284</v>
      </c>
      <c r="C4" s="30" t="s">
        <v>285</v>
      </c>
      <c r="D4" s="30">
        <v>1000</v>
      </c>
      <c r="E4" s="30">
        <v>600</v>
      </c>
      <c r="F4" s="30" t="s">
        <v>324</v>
      </c>
      <c r="G4" s="34">
        <v>42917</v>
      </c>
      <c r="H4" s="30" t="s">
        <v>312</v>
      </c>
      <c r="I4" s="39" t="s">
        <v>605</v>
      </c>
      <c r="J4" s="30" t="s">
        <v>102</v>
      </c>
      <c r="K4" s="30" t="s">
        <v>62</v>
      </c>
      <c r="L4" s="38" t="s">
        <v>603</v>
      </c>
      <c r="M4" s="30" t="s">
        <v>62</v>
      </c>
      <c r="N4" s="38" t="s">
        <v>604</v>
      </c>
    </row>
    <row r="5" spans="1:27" s="62" customFormat="1" ht="12">
      <c r="A5" s="30">
        <v>31</v>
      </c>
      <c r="B5" s="28" t="s">
        <v>289</v>
      </c>
      <c r="C5" s="30" t="s">
        <v>290</v>
      </c>
      <c r="D5" s="30">
        <v>1000</v>
      </c>
      <c r="E5" s="30">
        <v>800</v>
      </c>
      <c r="F5" s="30" t="s">
        <v>328</v>
      </c>
      <c r="G5" s="34">
        <v>43466</v>
      </c>
      <c r="H5" s="30" t="s">
        <v>312</v>
      </c>
      <c r="I5" s="30" t="s">
        <v>755</v>
      </c>
      <c r="J5" s="30" t="s">
        <v>31</v>
      </c>
      <c r="K5" s="30" t="s">
        <v>62</v>
      </c>
      <c r="L5" s="33" t="s">
        <v>614</v>
      </c>
      <c r="M5" s="30" t="s">
        <v>65</v>
      </c>
      <c r="N5" s="33" t="s">
        <v>615</v>
      </c>
    </row>
    <row r="8" spans="1:27" s="33" customFormat="1" ht="36.6">
      <c r="A8" s="28" t="s">
        <v>245</v>
      </c>
      <c r="B8" s="29" t="s">
        <v>246</v>
      </c>
      <c r="C8" s="30" t="s">
        <v>433</v>
      </c>
      <c r="D8" s="31" t="s">
        <v>442</v>
      </c>
      <c r="E8" s="32" t="s">
        <v>98</v>
      </c>
      <c r="F8" s="30" t="s">
        <v>434</v>
      </c>
      <c r="G8" s="30" t="s">
        <v>99</v>
      </c>
      <c r="H8" s="30" t="s">
        <v>435</v>
      </c>
      <c r="I8" s="28" t="s">
        <v>436</v>
      </c>
      <c r="J8" s="28" t="s">
        <v>437</v>
      </c>
      <c r="K8" s="28" t="s">
        <v>439</v>
      </c>
      <c r="L8" s="28" t="s">
        <v>440</v>
      </c>
      <c r="M8" s="28" t="s">
        <v>441</v>
      </c>
      <c r="N8" s="28" t="s">
        <v>438</v>
      </c>
      <c r="O8" s="28" t="s">
        <v>249</v>
      </c>
      <c r="P8" s="28" t="s">
        <v>250</v>
      </c>
      <c r="Q8" s="28" t="s">
        <v>261</v>
      </c>
      <c r="R8" s="31" t="s">
        <v>443</v>
      </c>
    </row>
    <row r="9" spans="1:27" s="33" customFormat="1" ht="12.6" thickBot="1">
      <c r="A9" s="30">
        <v>14</v>
      </c>
      <c r="B9" s="29" t="s">
        <v>293</v>
      </c>
      <c r="C9" s="30"/>
      <c r="D9" s="31"/>
      <c r="E9" s="32" t="s">
        <v>62</v>
      </c>
      <c r="F9" s="30" t="s">
        <v>591</v>
      </c>
      <c r="G9" s="39" t="s">
        <v>352</v>
      </c>
      <c r="H9" s="38" t="s">
        <v>590</v>
      </c>
      <c r="I9" s="30">
        <v>908</v>
      </c>
      <c r="J9" s="30" t="s">
        <v>281</v>
      </c>
      <c r="K9" s="30"/>
      <c r="L9" s="30"/>
      <c r="M9" s="30"/>
      <c r="N9" s="30">
        <v>300</v>
      </c>
      <c r="O9" s="30"/>
      <c r="P9" s="34">
        <v>40422</v>
      </c>
      <c r="Q9" s="30" t="s">
        <v>263</v>
      </c>
      <c r="R9" s="35" t="s">
        <v>356</v>
      </c>
    </row>
    <row r="10" spans="1:27" s="33" customFormat="1" ht="24.6" thickBot="1">
      <c r="A10" s="30">
        <v>30</v>
      </c>
      <c r="B10" s="29" t="s">
        <v>305</v>
      </c>
      <c r="C10" s="30" t="s">
        <v>23</v>
      </c>
      <c r="D10" s="30" t="s">
        <v>41</v>
      </c>
      <c r="E10" s="32" t="s">
        <v>62</v>
      </c>
      <c r="F10" s="32" t="s">
        <v>559</v>
      </c>
      <c r="G10" s="30" t="s">
        <v>82</v>
      </c>
      <c r="H10" s="32" t="s">
        <v>560</v>
      </c>
      <c r="I10" s="30">
        <v>1620</v>
      </c>
      <c r="J10" s="30" t="s">
        <v>0</v>
      </c>
      <c r="K10" s="30"/>
      <c r="L10" s="30">
        <v>10</v>
      </c>
      <c r="M10" s="30"/>
      <c r="N10" s="30">
        <v>2000</v>
      </c>
      <c r="O10" s="30" t="s">
        <v>343</v>
      </c>
      <c r="P10" s="34">
        <v>43009</v>
      </c>
      <c r="Q10" s="30" t="s">
        <v>263</v>
      </c>
      <c r="R10" s="31"/>
      <c r="W10" s="44" t="s">
        <v>58</v>
      </c>
      <c r="X10" s="45" t="s">
        <v>0</v>
      </c>
      <c r="Y10" s="47">
        <v>1720</v>
      </c>
      <c r="AA10" s="45" t="s">
        <v>7</v>
      </c>
    </row>
    <row r="11" spans="1:27" s="33" customFormat="1" ht="12.6" thickBot="1">
      <c r="A11" s="30">
        <v>31</v>
      </c>
      <c r="B11" s="48" t="s">
        <v>561</v>
      </c>
      <c r="C11" s="30" t="s">
        <v>26</v>
      </c>
      <c r="D11" s="30" t="s">
        <v>27</v>
      </c>
      <c r="E11" s="38" t="s">
        <v>562</v>
      </c>
      <c r="F11" s="30" t="s">
        <v>72</v>
      </c>
      <c r="G11" s="40" t="s">
        <v>61</v>
      </c>
      <c r="H11" s="30" t="s">
        <v>73</v>
      </c>
      <c r="I11" s="30">
        <v>1238</v>
      </c>
      <c r="J11" s="30" t="s">
        <v>0</v>
      </c>
      <c r="K11" s="30"/>
      <c r="L11" s="30">
        <v>10</v>
      </c>
      <c r="M11" s="30"/>
      <c r="N11" s="30">
        <v>2000</v>
      </c>
      <c r="O11" s="30" t="s">
        <v>343</v>
      </c>
      <c r="P11" s="34">
        <v>43070</v>
      </c>
      <c r="Q11" s="30" t="s">
        <v>263</v>
      </c>
      <c r="R11" s="31"/>
      <c r="W11" s="44" t="s">
        <v>58</v>
      </c>
      <c r="X11" s="45" t="s">
        <v>0</v>
      </c>
      <c r="Y11" s="47">
        <v>2383</v>
      </c>
      <c r="AA11" s="49" t="s">
        <v>8</v>
      </c>
    </row>
    <row r="15" spans="1:27">
      <c r="B15" s="2" t="s">
        <v>757</v>
      </c>
      <c r="C15" s="2" t="s">
        <v>759</v>
      </c>
      <c r="D15">
        <f>SUM(E2:E5)*10</f>
        <v>53000</v>
      </c>
    </row>
    <row r="16" spans="1:27">
      <c r="B16" s="2" t="s">
        <v>758</v>
      </c>
      <c r="C16" s="2" t="s">
        <v>760</v>
      </c>
      <c r="D16">
        <f>SUM(N9:N11)*10</f>
        <v>43000</v>
      </c>
    </row>
    <row r="18" spans="2:4">
      <c r="B18" s="2" t="s">
        <v>761</v>
      </c>
      <c r="C18" s="2" t="s">
        <v>762</v>
      </c>
      <c r="D18">
        <f>D15+D16</f>
        <v>96000</v>
      </c>
    </row>
  </sheetData>
  <phoneticPr fontId="3" type="noConversion"/>
  <hyperlinks>
    <hyperlink ref="R9" r:id="rId1" display="http://www.sasac.gov.cn/n2588025/n2588124/c4050671/content.html" xr:uid="{67119FC3-909E-4B5B-AF58-FCF1B4CB2A7B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2A42-532A-4BB6-B81B-3D1715A5903E}">
  <sheetPr>
    <tabColor theme="4" tint="-0.499984740745262"/>
  </sheetPr>
  <dimension ref="A1:B2"/>
  <sheetViews>
    <sheetView tabSelected="1" workbookViewId="0">
      <selection activeCell="B3" sqref="B3"/>
    </sheetView>
  </sheetViews>
  <sheetFormatPr defaultRowHeight="13.2"/>
  <cols>
    <col min="2" max="2" width="9.6640625" bestFit="1" customWidth="1"/>
  </cols>
  <sheetData>
    <row r="1" spans="1:2">
      <c r="B1" t="s">
        <v>618</v>
      </c>
    </row>
    <row r="2" spans="1:2">
      <c r="A2" t="s">
        <v>619</v>
      </c>
      <c r="B2">
        <f>Tally!D18</f>
        <v>96000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DB518-E9D8-466D-BEF5-26BFDCC64A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AC Transmission</vt:lpstr>
      <vt:lpstr>DC Transmission</vt:lpstr>
      <vt:lpstr>Back2Back</vt:lpstr>
      <vt:lpstr>Total Power Exchange</vt:lpstr>
      <vt:lpstr>Database</vt:lpstr>
      <vt:lpstr>Tally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Rui Wang</cp:lastModifiedBy>
  <dcterms:created xsi:type="dcterms:W3CDTF">2022-08-11T09:01:33Z</dcterms:created>
  <dcterms:modified xsi:type="dcterms:W3CDTF">2024-03-31T13:27:48Z</dcterms:modified>
</cp:coreProperties>
</file>