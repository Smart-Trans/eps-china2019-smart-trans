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3"/>
  </bookViews>
  <sheets>
    <sheet name="About" sheetId="1" r:id="rId1"/>
    <sheet name="Capacity by Linetype" sheetId="4" r:id="rId2"/>
    <sheet name="Power Infrastructure Investment" sheetId="5" r:id="rId3"/>
    <sheet name="Calculation" sheetId="2" r:id="rId4"/>
    <sheet name="Exchange Rate" sheetId="6" r:id="rId5"/>
    <sheet name="TCCpUCD" sheetId="3" r:id="rId6"/>
  </sheets>
  <externalReferences>
    <externalReference r:id="rId8"/>
  </externalReferences>
  <definedNames>
    <definedName name="_xlnm._FilterDatabase" localSheetId="1" hidden="1">'Capacity by Linetype'!$O$1:$AB$14</definedName>
    <definedName name="_xlnm._FilterDatabase" localSheetId="2" hidden="1">'Power Infrastructure Investment'!$A$1:$E$1886</definedName>
    <definedName name="cpi_2019_to_2012">[1]About!$A$98</definedName>
    <definedName name="cpi_2020_to_2012">[1]About!$A$100</definedName>
  </definedNames>
  <calcPr calcId="191029" concurrentCalc="0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<sst xmlns="http://schemas.openxmlformats.org/spreadsheetml/2006/main" count="5914" uniqueCount="1853">
  <si>
    <t>TCCpUCD Transmission Construction Cost per Unit Capacity Distance</t>
  </si>
  <si>
    <t>Sources:</t>
  </si>
  <si>
    <t>Capacity by Linetype</t>
  </si>
  <si>
    <t>China Electricity Council</t>
  </si>
  <si>
    <t>中国电力工业统计资料汇编</t>
  </si>
  <si>
    <t>Compilation of China Power Sector Statistics</t>
  </si>
  <si>
    <t>2015-2021</t>
  </si>
  <si>
    <t>Chapter 4 Table 4-11</t>
  </si>
  <si>
    <t>Infrastructure Investment</t>
  </si>
  <si>
    <t>Chapter 4 Table 4-1</t>
  </si>
  <si>
    <t>Note:</t>
  </si>
  <si>
    <t>We adjust 2021 dollars to 2012 dollars using the following conversion factor:</t>
  </si>
  <si>
    <t>See "cpi.xlsx" in the InputData folder for source information.</t>
  </si>
  <si>
    <t>Index</t>
  </si>
  <si>
    <t>Item</t>
  </si>
  <si>
    <t>Year</t>
  </si>
  <si>
    <r>
      <rPr>
        <sz val="8"/>
        <rFont val="SimSun"/>
        <charset val="134"/>
      </rPr>
      <t>建设规模</t>
    </r>
  </si>
  <si>
    <r>
      <rPr>
        <sz val="8"/>
        <rFont val="SimSun"/>
        <charset val="134"/>
      </rPr>
      <t>本年施工规模</t>
    </r>
  </si>
  <si>
    <r>
      <rPr>
        <sz val="8"/>
        <rFont val="SimSun"/>
        <charset val="134"/>
      </rPr>
      <t>本年新开工规模</t>
    </r>
  </si>
  <si>
    <r>
      <rPr>
        <sz val="8"/>
        <rFont val="SimSun"/>
        <charset val="134"/>
      </rPr>
      <t>累计新增能力</t>
    </r>
  </si>
  <si>
    <r>
      <rPr>
        <sz val="8"/>
        <rFont val="SimSun"/>
        <charset val="134"/>
      </rPr>
      <t>本年新增能力</t>
    </r>
  </si>
  <si>
    <t>电流</t>
  </si>
  <si>
    <t>电压</t>
  </si>
  <si>
    <t>容量长度比</t>
  </si>
  <si>
    <r>
      <rPr>
        <sz val="11"/>
        <rFont val="宋体"/>
        <charset val="134"/>
        <scheme val="minor"/>
      </rPr>
      <t>建设规模</t>
    </r>
  </si>
  <si>
    <r>
      <rPr>
        <sz val="11"/>
        <rFont val="宋体"/>
        <charset val="134"/>
        <scheme val="minor"/>
      </rPr>
      <t>本年施工规模</t>
    </r>
  </si>
  <si>
    <r>
      <rPr>
        <sz val="11"/>
        <rFont val="宋体"/>
        <charset val="134"/>
        <scheme val="minor"/>
      </rPr>
      <t>本年新开工规模</t>
    </r>
  </si>
  <si>
    <r>
      <rPr>
        <sz val="11"/>
        <rFont val="宋体"/>
        <charset val="134"/>
        <scheme val="minor"/>
      </rPr>
      <t>累计新增能力</t>
    </r>
  </si>
  <si>
    <r>
      <rPr>
        <sz val="11"/>
        <rFont val="宋体"/>
        <charset val="134"/>
        <scheme val="minor"/>
      </rPr>
      <t>本年新增能力</t>
    </r>
  </si>
  <si>
    <r>
      <rPr>
        <sz val="8"/>
        <rFont val="SimSun"/>
        <charset val="134"/>
      </rPr>
      <t>容量</t>
    </r>
  </si>
  <si>
    <r>
      <rPr>
        <sz val="8"/>
        <rFont val="SimSun"/>
        <charset val="134"/>
      </rPr>
      <t>长度</t>
    </r>
  </si>
  <si>
    <r>
      <rPr>
        <sz val="11"/>
        <rFont val="宋体"/>
        <charset val="134"/>
        <scheme val="minor"/>
      </rPr>
      <t>容量</t>
    </r>
  </si>
  <si>
    <r>
      <rPr>
        <sz val="11"/>
        <rFont val="宋体"/>
        <charset val="134"/>
        <scheme val="minor"/>
      </rPr>
      <t>长度</t>
    </r>
  </si>
  <si>
    <r>
      <rPr>
        <sz val="8"/>
        <rFont val="SimSun"/>
        <charset val="134"/>
      </rPr>
      <t>全国</t>
    </r>
  </si>
  <si>
    <t>±400千伏</t>
  </si>
  <si>
    <t>直流</t>
  </si>
  <si>
    <r>
      <rPr>
        <sz val="8"/>
        <rFont val="SimSun"/>
        <charset val="134"/>
      </rPr>
      <t>1、直流工程</t>
    </r>
  </si>
  <si>
    <t>±500千伏</t>
  </si>
  <si>
    <r>
      <rPr>
        <sz val="8"/>
        <rFont val="SimSun"/>
        <charset val="134"/>
      </rPr>
      <t>±1100千伏</t>
    </r>
  </si>
  <si>
    <t>±800千伏</t>
  </si>
  <si>
    <r>
      <rPr>
        <sz val="8"/>
        <rFont val="SimSun"/>
        <charset val="134"/>
      </rPr>
      <t>±800千伏</t>
    </r>
  </si>
  <si>
    <t>±1100千伏</t>
  </si>
  <si>
    <r>
      <rPr>
        <sz val="8"/>
        <rFont val="SimSun"/>
        <charset val="134"/>
      </rPr>
      <t>±660千伏</t>
    </r>
  </si>
  <si>
    <t>110千伏（含66千伏）</t>
  </si>
  <si>
    <t>交流</t>
  </si>
  <si>
    <r>
      <rPr>
        <sz val="8"/>
        <rFont val="SimSun"/>
        <charset val="134"/>
      </rPr>
      <t>±500千伏</t>
    </r>
  </si>
  <si>
    <t>220千伏</t>
  </si>
  <si>
    <r>
      <rPr>
        <sz val="8"/>
        <rFont val="SimSun"/>
        <charset val="134"/>
      </rPr>
      <t>±400千伏</t>
    </r>
  </si>
  <si>
    <t>330千伏</t>
  </si>
  <si>
    <r>
      <rPr>
        <sz val="8"/>
        <rFont val="SimSun"/>
        <charset val="134"/>
      </rPr>
      <t>2、交流工程</t>
    </r>
    <r>
      <rPr>
        <sz val="8"/>
        <rFont val="SimSun"/>
        <charset val="134"/>
      </rPr>
      <t>（110</t>
    </r>
    <r>
      <rPr>
        <sz val="8"/>
        <rFont val="SimSun"/>
        <charset val="134"/>
      </rPr>
      <t>千伏及以上）</t>
    </r>
  </si>
  <si>
    <t>500千伏</t>
  </si>
  <si>
    <r>
      <rPr>
        <sz val="8"/>
        <rFont val="SimSun"/>
        <charset val="134"/>
      </rPr>
      <t>1000千伏</t>
    </r>
  </si>
  <si>
    <r>
      <rPr>
        <sz val="11"/>
        <rFont val="宋体"/>
        <charset val="134"/>
        <scheme val="minor"/>
      </rPr>
      <t>750千伏</t>
    </r>
  </si>
  <si>
    <r>
      <rPr>
        <sz val="8"/>
        <rFont val="SimSun"/>
        <charset val="134"/>
      </rPr>
      <t>750千伏</t>
    </r>
  </si>
  <si>
    <t>1000千伏</t>
  </si>
  <si>
    <r>
      <rPr>
        <sz val="8"/>
        <rFont val="SimSun"/>
        <charset val="134"/>
      </rPr>
      <t>500千伏</t>
    </r>
  </si>
  <si>
    <t>35千伏</t>
  </si>
  <si>
    <r>
      <rPr>
        <sz val="8"/>
        <rFont val="SimSun"/>
        <charset val="134"/>
      </rPr>
      <t>330千伏</t>
    </r>
  </si>
  <si>
    <r>
      <rPr>
        <sz val="8"/>
        <rFont val="SimSun"/>
        <charset val="134"/>
      </rPr>
      <t>220千伏</t>
    </r>
  </si>
  <si>
    <r>
      <rPr>
        <sz val="8"/>
        <rFont val="SimSun"/>
        <charset val="134"/>
      </rPr>
      <t>110千伏（含66千伏）</t>
    </r>
  </si>
  <si>
    <t>年份</t>
  </si>
  <si>
    <t>投资项目</t>
  </si>
  <si>
    <t>Type</t>
  </si>
  <si>
    <t>Investment</t>
  </si>
  <si>
    <t>本年完成投资</t>
  </si>
  <si>
    <t>725</t>
  </si>
  <si>
    <t>其他费用</t>
  </si>
  <si>
    <t>其他电源</t>
  </si>
  <si>
    <t>422</t>
  </si>
  <si>
    <t>建筑工程</t>
  </si>
  <si>
    <t>燃油</t>
  </si>
  <si>
    <t>Sum of Investment</t>
  </si>
  <si>
    <t>Column Labels</t>
  </si>
  <si>
    <t>723</t>
  </si>
  <si>
    <t>安装工程</t>
  </si>
  <si>
    <t>Row Labels</t>
  </si>
  <si>
    <t>Grand Total</t>
  </si>
  <si>
    <t>724</t>
  </si>
  <si>
    <t>设备工器具购置</t>
  </si>
  <si>
    <t>1325</t>
  </si>
  <si>
    <t>721</t>
  </si>
  <si>
    <t>1204</t>
  </si>
  <si>
    <t>±660千伏</t>
  </si>
  <si>
    <t>424</t>
  </si>
  <si>
    <t>421</t>
  </si>
  <si>
    <t>1、直流工程</t>
  </si>
  <si>
    <t>483</t>
  </si>
  <si>
    <t>其他火电</t>
  </si>
  <si>
    <t>1142</t>
  </si>
  <si>
    <t>110千伏(含66千伏)</t>
  </si>
  <si>
    <t>1202</t>
  </si>
  <si>
    <t>2、交流工程</t>
  </si>
  <si>
    <t>363</t>
  </si>
  <si>
    <t>燃气</t>
  </si>
  <si>
    <t>1082</t>
  </si>
  <si>
    <t>665</t>
  </si>
  <si>
    <t>太阳能</t>
  </si>
  <si>
    <t>1324</t>
  </si>
  <si>
    <t>750千伏</t>
  </si>
  <si>
    <t>1321</t>
  </si>
  <si>
    <t>电网投资</t>
  </si>
  <si>
    <t>1022</t>
  </si>
  <si>
    <t>电源投资</t>
  </si>
  <si>
    <t>183</t>
  </si>
  <si>
    <t>其中抽水蓄能</t>
  </si>
  <si>
    <t>风电</t>
  </si>
  <si>
    <t>485</t>
  </si>
  <si>
    <t>合计</t>
  </si>
  <si>
    <t>1502</t>
  </si>
  <si>
    <t>核电</t>
  </si>
  <si>
    <t>663</t>
  </si>
  <si>
    <t>火电</t>
  </si>
  <si>
    <t>365</t>
  </si>
  <si>
    <t>其他电网(含小型基建)</t>
  </si>
  <si>
    <t>662</t>
  </si>
  <si>
    <t>1085</t>
  </si>
  <si>
    <t>362</t>
  </si>
  <si>
    <t>482</t>
  </si>
  <si>
    <t>燃煤</t>
  </si>
  <si>
    <t>1205</t>
  </si>
  <si>
    <t>1505</t>
  </si>
  <si>
    <t>484</t>
  </si>
  <si>
    <t>水电</t>
  </si>
  <si>
    <t>902</t>
  </si>
  <si>
    <t>送变电</t>
  </si>
  <si>
    <t>1203</t>
  </si>
  <si>
    <t>1683</t>
  </si>
  <si>
    <t>1145</t>
  </si>
  <si>
    <t>1503</t>
  </si>
  <si>
    <t>1201</t>
  </si>
  <si>
    <t>481</t>
  </si>
  <si>
    <t>1685</t>
  </si>
  <si>
    <t>184</t>
  </si>
  <si>
    <t>1504</t>
  </si>
  <si>
    <t>185</t>
  </si>
  <si>
    <t>182</t>
  </si>
  <si>
    <t>1143</t>
  </si>
  <si>
    <t>664</t>
  </si>
  <si>
    <t>364</t>
  </si>
  <si>
    <t>1083</t>
  </si>
  <si>
    <t>1382</t>
  </si>
  <si>
    <t>1025</t>
  </si>
  <si>
    <t>123</t>
  </si>
  <si>
    <t>1385</t>
  </si>
  <si>
    <t>543</t>
  </si>
  <si>
    <t>1684</t>
  </si>
  <si>
    <t>1023</t>
  </si>
  <si>
    <t>661</t>
  </si>
  <si>
    <t>361</t>
  </si>
  <si>
    <t>1501</t>
  </si>
  <si>
    <t>905</t>
  </si>
  <si>
    <t>1084</t>
  </si>
  <si>
    <t>1144</t>
  </si>
  <si>
    <t>181</t>
  </si>
  <si>
    <t>603</t>
  </si>
  <si>
    <t>1682</t>
  </si>
  <si>
    <t>1383</t>
  </si>
  <si>
    <t>1024</t>
  </si>
  <si>
    <t>1384</t>
  </si>
  <si>
    <t>605</t>
  </si>
  <si>
    <t>1081</t>
  </si>
  <si>
    <t>903</t>
  </si>
  <si>
    <t>1141</t>
  </si>
  <si>
    <t>1442</t>
  </si>
  <si>
    <t>1625</t>
  </si>
  <si>
    <t>602</t>
  </si>
  <si>
    <t>1622</t>
  </si>
  <si>
    <t>1681</t>
  </si>
  <si>
    <t>124</t>
  </si>
  <si>
    <t>1445</t>
  </si>
  <si>
    <t>1021</t>
  </si>
  <si>
    <t>1444</t>
  </si>
  <si>
    <t>1443</t>
  </si>
  <si>
    <t>542</t>
  </si>
  <si>
    <t>545</t>
  </si>
  <si>
    <t>904</t>
  </si>
  <si>
    <t>1381</t>
  </si>
  <si>
    <t>1623</t>
  </si>
  <si>
    <t>1565</t>
  </si>
  <si>
    <t>1562</t>
  </si>
  <si>
    <t>303</t>
  </si>
  <si>
    <t>243</t>
  </si>
  <si>
    <t>1624</t>
  </si>
  <si>
    <t>305</t>
  </si>
  <si>
    <t>245</t>
  </si>
  <si>
    <t>302</t>
  </si>
  <si>
    <t>901</t>
  </si>
  <si>
    <t>242</t>
  </si>
  <si>
    <t>1563</t>
  </si>
  <si>
    <t>122</t>
  </si>
  <si>
    <t>544</t>
  </si>
  <si>
    <t>63</t>
  </si>
  <si>
    <t>125</t>
  </si>
  <si>
    <t>1564</t>
  </si>
  <si>
    <t>1441</t>
  </si>
  <si>
    <t>1262</t>
  </si>
  <si>
    <t>842</t>
  </si>
  <si>
    <t>1265</t>
  </si>
  <si>
    <t>782</t>
  </si>
  <si>
    <t>845</t>
  </si>
  <si>
    <t>785</t>
  </si>
  <si>
    <t>1621</t>
  </si>
  <si>
    <t>304</t>
  </si>
  <si>
    <t>541</t>
  </si>
  <si>
    <t>244</t>
  </si>
  <si>
    <t>604</t>
  </si>
  <si>
    <t>121</t>
  </si>
  <si>
    <t>65</t>
  </si>
  <si>
    <t>62</t>
  </si>
  <si>
    <t>1263</t>
  </si>
  <si>
    <t>843</t>
  </si>
  <si>
    <t>783</t>
  </si>
  <si>
    <t>601</t>
  </si>
  <si>
    <t>1561</t>
  </si>
  <si>
    <t>1264</t>
  </si>
  <si>
    <t>844</t>
  </si>
  <si>
    <t>784</t>
  </si>
  <si>
    <t>3</t>
  </si>
  <si>
    <t>301</t>
  </si>
  <si>
    <t>5</t>
  </si>
  <si>
    <t>2</t>
  </si>
  <si>
    <t>241</t>
  </si>
  <si>
    <t>64</t>
  </si>
  <si>
    <t>1261</t>
  </si>
  <si>
    <t>4</t>
  </si>
  <si>
    <t>841</t>
  </si>
  <si>
    <t>781</t>
  </si>
  <si>
    <t>61</t>
  </si>
  <si>
    <t>1</t>
  </si>
  <si>
    <t>423</t>
  </si>
  <si>
    <t>425</t>
  </si>
  <si>
    <t>722</t>
  </si>
  <si>
    <t>961</t>
  </si>
  <si>
    <t>962</t>
  </si>
  <si>
    <t>963</t>
  </si>
  <si>
    <t>964</t>
  </si>
  <si>
    <t>965</t>
  </si>
  <si>
    <t>1322</t>
  </si>
  <si>
    <t>1323</t>
  </si>
  <si>
    <t>730</t>
  </si>
  <si>
    <t>1087</t>
  </si>
  <si>
    <t>728</t>
  </si>
  <si>
    <t>727</t>
  </si>
  <si>
    <t>188</t>
  </si>
  <si>
    <t>1147</t>
  </si>
  <si>
    <t>729</t>
  </si>
  <si>
    <t>1510</t>
  </si>
  <si>
    <t>1328</t>
  </si>
  <si>
    <t>1327</t>
  </si>
  <si>
    <t>726</t>
  </si>
  <si>
    <t>1207</t>
  </si>
  <si>
    <t>1507</t>
  </si>
  <si>
    <t>1090</t>
  </si>
  <si>
    <t>1148</t>
  </si>
  <si>
    <t>1027</t>
  </si>
  <si>
    <t>1387</t>
  </si>
  <si>
    <t>1508</t>
  </si>
  <si>
    <t>368</t>
  </si>
  <si>
    <t>1088</t>
  </si>
  <si>
    <t>1150</t>
  </si>
  <si>
    <t>670</t>
  </si>
  <si>
    <t>668</t>
  </si>
  <si>
    <t>907</t>
  </si>
  <si>
    <t>367</t>
  </si>
  <si>
    <t>487</t>
  </si>
  <si>
    <t>370</t>
  </si>
  <si>
    <t>1509</t>
  </si>
  <si>
    <t>488</t>
  </si>
  <si>
    <t>1030</t>
  </si>
  <si>
    <t>490</t>
  </si>
  <si>
    <t>1089</t>
  </si>
  <si>
    <t>1390</t>
  </si>
  <si>
    <t>189</t>
  </si>
  <si>
    <t>1210</t>
  </si>
  <si>
    <t>428</t>
  </si>
  <si>
    <t>1209</t>
  </si>
  <si>
    <t>667</t>
  </si>
  <si>
    <t>128</t>
  </si>
  <si>
    <t>427</t>
  </si>
  <si>
    <t>1208</t>
  </si>
  <si>
    <t>430</t>
  </si>
  <si>
    <t>489</t>
  </si>
  <si>
    <t>1506</t>
  </si>
  <si>
    <t>1086</t>
  </si>
  <si>
    <t>1389</t>
  </si>
  <si>
    <t>1330</t>
  </si>
  <si>
    <t>190</t>
  </si>
  <si>
    <t>1329</t>
  </si>
  <si>
    <t>187</t>
  </si>
  <si>
    <t>1690</t>
  </si>
  <si>
    <t>429</t>
  </si>
  <si>
    <t>910</t>
  </si>
  <si>
    <t>1688</t>
  </si>
  <si>
    <t>1149</t>
  </si>
  <si>
    <t>1029</t>
  </si>
  <si>
    <t>1388</t>
  </si>
  <si>
    <t>1146</t>
  </si>
  <si>
    <t>1206</t>
  </si>
  <si>
    <t>486</t>
  </si>
  <si>
    <t>369</t>
  </si>
  <si>
    <t>548</t>
  </si>
  <si>
    <t>1028</t>
  </si>
  <si>
    <t>1326</t>
  </si>
  <si>
    <t>608</t>
  </si>
  <si>
    <t>1689</t>
  </si>
  <si>
    <t>1687</t>
  </si>
  <si>
    <t>186</t>
  </si>
  <si>
    <t>366</t>
  </si>
  <si>
    <t>1447</t>
  </si>
  <si>
    <t>908</t>
  </si>
  <si>
    <t>426</t>
  </si>
  <si>
    <t>1386</t>
  </si>
  <si>
    <t>1449</t>
  </si>
  <si>
    <t>1450</t>
  </si>
  <si>
    <t>610</t>
  </si>
  <si>
    <t>909</t>
  </si>
  <si>
    <t>1026</t>
  </si>
  <si>
    <t>1448</t>
  </si>
  <si>
    <t>607</t>
  </si>
  <si>
    <t>1630</t>
  </si>
  <si>
    <t>129</t>
  </si>
  <si>
    <t>669</t>
  </si>
  <si>
    <t>1627</t>
  </si>
  <si>
    <t>547</t>
  </si>
  <si>
    <t>666</t>
  </si>
  <si>
    <t>550</t>
  </si>
  <si>
    <t>308</t>
  </si>
  <si>
    <t>1686</t>
  </si>
  <si>
    <t>307</t>
  </si>
  <si>
    <t>248</t>
  </si>
  <si>
    <t>310</t>
  </si>
  <si>
    <t>1570</t>
  </si>
  <si>
    <t>247</t>
  </si>
  <si>
    <t>906</t>
  </si>
  <si>
    <t>250</t>
  </si>
  <si>
    <t>1567</t>
  </si>
  <si>
    <t>1628</t>
  </si>
  <si>
    <t>1568</t>
  </si>
  <si>
    <t>1629</t>
  </si>
  <si>
    <t>68</t>
  </si>
  <si>
    <t>1569</t>
  </si>
  <si>
    <t>1446</t>
  </si>
  <si>
    <t>549</t>
  </si>
  <si>
    <t>127</t>
  </si>
  <si>
    <t>309</t>
  </si>
  <si>
    <t>130</t>
  </si>
  <si>
    <t>249</t>
  </si>
  <si>
    <t>1267</t>
  </si>
  <si>
    <t>1270</t>
  </si>
  <si>
    <t>847</t>
  </si>
  <si>
    <t>850</t>
  </si>
  <si>
    <t>790</t>
  </si>
  <si>
    <t>787</t>
  </si>
  <si>
    <t>609</t>
  </si>
  <si>
    <t>546</t>
  </si>
  <si>
    <t>1626</t>
  </si>
  <si>
    <t>67</t>
  </si>
  <si>
    <t>606</t>
  </si>
  <si>
    <t>70</t>
  </si>
  <si>
    <t>126</t>
  </si>
  <si>
    <t>306</t>
  </si>
  <si>
    <t>1268</t>
  </si>
  <si>
    <t>1566</t>
  </si>
  <si>
    <t>848</t>
  </si>
  <si>
    <t>788</t>
  </si>
  <si>
    <t>246</t>
  </si>
  <si>
    <t>1269</t>
  </si>
  <si>
    <t>849</t>
  </si>
  <si>
    <t>789</t>
  </si>
  <si>
    <t>8</t>
  </si>
  <si>
    <t>7</t>
  </si>
  <si>
    <t>10</t>
  </si>
  <si>
    <t>69</t>
  </si>
  <si>
    <t>9</t>
  </si>
  <si>
    <t>1266</t>
  </si>
  <si>
    <t>846</t>
  </si>
  <si>
    <t>786</t>
  </si>
  <si>
    <t>66</t>
  </si>
  <si>
    <t>6</t>
  </si>
  <si>
    <t>966</t>
  </si>
  <si>
    <t>967</t>
  </si>
  <si>
    <t>968</t>
  </si>
  <si>
    <t>969</t>
  </si>
  <si>
    <t>970</t>
  </si>
  <si>
    <t>493</t>
  </si>
  <si>
    <t>1155</t>
  </si>
  <si>
    <t>193</t>
  </si>
  <si>
    <t>1512</t>
  </si>
  <si>
    <t>492</t>
  </si>
  <si>
    <t>495</t>
  </si>
  <si>
    <t>1332</t>
  </si>
  <si>
    <t>494</t>
  </si>
  <si>
    <t>1152</t>
  </si>
  <si>
    <t>1515</t>
  </si>
  <si>
    <t>675</t>
  </si>
  <si>
    <t>673</t>
  </si>
  <si>
    <t>1395</t>
  </si>
  <si>
    <t>1394</t>
  </si>
  <si>
    <t>1392</t>
  </si>
  <si>
    <t>491</t>
  </si>
  <si>
    <t>1514</t>
  </si>
  <si>
    <t>373</t>
  </si>
  <si>
    <t>1334</t>
  </si>
  <si>
    <t>672</t>
  </si>
  <si>
    <t>1513</t>
  </si>
  <si>
    <t>1153</t>
  </si>
  <si>
    <t>194</t>
  </si>
  <si>
    <t>1335</t>
  </si>
  <si>
    <t>133</t>
  </si>
  <si>
    <t>372</t>
  </si>
  <si>
    <t>195</t>
  </si>
  <si>
    <t>375</t>
  </si>
  <si>
    <t>192</t>
  </si>
  <si>
    <t>1511</t>
  </si>
  <si>
    <t>1333</t>
  </si>
  <si>
    <t>1154</t>
  </si>
  <si>
    <t>1693</t>
  </si>
  <si>
    <t>1032</t>
  </si>
  <si>
    <t>1452</t>
  </si>
  <si>
    <t>1035</t>
  </si>
  <si>
    <t>1393</t>
  </si>
  <si>
    <t>912</t>
  </si>
  <si>
    <t>1695</t>
  </si>
  <si>
    <t>915</t>
  </si>
  <si>
    <t>613</t>
  </si>
  <si>
    <t>1033</t>
  </si>
  <si>
    <t>1151</t>
  </si>
  <si>
    <t>1694</t>
  </si>
  <si>
    <t>553</t>
  </si>
  <si>
    <t>1391</t>
  </si>
  <si>
    <t>1331</t>
  </si>
  <si>
    <t>913</t>
  </si>
  <si>
    <t>1455</t>
  </si>
  <si>
    <t>191</t>
  </si>
  <si>
    <t>1454</t>
  </si>
  <si>
    <t>674</t>
  </si>
  <si>
    <t>615</t>
  </si>
  <si>
    <t>1692</t>
  </si>
  <si>
    <t>612</t>
  </si>
  <si>
    <t>1453</t>
  </si>
  <si>
    <t>671</t>
  </si>
  <si>
    <t>1034</t>
  </si>
  <si>
    <t>374</t>
  </si>
  <si>
    <t>313</t>
  </si>
  <si>
    <t>552</t>
  </si>
  <si>
    <t>1635</t>
  </si>
  <si>
    <t>253</t>
  </si>
  <si>
    <t>914</t>
  </si>
  <si>
    <t>134</t>
  </si>
  <si>
    <t>1632</t>
  </si>
  <si>
    <t>312</t>
  </si>
  <si>
    <t>1575</t>
  </si>
  <si>
    <t>371</t>
  </si>
  <si>
    <t>1572</t>
  </si>
  <si>
    <t>315</t>
  </si>
  <si>
    <t>252</t>
  </si>
  <si>
    <t>1691</t>
  </si>
  <si>
    <t>255</t>
  </si>
  <si>
    <t>1031</t>
  </si>
  <si>
    <t>1633</t>
  </si>
  <si>
    <t>73</t>
  </si>
  <si>
    <t>1573</t>
  </si>
  <si>
    <t>555</t>
  </si>
  <si>
    <t>1451</t>
  </si>
  <si>
    <t>911</t>
  </si>
  <si>
    <t>1574</t>
  </si>
  <si>
    <t>1634</t>
  </si>
  <si>
    <t>554</t>
  </si>
  <si>
    <t>314</t>
  </si>
  <si>
    <t>614</t>
  </si>
  <si>
    <t>132</t>
  </si>
  <si>
    <t>1272</t>
  </si>
  <si>
    <t>254</t>
  </si>
  <si>
    <t>852</t>
  </si>
  <si>
    <t>1275</t>
  </si>
  <si>
    <t>792</t>
  </si>
  <si>
    <t>611</t>
  </si>
  <si>
    <t>855</t>
  </si>
  <si>
    <t>795</t>
  </si>
  <si>
    <t>135</t>
  </si>
  <si>
    <t>551</t>
  </si>
  <si>
    <t>1631</t>
  </si>
  <si>
    <t>72</t>
  </si>
  <si>
    <t>311</t>
  </si>
  <si>
    <t>1571</t>
  </si>
  <si>
    <t>1273</t>
  </si>
  <si>
    <t>251</t>
  </si>
  <si>
    <t>853</t>
  </si>
  <si>
    <t>793</t>
  </si>
  <si>
    <t>1274</t>
  </si>
  <si>
    <t>75</t>
  </si>
  <si>
    <t>131</t>
  </si>
  <si>
    <t>854</t>
  </si>
  <si>
    <t>794</t>
  </si>
  <si>
    <t>13</t>
  </si>
  <si>
    <t>12</t>
  </si>
  <si>
    <t>74</t>
  </si>
  <si>
    <t>15</t>
  </si>
  <si>
    <t>14</t>
  </si>
  <si>
    <t>1271</t>
  </si>
  <si>
    <t>851</t>
  </si>
  <si>
    <t>791</t>
  </si>
  <si>
    <t>71</t>
  </si>
  <si>
    <t>11</t>
  </si>
  <si>
    <t>431</t>
  </si>
  <si>
    <t>432</t>
  </si>
  <si>
    <t>433</t>
  </si>
  <si>
    <t>434</t>
  </si>
  <si>
    <t>435</t>
  </si>
  <si>
    <t>731</t>
  </si>
  <si>
    <t>732</t>
  </si>
  <si>
    <t>733</t>
  </si>
  <si>
    <t>734</t>
  </si>
  <si>
    <t>735</t>
  </si>
  <si>
    <t>971</t>
  </si>
  <si>
    <t>972</t>
  </si>
  <si>
    <t>973</t>
  </si>
  <si>
    <t>974</t>
  </si>
  <si>
    <t>975</t>
  </si>
  <si>
    <t>1091</t>
  </si>
  <si>
    <t>1092</t>
  </si>
  <si>
    <t>1093</t>
  </si>
  <si>
    <t>1094</t>
  </si>
  <si>
    <t>1095</t>
  </si>
  <si>
    <t>1211</t>
  </si>
  <si>
    <t>1212</t>
  </si>
  <si>
    <t>1213</t>
  </si>
  <si>
    <t>1214</t>
  </si>
  <si>
    <t>1215</t>
  </si>
  <si>
    <t>498</t>
  </si>
  <si>
    <t>500</t>
  </si>
  <si>
    <t>497</t>
  </si>
  <si>
    <t>499</t>
  </si>
  <si>
    <t>1157</t>
  </si>
  <si>
    <t>1337</t>
  </si>
  <si>
    <t>1517</t>
  </si>
  <si>
    <t>198</t>
  </si>
  <si>
    <t>496</t>
  </si>
  <si>
    <t>1160</t>
  </si>
  <si>
    <t>1397</t>
  </si>
  <si>
    <t>1520</t>
  </si>
  <si>
    <t>1698</t>
  </si>
  <si>
    <t>1519</t>
  </si>
  <si>
    <t>1699</t>
  </si>
  <si>
    <t>1158</t>
  </si>
  <si>
    <t>1037</t>
  </si>
  <si>
    <t>917</t>
  </si>
  <si>
    <t>199</t>
  </si>
  <si>
    <t>378</t>
  </si>
  <si>
    <t>138</t>
  </si>
  <si>
    <t>1700</t>
  </si>
  <si>
    <t>1400</t>
  </si>
  <si>
    <t>1518</t>
  </si>
  <si>
    <t>680</t>
  </si>
  <si>
    <t>678</t>
  </si>
  <si>
    <t>1159</t>
  </si>
  <si>
    <t>1399</t>
  </si>
  <si>
    <t>200</t>
  </si>
  <si>
    <t>197</t>
  </si>
  <si>
    <t>380</t>
  </si>
  <si>
    <t>1040</t>
  </si>
  <si>
    <t>377</t>
  </si>
  <si>
    <t>920</t>
  </si>
  <si>
    <t>1516</t>
  </si>
  <si>
    <t>1340</t>
  </si>
  <si>
    <t>1156</t>
  </si>
  <si>
    <t>1339</t>
  </si>
  <si>
    <t>677</t>
  </si>
  <si>
    <t>618</t>
  </si>
  <si>
    <t>1697</t>
  </si>
  <si>
    <t>620</t>
  </si>
  <si>
    <t>558</t>
  </si>
  <si>
    <t>1398</t>
  </si>
  <si>
    <t>1338</t>
  </si>
  <si>
    <t>1459</t>
  </si>
  <si>
    <t>557</t>
  </si>
  <si>
    <t>196</t>
  </si>
  <si>
    <t>617</t>
  </si>
  <si>
    <t>1696</t>
  </si>
  <si>
    <t>1460</t>
  </si>
  <si>
    <t>318</t>
  </si>
  <si>
    <t>1458</t>
  </si>
  <si>
    <t>1457</t>
  </si>
  <si>
    <t>379</t>
  </si>
  <si>
    <t>1640</t>
  </si>
  <si>
    <t>1396</t>
  </si>
  <si>
    <t>1038</t>
  </si>
  <si>
    <t>258</t>
  </si>
  <si>
    <t>918</t>
  </si>
  <si>
    <t>1637</t>
  </si>
  <si>
    <t>139</t>
  </si>
  <si>
    <t>1039</t>
  </si>
  <si>
    <t>320</t>
  </si>
  <si>
    <t>1336</t>
  </si>
  <si>
    <t>1580</t>
  </si>
  <si>
    <t>919</t>
  </si>
  <si>
    <t>317</t>
  </si>
  <si>
    <t>260</t>
  </si>
  <si>
    <t>1577</t>
  </si>
  <si>
    <t>376</t>
  </si>
  <si>
    <t>1578</t>
  </si>
  <si>
    <t>257</t>
  </si>
  <si>
    <t>1638</t>
  </si>
  <si>
    <t>679</t>
  </si>
  <si>
    <t>1639</t>
  </si>
  <si>
    <t>1579</t>
  </si>
  <si>
    <t>560</t>
  </si>
  <si>
    <t>559</t>
  </si>
  <si>
    <t>78</t>
  </si>
  <si>
    <t>1036</t>
  </si>
  <si>
    <t>676</t>
  </si>
  <si>
    <t>916</t>
  </si>
  <si>
    <t>319</t>
  </si>
  <si>
    <t>137</t>
  </si>
  <si>
    <t>1456</t>
  </si>
  <si>
    <t>619</t>
  </si>
  <si>
    <t>259</t>
  </si>
  <si>
    <t>1277</t>
  </si>
  <si>
    <t>857</t>
  </si>
  <si>
    <t>1280</t>
  </si>
  <si>
    <t>797</t>
  </si>
  <si>
    <t>616</t>
  </si>
  <si>
    <t>556</t>
  </si>
  <si>
    <t>140</t>
  </si>
  <si>
    <t>860</t>
  </si>
  <si>
    <t>800</t>
  </si>
  <si>
    <t>1636</t>
  </si>
  <si>
    <t>1576</t>
  </si>
  <si>
    <t>316</t>
  </si>
  <si>
    <t>77</t>
  </si>
  <si>
    <t>256</t>
  </si>
  <si>
    <t>1279</t>
  </si>
  <si>
    <t>1278</t>
  </si>
  <si>
    <t>80</t>
  </si>
  <si>
    <t>136</t>
  </si>
  <si>
    <t>859</t>
  </si>
  <si>
    <t>799</t>
  </si>
  <si>
    <t>858</t>
  </si>
  <si>
    <t>798</t>
  </si>
  <si>
    <t>17</t>
  </si>
  <si>
    <t>18</t>
  </si>
  <si>
    <t>79</t>
  </si>
  <si>
    <t>20</t>
  </si>
  <si>
    <t>19</t>
  </si>
  <si>
    <t>1276</t>
  </si>
  <si>
    <t>856</t>
  </si>
  <si>
    <t>796</t>
  </si>
  <si>
    <t>76</t>
  </si>
  <si>
    <t>16</t>
  </si>
  <si>
    <t>436</t>
  </si>
  <si>
    <t>437</t>
  </si>
  <si>
    <t>438</t>
  </si>
  <si>
    <t>439</t>
  </si>
  <si>
    <t>440</t>
  </si>
  <si>
    <t>736</t>
  </si>
  <si>
    <t>737</t>
  </si>
  <si>
    <t>738</t>
  </si>
  <si>
    <t>739</t>
  </si>
  <si>
    <t>740</t>
  </si>
  <si>
    <t>976</t>
  </si>
  <si>
    <t>977</t>
  </si>
  <si>
    <t>978</t>
  </si>
  <si>
    <t>979</t>
  </si>
  <si>
    <t>980</t>
  </si>
  <si>
    <t>1096</t>
  </si>
  <si>
    <t>1097</t>
  </si>
  <si>
    <t>1098</t>
  </si>
  <si>
    <t>1099</t>
  </si>
  <si>
    <t>1100</t>
  </si>
  <si>
    <t>1216</t>
  </si>
  <si>
    <t>1217</t>
  </si>
  <si>
    <t>1218</t>
  </si>
  <si>
    <t>1219</t>
  </si>
  <si>
    <t>1220</t>
  </si>
  <si>
    <t>505</t>
  </si>
  <si>
    <t>503</t>
  </si>
  <si>
    <t>502</t>
  </si>
  <si>
    <t>501</t>
  </si>
  <si>
    <t>1165</t>
  </si>
  <si>
    <t>143</t>
  </si>
  <si>
    <t>1162</t>
  </si>
  <si>
    <t>203</t>
  </si>
  <si>
    <t>1522</t>
  </si>
  <si>
    <t>1163</t>
  </si>
  <si>
    <t>1043</t>
  </si>
  <si>
    <t>1402</t>
  </si>
  <si>
    <t>1525</t>
  </si>
  <si>
    <t>923</t>
  </si>
  <si>
    <t>685</t>
  </si>
  <si>
    <t>683</t>
  </si>
  <si>
    <t>1042</t>
  </si>
  <si>
    <t>1703</t>
  </si>
  <si>
    <t>383</t>
  </si>
  <si>
    <t>922</t>
  </si>
  <si>
    <t>1523</t>
  </si>
  <si>
    <t>204</t>
  </si>
  <si>
    <t>1405</t>
  </si>
  <si>
    <t>1524</t>
  </si>
  <si>
    <t>682</t>
  </si>
  <si>
    <t>1045</t>
  </si>
  <si>
    <t>1344</t>
  </si>
  <si>
    <t>925</t>
  </si>
  <si>
    <t>205</t>
  </si>
  <si>
    <t>1704</t>
  </si>
  <si>
    <t>382</t>
  </si>
  <si>
    <t>1164</t>
  </si>
  <si>
    <t>1403</t>
  </si>
  <si>
    <t>1404</t>
  </si>
  <si>
    <t>385</t>
  </si>
  <si>
    <t>1342</t>
  </si>
  <si>
    <t>1705</t>
  </si>
  <si>
    <t>1161</t>
  </si>
  <si>
    <t>202</t>
  </si>
  <si>
    <t>1702</t>
  </si>
  <si>
    <t>1521</t>
  </si>
  <si>
    <t>563</t>
  </si>
  <si>
    <t>1345</t>
  </si>
  <si>
    <t>562</t>
  </si>
  <si>
    <t>623</t>
  </si>
  <si>
    <t>1044</t>
  </si>
  <si>
    <t>1401</t>
  </si>
  <si>
    <t>201</t>
  </si>
  <si>
    <t>1464</t>
  </si>
  <si>
    <t>1343</t>
  </si>
  <si>
    <t>625</t>
  </si>
  <si>
    <t>684</t>
  </si>
  <si>
    <t>384</t>
  </si>
  <si>
    <t>1465</t>
  </si>
  <si>
    <t>1462</t>
  </si>
  <si>
    <t>924</t>
  </si>
  <si>
    <t>1645</t>
  </si>
  <si>
    <t>1642</t>
  </si>
  <si>
    <t>622</t>
  </si>
  <si>
    <t>1041</t>
  </si>
  <si>
    <t>1701</t>
  </si>
  <si>
    <t>144</t>
  </si>
  <si>
    <t>323</t>
  </si>
  <si>
    <t>1463</t>
  </si>
  <si>
    <t>681</t>
  </si>
  <si>
    <t>263</t>
  </si>
  <si>
    <t>325</t>
  </si>
  <si>
    <t>921</t>
  </si>
  <si>
    <t>1585</t>
  </si>
  <si>
    <t>381</t>
  </si>
  <si>
    <t>265</t>
  </si>
  <si>
    <t>564</t>
  </si>
  <si>
    <t>1582</t>
  </si>
  <si>
    <t>565</t>
  </si>
  <si>
    <t>1643</t>
  </si>
  <si>
    <t>322</t>
  </si>
  <si>
    <t>1341</t>
  </si>
  <si>
    <t>262</t>
  </si>
  <si>
    <t>1644</t>
  </si>
  <si>
    <t>1583</t>
  </si>
  <si>
    <t>1584</t>
  </si>
  <si>
    <t>83</t>
  </si>
  <si>
    <t>142</t>
  </si>
  <si>
    <t>145</t>
  </si>
  <si>
    <t>324</t>
  </si>
  <si>
    <t>1461</t>
  </si>
  <si>
    <t>561</t>
  </si>
  <si>
    <t>264</t>
  </si>
  <si>
    <t>624</t>
  </si>
  <si>
    <t>1282</t>
  </si>
  <si>
    <t>862</t>
  </si>
  <si>
    <t>1285</t>
  </si>
  <si>
    <t>802</t>
  </si>
  <si>
    <t>1641</t>
  </si>
  <si>
    <t>865</t>
  </si>
  <si>
    <t>805</t>
  </si>
  <si>
    <t>82</t>
  </si>
  <si>
    <t>621</t>
  </si>
  <si>
    <t>1581</t>
  </si>
  <si>
    <t>85</t>
  </si>
  <si>
    <t>141</t>
  </si>
  <si>
    <t>321</t>
  </si>
  <si>
    <t>261</t>
  </si>
  <si>
    <t>1284</t>
  </si>
  <si>
    <t>1283</t>
  </si>
  <si>
    <t>863</t>
  </si>
  <si>
    <t>803</t>
  </si>
  <si>
    <t>864</t>
  </si>
  <si>
    <t>804</t>
  </si>
  <si>
    <t>22</t>
  </si>
  <si>
    <t>23</t>
  </si>
  <si>
    <t>84</t>
  </si>
  <si>
    <t>25</t>
  </si>
  <si>
    <t>24</t>
  </si>
  <si>
    <t>81</t>
  </si>
  <si>
    <t>1281</t>
  </si>
  <si>
    <t>861</t>
  </si>
  <si>
    <t>801</t>
  </si>
  <si>
    <t>21</t>
  </si>
  <si>
    <t>441</t>
  </si>
  <si>
    <t>442</t>
  </si>
  <si>
    <t>443</t>
  </si>
  <si>
    <t>444</t>
  </si>
  <si>
    <t>445</t>
  </si>
  <si>
    <t>504</t>
  </si>
  <si>
    <t>741</t>
  </si>
  <si>
    <t>742</t>
  </si>
  <si>
    <t>743</t>
  </si>
  <si>
    <t>744</t>
  </si>
  <si>
    <t>745</t>
  </si>
  <si>
    <t>981</t>
  </si>
  <si>
    <t>982</t>
  </si>
  <si>
    <t>983</t>
  </si>
  <si>
    <t>984</t>
  </si>
  <si>
    <t>985</t>
  </si>
  <si>
    <t>1101</t>
  </si>
  <si>
    <t>1102</t>
  </si>
  <si>
    <t>1103</t>
  </si>
  <si>
    <t>1104</t>
  </si>
  <si>
    <t>1105</t>
  </si>
  <si>
    <t>1221</t>
  </si>
  <si>
    <t>1222</t>
  </si>
  <si>
    <t>1223</t>
  </si>
  <si>
    <t>1224</t>
  </si>
  <si>
    <t>1225</t>
  </si>
  <si>
    <t>510</t>
  </si>
  <si>
    <t>508</t>
  </si>
  <si>
    <t>509</t>
  </si>
  <si>
    <t>506</t>
  </si>
  <si>
    <t>507</t>
  </si>
  <si>
    <t>1709</t>
  </si>
  <si>
    <t>208</t>
  </si>
  <si>
    <t>1170</t>
  </si>
  <si>
    <t>1708</t>
  </si>
  <si>
    <t>1527</t>
  </si>
  <si>
    <t>1167</t>
  </si>
  <si>
    <t>1407</t>
  </si>
  <si>
    <t>1530</t>
  </si>
  <si>
    <t>388</t>
  </si>
  <si>
    <t>1168</t>
  </si>
  <si>
    <t>688</t>
  </si>
  <si>
    <t>690</t>
  </si>
  <si>
    <t>1047</t>
  </si>
  <si>
    <t>387</t>
  </si>
  <si>
    <t>148</t>
  </si>
  <si>
    <t>1529</t>
  </si>
  <si>
    <t>1410</t>
  </si>
  <si>
    <t>1528</t>
  </si>
  <si>
    <t>927</t>
  </si>
  <si>
    <t>390</t>
  </si>
  <si>
    <t>209</t>
  </si>
  <si>
    <t>1707</t>
  </si>
  <si>
    <t>207</t>
  </si>
  <si>
    <t>1050</t>
  </si>
  <si>
    <t>930</t>
  </si>
  <si>
    <t>1169</t>
  </si>
  <si>
    <t>1409</t>
  </si>
  <si>
    <t>210</t>
  </si>
  <si>
    <t>1048</t>
  </si>
  <si>
    <t>1049</t>
  </si>
  <si>
    <t>389</t>
  </si>
  <si>
    <t>1526</t>
  </si>
  <si>
    <t>568</t>
  </si>
  <si>
    <t>687</t>
  </si>
  <si>
    <t>928</t>
  </si>
  <si>
    <t>1347</t>
  </si>
  <si>
    <t>1408</t>
  </si>
  <si>
    <t>1350</t>
  </si>
  <si>
    <t>1166</t>
  </si>
  <si>
    <t>567</t>
  </si>
  <si>
    <t>1349</t>
  </si>
  <si>
    <t>1467</t>
  </si>
  <si>
    <t>628</t>
  </si>
  <si>
    <t>1710</t>
  </si>
  <si>
    <t>929</t>
  </si>
  <si>
    <t>149</t>
  </si>
  <si>
    <t>386</t>
  </si>
  <si>
    <t>206</t>
  </si>
  <si>
    <t>630</t>
  </si>
  <si>
    <t>1348</t>
  </si>
  <si>
    <t>1469</t>
  </si>
  <si>
    <t>1647</t>
  </si>
  <si>
    <t>1468</t>
  </si>
  <si>
    <t>1706</t>
  </si>
  <si>
    <t>1650</t>
  </si>
  <si>
    <t>689</t>
  </si>
  <si>
    <t>1406</t>
  </si>
  <si>
    <t>1470</t>
  </si>
  <si>
    <t>1046</t>
  </si>
  <si>
    <t>1587</t>
  </si>
  <si>
    <t>328</t>
  </si>
  <si>
    <t>1590</t>
  </si>
  <si>
    <t>268</t>
  </si>
  <si>
    <t>627</t>
  </si>
  <si>
    <t>330</t>
  </si>
  <si>
    <t>926</t>
  </si>
  <si>
    <t>270</t>
  </si>
  <si>
    <t>1648</t>
  </si>
  <si>
    <t>686</t>
  </si>
  <si>
    <t>570</t>
  </si>
  <si>
    <t>569</t>
  </si>
  <si>
    <t>1649</t>
  </si>
  <si>
    <t>327</t>
  </si>
  <si>
    <t>267</t>
  </si>
  <si>
    <t>1588</t>
  </si>
  <si>
    <t>1589</t>
  </si>
  <si>
    <t>1346</t>
  </si>
  <si>
    <t>150</t>
  </si>
  <si>
    <t>147</t>
  </si>
  <si>
    <t>88</t>
  </si>
  <si>
    <t>329</t>
  </si>
  <si>
    <t>1466</t>
  </si>
  <si>
    <t>269</t>
  </si>
  <si>
    <t>566</t>
  </si>
  <si>
    <t>1287</t>
  </si>
  <si>
    <t>867</t>
  </si>
  <si>
    <t>807</t>
  </si>
  <si>
    <t>1646</t>
  </si>
  <si>
    <t>146</t>
  </si>
  <si>
    <t>1290</t>
  </si>
  <si>
    <t>629</t>
  </si>
  <si>
    <t>870</t>
  </si>
  <si>
    <t>1586</t>
  </si>
  <si>
    <t>90</t>
  </si>
  <si>
    <t>87</t>
  </si>
  <si>
    <t>810</t>
  </si>
  <si>
    <t>326</t>
  </si>
  <si>
    <t>266</t>
  </si>
  <si>
    <t>626</t>
  </si>
  <si>
    <t>1289</t>
  </si>
  <si>
    <t>869</t>
  </si>
  <si>
    <t>809</t>
  </si>
  <si>
    <t>27</t>
  </si>
  <si>
    <t>1288</t>
  </si>
  <si>
    <t>868</t>
  </si>
  <si>
    <t>808</t>
  </si>
  <si>
    <t>89</t>
  </si>
  <si>
    <t>30</t>
  </si>
  <si>
    <t>28</t>
  </si>
  <si>
    <t>29</t>
  </si>
  <si>
    <t>86</t>
  </si>
  <si>
    <t>1286</t>
  </si>
  <si>
    <t>866</t>
  </si>
  <si>
    <t>806</t>
  </si>
  <si>
    <t>26</t>
  </si>
  <si>
    <t>446</t>
  </si>
  <si>
    <t>447</t>
  </si>
  <si>
    <t>448</t>
  </si>
  <si>
    <t>449</t>
  </si>
  <si>
    <t>450</t>
  </si>
  <si>
    <t>746</t>
  </si>
  <si>
    <t>747</t>
  </si>
  <si>
    <t>748</t>
  </si>
  <si>
    <t>749</t>
  </si>
  <si>
    <t>750</t>
  </si>
  <si>
    <t>986</t>
  </si>
  <si>
    <t>987</t>
  </si>
  <si>
    <t>988</t>
  </si>
  <si>
    <t>989</t>
  </si>
  <si>
    <t>990</t>
  </si>
  <si>
    <t>1106</t>
  </si>
  <si>
    <t>1107</t>
  </si>
  <si>
    <t>1108</t>
  </si>
  <si>
    <t>1109</t>
  </si>
  <si>
    <t>1110</t>
  </si>
  <si>
    <t>1226</t>
  </si>
  <si>
    <t>1227</t>
  </si>
  <si>
    <t>1228</t>
  </si>
  <si>
    <t>1229</t>
  </si>
  <si>
    <t>1230</t>
  </si>
  <si>
    <t>513</t>
  </si>
  <si>
    <t>515</t>
  </si>
  <si>
    <t>994</t>
  </si>
  <si>
    <t>512</t>
  </si>
  <si>
    <t>514</t>
  </si>
  <si>
    <t>511</t>
  </si>
  <si>
    <t>1714</t>
  </si>
  <si>
    <t>1172</t>
  </si>
  <si>
    <t>1713</t>
  </si>
  <si>
    <t>1532</t>
  </si>
  <si>
    <t>1173</t>
  </si>
  <si>
    <t>992</t>
  </si>
  <si>
    <t>213</t>
  </si>
  <si>
    <t>995</t>
  </si>
  <si>
    <t>1174</t>
  </si>
  <si>
    <t>1412</t>
  </si>
  <si>
    <t>1175</t>
  </si>
  <si>
    <t>214</t>
  </si>
  <si>
    <t>393</t>
  </si>
  <si>
    <t>1535</t>
  </si>
  <si>
    <t>1534</t>
  </si>
  <si>
    <t>153</t>
  </si>
  <si>
    <t>395</t>
  </si>
  <si>
    <t>1415</t>
  </si>
  <si>
    <t>993</t>
  </si>
  <si>
    <t>695</t>
  </si>
  <si>
    <t>693</t>
  </si>
  <si>
    <t>1171</t>
  </si>
  <si>
    <t>1533</t>
  </si>
  <si>
    <t>1414</t>
  </si>
  <si>
    <t>392</t>
  </si>
  <si>
    <t>991</t>
  </si>
  <si>
    <t>215</t>
  </si>
  <si>
    <t>212</t>
  </si>
  <si>
    <t>1055</t>
  </si>
  <si>
    <t>1712</t>
  </si>
  <si>
    <t>1352</t>
  </si>
  <si>
    <t>1413</t>
  </si>
  <si>
    <t>692</t>
  </si>
  <si>
    <t>1531</t>
  </si>
  <si>
    <t>935</t>
  </si>
  <si>
    <t>1052</t>
  </si>
  <si>
    <t>573</t>
  </si>
  <si>
    <t>154</t>
  </si>
  <si>
    <t>932</t>
  </si>
  <si>
    <t>572</t>
  </si>
  <si>
    <t>1355</t>
  </si>
  <si>
    <t>633</t>
  </si>
  <si>
    <t>1472</t>
  </si>
  <si>
    <t>211</t>
  </si>
  <si>
    <t>394</t>
  </si>
  <si>
    <t>1411</t>
  </si>
  <si>
    <t>1474</t>
  </si>
  <si>
    <t>635</t>
  </si>
  <si>
    <t>1715</t>
  </si>
  <si>
    <t>1475</t>
  </si>
  <si>
    <t>1053</t>
  </si>
  <si>
    <t>1592</t>
  </si>
  <si>
    <t>1595</t>
  </si>
  <si>
    <t>1655</t>
  </si>
  <si>
    <t>632</t>
  </si>
  <si>
    <t>1353</t>
  </si>
  <si>
    <t>1652</t>
  </si>
  <si>
    <t>933</t>
  </si>
  <si>
    <t>335</t>
  </si>
  <si>
    <t>391</t>
  </si>
  <si>
    <t>694</t>
  </si>
  <si>
    <t>1711</t>
  </si>
  <si>
    <t>1473</t>
  </si>
  <si>
    <t>275</t>
  </si>
  <si>
    <t>1354</t>
  </si>
  <si>
    <t>333</t>
  </si>
  <si>
    <t>574</t>
  </si>
  <si>
    <t>273</t>
  </si>
  <si>
    <t>575</t>
  </si>
  <si>
    <t>1594</t>
  </si>
  <si>
    <t>1593</t>
  </si>
  <si>
    <t>332</t>
  </si>
  <si>
    <t>1054</t>
  </si>
  <si>
    <t>934</t>
  </si>
  <si>
    <t>691</t>
  </si>
  <si>
    <t>272</t>
  </si>
  <si>
    <t>1653</t>
  </si>
  <si>
    <t>152</t>
  </si>
  <si>
    <t>1654</t>
  </si>
  <si>
    <t>155</t>
  </si>
  <si>
    <t>93</t>
  </si>
  <si>
    <t>1351</t>
  </si>
  <si>
    <t>334</t>
  </si>
  <si>
    <t>1471</t>
  </si>
  <si>
    <t>1051</t>
  </si>
  <si>
    <t>931</t>
  </si>
  <si>
    <t>571</t>
  </si>
  <si>
    <t>274</t>
  </si>
  <si>
    <t>1292</t>
  </si>
  <si>
    <t>151</t>
  </si>
  <si>
    <t>634</t>
  </si>
  <si>
    <t>872</t>
  </si>
  <si>
    <t>1591</t>
  </si>
  <si>
    <t>1295</t>
  </si>
  <si>
    <t>812</t>
  </si>
  <si>
    <t>875</t>
  </si>
  <si>
    <t>95</t>
  </si>
  <si>
    <t>92</t>
  </si>
  <si>
    <t>1651</t>
  </si>
  <si>
    <t>815</t>
  </si>
  <si>
    <t>631</t>
  </si>
  <si>
    <t>331</t>
  </si>
  <si>
    <t>271</t>
  </si>
  <si>
    <t>32</t>
  </si>
  <si>
    <t>94</t>
  </si>
  <si>
    <t>35</t>
  </si>
  <si>
    <t>1294</t>
  </si>
  <si>
    <t>874</t>
  </si>
  <si>
    <t>814</t>
  </si>
  <si>
    <t>1293</t>
  </si>
  <si>
    <t>873</t>
  </si>
  <si>
    <t>813</t>
  </si>
  <si>
    <t>33</t>
  </si>
  <si>
    <t>34</t>
  </si>
  <si>
    <t>91</t>
  </si>
  <si>
    <t>1291</t>
  </si>
  <si>
    <t>871</t>
  </si>
  <si>
    <t>811</t>
  </si>
  <si>
    <t>31</t>
  </si>
  <si>
    <t>451</t>
  </si>
  <si>
    <t>452</t>
  </si>
  <si>
    <t>453</t>
  </si>
  <si>
    <t>454</t>
  </si>
  <si>
    <t>455</t>
  </si>
  <si>
    <t>751</t>
  </si>
  <si>
    <t>752</t>
  </si>
  <si>
    <t>753</t>
  </si>
  <si>
    <t>754</t>
  </si>
  <si>
    <t>755</t>
  </si>
  <si>
    <t>1111</t>
  </si>
  <si>
    <t>1112</t>
  </si>
  <si>
    <t>1113</t>
  </si>
  <si>
    <t>1114</t>
  </si>
  <si>
    <t>1115</t>
  </si>
  <si>
    <t>1231</t>
  </si>
  <si>
    <t>1232</t>
  </si>
  <si>
    <t>1233</t>
  </si>
  <si>
    <t>1234</t>
  </si>
  <si>
    <t>1235</t>
  </si>
  <si>
    <t>518</t>
  </si>
  <si>
    <t>1178</t>
  </si>
  <si>
    <t>1177</t>
  </si>
  <si>
    <t>517</t>
  </si>
  <si>
    <t>520</t>
  </si>
  <si>
    <t>1180</t>
  </si>
  <si>
    <t>519</t>
  </si>
  <si>
    <t>1537</t>
  </si>
  <si>
    <t>218</t>
  </si>
  <si>
    <t>1179</t>
  </si>
  <si>
    <t>1540</t>
  </si>
  <si>
    <t>516</t>
  </si>
  <si>
    <t>1417</t>
  </si>
  <si>
    <t>1176</t>
  </si>
  <si>
    <t>1539</t>
  </si>
  <si>
    <t>997</t>
  </si>
  <si>
    <t>1000</t>
  </si>
  <si>
    <t>1357</t>
  </si>
  <si>
    <t>219</t>
  </si>
  <si>
    <t>398</t>
  </si>
  <si>
    <t>158</t>
  </si>
  <si>
    <t>1420</t>
  </si>
  <si>
    <t>400</t>
  </si>
  <si>
    <t>1538</t>
  </si>
  <si>
    <t>1419</t>
  </si>
  <si>
    <t>698</t>
  </si>
  <si>
    <t>1360</t>
  </si>
  <si>
    <t>397</t>
  </si>
  <si>
    <t>1718</t>
  </si>
  <si>
    <t>700</t>
  </si>
  <si>
    <t>1536</t>
  </si>
  <si>
    <t>578</t>
  </si>
  <si>
    <t>999</t>
  </si>
  <si>
    <t>697</t>
  </si>
  <si>
    <t>1418</t>
  </si>
  <si>
    <t>1719</t>
  </si>
  <si>
    <t>998</t>
  </si>
  <si>
    <t>1358</t>
  </si>
  <si>
    <t>217</t>
  </si>
  <si>
    <t>159</t>
  </si>
  <si>
    <t>577</t>
  </si>
  <si>
    <t>1057</t>
  </si>
  <si>
    <t>1717</t>
  </si>
  <si>
    <t>1060</t>
  </si>
  <si>
    <t>638</t>
  </si>
  <si>
    <t>937</t>
  </si>
  <si>
    <t>220</t>
  </si>
  <si>
    <t>1720</t>
  </si>
  <si>
    <t>940</t>
  </si>
  <si>
    <t>1359</t>
  </si>
  <si>
    <t>399</t>
  </si>
  <si>
    <t>640</t>
  </si>
  <si>
    <t>1416</t>
  </si>
  <si>
    <t>1477</t>
  </si>
  <si>
    <t>1480</t>
  </si>
  <si>
    <t>1660</t>
  </si>
  <si>
    <t>338</t>
  </si>
  <si>
    <t>1597</t>
  </si>
  <si>
    <t>1479</t>
  </si>
  <si>
    <t>1657</t>
  </si>
  <si>
    <t>637</t>
  </si>
  <si>
    <t>340</t>
  </si>
  <si>
    <t>996</t>
  </si>
  <si>
    <t>278</t>
  </si>
  <si>
    <t>1600</t>
  </si>
  <si>
    <t>280</t>
  </si>
  <si>
    <t>216</t>
  </si>
  <si>
    <t>396</t>
  </si>
  <si>
    <t>337</t>
  </si>
  <si>
    <t>1599</t>
  </si>
  <si>
    <t>579</t>
  </si>
  <si>
    <t>1356</t>
  </si>
  <si>
    <t>1478</t>
  </si>
  <si>
    <t>277</t>
  </si>
  <si>
    <t>699</t>
  </si>
  <si>
    <t>1058</t>
  </si>
  <si>
    <t>1659</t>
  </si>
  <si>
    <t>580</t>
  </si>
  <si>
    <t>1716</t>
  </si>
  <si>
    <t>1658</t>
  </si>
  <si>
    <t>1598</t>
  </si>
  <si>
    <t>157</t>
  </si>
  <si>
    <t>938</t>
  </si>
  <si>
    <t>98</t>
  </si>
  <si>
    <t>696</t>
  </si>
  <si>
    <t>160</t>
  </si>
  <si>
    <t>339</t>
  </si>
  <si>
    <t>639</t>
  </si>
  <si>
    <t>279</t>
  </si>
  <si>
    <t>1059</t>
  </si>
  <si>
    <t>576</t>
  </si>
  <si>
    <t>939</t>
  </si>
  <si>
    <t>1476</t>
  </si>
  <si>
    <t>1297</t>
  </si>
  <si>
    <t>156</t>
  </si>
  <si>
    <t>1596</t>
  </si>
  <si>
    <t>1300</t>
  </si>
  <si>
    <t>97</t>
  </si>
  <si>
    <t>1656</t>
  </si>
  <si>
    <t>877</t>
  </si>
  <si>
    <t>636</t>
  </si>
  <si>
    <t>336</t>
  </si>
  <si>
    <t>880</t>
  </si>
  <si>
    <t>817</t>
  </si>
  <si>
    <t>1056</t>
  </si>
  <si>
    <t>100</t>
  </si>
  <si>
    <t>820</t>
  </si>
  <si>
    <t>276</t>
  </si>
  <si>
    <t>936</t>
  </si>
  <si>
    <t>99</t>
  </si>
  <si>
    <t>1299</t>
  </si>
  <si>
    <t>37</t>
  </si>
  <si>
    <t>40</t>
  </si>
  <si>
    <t>1298</t>
  </si>
  <si>
    <t>879</t>
  </si>
  <si>
    <t>819</t>
  </si>
  <si>
    <t>878</t>
  </si>
  <si>
    <t>818</t>
  </si>
  <si>
    <t>38</t>
  </si>
  <si>
    <t>96</t>
  </si>
  <si>
    <t>39</t>
  </si>
  <si>
    <t>1296</t>
  </si>
  <si>
    <t>876</t>
  </si>
  <si>
    <t>816</t>
  </si>
  <si>
    <t>36</t>
  </si>
  <si>
    <t>456</t>
  </si>
  <si>
    <t>457</t>
  </si>
  <si>
    <t>458</t>
  </si>
  <si>
    <t>459</t>
  </si>
  <si>
    <t>460</t>
  </si>
  <si>
    <t>756</t>
  </si>
  <si>
    <t>757</t>
  </si>
  <si>
    <t>758</t>
  </si>
  <si>
    <t>759</t>
  </si>
  <si>
    <t>760</t>
  </si>
  <si>
    <t>1116</t>
  </si>
  <si>
    <t>1117</t>
  </si>
  <si>
    <t>1118</t>
  </si>
  <si>
    <t>1119</t>
  </si>
  <si>
    <t>1120</t>
  </si>
  <si>
    <t>1236</t>
  </si>
  <si>
    <t>1237</t>
  </si>
  <si>
    <t>1238</t>
  </si>
  <si>
    <t>1239</t>
  </si>
  <si>
    <t>1240</t>
  </si>
  <si>
    <t>525</t>
  </si>
  <si>
    <t>524</t>
  </si>
  <si>
    <t>522</t>
  </si>
  <si>
    <t>1005</t>
  </si>
  <si>
    <t>521</t>
  </si>
  <si>
    <t>1002</t>
  </si>
  <si>
    <t>1185</t>
  </si>
  <si>
    <t>223</t>
  </si>
  <si>
    <t>1542</t>
  </si>
  <si>
    <t>1422</t>
  </si>
  <si>
    <t>163</t>
  </si>
  <si>
    <t>1545</t>
  </si>
  <si>
    <t>1544</t>
  </si>
  <si>
    <t>1543</t>
  </si>
  <si>
    <t>1425</t>
  </si>
  <si>
    <t>1183</t>
  </si>
  <si>
    <t>403</t>
  </si>
  <si>
    <t>1362</t>
  </si>
  <si>
    <t>1365</t>
  </si>
  <si>
    <t>402</t>
  </si>
  <si>
    <t>224</t>
  </si>
  <si>
    <t>705</t>
  </si>
  <si>
    <t>1065</t>
  </si>
  <si>
    <t>1062</t>
  </si>
  <si>
    <t>945</t>
  </si>
  <si>
    <t>1424</t>
  </si>
  <si>
    <t>405</t>
  </si>
  <si>
    <t>1184</t>
  </si>
  <si>
    <t>703</t>
  </si>
  <si>
    <t>1423</t>
  </si>
  <si>
    <t>582</t>
  </si>
  <si>
    <t>1541</t>
  </si>
  <si>
    <t>1725</t>
  </si>
  <si>
    <t>702</t>
  </si>
  <si>
    <t>1182</t>
  </si>
  <si>
    <t>583</t>
  </si>
  <si>
    <t>1723</t>
  </si>
  <si>
    <t>643</t>
  </si>
  <si>
    <t>1004</t>
  </si>
  <si>
    <t>225</t>
  </si>
  <si>
    <t>1003</t>
  </si>
  <si>
    <t>1363</t>
  </si>
  <si>
    <t>1482</t>
  </si>
  <si>
    <t>942</t>
  </si>
  <si>
    <t>645</t>
  </si>
  <si>
    <t>404</t>
  </si>
  <si>
    <t>1722</t>
  </si>
  <si>
    <t>1724</t>
  </si>
  <si>
    <t>164</t>
  </si>
  <si>
    <t>222</t>
  </si>
  <si>
    <t>1364</t>
  </si>
  <si>
    <t>1484</t>
  </si>
  <si>
    <t>1421</t>
  </si>
  <si>
    <t>1181</t>
  </si>
  <si>
    <t>704</t>
  </si>
  <si>
    <t>1063</t>
  </si>
  <si>
    <t>1001</t>
  </si>
  <si>
    <t>343</t>
  </si>
  <si>
    <t>1602</t>
  </si>
  <si>
    <t>1665</t>
  </si>
  <si>
    <t>642</t>
  </si>
  <si>
    <t>345</t>
  </si>
  <si>
    <t>1485</t>
  </si>
  <si>
    <t>342</t>
  </si>
  <si>
    <t>584</t>
  </si>
  <si>
    <t>283</t>
  </si>
  <si>
    <t>401</t>
  </si>
  <si>
    <t>1605</t>
  </si>
  <si>
    <t>1662</t>
  </si>
  <si>
    <t>1064</t>
  </si>
  <si>
    <t>282</t>
  </si>
  <si>
    <t>285</t>
  </si>
  <si>
    <t>1604</t>
  </si>
  <si>
    <t>221</t>
  </si>
  <si>
    <t>1361</t>
  </si>
  <si>
    <t>943</t>
  </si>
  <si>
    <t>1663</t>
  </si>
  <si>
    <t>1664</t>
  </si>
  <si>
    <t>1483</t>
  </si>
  <si>
    <t>701</t>
  </si>
  <si>
    <t>585</t>
  </si>
  <si>
    <t>944</t>
  </si>
  <si>
    <t>1721</t>
  </si>
  <si>
    <t>1603</t>
  </si>
  <si>
    <t>103</t>
  </si>
  <si>
    <t>344</t>
  </si>
  <si>
    <t>162</t>
  </si>
  <si>
    <t>1061</t>
  </si>
  <si>
    <t>165</t>
  </si>
  <si>
    <t>284</t>
  </si>
  <si>
    <t>644</t>
  </si>
  <si>
    <t>581</t>
  </si>
  <si>
    <t>1481</t>
  </si>
  <si>
    <t>941</t>
  </si>
  <si>
    <t>1302</t>
  </si>
  <si>
    <t>341</t>
  </si>
  <si>
    <t>641</t>
  </si>
  <si>
    <t>1661</t>
  </si>
  <si>
    <t>102</t>
  </si>
  <si>
    <t>1601</t>
  </si>
  <si>
    <t>161</t>
  </si>
  <si>
    <t>882</t>
  </si>
  <si>
    <t>1305</t>
  </si>
  <si>
    <t>885</t>
  </si>
  <si>
    <t>822</t>
  </si>
  <si>
    <t>281</t>
  </si>
  <si>
    <t>105</t>
  </si>
  <si>
    <t>825</t>
  </si>
  <si>
    <t>104</t>
  </si>
  <si>
    <t>1304</t>
  </si>
  <si>
    <t>42</t>
  </si>
  <si>
    <t>45</t>
  </si>
  <si>
    <t>884</t>
  </si>
  <si>
    <t>824</t>
  </si>
  <si>
    <t>1303</t>
  </si>
  <si>
    <t>883</t>
  </si>
  <si>
    <t>823</t>
  </si>
  <si>
    <t>43</t>
  </si>
  <si>
    <t>44</t>
  </si>
  <si>
    <t>101</t>
  </si>
  <si>
    <t>1301</t>
  </si>
  <si>
    <t>881</t>
  </si>
  <si>
    <t>821</t>
  </si>
  <si>
    <t>41</t>
  </si>
  <si>
    <t>461</t>
  </si>
  <si>
    <t>462</t>
  </si>
  <si>
    <t>463</t>
  </si>
  <si>
    <t>464</t>
  </si>
  <si>
    <t>465</t>
  </si>
  <si>
    <t>523</t>
  </si>
  <si>
    <t>761</t>
  </si>
  <si>
    <t>762</t>
  </si>
  <si>
    <t>763</t>
  </si>
  <si>
    <t>764</t>
  </si>
  <si>
    <t>765</t>
  </si>
  <si>
    <t>1121</t>
  </si>
  <si>
    <t>1122</t>
  </si>
  <si>
    <t>1123</t>
  </si>
  <si>
    <t>1124</t>
  </si>
  <si>
    <t>1125</t>
  </si>
  <si>
    <t>1241</t>
  </si>
  <si>
    <t>1242</t>
  </si>
  <si>
    <t>1243</t>
  </si>
  <si>
    <t>1244</t>
  </si>
  <si>
    <t>1245</t>
  </si>
  <si>
    <t>1250</t>
  </si>
  <si>
    <t>1248</t>
  </si>
  <si>
    <t>1249</t>
  </si>
  <si>
    <t>1246</t>
  </si>
  <si>
    <t>528</t>
  </si>
  <si>
    <t>1190</t>
  </si>
  <si>
    <t>1547</t>
  </si>
  <si>
    <t>1550</t>
  </si>
  <si>
    <t>530</t>
  </si>
  <si>
    <t>228</t>
  </si>
  <si>
    <t>1187</t>
  </si>
  <si>
    <t>527</t>
  </si>
  <si>
    <t>1188</t>
  </si>
  <si>
    <t>529</t>
  </si>
  <si>
    <t>1430</t>
  </si>
  <si>
    <t>1427</t>
  </si>
  <si>
    <t>1549</t>
  </si>
  <si>
    <t>1189</t>
  </si>
  <si>
    <t>168</t>
  </si>
  <si>
    <t>229</t>
  </si>
  <si>
    <t>408</t>
  </si>
  <si>
    <t>1548</t>
  </si>
  <si>
    <t>407</t>
  </si>
  <si>
    <t>1429</t>
  </si>
  <si>
    <t>1367</t>
  </si>
  <si>
    <t>1070</t>
  </si>
  <si>
    <t>1370</t>
  </si>
  <si>
    <t>526</t>
  </si>
  <si>
    <t>950</t>
  </si>
  <si>
    <t>410</t>
  </si>
  <si>
    <t>1067</t>
  </si>
  <si>
    <t>1186</t>
  </si>
  <si>
    <t>947</t>
  </si>
  <si>
    <t>708</t>
  </si>
  <si>
    <t>707</t>
  </si>
  <si>
    <t>1546</t>
  </si>
  <si>
    <t>1487</t>
  </si>
  <si>
    <t>710</t>
  </si>
  <si>
    <t>409</t>
  </si>
  <si>
    <t>1069</t>
  </si>
  <si>
    <t>588</t>
  </si>
  <si>
    <t>1728</t>
  </si>
  <si>
    <t>1730</t>
  </si>
  <si>
    <t>1369</t>
  </si>
  <si>
    <t>587</t>
  </si>
  <si>
    <t>949</t>
  </si>
  <si>
    <t>1428</t>
  </si>
  <si>
    <t>1729</t>
  </si>
  <si>
    <t>230</t>
  </si>
  <si>
    <t>1727</t>
  </si>
  <si>
    <t>1368</t>
  </si>
  <si>
    <t>169</t>
  </si>
  <si>
    <t>709</t>
  </si>
  <si>
    <t>648</t>
  </si>
  <si>
    <t>227</t>
  </si>
  <si>
    <t>1490</t>
  </si>
  <si>
    <t>348</t>
  </si>
  <si>
    <t>1426</t>
  </si>
  <si>
    <t>350</t>
  </si>
  <si>
    <t>1489</t>
  </si>
  <si>
    <t>406</t>
  </si>
  <si>
    <t>1607</t>
  </si>
  <si>
    <t>288</t>
  </si>
  <si>
    <t>347</t>
  </si>
  <si>
    <t>590</t>
  </si>
  <si>
    <t>1068</t>
  </si>
  <si>
    <t>1488</t>
  </si>
  <si>
    <t>290</t>
  </si>
  <si>
    <t>948</t>
  </si>
  <si>
    <t>1609</t>
  </si>
  <si>
    <t>1667</t>
  </si>
  <si>
    <t>287</t>
  </si>
  <si>
    <t>1670</t>
  </si>
  <si>
    <t>1610</t>
  </si>
  <si>
    <t>589</t>
  </si>
  <si>
    <t>1366</t>
  </si>
  <si>
    <t>1669</t>
  </si>
  <si>
    <t>226</t>
  </si>
  <si>
    <t>706</t>
  </si>
  <si>
    <t>349</t>
  </si>
  <si>
    <t>1668</t>
  </si>
  <si>
    <t>650</t>
  </si>
  <si>
    <t>1066</t>
  </si>
  <si>
    <t>1608</t>
  </si>
  <si>
    <t>1726</t>
  </si>
  <si>
    <t>946</t>
  </si>
  <si>
    <t>289</t>
  </si>
  <si>
    <t>647</t>
  </si>
  <si>
    <t>108</t>
  </si>
  <si>
    <t>167</t>
  </si>
  <si>
    <t>1486</t>
  </si>
  <si>
    <t>586</t>
  </si>
  <si>
    <t>170</t>
  </si>
  <si>
    <t>346</t>
  </si>
  <si>
    <t>1307</t>
  </si>
  <si>
    <t>887</t>
  </si>
  <si>
    <t>1606</t>
  </si>
  <si>
    <t>286</t>
  </si>
  <si>
    <t>1666</t>
  </si>
  <si>
    <t>827</t>
  </si>
  <si>
    <t>649</t>
  </si>
  <si>
    <t>107</t>
  </si>
  <si>
    <t>1310</t>
  </si>
  <si>
    <t>166</t>
  </si>
  <si>
    <t>890</t>
  </si>
  <si>
    <t>830</t>
  </si>
  <si>
    <t>110</t>
  </si>
  <si>
    <t>646</t>
  </si>
  <si>
    <t>109</t>
  </si>
  <si>
    <t>1309</t>
  </si>
  <si>
    <t>889</t>
  </si>
  <si>
    <t>829</t>
  </si>
  <si>
    <t>47</t>
  </si>
  <si>
    <t>1308</t>
  </si>
  <si>
    <t>50</t>
  </si>
  <si>
    <t>888</t>
  </si>
  <si>
    <t>828</t>
  </si>
  <si>
    <t>48</t>
  </si>
  <si>
    <t>49</t>
  </si>
  <si>
    <t>106</t>
  </si>
  <si>
    <t>1306</t>
  </si>
  <si>
    <t>886</t>
  </si>
  <si>
    <t>826</t>
  </si>
  <si>
    <t>46</t>
  </si>
  <si>
    <t>466</t>
  </si>
  <si>
    <t>467</t>
  </si>
  <si>
    <t>468</t>
  </si>
  <si>
    <t>469</t>
  </si>
  <si>
    <t>470</t>
  </si>
  <si>
    <t>766</t>
  </si>
  <si>
    <t>767</t>
  </si>
  <si>
    <t>768</t>
  </si>
  <si>
    <t>769</t>
  </si>
  <si>
    <t>770</t>
  </si>
  <si>
    <t>1006</t>
  </si>
  <si>
    <t>1007</t>
  </si>
  <si>
    <t>1008</t>
  </si>
  <si>
    <t>1009</t>
  </si>
  <si>
    <t>1010</t>
  </si>
  <si>
    <t>1126</t>
  </si>
  <si>
    <t>1127</t>
  </si>
  <si>
    <t>1128</t>
  </si>
  <si>
    <t>1129</t>
  </si>
  <si>
    <t>1130</t>
  </si>
  <si>
    <t>1247</t>
  </si>
  <si>
    <t>1372</t>
  </si>
  <si>
    <t>533</t>
  </si>
  <si>
    <t>1192</t>
  </si>
  <si>
    <t>1552</t>
  </si>
  <si>
    <t>1555</t>
  </si>
  <si>
    <t>1432</t>
  </si>
  <si>
    <t>1194</t>
  </si>
  <si>
    <t>535</t>
  </si>
  <si>
    <t>233</t>
  </si>
  <si>
    <t>1193</t>
  </si>
  <si>
    <t>1195</t>
  </si>
  <si>
    <t>1435</t>
  </si>
  <si>
    <t>534</t>
  </si>
  <si>
    <t>1554</t>
  </si>
  <si>
    <t>1375</t>
  </si>
  <si>
    <t>532</t>
  </si>
  <si>
    <t>413</t>
  </si>
  <si>
    <t>1553</t>
  </si>
  <si>
    <t>412</t>
  </si>
  <si>
    <t>173</t>
  </si>
  <si>
    <t>1434</t>
  </si>
  <si>
    <t>415</t>
  </si>
  <si>
    <t>1373</t>
  </si>
  <si>
    <t>1735</t>
  </si>
  <si>
    <t>1191</t>
  </si>
  <si>
    <t>234</t>
  </si>
  <si>
    <t>1732</t>
  </si>
  <si>
    <t>531</t>
  </si>
  <si>
    <t>1374</t>
  </si>
  <si>
    <t>593</t>
  </si>
  <si>
    <t>1733</t>
  </si>
  <si>
    <t>1551</t>
  </si>
  <si>
    <t>1492</t>
  </si>
  <si>
    <t>414</t>
  </si>
  <si>
    <t>1072</t>
  </si>
  <si>
    <t>1075</t>
  </si>
  <si>
    <t>1433</t>
  </si>
  <si>
    <t>952</t>
  </si>
  <si>
    <t>592</t>
  </si>
  <si>
    <t>1734</t>
  </si>
  <si>
    <t>955</t>
  </si>
  <si>
    <t>353</t>
  </si>
  <si>
    <t>235</t>
  </si>
  <si>
    <t>713</t>
  </si>
  <si>
    <t>352</t>
  </si>
  <si>
    <t>355</t>
  </si>
  <si>
    <t>1371</t>
  </si>
  <si>
    <t>715</t>
  </si>
  <si>
    <t>293</t>
  </si>
  <si>
    <t>712</t>
  </si>
  <si>
    <t>1431</t>
  </si>
  <si>
    <t>174</t>
  </si>
  <si>
    <t>232</t>
  </si>
  <si>
    <t>1495</t>
  </si>
  <si>
    <t>594</t>
  </si>
  <si>
    <t>1494</t>
  </si>
  <si>
    <t>411</t>
  </si>
  <si>
    <t>1612</t>
  </si>
  <si>
    <t>295</t>
  </si>
  <si>
    <t>292</t>
  </si>
  <si>
    <t>1675</t>
  </si>
  <si>
    <t>1672</t>
  </si>
  <si>
    <t>1615</t>
  </si>
  <si>
    <t>1073</t>
  </si>
  <si>
    <t>1614</t>
  </si>
  <si>
    <t>953</t>
  </si>
  <si>
    <t>354</t>
  </si>
  <si>
    <t>595</t>
  </si>
  <si>
    <t>1674</t>
  </si>
  <si>
    <t>1731</t>
  </si>
  <si>
    <t>1673</t>
  </si>
  <si>
    <t>1493</t>
  </si>
  <si>
    <t>294</t>
  </si>
  <si>
    <t>653</t>
  </si>
  <si>
    <t>1613</t>
  </si>
  <si>
    <t>231</t>
  </si>
  <si>
    <t>1074</t>
  </si>
  <si>
    <t>954</t>
  </si>
  <si>
    <t>655</t>
  </si>
  <si>
    <t>172</t>
  </si>
  <si>
    <t>714</t>
  </si>
  <si>
    <t>591</t>
  </si>
  <si>
    <t>351</t>
  </si>
  <si>
    <t>113</t>
  </si>
  <si>
    <t>1491</t>
  </si>
  <si>
    <t>1071</t>
  </si>
  <si>
    <t>951</t>
  </si>
  <si>
    <t>1312</t>
  </si>
  <si>
    <t>291</t>
  </si>
  <si>
    <t>175</t>
  </si>
  <si>
    <t>892</t>
  </si>
  <si>
    <t>1671</t>
  </si>
  <si>
    <t>711</t>
  </si>
  <si>
    <t>832</t>
  </si>
  <si>
    <t>1611</t>
  </si>
  <si>
    <t>652</t>
  </si>
  <si>
    <t>1315</t>
  </si>
  <si>
    <t>895</t>
  </si>
  <si>
    <t>835</t>
  </si>
  <si>
    <t>171</t>
  </si>
  <si>
    <t>115</t>
  </si>
  <si>
    <t>1314</t>
  </si>
  <si>
    <t>112</t>
  </si>
  <si>
    <t>894</t>
  </si>
  <si>
    <t>654</t>
  </si>
  <si>
    <t>834</t>
  </si>
  <si>
    <t>1313</t>
  </si>
  <si>
    <t>893</t>
  </si>
  <si>
    <t>833</t>
  </si>
  <si>
    <t>52</t>
  </si>
  <si>
    <t>55</t>
  </si>
  <si>
    <t>53</t>
  </si>
  <si>
    <t>114</t>
  </si>
  <si>
    <t>651</t>
  </si>
  <si>
    <t>54</t>
  </si>
  <si>
    <t>1311</t>
  </si>
  <si>
    <t>891</t>
  </si>
  <si>
    <t>831</t>
  </si>
  <si>
    <t>111</t>
  </si>
  <si>
    <t>51</t>
  </si>
  <si>
    <t>471</t>
  </si>
  <si>
    <t>472</t>
  </si>
  <si>
    <t>473</t>
  </si>
  <si>
    <t>474</t>
  </si>
  <si>
    <t>475</t>
  </si>
  <si>
    <t>771</t>
  </si>
  <si>
    <t>772</t>
  </si>
  <si>
    <t>773</t>
  </si>
  <si>
    <t>774</t>
  </si>
  <si>
    <t>775</t>
  </si>
  <si>
    <t>1011</t>
  </si>
  <si>
    <t>1012</t>
  </si>
  <si>
    <t>1013</t>
  </si>
  <si>
    <t>1014</t>
  </si>
  <si>
    <t>1015</t>
  </si>
  <si>
    <t>1131</t>
  </si>
  <si>
    <t>1132</t>
  </si>
  <si>
    <t>1133</t>
  </si>
  <si>
    <t>1134</t>
  </si>
  <si>
    <t>1135</t>
  </si>
  <si>
    <t>1251</t>
  </si>
  <si>
    <t>1252</t>
  </si>
  <si>
    <t>1253</t>
  </si>
  <si>
    <t>1254</t>
  </si>
  <si>
    <t>1255</t>
  </si>
  <si>
    <t>778</t>
  </si>
  <si>
    <t>780</t>
  </si>
  <si>
    <t>777</t>
  </si>
  <si>
    <t>779</t>
  </si>
  <si>
    <t>776</t>
  </si>
  <si>
    <t>1198</t>
  </si>
  <si>
    <t>1200</t>
  </si>
  <si>
    <t>1197</t>
  </si>
  <si>
    <t>1196</t>
  </si>
  <si>
    <t>1437</t>
  </si>
  <si>
    <t>538</t>
  </si>
  <si>
    <t>1557</t>
  </si>
  <si>
    <t>540</t>
  </si>
  <si>
    <t>1560</t>
  </si>
  <si>
    <t>418</t>
  </si>
  <si>
    <t>1377</t>
  </si>
  <si>
    <t>537</t>
  </si>
  <si>
    <t>539</t>
  </si>
  <si>
    <t>1440</t>
  </si>
  <si>
    <t>1559</t>
  </si>
  <si>
    <t>238</t>
  </si>
  <si>
    <t>1558</t>
  </si>
  <si>
    <t>417</t>
  </si>
  <si>
    <t>1439</t>
  </si>
  <si>
    <t>420</t>
  </si>
  <si>
    <t>1380</t>
  </si>
  <si>
    <t>1740</t>
  </si>
  <si>
    <t>178</t>
  </si>
  <si>
    <t>1737</t>
  </si>
  <si>
    <t>1738</t>
  </si>
  <si>
    <t>536</t>
  </si>
  <si>
    <t>1379</t>
  </si>
  <si>
    <t>598</t>
  </si>
  <si>
    <t>1438</t>
  </si>
  <si>
    <t>1077</t>
  </si>
  <si>
    <t>1556</t>
  </si>
  <si>
    <t>957</t>
  </si>
  <si>
    <t>239</t>
  </si>
  <si>
    <t>1739</t>
  </si>
  <si>
    <t>1497</t>
  </si>
  <si>
    <t>419</t>
  </si>
  <si>
    <t>1378</t>
  </si>
  <si>
    <t>358</t>
  </si>
  <si>
    <t>240</t>
  </si>
  <si>
    <t>360</t>
  </si>
  <si>
    <t>1436</t>
  </si>
  <si>
    <t>298</t>
  </si>
  <si>
    <t>1080</t>
  </si>
  <si>
    <t>960</t>
  </si>
  <si>
    <t>1500</t>
  </si>
  <si>
    <t>718</t>
  </si>
  <si>
    <t>1078</t>
  </si>
  <si>
    <t>958</t>
  </si>
  <si>
    <t>300</t>
  </si>
  <si>
    <t>416</t>
  </si>
  <si>
    <t>1499</t>
  </si>
  <si>
    <t>959</t>
  </si>
  <si>
    <t>1079</t>
  </si>
  <si>
    <t>179</t>
  </si>
  <si>
    <t>720</t>
  </si>
  <si>
    <t>597</t>
  </si>
  <si>
    <t>1617</t>
  </si>
  <si>
    <t>237</t>
  </si>
  <si>
    <t>1680</t>
  </si>
  <si>
    <t>717</t>
  </si>
  <si>
    <t>1376</t>
  </si>
  <si>
    <t>357</t>
  </si>
  <si>
    <t>1736</t>
  </si>
  <si>
    <t>1620</t>
  </si>
  <si>
    <t>1677</t>
  </si>
  <si>
    <t>599</t>
  </si>
  <si>
    <t>1619</t>
  </si>
  <si>
    <t>297</t>
  </si>
  <si>
    <t>600</t>
  </si>
  <si>
    <t>1679</t>
  </si>
  <si>
    <t>1678</t>
  </si>
  <si>
    <t>1498</t>
  </si>
  <si>
    <t>359</t>
  </si>
  <si>
    <t>1618</t>
  </si>
  <si>
    <t>236</t>
  </si>
  <si>
    <t>660</t>
  </si>
  <si>
    <t>299</t>
  </si>
  <si>
    <t>658</t>
  </si>
  <si>
    <t>1076</t>
  </si>
  <si>
    <t>956</t>
  </si>
  <si>
    <t>177</t>
  </si>
  <si>
    <t>719</t>
  </si>
  <si>
    <t>1496</t>
  </si>
  <si>
    <t>596</t>
  </si>
  <si>
    <t>356</t>
  </si>
  <si>
    <t>1317</t>
  </si>
  <si>
    <t>897</t>
  </si>
  <si>
    <t>180</t>
  </si>
  <si>
    <t>118</t>
  </si>
  <si>
    <t>837</t>
  </si>
  <si>
    <t>657</t>
  </si>
  <si>
    <t>296</t>
  </si>
  <si>
    <t>1676</t>
  </si>
  <si>
    <t>1616</t>
  </si>
  <si>
    <t>716</t>
  </si>
  <si>
    <t>1320</t>
  </si>
  <si>
    <t>900</t>
  </si>
  <si>
    <t>840</t>
  </si>
  <si>
    <t>176</t>
  </si>
  <si>
    <t>659</t>
  </si>
  <si>
    <t>1319</t>
  </si>
  <si>
    <t>120</t>
  </si>
  <si>
    <t>899</t>
  </si>
  <si>
    <t>839</t>
  </si>
  <si>
    <t>117</t>
  </si>
  <si>
    <t>1318</t>
  </si>
  <si>
    <t>898</t>
  </si>
  <si>
    <t>838</t>
  </si>
  <si>
    <t>57</t>
  </si>
  <si>
    <t>60</t>
  </si>
  <si>
    <t>119</t>
  </si>
  <si>
    <t>58</t>
  </si>
  <si>
    <t>656</t>
  </si>
  <si>
    <t>59</t>
  </si>
  <si>
    <t>1316</t>
  </si>
  <si>
    <t>896</t>
  </si>
  <si>
    <t>836</t>
  </si>
  <si>
    <t>116</t>
  </si>
  <si>
    <t>56</t>
  </si>
  <si>
    <t>476</t>
  </si>
  <si>
    <t>477</t>
  </si>
  <si>
    <t>478</t>
  </si>
  <si>
    <t>479</t>
  </si>
  <si>
    <t>480</t>
  </si>
  <si>
    <t>1016</t>
  </si>
  <si>
    <t>1017</t>
  </si>
  <si>
    <t>1018</t>
  </si>
  <si>
    <t>1019</t>
  </si>
  <si>
    <t>1020</t>
  </si>
  <si>
    <t>1136</t>
  </si>
  <si>
    <t>1137</t>
  </si>
  <si>
    <t>1138</t>
  </si>
  <si>
    <t>1139</t>
  </si>
  <si>
    <t>1140</t>
  </si>
  <si>
    <t>1199</t>
  </si>
  <si>
    <t>1256</t>
  </si>
  <si>
    <t>1257</t>
  </si>
  <si>
    <t>1258</t>
  </si>
  <si>
    <t>1259</t>
  </si>
  <si>
    <t>1260</t>
  </si>
  <si>
    <t>Investment Completed (10000RMB)</t>
  </si>
  <si>
    <t>当年完成投资额(百万元人民币)</t>
  </si>
  <si>
    <t>DC Transmission</t>
  </si>
  <si>
    <t>AC Transmission</t>
  </si>
  <si>
    <t>Total</t>
  </si>
  <si>
    <t>Total USD Investment</t>
  </si>
  <si>
    <t>电网投资（million 2012USD）</t>
  </si>
  <si>
    <t>Added Capacity (MW*mile)</t>
  </si>
  <si>
    <t>本年新增能力（MW*mile）</t>
  </si>
  <si>
    <t>电网新增容量</t>
  </si>
  <si>
    <t>$ / MW-mile</t>
  </si>
  <si>
    <t>人民币年份</t>
  </si>
  <si>
    <t>当年人民币相对2012美元</t>
  </si>
  <si>
    <t>2012美元相对当年人民币价格</t>
  </si>
  <si>
    <t>Nominal GDP</t>
  </si>
  <si>
    <t>Growth</t>
  </si>
  <si>
    <t>Deflator</t>
  </si>
  <si>
    <t>Cost per Unit Capacity Distance (2012$/(circuit mile))</t>
  </si>
  <si>
    <t>Transmission Construction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</si>
</sst>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_ "/>
    <numFmt numFmtId="178" formatCode="0_);[Red]\(0\)"/>
    <numFmt numFmtId="179" formatCode="0.000_);[Red]\(0.000\)"/>
  </numFmts>
  <fonts count="30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8"/>
      <name val="SimSun"/>
      <charset val="134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b/>
      <sz val="12"/>
      <color theme="4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ashed">
        <color theme="0" tint="-0.249946592608417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theme="0" tint="-0.249977111117893"/>
      </bottom>
      <diagonal/>
    </border>
  </borders>
  <cellStyleXfs count="57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6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7" fillId="0" borderId="13" applyNumberFormat="0" applyFont="0" applyProtection="0">
      <alignment wrapText="1"/>
    </xf>
    <xf numFmtId="0" fontId="27" fillId="0" borderId="0" applyNumberFormat="0" applyFill="0" applyBorder="0" applyAlignment="0" applyProtection="0"/>
    <xf numFmtId="0" fontId="27" fillId="0" borderId="14" applyNumberFormat="0" applyProtection="0">
      <alignment vertical="top" wrapText="1"/>
    </xf>
    <xf numFmtId="0" fontId="28" fillId="0" borderId="15" applyNumberFormat="0" applyProtection="0">
      <alignment wrapText="1"/>
    </xf>
    <xf numFmtId="0" fontId="28" fillId="0" borderId="16" applyNumberFormat="0" applyProtection="0">
      <alignment wrapText="1"/>
    </xf>
    <xf numFmtId="0" fontId="29" fillId="0" borderId="0" applyNumberFormat="0" applyProtection="0">
      <alignment horizontal="left"/>
    </xf>
    <xf numFmtId="0" fontId="0" fillId="0" borderId="0">
      <alignment vertical="center"/>
    </xf>
    <xf numFmtId="0" fontId="1" fillId="0" borderId="0">
      <alignment vertical="center"/>
    </xf>
  </cellStyleXfs>
  <cellXfs count="38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  <xf numFmtId="176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0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77" fontId="0" fillId="0" borderId="0" xfId="0" applyNumberFormat="1"/>
    <xf numFmtId="178" fontId="0" fillId="0" borderId="0" xfId="0" applyNumberFormat="1"/>
    <xf numFmtId="0" fontId="1" fillId="0" borderId="0" xfId="56">
      <alignment vertical="center"/>
    </xf>
    <xf numFmtId="0" fontId="1" fillId="0" borderId="0" xfId="56" applyAlignment="1">
      <alignment horizontal="left" vertical="center"/>
    </xf>
    <xf numFmtId="0" fontId="0" fillId="0" borderId="0" xfId="55">
      <alignment vertical="center"/>
    </xf>
    <xf numFmtId="0" fontId="0" fillId="0" borderId="1" xfId="55" applyBorder="1" applyAlignment="1">
      <alignment horizontal="center" vertical="center"/>
    </xf>
    <xf numFmtId="0" fontId="0" fillId="0" borderId="2" xfId="55" applyBorder="1" applyAlignment="1">
      <alignment horizontal="center" vertical="center"/>
    </xf>
    <xf numFmtId="0" fontId="0" fillId="0" borderId="3" xfId="55" applyBorder="1" applyAlignment="1">
      <alignment horizontal="center" vertical="center"/>
    </xf>
    <xf numFmtId="0" fontId="2" fillId="0" borderId="3" xfId="55" applyFont="1" applyBorder="1" applyAlignment="1">
      <alignment horizontal="center" vertical="center"/>
    </xf>
    <xf numFmtId="0" fontId="0" fillId="0" borderId="4" xfId="55" applyBorder="1" applyAlignment="1">
      <alignment horizontal="center" vertical="center"/>
    </xf>
    <xf numFmtId="0" fontId="0" fillId="0" borderId="3" xfId="55" applyBorder="1" applyAlignment="1">
      <alignment horizontal="right" vertical="center"/>
    </xf>
    <xf numFmtId="0" fontId="2" fillId="0" borderId="3" xfId="55" applyFont="1" applyBorder="1" applyAlignment="1">
      <alignment horizontal="right" vertical="center"/>
    </xf>
    <xf numFmtId="0" fontId="0" fillId="0" borderId="3" xfId="55" applyBorder="1" applyAlignment="1">
      <alignment horizontal="left" vertical="top" indent="3"/>
    </xf>
    <xf numFmtId="0" fontId="0" fillId="0" borderId="3" xfId="55" applyBorder="1" applyAlignment="1">
      <alignment horizontal="right" vertical="top"/>
    </xf>
    <xf numFmtId="0" fontId="2" fillId="0" borderId="3" xfId="55" applyFont="1" applyBorder="1">
      <alignment vertical="center"/>
    </xf>
    <xf numFmtId="179" fontId="2" fillId="0" borderId="3" xfId="55" applyNumberFormat="1" applyFont="1" applyBorder="1">
      <alignment vertical="center"/>
    </xf>
    <xf numFmtId="0" fontId="0" fillId="0" borderId="3" xfId="55" applyBorder="1">
      <alignment vertical="center"/>
    </xf>
    <xf numFmtId="0" fontId="0" fillId="0" borderId="3" xfId="55" applyBorder="1" applyAlignment="1">
      <alignment horizontal="right"/>
    </xf>
    <xf numFmtId="179" fontId="0" fillId="0" borderId="0" xfId="55" applyNumberFormat="1">
      <alignment vertical="center"/>
    </xf>
    <xf numFmtId="0" fontId="2" fillId="0" borderId="0" xfId="55" applyFont="1">
      <alignment vertical="center"/>
    </xf>
    <xf numFmtId="11" fontId="0" fillId="0" borderId="0" xfId="55" applyNumberFormat="1">
      <alignment vertical="center"/>
    </xf>
    <xf numFmtId="0" fontId="3" fillId="0" borderId="3" xfId="55" applyFont="1" applyBorder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vertical="center"/>
    </xf>
    <xf numFmtId="0" fontId="4" fillId="2" borderId="0" xfId="0" applyFont="1" applyFill="1"/>
    <xf numFmtId="0" fontId="2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Body: normal cell" xfId="49"/>
    <cellStyle name="Font: Calibri, 9pt regular" xfId="50"/>
    <cellStyle name="Footnotes: top row" xfId="51"/>
    <cellStyle name="Header: bottom row" xfId="52"/>
    <cellStyle name="Parent row" xfId="53"/>
    <cellStyle name="Table title" xfId="54"/>
    <cellStyle name="常规 2" xfId="55"/>
    <cellStyle name="常规 3" xfId="56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1.xml"/><Relationship Id="rId7" Type="http://schemas.openxmlformats.org/officeDocument/2006/relationships/pivotCacheDefinition" Target="pivotCache/pivotCacheDefinition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eetMetadata" Target="metadata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不同电压等级的线路容量长度比</a:t>
            </a:r>
            <a:endParaRPr lang="zh-CN" altLang="en-US"/>
          </a:p>
        </c:rich>
      </c:tx>
      <c:layout>
        <c:manualLayout>
          <c:xMode val="edge"/>
          <c:yMode val="edge"/>
          <c:x val="0.252777777777778"/>
          <c:y val="0.023148148148148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28864829396325"/>
          <c:y val="0.305393700787402"/>
          <c:w val="0.871224628171479"/>
          <c:h val="0.587206911636046"/>
        </c:manualLayout>
      </c:layout>
      <c:scatterChart>
        <c:scatterStyle val="marker"/>
        <c:varyColors val="0"/>
        <c:ser>
          <c:idx val="0"/>
          <c:order val="0"/>
          <c:tx>
            <c:strRef>
              <c:f>"直流"</c:f>
              <c:strCache>
                <c:ptCount val="1"/>
                <c:pt idx="0">
                  <c:v>直流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'Capacity by Linetype'!$Q$3:$Q$5</c:f>
              <c:numCache>
                <c:formatCode>General</c:formatCode>
                <c:ptCount val="3"/>
                <c:pt idx="0">
                  <c:v>400</c:v>
                </c:pt>
                <c:pt idx="1">
                  <c:v>500</c:v>
                </c:pt>
                <c:pt idx="2">
                  <c:v>800</c:v>
                </c:pt>
              </c:numCache>
            </c:numRef>
          </c:xVal>
          <c:yVal>
            <c:numRef>
              <c:f>'Capacity by Linetype'!$R$3:$R$5</c:f>
              <c:numCache>
                <c:formatCode>0.000_);[Red]\(0.000\)</c:formatCode>
                <c:ptCount val="3"/>
                <c:pt idx="0">
                  <c:v>0.580234771973623</c:v>
                </c:pt>
                <c:pt idx="1">
                  <c:v>0.861285436052802</c:v>
                </c:pt>
                <c:pt idx="2">
                  <c:v>1.06940160957717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"交流"</c:f>
              <c:strCache>
                <c:ptCount val="1"/>
                <c:pt idx="0">
                  <c:v>交流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0.166926290463692"/>
                  <c:y val="-0.197945829687956"/>
                </c:manualLayout>
              </c:layout>
              <c:numFmt formatCode="0.000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'Capacity by Linetype'!$Q$7:$Q$12</c:f>
              <c:numCache>
                <c:formatCode>General</c:formatCode>
                <c:ptCount val="6"/>
                <c:pt idx="0">
                  <c:v>110</c:v>
                </c:pt>
                <c:pt idx="1">
                  <c:v>220</c:v>
                </c:pt>
                <c:pt idx="2">
                  <c:v>330</c:v>
                </c:pt>
                <c:pt idx="3">
                  <c:v>500</c:v>
                </c:pt>
                <c:pt idx="4">
                  <c:v>750</c:v>
                </c:pt>
                <c:pt idx="5">
                  <c:v>1000</c:v>
                </c:pt>
              </c:numCache>
            </c:numRef>
          </c:xVal>
          <c:yVal>
            <c:numRef>
              <c:f>'Capacity by Linetype'!$R$7:$R$12</c:f>
              <c:numCache>
                <c:formatCode>0.000_);[Red]\(0.000\)</c:formatCode>
                <c:ptCount val="6"/>
                <c:pt idx="0">
                  <c:v>0.40852675145614</c:v>
                </c:pt>
                <c:pt idx="1">
                  <c:v>0.493484815446965</c:v>
                </c:pt>
                <c:pt idx="2">
                  <c:v>0.436405281595257</c:v>
                </c:pt>
                <c:pt idx="3">
                  <c:v>1.02905525403942</c:v>
                </c:pt>
                <c:pt idx="4">
                  <c:v>1.11605467703029</c:v>
                </c:pt>
                <c:pt idx="5">
                  <c:v>1.14434423015222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1909599"/>
        <c:axId val="900196655"/>
      </c:scatterChart>
      <c:valAx>
        <c:axId val="1031909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0196655"/>
        <c:crosses val="autoZero"/>
        <c:crossBetween val="midCat"/>
      </c:valAx>
      <c:valAx>
        <c:axId val="900196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);[Red]\(0.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319095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f24d7e0-1ce2-4f42-a3b8-9fc4d35a2c8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[na-Trans Const Cost per Unit Cap Dist.xlsx]Power Infrastructure Investment!PivotTable1</c:name>
    <c:fmtId val="1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'Power Infrastructure Investment'!$I$3:$I$4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'Power Infrastructure Investment'!$H$5:$H$34</c:f>
              <c:strCache>
                <c:ptCount val="29"/>
                <c:pt idx="0">
                  <c:v>±1100千伏</c:v>
                </c:pt>
                <c:pt idx="1">
                  <c:v>±400千伏</c:v>
                </c:pt>
                <c:pt idx="2">
                  <c:v>±500千伏</c:v>
                </c:pt>
                <c:pt idx="3">
                  <c:v>±660千伏</c:v>
                </c:pt>
                <c:pt idx="4">
                  <c:v>±800千伏</c:v>
                </c:pt>
                <c:pt idx="5">
                  <c:v>1、直流工程</c:v>
                </c:pt>
                <c:pt idx="6">
                  <c:v>1000千伏</c:v>
                </c:pt>
                <c:pt idx="7">
                  <c:v>110千伏(含66千伏)</c:v>
                </c:pt>
                <c:pt idx="8">
                  <c:v>2、交流工程</c:v>
                </c:pt>
                <c:pt idx="9">
                  <c:v>220千伏</c:v>
                </c:pt>
                <c:pt idx="10">
                  <c:v>330千伏</c:v>
                </c:pt>
                <c:pt idx="11">
                  <c:v>500千伏</c:v>
                </c:pt>
                <c:pt idx="12">
                  <c:v>750千伏</c:v>
                </c:pt>
                <c:pt idx="13">
                  <c:v>电网投资</c:v>
                </c:pt>
                <c:pt idx="14">
                  <c:v>电源投资</c:v>
                </c:pt>
                <c:pt idx="15">
                  <c:v>风电</c:v>
                </c:pt>
                <c:pt idx="16">
                  <c:v>合计</c:v>
                </c:pt>
                <c:pt idx="17">
                  <c:v>核电</c:v>
                </c:pt>
                <c:pt idx="18">
                  <c:v>火电</c:v>
                </c:pt>
                <c:pt idx="19">
                  <c:v>其他电网(含小型基建)</c:v>
                </c:pt>
                <c:pt idx="20">
                  <c:v>其他电源</c:v>
                </c:pt>
                <c:pt idx="21">
                  <c:v>其他火电</c:v>
                </c:pt>
                <c:pt idx="22">
                  <c:v>其中抽水蓄能</c:v>
                </c:pt>
                <c:pt idx="23">
                  <c:v>燃煤</c:v>
                </c:pt>
                <c:pt idx="24">
                  <c:v>燃气</c:v>
                </c:pt>
                <c:pt idx="25">
                  <c:v>燃油</c:v>
                </c:pt>
                <c:pt idx="26">
                  <c:v>水电</c:v>
                </c:pt>
                <c:pt idx="27">
                  <c:v>送变电</c:v>
                </c:pt>
                <c:pt idx="28">
                  <c:v>太阳能</c:v>
                </c:pt>
              </c:strCache>
            </c:strRef>
          </c:cat>
          <c:val>
            <c:numRef>
              <c:f>'Power Infrastructure Investment'!$I$5:$I$34</c:f>
              <c:numCache>
                <c:formatCode>General</c:formatCode>
                <c:ptCount val="29"/>
                <c:pt idx="1">
                  <c:v>146229</c:v>
                </c:pt>
                <c:pt idx="2">
                  <c:v>814627</c:v>
                </c:pt>
                <c:pt idx="3">
                  <c:v>713955</c:v>
                </c:pt>
                <c:pt idx="4">
                  <c:v>1160549</c:v>
                </c:pt>
                <c:pt idx="5">
                  <c:v>2835360</c:v>
                </c:pt>
                <c:pt idx="6">
                  <c:v>19700</c:v>
                </c:pt>
                <c:pt idx="7">
                  <c:v>6120373</c:v>
                </c:pt>
                <c:pt idx="8">
                  <c:v>30549189</c:v>
                </c:pt>
                <c:pt idx="9">
                  <c:v>10831615</c:v>
                </c:pt>
                <c:pt idx="10">
                  <c:v>372515</c:v>
                </c:pt>
                <c:pt idx="11">
                  <c:v>4441326</c:v>
                </c:pt>
                <c:pt idx="12">
                  <c:v>1738513</c:v>
                </c:pt>
                <c:pt idx="13">
                  <c:v>34481024</c:v>
                </c:pt>
                <c:pt idx="14">
                  <c:v>39693629</c:v>
                </c:pt>
                <c:pt idx="15">
                  <c:v>10375540</c:v>
                </c:pt>
                <c:pt idx="16">
                  <c:v>74174653</c:v>
                </c:pt>
                <c:pt idx="17">
                  <c:v>6475656</c:v>
                </c:pt>
                <c:pt idx="18">
                  <c:v>14261423</c:v>
                </c:pt>
                <c:pt idx="19">
                  <c:v>1096475</c:v>
                </c:pt>
                <c:pt idx="20">
                  <c:v>1261</c:v>
                </c:pt>
                <c:pt idx="21">
                  <c:v>146270</c:v>
                </c:pt>
                <c:pt idx="22">
                  <c:v>533713</c:v>
                </c:pt>
                <c:pt idx="23">
                  <c:v>13814964</c:v>
                </c:pt>
                <c:pt idx="24">
                  <c:v>297775</c:v>
                </c:pt>
                <c:pt idx="25">
                  <c:v>2414</c:v>
                </c:pt>
                <c:pt idx="26">
                  <c:v>8191792</c:v>
                </c:pt>
                <c:pt idx="27">
                  <c:v>33384549</c:v>
                </c:pt>
                <c:pt idx="28">
                  <c:v>275997</c:v>
                </c:pt>
              </c:numCache>
            </c:numRef>
          </c:val>
        </c:ser>
        <c:ser>
          <c:idx val="1"/>
          <c:order val="1"/>
          <c:tx>
            <c:strRef>
              <c:f>'Power Infrastructure Investment'!$J$3:$J$4</c:f>
              <c:strCache>
                <c:ptCount val="1"/>
                <c:pt idx="0">
                  <c:v>2011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'Power Infrastructure Investment'!$H$5:$H$34</c:f>
              <c:strCache>
                <c:ptCount val="29"/>
                <c:pt idx="0">
                  <c:v>±1100千伏</c:v>
                </c:pt>
                <c:pt idx="1">
                  <c:v>±400千伏</c:v>
                </c:pt>
                <c:pt idx="2">
                  <c:v>±500千伏</c:v>
                </c:pt>
                <c:pt idx="3">
                  <c:v>±660千伏</c:v>
                </c:pt>
                <c:pt idx="4">
                  <c:v>±800千伏</c:v>
                </c:pt>
                <c:pt idx="5">
                  <c:v>1、直流工程</c:v>
                </c:pt>
                <c:pt idx="6">
                  <c:v>1000千伏</c:v>
                </c:pt>
                <c:pt idx="7">
                  <c:v>110千伏(含66千伏)</c:v>
                </c:pt>
                <c:pt idx="8">
                  <c:v>2、交流工程</c:v>
                </c:pt>
                <c:pt idx="9">
                  <c:v>220千伏</c:v>
                </c:pt>
                <c:pt idx="10">
                  <c:v>330千伏</c:v>
                </c:pt>
                <c:pt idx="11">
                  <c:v>500千伏</c:v>
                </c:pt>
                <c:pt idx="12">
                  <c:v>750千伏</c:v>
                </c:pt>
                <c:pt idx="13">
                  <c:v>电网投资</c:v>
                </c:pt>
                <c:pt idx="14">
                  <c:v>电源投资</c:v>
                </c:pt>
                <c:pt idx="15">
                  <c:v>风电</c:v>
                </c:pt>
                <c:pt idx="16">
                  <c:v>合计</c:v>
                </c:pt>
                <c:pt idx="17">
                  <c:v>核电</c:v>
                </c:pt>
                <c:pt idx="18">
                  <c:v>火电</c:v>
                </c:pt>
                <c:pt idx="19">
                  <c:v>其他电网(含小型基建)</c:v>
                </c:pt>
                <c:pt idx="20">
                  <c:v>其他电源</c:v>
                </c:pt>
                <c:pt idx="21">
                  <c:v>其他火电</c:v>
                </c:pt>
                <c:pt idx="22">
                  <c:v>其中抽水蓄能</c:v>
                </c:pt>
                <c:pt idx="23">
                  <c:v>燃煤</c:v>
                </c:pt>
                <c:pt idx="24">
                  <c:v>燃气</c:v>
                </c:pt>
                <c:pt idx="25">
                  <c:v>燃油</c:v>
                </c:pt>
                <c:pt idx="26">
                  <c:v>水电</c:v>
                </c:pt>
                <c:pt idx="27">
                  <c:v>送变电</c:v>
                </c:pt>
                <c:pt idx="28">
                  <c:v>太阳能</c:v>
                </c:pt>
              </c:strCache>
            </c:strRef>
          </c:cat>
          <c:val>
            <c:numRef>
              <c:f>'Power Infrastructure Investment'!$J$5:$J$34</c:f>
              <c:numCache>
                <c:formatCode>General</c:formatCode>
                <c:ptCount val="29"/>
                <c:pt idx="1">
                  <c:v>471993</c:v>
                </c:pt>
                <c:pt idx="2">
                  <c:v>464780</c:v>
                </c:pt>
                <c:pt idx="3">
                  <c:v>210334</c:v>
                </c:pt>
                <c:pt idx="4">
                  <c:v>1073559</c:v>
                </c:pt>
                <c:pt idx="5">
                  <c:v>2220666</c:v>
                </c:pt>
                <c:pt idx="6">
                  <c:v>534551</c:v>
                </c:pt>
                <c:pt idx="7">
                  <c:v>7900261</c:v>
                </c:pt>
                <c:pt idx="8">
                  <c:v>32754506</c:v>
                </c:pt>
                <c:pt idx="9">
                  <c:v>10858299</c:v>
                </c:pt>
                <c:pt idx="10">
                  <c:v>195155</c:v>
                </c:pt>
                <c:pt idx="11">
                  <c:v>3637078</c:v>
                </c:pt>
                <c:pt idx="12">
                  <c:v>809047</c:v>
                </c:pt>
                <c:pt idx="13">
                  <c:v>36865661</c:v>
                </c:pt>
                <c:pt idx="14">
                  <c:v>39274019</c:v>
                </c:pt>
                <c:pt idx="15">
                  <c:v>9024369</c:v>
                </c:pt>
                <c:pt idx="16">
                  <c:v>76139680</c:v>
                </c:pt>
                <c:pt idx="17">
                  <c:v>7639639</c:v>
                </c:pt>
                <c:pt idx="18">
                  <c:v>11333218</c:v>
                </c:pt>
                <c:pt idx="19">
                  <c:v>1890489</c:v>
                </c:pt>
                <c:pt idx="20">
                  <c:v>24847</c:v>
                </c:pt>
                <c:pt idx="21">
                  <c:v>491750</c:v>
                </c:pt>
                <c:pt idx="22">
                  <c:v>651550</c:v>
                </c:pt>
                <c:pt idx="23">
                  <c:v>9803615</c:v>
                </c:pt>
                <c:pt idx="24">
                  <c:v>728775</c:v>
                </c:pt>
                <c:pt idx="25">
                  <c:v>802138</c:v>
                </c:pt>
                <c:pt idx="26">
                  <c:v>9705297</c:v>
                </c:pt>
                <c:pt idx="27">
                  <c:v>34975172</c:v>
                </c:pt>
                <c:pt idx="28">
                  <c:v>1546649</c:v>
                </c:pt>
              </c:numCache>
            </c:numRef>
          </c:val>
        </c:ser>
        <c:ser>
          <c:idx val="2"/>
          <c:order val="2"/>
          <c:tx>
            <c:strRef>
              <c:f>'Power Infrastructure Investment'!$K$3:$K$4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'Power Infrastructure Investment'!$H$5:$H$34</c:f>
              <c:strCache>
                <c:ptCount val="29"/>
                <c:pt idx="0">
                  <c:v>±1100千伏</c:v>
                </c:pt>
                <c:pt idx="1">
                  <c:v>±400千伏</c:v>
                </c:pt>
                <c:pt idx="2">
                  <c:v>±500千伏</c:v>
                </c:pt>
                <c:pt idx="3">
                  <c:v>±660千伏</c:v>
                </c:pt>
                <c:pt idx="4">
                  <c:v>±800千伏</c:v>
                </c:pt>
                <c:pt idx="5">
                  <c:v>1、直流工程</c:v>
                </c:pt>
                <c:pt idx="6">
                  <c:v>1000千伏</c:v>
                </c:pt>
                <c:pt idx="7">
                  <c:v>110千伏(含66千伏)</c:v>
                </c:pt>
                <c:pt idx="8">
                  <c:v>2、交流工程</c:v>
                </c:pt>
                <c:pt idx="9">
                  <c:v>220千伏</c:v>
                </c:pt>
                <c:pt idx="10">
                  <c:v>330千伏</c:v>
                </c:pt>
                <c:pt idx="11">
                  <c:v>500千伏</c:v>
                </c:pt>
                <c:pt idx="12">
                  <c:v>750千伏</c:v>
                </c:pt>
                <c:pt idx="13">
                  <c:v>电网投资</c:v>
                </c:pt>
                <c:pt idx="14">
                  <c:v>电源投资</c:v>
                </c:pt>
                <c:pt idx="15">
                  <c:v>风电</c:v>
                </c:pt>
                <c:pt idx="16">
                  <c:v>合计</c:v>
                </c:pt>
                <c:pt idx="17">
                  <c:v>核电</c:v>
                </c:pt>
                <c:pt idx="18">
                  <c:v>火电</c:v>
                </c:pt>
                <c:pt idx="19">
                  <c:v>其他电网(含小型基建)</c:v>
                </c:pt>
                <c:pt idx="20">
                  <c:v>其他电源</c:v>
                </c:pt>
                <c:pt idx="21">
                  <c:v>其他火电</c:v>
                </c:pt>
                <c:pt idx="22">
                  <c:v>其中抽水蓄能</c:v>
                </c:pt>
                <c:pt idx="23">
                  <c:v>燃煤</c:v>
                </c:pt>
                <c:pt idx="24">
                  <c:v>燃气</c:v>
                </c:pt>
                <c:pt idx="25">
                  <c:v>燃油</c:v>
                </c:pt>
                <c:pt idx="26">
                  <c:v>水电</c:v>
                </c:pt>
                <c:pt idx="27">
                  <c:v>送变电</c:v>
                </c:pt>
                <c:pt idx="28">
                  <c:v>太阳能</c:v>
                </c:pt>
              </c:strCache>
            </c:strRef>
          </c:cat>
          <c:val>
            <c:numRef>
              <c:f>'Power Infrastructure Investment'!$K$5:$K$34</c:f>
              <c:numCache>
                <c:formatCode>General</c:formatCode>
                <c:ptCount val="29"/>
                <c:pt idx="2">
                  <c:v>508508</c:v>
                </c:pt>
                <c:pt idx="4">
                  <c:v>2263016</c:v>
                </c:pt>
                <c:pt idx="5">
                  <c:v>2776524</c:v>
                </c:pt>
                <c:pt idx="6">
                  <c:v>600237</c:v>
                </c:pt>
                <c:pt idx="7">
                  <c:v>8044052</c:v>
                </c:pt>
                <c:pt idx="8">
                  <c:v>31803134</c:v>
                </c:pt>
                <c:pt idx="9">
                  <c:v>8766223</c:v>
                </c:pt>
                <c:pt idx="10">
                  <c:v>288121</c:v>
                </c:pt>
                <c:pt idx="11">
                  <c:v>2632474</c:v>
                </c:pt>
                <c:pt idx="12">
                  <c:v>590970</c:v>
                </c:pt>
                <c:pt idx="13">
                  <c:v>36611324</c:v>
                </c:pt>
                <c:pt idx="14">
                  <c:v>37318220</c:v>
                </c:pt>
                <c:pt idx="15">
                  <c:v>6073750</c:v>
                </c:pt>
                <c:pt idx="16">
                  <c:v>73929544</c:v>
                </c:pt>
                <c:pt idx="17">
                  <c:v>7844842</c:v>
                </c:pt>
                <c:pt idx="18">
                  <c:v>10024752</c:v>
                </c:pt>
                <c:pt idx="19">
                  <c:v>2031666</c:v>
                </c:pt>
                <c:pt idx="21">
                  <c:v>93803</c:v>
                </c:pt>
                <c:pt idx="22">
                  <c:v>675223</c:v>
                </c:pt>
                <c:pt idx="23">
                  <c:v>8291699</c:v>
                </c:pt>
                <c:pt idx="24">
                  <c:v>1639250</c:v>
                </c:pt>
                <c:pt idx="26">
                  <c:v>12387838</c:v>
                </c:pt>
                <c:pt idx="27">
                  <c:v>34579658</c:v>
                </c:pt>
                <c:pt idx="28">
                  <c:v>987037</c:v>
                </c:pt>
              </c:numCache>
            </c:numRef>
          </c:val>
        </c:ser>
        <c:ser>
          <c:idx val="3"/>
          <c:order val="3"/>
          <c:tx>
            <c:strRef>
              <c:f>'Power Infrastructure Investment'!$L$3:$L$4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'Power Infrastructure Investment'!$H$5:$H$34</c:f>
              <c:strCache>
                <c:ptCount val="29"/>
                <c:pt idx="0">
                  <c:v>±1100千伏</c:v>
                </c:pt>
                <c:pt idx="1">
                  <c:v>±400千伏</c:v>
                </c:pt>
                <c:pt idx="2">
                  <c:v>±500千伏</c:v>
                </c:pt>
                <c:pt idx="3">
                  <c:v>±660千伏</c:v>
                </c:pt>
                <c:pt idx="4">
                  <c:v>±800千伏</c:v>
                </c:pt>
                <c:pt idx="5">
                  <c:v>1、直流工程</c:v>
                </c:pt>
                <c:pt idx="6">
                  <c:v>1000千伏</c:v>
                </c:pt>
                <c:pt idx="7">
                  <c:v>110千伏(含66千伏)</c:v>
                </c:pt>
                <c:pt idx="8">
                  <c:v>2、交流工程</c:v>
                </c:pt>
                <c:pt idx="9">
                  <c:v>220千伏</c:v>
                </c:pt>
                <c:pt idx="10">
                  <c:v>330千伏</c:v>
                </c:pt>
                <c:pt idx="11">
                  <c:v>500千伏</c:v>
                </c:pt>
                <c:pt idx="12">
                  <c:v>750千伏</c:v>
                </c:pt>
                <c:pt idx="13">
                  <c:v>电网投资</c:v>
                </c:pt>
                <c:pt idx="14">
                  <c:v>电源投资</c:v>
                </c:pt>
                <c:pt idx="15">
                  <c:v>风电</c:v>
                </c:pt>
                <c:pt idx="16">
                  <c:v>合计</c:v>
                </c:pt>
                <c:pt idx="17">
                  <c:v>核电</c:v>
                </c:pt>
                <c:pt idx="18">
                  <c:v>火电</c:v>
                </c:pt>
                <c:pt idx="19">
                  <c:v>其他电网(含小型基建)</c:v>
                </c:pt>
                <c:pt idx="20">
                  <c:v>其他电源</c:v>
                </c:pt>
                <c:pt idx="21">
                  <c:v>其他火电</c:v>
                </c:pt>
                <c:pt idx="22">
                  <c:v>其中抽水蓄能</c:v>
                </c:pt>
                <c:pt idx="23">
                  <c:v>燃煤</c:v>
                </c:pt>
                <c:pt idx="24">
                  <c:v>燃气</c:v>
                </c:pt>
                <c:pt idx="25">
                  <c:v>燃油</c:v>
                </c:pt>
                <c:pt idx="26">
                  <c:v>水电</c:v>
                </c:pt>
                <c:pt idx="27">
                  <c:v>送变电</c:v>
                </c:pt>
                <c:pt idx="28">
                  <c:v>太阳能</c:v>
                </c:pt>
              </c:strCache>
            </c:strRef>
          </c:cat>
          <c:val>
            <c:numRef>
              <c:f>'Power Infrastructure Investment'!$L$5:$L$34</c:f>
              <c:numCache>
                <c:formatCode>General</c:formatCode>
                <c:ptCount val="29"/>
                <c:pt idx="2">
                  <c:v>450100</c:v>
                </c:pt>
                <c:pt idx="4">
                  <c:v>3094331</c:v>
                </c:pt>
                <c:pt idx="5">
                  <c:v>3544431</c:v>
                </c:pt>
                <c:pt idx="6">
                  <c:v>1598466</c:v>
                </c:pt>
                <c:pt idx="7">
                  <c:v>7114356</c:v>
                </c:pt>
                <c:pt idx="8">
                  <c:v>34131122</c:v>
                </c:pt>
                <c:pt idx="9">
                  <c:v>7921906</c:v>
                </c:pt>
                <c:pt idx="10">
                  <c:v>427820</c:v>
                </c:pt>
                <c:pt idx="11">
                  <c:v>4028707</c:v>
                </c:pt>
                <c:pt idx="12">
                  <c:v>1200399</c:v>
                </c:pt>
                <c:pt idx="13">
                  <c:v>38562130</c:v>
                </c:pt>
                <c:pt idx="14">
                  <c:v>38719325</c:v>
                </c:pt>
                <c:pt idx="15">
                  <c:v>6496073</c:v>
                </c:pt>
                <c:pt idx="16">
                  <c:v>77281456</c:v>
                </c:pt>
                <c:pt idx="17">
                  <c:v>6601906</c:v>
                </c:pt>
                <c:pt idx="18">
                  <c:v>10161773</c:v>
                </c:pt>
                <c:pt idx="19">
                  <c:v>886578</c:v>
                </c:pt>
                <c:pt idx="21">
                  <c:v>49821</c:v>
                </c:pt>
                <c:pt idx="22">
                  <c:v>829034</c:v>
                </c:pt>
                <c:pt idx="23">
                  <c:v>8049324</c:v>
                </c:pt>
                <c:pt idx="24">
                  <c:v>2062628</c:v>
                </c:pt>
                <c:pt idx="26">
                  <c:v>12229379</c:v>
                </c:pt>
                <c:pt idx="27">
                  <c:v>37675553</c:v>
                </c:pt>
                <c:pt idx="28">
                  <c:v>3230193</c:v>
                </c:pt>
              </c:numCache>
            </c:numRef>
          </c:val>
        </c:ser>
        <c:ser>
          <c:idx val="4"/>
          <c:order val="4"/>
          <c:tx>
            <c:strRef>
              <c:f>'Power Infrastructure Investment'!$M$3:$M$4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'Power Infrastructure Investment'!$H$5:$H$34</c:f>
              <c:strCache>
                <c:ptCount val="29"/>
                <c:pt idx="0">
                  <c:v>±1100千伏</c:v>
                </c:pt>
                <c:pt idx="1">
                  <c:v>±400千伏</c:v>
                </c:pt>
                <c:pt idx="2">
                  <c:v>±500千伏</c:v>
                </c:pt>
                <c:pt idx="3">
                  <c:v>±660千伏</c:v>
                </c:pt>
                <c:pt idx="4">
                  <c:v>±800千伏</c:v>
                </c:pt>
                <c:pt idx="5">
                  <c:v>1、直流工程</c:v>
                </c:pt>
                <c:pt idx="6">
                  <c:v>1000千伏</c:v>
                </c:pt>
                <c:pt idx="7">
                  <c:v>110千伏(含66千伏)</c:v>
                </c:pt>
                <c:pt idx="8">
                  <c:v>2、交流工程</c:v>
                </c:pt>
                <c:pt idx="9">
                  <c:v>220千伏</c:v>
                </c:pt>
                <c:pt idx="10">
                  <c:v>330千伏</c:v>
                </c:pt>
                <c:pt idx="11">
                  <c:v>500千伏</c:v>
                </c:pt>
                <c:pt idx="12">
                  <c:v>750千伏</c:v>
                </c:pt>
                <c:pt idx="13">
                  <c:v>电网投资</c:v>
                </c:pt>
                <c:pt idx="14">
                  <c:v>电源投资</c:v>
                </c:pt>
                <c:pt idx="15">
                  <c:v>风电</c:v>
                </c:pt>
                <c:pt idx="16">
                  <c:v>合计</c:v>
                </c:pt>
                <c:pt idx="17">
                  <c:v>核电</c:v>
                </c:pt>
                <c:pt idx="18">
                  <c:v>火电</c:v>
                </c:pt>
                <c:pt idx="19">
                  <c:v>其他电网(含小型基建)</c:v>
                </c:pt>
                <c:pt idx="20">
                  <c:v>其他电源</c:v>
                </c:pt>
                <c:pt idx="21">
                  <c:v>其他火电</c:v>
                </c:pt>
                <c:pt idx="22">
                  <c:v>其中抽水蓄能</c:v>
                </c:pt>
                <c:pt idx="23">
                  <c:v>燃煤</c:v>
                </c:pt>
                <c:pt idx="24">
                  <c:v>燃气</c:v>
                </c:pt>
                <c:pt idx="25">
                  <c:v>燃油</c:v>
                </c:pt>
                <c:pt idx="26">
                  <c:v>水电</c:v>
                </c:pt>
                <c:pt idx="27">
                  <c:v>送变电</c:v>
                </c:pt>
                <c:pt idx="28">
                  <c:v>太阳能</c:v>
                </c:pt>
              </c:strCache>
            </c:strRef>
          </c:cat>
          <c:val>
            <c:numRef>
              <c:f>'Power Infrastructure Investment'!$M$5:$M$34</c:f>
              <c:numCache>
                <c:formatCode>General</c:formatCode>
                <c:ptCount val="29"/>
                <c:pt idx="2">
                  <c:v>419762</c:v>
                </c:pt>
                <c:pt idx="4">
                  <c:v>1257639</c:v>
                </c:pt>
                <c:pt idx="5">
                  <c:v>1677401</c:v>
                </c:pt>
                <c:pt idx="6">
                  <c:v>2150971</c:v>
                </c:pt>
                <c:pt idx="7">
                  <c:v>6961974</c:v>
                </c:pt>
                <c:pt idx="8">
                  <c:v>38252240</c:v>
                </c:pt>
                <c:pt idx="9">
                  <c:v>9239712</c:v>
                </c:pt>
                <c:pt idx="10">
                  <c:v>498628</c:v>
                </c:pt>
                <c:pt idx="11">
                  <c:v>4559539</c:v>
                </c:pt>
                <c:pt idx="12">
                  <c:v>900030</c:v>
                </c:pt>
                <c:pt idx="13">
                  <c:v>41193217</c:v>
                </c:pt>
                <c:pt idx="14">
                  <c:v>36861339</c:v>
                </c:pt>
                <c:pt idx="15">
                  <c:v>9154985</c:v>
                </c:pt>
                <c:pt idx="16">
                  <c:v>78054556</c:v>
                </c:pt>
                <c:pt idx="17">
                  <c:v>5327242</c:v>
                </c:pt>
                <c:pt idx="18">
                  <c:v>11448956</c:v>
                </c:pt>
                <c:pt idx="19">
                  <c:v>1263574</c:v>
                </c:pt>
                <c:pt idx="21">
                  <c:v>6215</c:v>
                </c:pt>
                <c:pt idx="22">
                  <c:v>902442</c:v>
                </c:pt>
                <c:pt idx="23">
                  <c:v>9583471</c:v>
                </c:pt>
                <c:pt idx="24">
                  <c:v>1859270</c:v>
                </c:pt>
                <c:pt idx="26">
                  <c:v>9425799</c:v>
                </c:pt>
                <c:pt idx="27">
                  <c:v>39929642</c:v>
                </c:pt>
                <c:pt idx="28">
                  <c:v>1504358</c:v>
                </c:pt>
              </c:numCache>
            </c:numRef>
          </c:val>
        </c:ser>
        <c:ser>
          <c:idx val="5"/>
          <c:order val="5"/>
          <c:tx>
            <c:strRef>
              <c:f>'Power Infrastructure Investment'!$N$3:$N$4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'Power Infrastructure Investment'!$H$5:$H$34</c:f>
              <c:strCache>
                <c:ptCount val="29"/>
                <c:pt idx="0">
                  <c:v>±1100千伏</c:v>
                </c:pt>
                <c:pt idx="1">
                  <c:v>±400千伏</c:v>
                </c:pt>
                <c:pt idx="2">
                  <c:v>±500千伏</c:v>
                </c:pt>
                <c:pt idx="3">
                  <c:v>±660千伏</c:v>
                </c:pt>
                <c:pt idx="4">
                  <c:v>±800千伏</c:v>
                </c:pt>
                <c:pt idx="5">
                  <c:v>1、直流工程</c:v>
                </c:pt>
                <c:pt idx="6">
                  <c:v>1000千伏</c:v>
                </c:pt>
                <c:pt idx="7">
                  <c:v>110千伏(含66千伏)</c:v>
                </c:pt>
                <c:pt idx="8">
                  <c:v>2、交流工程</c:v>
                </c:pt>
                <c:pt idx="9">
                  <c:v>220千伏</c:v>
                </c:pt>
                <c:pt idx="10">
                  <c:v>330千伏</c:v>
                </c:pt>
                <c:pt idx="11">
                  <c:v>500千伏</c:v>
                </c:pt>
                <c:pt idx="12">
                  <c:v>750千伏</c:v>
                </c:pt>
                <c:pt idx="13">
                  <c:v>电网投资</c:v>
                </c:pt>
                <c:pt idx="14">
                  <c:v>电源投资</c:v>
                </c:pt>
                <c:pt idx="15">
                  <c:v>风电</c:v>
                </c:pt>
                <c:pt idx="16">
                  <c:v>合计</c:v>
                </c:pt>
                <c:pt idx="17">
                  <c:v>核电</c:v>
                </c:pt>
                <c:pt idx="18">
                  <c:v>火电</c:v>
                </c:pt>
                <c:pt idx="19">
                  <c:v>其他电网(含小型基建)</c:v>
                </c:pt>
                <c:pt idx="20">
                  <c:v>其他电源</c:v>
                </c:pt>
                <c:pt idx="21">
                  <c:v>其他火电</c:v>
                </c:pt>
                <c:pt idx="22">
                  <c:v>其中抽水蓄能</c:v>
                </c:pt>
                <c:pt idx="23">
                  <c:v>燃煤</c:v>
                </c:pt>
                <c:pt idx="24">
                  <c:v>燃气</c:v>
                </c:pt>
                <c:pt idx="25">
                  <c:v>燃油</c:v>
                </c:pt>
                <c:pt idx="26">
                  <c:v>水电</c:v>
                </c:pt>
                <c:pt idx="27">
                  <c:v>送变电</c:v>
                </c:pt>
                <c:pt idx="28">
                  <c:v>太阳能</c:v>
                </c:pt>
              </c:strCache>
            </c:strRef>
          </c:cat>
          <c:val>
            <c:numRef>
              <c:f>'Power Infrastructure Investment'!$N$5:$N$34</c:f>
              <c:numCache>
                <c:formatCode>General</c:formatCode>
                <c:ptCount val="29"/>
                <c:pt idx="2">
                  <c:v>674846</c:v>
                </c:pt>
                <c:pt idx="4">
                  <c:v>1487310</c:v>
                </c:pt>
                <c:pt idx="5">
                  <c:v>2162156</c:v>
                </c:pt>
                <c:pt idx="6">
                  <c:v>3153489</c:v>
                </c:pt>
                <c:pt idx="7">
                  <c:v>7137732</c:v>
                </c:pt>
                <c:pt idx="8">
                  <c:v>42975798</c:v>
                </c:pt>
                <c:pt idx="9">
                  <c:v>8873227</c:v>
                </c:pt>
                <c:pt idx="10">
                  <c:v>553664</c:v>
                </c:pt>
                <c:pt idx="11">
                  <c:v>4629443</c:v>
                </c:pt>
                <c:pt idx="12">
                  <c:v>1355619</c:v>
                </c:pt>
                <c:pt idx="13">
                  <c:v>46398109</c:v>
                </c:pt>
                <c:pt idx="14">
                  <c:v>39362341</c:v>
                </c:pt>
                <c:pt idx="15">
                  <c:v>12002448</c:v>
                </c:pt>
                <c:pt idx="16">
                  <c:v>85760450</c:v>
                </c:pt>
                <c:pt idx="17">
                  <c:v>5650803</c:v>
                </c:pt>
                <c:pt idx="18">
                  <c:v>11633342</c:v>
                </c:pt>
                <c:pt idx="19">
                  <c:v>1260154</c:v>
                </c:pt>
                <c:pt idx="21">
                  <c:v>2324</c:v>
                </c:pt>
                <c:pt idx="22">
                  <c:v>1078834</c:v>
                </c:pt>
                <c:pt idx="23">
                  <c:v>10614335</c:v>
                </c:pt>
                <c:pt idx="24">
                  <c:v>1016683</c:v>
                </c:pt>
                <c:pt idx="26">
                  <c:v>7891269</c:v>
                </c:pt>
                <c:pt idx="27">
                  <c:v>45137954</c:v>
                </c:pt>
                <c:pt idx="28">
                  <c:v>2184479</c:v>
                </c:pt>
              </c:numCache>
            </c:numRef>
          </c:val>
        </c:ser>
        <c:ser>
          <c:idx val="6"/>
          <c:order val="6"/>
          <c:tx>
            <c:strRef>
              <c:f>'Power Infrastructure Investment'!$O$3:$O$4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'Power Infrastructure Investment'!$H$5:$H$34</c:f>
              <c:strCache>
                <c:ptCount val="29"/>
                <c:pt idx="0">
                  <c:v>±1100千伏</c:v>
                </c:pt>
                <c:pt idx="1">
                  <c:v>±400千伏</c:v>
                </c:pt>
                <c:pt idx="2">
                  <c:v>±500千伏</c:v>
                </c:pt>
                <c:pt idx="3">
                  <c:v>±660千伏</c:v>
                </c:pt>
                <c:pt idx="4">
                  <c:v>±800千伏</c:v>
                </c:pt>
                <c:pt idx="5">
                  <c:v>1、直流工程</c:v>
                </c:pt>
                <c:pt idx="6">
                  <c:v>1000千伏</c:v>
                </c:pt>
                <c:pt idx="7">
                  <c:v>110千伏(含66千伏)</c:v>
                </c:pt>
                <c:pt idx="8">
                  <c:v>2、交流工程</c:v>
                </c:pt>
                <c:pt idx="9">
                  <c:v>220千伏</c:v>
                </c:pt>
                <c:pt idx="10">
                  <c:v>330千伏</c:v>
                </c:pt>
                <c:pt idx="11">
                  <c:v>500千伏</c:v>
                </c:pt>
                <c:pt idx="12">
                  <c:v>750千伏</c:v>
                </c:pt>
                <c:pt idx="13">
                  <c:v>电网投资</c:v>
                </c:pt>
                <c:pt idx="14">
                  <c:v>电源投资</c:v>
                </c:pt>
                <c:pt idx="15">
                  <c:v>风电</c:v>
                </c:pt>
                <c:pt idx="16">
                  <c:v>合计</c:v>
                </c:pt>
                <c:pt idx="17">
                  <c:v>核电</c:v>
                </c:pt>
                <c:pt idx="18">
                  <c:v>火电</c:v>
                </c:pt>
                <c:pt idx="19">
                  <c:v>其他电网(含小型基建)</c:v>
                </c:pt>
                <c:pt idx="20">
                  <c:v>其他电源</c:v>
                </c:pt>
                <c:pt idx="21">
                  <c:v>其他火电</c:v>
                </c:pt>
                <c:pt idx="22">
                  <c:v>其中抽水蓄能</c:v>
                </c:pt>
                <c:pt idx="23">
                  <c:v>燃煤</c:v>
                </c:pt>
                <c:pt idx="24">
                  <c:v>燃气</c:v>
                </c:pt>
                <c:pt idx="25">
                  <c:v>燃油</c:v>
                </c:pt>
                <c:pt idx="26">
                  <c:v>水电</c:v>
                </c:pt>
                <c:pt idx="27">
                  <c:v>送变电</c:v>
                </c:pt>
                <c:pt idx="28">
                  <c:v>太阳能</c:v>
                </c:pt>
              </c:strCache>
            </c:strRef>
          </c:cat>
          <c:val>
            <c:numRef>
              <c:f>'Power Infrastructure Investment'!$O$5:$O$34</c:f>
              <c:numCache>
                <c:formatCode>General</c:formatCode>
                <c:ptCount val="29"/>
                <c:pt idx="0">
                  <c:v>320467</c:v>
                </c:pt>
                <c:pt idx="2">
                  <c:v>224890</c:v>
                </c:pt>
                <c:pt idx="4">
                  <c:v>4402192</c:v>
                </c:pt>
                <c:pt idx="5">
                  <c:v>4947549</c:v>
                </c:pt>
                <c:pt idx="6">
                  <c:v>3980497</c:v>
                </c:pt>
                <c:pt idx="7">
                  <c:v>7969259</c:v>
                </c:pt>
                <c:pt idx="8">
                  <c:v>47867543</c:v>
                </c:pt>
                <c:pt idx="9">
                  <c:v>6629426</c:v>
                </c:pt>
                <c:pt idx="10">
                  <c:v>522861</c:v>
                </c:pt>
                <c:pt idx="11">
                  <c:v>4277281</c:v>
                </c:pt>
                <c:pt idx="12">
                  <c:v>967071</c:v>
                </c:pt>
                <c:pt idx="13">
                  <c:v>54314885</c:v>
                </c:pt>
                <c:pt idx="14">
                  <c:v>34083732</c:v>
                </c:pt>
                <c:pt idx="15">
                  <c:v>9266583</c:v>
                </c:pt>
                <c:pt idx="16">
                  <c:v>88398617</c:v>
                </c:pt>
                <c:pt idx="17">
                  <c:v>5040673</c:v>
                </c:pt>
                <c:pt idx="18">
                  <c:v>11192772</c:v>
                </c:pt>
                <c:pt idx="19">
                  <c:v>1499792</c:v>
                </c:pt>
                <c:pt idx="21">
                  <c:v>4484</c:v>
                </c:pt>
                <c:pt idx="22">
                  <c:v>842336</c:v>
                </c:pt>
                <c:pt idx="23">
                  <c:v>9731986</c:v>
                </c:pt>
                <c:pt idx="24">
                  <c:v>1456302</c:v>
                </c:pt>
                <c:pt idx="26">
                  <c:v>6171433</c:v>
                </c:pt>
                <c:pt idx="27">
                  <c:v>52815092</c:v>
                </c:pt>
                <c:pt idx="28">
                  <c:v>2412271</c:v>
                </c:pt>
              </c:numCache>
            </c:numRef>
          </c:val>
        </c:ser>
        <c:ser>
          <c:idx val="7"/>
          <c:order val="7"/>
          <c:tx>
            <c:strRef>
              <c:f>'Power Infrastructure Investment'!$P$3:$P$4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'Power Infrastructure Investment'!$H$5:$H$34</c:f>
              <c:strCache>
                <c:ptCount val="29"/>
                <c:pt idx="0">
                  <c:v>±1100千伏</c:v>
                </c:pt>
                <c:pt idx="1">
                  <c:v>±400千伏</c:v>
                </c:pt>
                <c:pt idx="2">
                  <c:v>±500千伏</c:v>
                </c:pt>
                <c:pt idx="3">
                  <c:v>±660千伏</c:v>
                </c:pt>
                <c:pt idx="4">
                  <c:v>±800千伏</c:v>
                </c:pt>
                <c:pt idx="5">
                  <c:v>1、直流工程</c:v>
                </c:pt>
                <c:pt idx="6">
                  <c:v>1000千伏</c:v>
                </c:pt>
                <c:pt idx="7">
                  <c:v>110千伏(含66千伏)</c:v>
                </c:pt>
                <c:pt idx="8">
                  <c:v>2、交流工程</c:v>
                </c:pt>
                <c:pt idx="9">
                  <c:v>220千伏</c:v>
                </c:pt>
                <c:pt idx="10">
                  <c:v>330千伏</c:v>
                </c:pt>
                <c:pt idx="11">
                  <c:v>500千伏</c:v>
                </c:pt>
                <c:pt idx="12">
                  <c:v>750千伏</c:v>
                </c:pt>
                <c:pt idx="13">
                  <c:v>电网投资</c:v>
                </c:pt>
                <c:pt idx="14">
                  <c:v>电源投资</c:v>
                </c:pt>
                <c:pt idx="15">
                  <c:v>风电</c:v>
                </c:pt>
                <c:pt idx="16">
                  <c:v>合计</c:v>
                </c:pt>
                <c:pt idx="17">
                  <c:v>核电</c:v>
                </c:pt>
                <c:pt idx="18">
                  <c:v>火电</c:v>
                </c:pt>
                <c:pt idx="19">
                  <c:v>其他电网(含小型基建)</c:v>
                </c:pt>
                <c:pt idx="20">
                  <c:v>其他电源</c:v>
                </c:pt>
                <c:pt idx="21">
                  <c:v>其他火电</c:v>
                </c:pt>
                <c:pt idx="22">
                  <c:v>其中抽水蓄能</c:v>
                </c:pt>
                <c:pt idx="23">
                  <c:v>燃煤</c:v>
                </c:pt>
                <c:pt idx="24">
                  <c:v>燃气</c:v>
                </c:pt>
                <c:pt idx="25">
                  <c:v>燃油</c:v>
                </c:pt>
                <c:pt idx="26">
                  <c:v>水电</c:v>
                </c:pt>
                <c:pt idx="27">
                  <c:v>送变电</c:v>
                </c:pt>
                <c:pt idx="28">
                  <c:v>太阳能</c:v>
                </c:pt>
              </c:strCache>
            </c:strRef>
          </c:cat>
          <c:val>
            <c:numRef>
              <c:f>'Power Infrastructure Investment'!$P$5:$P$34</c:f>
              <c:numCache>
                <c:formatCode>General</c:formatCode>
                <c:ptCount val="29"/>
                <c:pt idx="0">
                  <c:v>1209686</c:v>
                </c:pt>
                <c:pt idx="2">
                  <c:v>92607</c:v>
                </c:pt>
                <c:pt idx="4">
                  <c:v>7287037</c:v>
                </c:pt>
                <c:pt idx="5">
                  <c:v>8589331</c:v>
                </c:pt>
                <c:pt idx="6">
                  <c:v>1675549</c:v>
                </c:pt>
                <c:pt idx="7">
                  <c:v>6476099</c:v>
                </c:pt>
                <c:pt idx="8">
                  <c:v>42762421</c:v>
                </c:pt>
                <c:pt idx="9">
                  <c:v>6275211</c:v>
                </c:pt>
                <c:pt idx="10">
                  <c:v>413040</c:v>
                </c:pt>
                <c:pt idx="11">
                  <c:v>4848558</c:v>
                </c:pt>
                <c:pt idx="12">
                  <c:v>931099</c:v>
                </c:pt>
                <c:pt idx="13">
                  <c:v>53388841</c:v>
                </c:pt>
                <c:pt idx="14">
                  <c:v>28998394</c:v>
                </c:pt>
                <c:pt idx="15">
                  <c:v>6810730</c:v>
                </c:pt>
                <c:pt idx="16">
                  <c:v>82387235</c:v>
                </c:pt>
                <c:pt idx="17">
                  <c:v>4542153</c:v>
                </c:pt>
                <c:pt idx="18">
                  <c:v>8577120</c:v>
                </c:pt>
                <c:pt idx="19">
                  <c:v>2037090</c:v>
                </c:pt>
                <c:pt idx="21">
                  <c:v>71336</c:v>
                </c:pt>
                <c:pt idx="22">
                  <c:v>1419891</c:v>
                </c:pt>
                <c:pt idx="23">
                  <c:v>7062506</c:v>
                </c:pt>
                <c:pt idx="24">
                  <c:v>1443278</c:v>
                </c:pt>
                <c:pt idx="26">
                  <c:v>6216184</c:v>
                </c:pt>
                <c:pt idx="27">
                  <c:v>51351751</c:v>
                </c:pt>
                <c:pt idx="28">
                  <c:v>2852208</c:v>
                </c:pt>
              </c:numCache>
            </c:numRef>
          </c:val>
        </c:ser>
        <c:ser>
          <c:idx val="8"/>
          <c:order val="8"/>
          <c:tx>
            <c:strRef>
              <c:f>'Power Infrastructure Investment'!$Q$3:$Q$4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'Power Infrastructure Investment'!$H$5:$H$34</c:f>
              <c:strCache>
                <c:ptCount val="29"/>
                <c:pt idx="0">
                  <c:v>±1100千伏</c:v>
                </c:pt>
                <c:pt idx="1">
                  <c:v>±400千伏</c:v>
                </c:pt>
                <c:pt idx="2">
                  <c:v>±500千伏</c:v>
                </c:pt>
                <c:pt idx="3">
                  <c:v>±660千伏</c:v>
                </c:pt>
                <c:pt idx="4">
                  <c:v>±800千伏</c:v>
                </c:pt>
                <c:pt idx="5">
                  <c:v>1、直流工程</c:v>
                </c:pt>
                <c:pt idx="6">
                  <c:v>1000千伏</c:v>
                </c:pt>
                <c:pt idx="7">
                  <c:v>110千伏(含66千伏)</c:v>
                </c:pt>
                <c:pt idx="8">
                  <c:v>2、交流工程</c:v>
                </c:pt>
                <c:pt idx="9">
                  <c:v>220千伏</c:v>
                </c:pt>
                <c:pt idx="10">
                  <c:v>330千伏</c:v>
                </c:pt>
                <c:pt idx="11">
                  <c:v>500千伏</c:v>
                </c:pt>
                <c:pt idx="12">
                  <c:v>750千伏</c:v>
                </c:pt>
                <c:pt idx="13">
                  <c:v>电网投资</c:v>
                </c:pt>
                <c:pt idx="14">
                  <c:v>电源投资</c:v>
                </c:pt>
                <c:pt idx="15">
                  <c:v>风电</c:v>
                </c:pt>
                <c:pt idx="16">
                  <c:v>合计</c:v>
                </c:pt>
                <c:pt idx="17">
                  <c:v>核电</c:v>
                </c:pt>
                <c:pt idx="18">
                  <c:v>火电</c:v>
                </c:pt>
                <c:pt idx="19">
                  <c:v>其他电网(含小型基建)</c:v>
                </c:pt>
                <c:pt idx="20">
                  <c:v>其他电源</c:v>
                </c:pt>
                <c:pt idx="21">
                  <c:v>其他火电</c:v>
                </c:pt>
                <c:pt idx="22">
                  <c:v>其中抽水蓄能</c:v>
                </c:pt>
                <c:pt idx="23">
                  <c:v>燃煤</c:v>
                </c:pt>
                <c:pt idx="24">
                  <c:v>燃气</c:v>
                </c:pt>
                <c:pt idx="25">
                  <c:v>燃油</c:v>
                </c:pt>
                <c:pt idx="26">
                  <c:v>水电</c:v>
                </c:pt>
                <c:pt idx="27">
                  <c:v>送变电</c:v>
                </c:pt>
                <c:pt idx="28">
                  <c:v>太阳能</c:v>
                </c:pt>
              </c:strCache>
            </c:strRef>
          </c:cat>
          <c:val>
            <c:numRef>
              <c:f>'Power Infrastructure Investment'!$Q$5:$Q$34</c:f>
              <c:numCache>
                <c:formatCode>General</c:formatCode>
                <c:ptCount val="29"/>
                <c:pt idx="0">
                  <c:v>1133628</c:v>
                </c:pt>
                <c:pt idx="2">
                  <c:v>975208</c:v>
                </c:pt>
                <c:pt idx="4">
                  <c:v>3095849</c:v>
                </c:pt>
                <c:pt idx="5">
                  <c:v>5204685</c:v>
                </c:pt>
                <c:pt idx="6">
                  <c:v>1837307</c:v>
                </c:pt>
                <c:pt idx="7">
                  <c:v>6494009</c:v>
                </c:pt>
                <c:pt idx="8">
                  <c:v>46127730</c:v>
                </c:pt>
                <c:pt idx="9">
                  <c:v>6612618</c:v>
                </c:pt>
                <c:pt idx="10">
                  <c:v>419812</c:v>
                </c:pt>
                <c:pt idx="11">
                  <c:v>4852910</c:v>
                </c:pt>
                <c:pt idx="12">
                  <c:v>927776</c:v>
                </c:pt>
                <c:pt idx="13">
                  <c:v>53738169</c:v>
                </c:pt>
                <c:pt idx="14">
                  <c:v>27871417</c:v>
                </c:pt>
                <c:pt idx="15">
                  <c:v>6461876</c:v>
                </c:pt>
                <c:pt idx="16">
                  <c:v>81609586</c:v>
                </c:pt>
                <c:pt idx="17">
                  <c:v>4471618</c:v>
                </c:pt>
                <c:pt idx="18">
                  <c:v>7864177</c:v>
                </c:pt>
                <c:pt idx="19">
                  <c:v>2405754</c:v>
                </c:pt>
                <c:pt idx="21">
                  <c:v>5094</c:v>
                </c:pt>
                <c:pt idx="22">
                  <c:v>1624779</c:v>
                </c:pt>
                <c:pt idx="23">
                  <c:v>6443114</c:v>
                </c:pt>
                <c:pt idx="24">
                  <c:v>1415968</c:v>
                </c:pt>
                <c:pt idx="26">
                  <c:v>7002561</c:v>
                </c:pt>
                <c:pt idx="27">
                  <c:v>51332415</c:v>
                </c:pt>
                <c:pt idx="28">
                  <c:v>2071185</c:v>
                </c:pt>
              </c:numCache>
            </c:numRef>
          </c:val>
        </c:ser>
        <c:ser>
          <c:idx val="9"/>
          <c:order val="9"/>
          <c:tx>
            <c:strRef>
              <c:f>'Power Infrastructure Investment'!$R$3:$R$4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'Power Infrastructure Investment'!$H$5:$H$34</c:f>
              <c:strCache>
                <c:ptCount val="29"/>
                <c:pt idx="0">
                  <c:v>±1100千伏</c:v>
                </c:pt>
                <c:pt idx="1">
                  <c:v>±400千伏</c:v>
                </c:pt>
                <c:pt idx="2">
                  <c:v>±500千伏</c:v>
                </c:pt>
                <c:pt idx="3">
                  <c:v>±660千伏</c:v>
                </c:pt>
                <c:pt idx="4">
                  <c:v>±800千伏</c:v>
                </c:pt>
                <c:pt idx="5">
                  <c:v>1、直流工程</c:v>
                </c:pt>
                <c:pt idx="6">
                  <c:v>1000千伏</c:v>
                </c:pt>
                <c:pt idx="7">
                  <c:v>110千伏(含66千伏)</c:v>
                </c:pt>
                <c:pt idx="8">
                  <c:v>2、交流工程</c:v>
                </c:pt>
                <c:pt idx="9">
                  <c:v>220千伏</c:v>
                </c:pt>
                <c:pt idx="10">
                  <c:v>330千伏</c:v>
                </c:pt>
                <c:pt idx="11">
                  <c:v>500千伏</c:v>
                </c:pt>
                <c:pt idx="12">
                  <c:v>750千伏</c:v>
                </c:pt>
                <c:pt idx="13">
                  <c:v>电网投资</c:v>
                </c:pt>
                <c:pt idx="14">
                  <c:v>电源投资</c:v>
                </c:pt>
                <c:pt idx="15">
                  <c:v>风电</c:v>
                </c:pt>
                <c:pt idx="16">
                  <c:v>合计</c:v>
                </c:pt>
                <c:pt idx="17">
                  <c:v>核电</c:v>
                </c:pt>
                <c:pt idx="18">
                  <c:v>火电</c:v>
                </c:pt>
                <c:pt idx="19">
                  <c:v>其他电网(含小型基建)</c:v>
                </c:pt>
                <c:pt idx="20">
                  <c:v>其他电源</c:v>
                </c:pt>
                <c:pt idx="21">
                  <c:v>其他火电</c:v>
                </c:pt>
                <c:pt idx="22">
                  <c:v>其中抽水蓄能</c:v>
                </c:pt>
                <c:pt idx="23">
                  <c:v>燃煤</c:v>
                </c:pt>
                <c:pt idx="24">
                  <c:v>燃气</c:v>
                </c:pt>
                <c:pt idx="25">
                  <c:v>燃油</c:v>
                </c:pt>
                <c:pt idx="26">
                  <c:v>水电</c:v>
                </c:pt>
                <c:pt idx="27">
                  <c:v>送变电</c:v>
                </c:pt>
                <c:pt idx="28">
                  <c:v>太阳能</c:v>
                </c:pt>
              </c:strCache>
            </c:strRef>
          </c:cat>
          <c:val>
            <c:numRef>
              <c:f>'Power Infrastructure Investment'!$R$5:$R$34</c:f>
              <c:numCache>
                <c:formatCode>General</c:formatCode>
                <c:ptCount val="29"/>
                <c:pt idx="1">
                  <c:v>10000</c:v>
                </c:pt>
                <c:pt idx="2">
                  <c:v>292105</c:v>
                </c:pt>
                <c:pt idx="4">
                  <c:v>2192823</c:v>
                </c:pt>
                <c:pt idx="5">
                  <c:v>2494928</c:v>
                </c:pt>
                <c:pt idx="6">
                  <c:v>1599741</c:v>
                </c:pt>
                <c:pt idx="7">
                  <c:v>6464522</c:v>
                </c:pt>
                <c:pt idx="8">
                  <c:v>45298308</c:v>
                </c:pt>
                <c:pt idx="9">
                  <c:v>6200893</c:v>
                </c:pt>
                <c:pt idx="10">
                  <c:v>353628</c:v>
                </c:pt>
                <c:pt idx="11">
                  <c:v>3596383</c:v>
                </c:pt>
                <c:pt idx="12">
                  <c:v>981154</c:v>
                </c:pt>
                <c:pt idx="13">
                  <c:v>50117312</c:v>
                </c:pt>
                <c:pt idx="14">
                  <c:v>32832718</c:v>
                </c:pt>
                <c:pt idx="15">
                  <c:v>12443671</c:v>
                </c:pt>
                <c:pt idx="16">
                  <c:v>82950030</c:v>
                </c:pt>
                <c:pt idx="17">
                  <c:v>3823984</c:v>
                </c:pt>
                <c:pt idx="18">
                  <c:v>6337501</c:v>
                </c:pt>
                <c:pt idx="19">
                  <c:v>2324077</c:v>
                </c:pt>
                <c:pt idx="21">
                  <c:v>232325</c:v>
                </c:pt>
                <c:pt idx="22">
                  <c:v>1720815</c:v>
                </c:pt>
                <c:pt idx="23">
                  <c:v>5062824</c:v>
                </c:pt>
                <c:pt idx="24">
                  <c:v>1042352</c:v>
                </c:pt>
                <c:pt idx="26">
                  <c:v>8387272</c:v>
                </c:pt>
                <c:pt idx="27">
                  <c:v>47793236</c:v>
                </c:pt>
                <c:pt idx="28">
                  <c:v>1840289</c:v>
                </c:pt>
              </c:numCache>
            </c:numRef>
          </c:val>
        </c:ser>
        <c:ser>
          <c:idx val="10"/>
          <c:order val="10"/>
          <c:tx>
            <c:strRef>
              <c:f>'Power Infrastructure Investment'!$S$3:$S$4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'Power Infrastructure Investment'!$H$5:$H$34</c:f>
              <c:strCache>
                <c:ptCount val="29"/>
                <c:pt idx="0">
                  <c:v>±1100千伏</c:v>
                </c:pt>
                <c:pt idx="1">
                  <c:v>±400千伏</c:v>
                </c:pt>
                <c:pt idx="2">
                  <c:v>±500千伏</c:v>
                </c:pt>
                <c:pt idx="3">
                  <c:v>±660千伏</c:v>
                </c:pt>
                <c:pt idx="4">
                  <c:v>±800千伏</c:v>
                </c:pt>
                <c:pt idx="5">
                  <c:v>1、直流工程</c:v>
                </c:pt>
                <c:pt idx="6">
                  <c:v>1000千伏</c:v>
                </c:pt>
                <c:pt idx="7">
                  <c:v>110千伏(含66千伏)</c:v>
                </c:pt>
                <c:pt idx="8">
                  <c:v>2、交流工程</c:v>
                </c:pt>
                <c:pt idx="9">
                  <c:v>220千伏</c:v>
                </c:pt>
                <c:pt idx="10">
                  <c:v>330千伏</c:v>
                </c:pt>
                <c:pt idx="11">
                  <c:v>500千伏</c:v>
                </c:pt>
                <c:pt idx="12">
                  <c:v>750千伏</c:v>
                </c:pt>
                <c:pt idx="13">
                  <c:v>电网投资</c:v>
                </c:pt>
                <c:pt idx="14">
                  <c:v>电源投资</c:v>
                </c:pt>
                <c:pt idx="15">
                  <c:v>风电</c:v>
                </c:pt>
                <c:pt idx="16">
                  <c:v>合计</c:v>
                </c:pt>
                <c:pt idx="17">
                  <c:v>核电</c:v>
                </c:pt>
                <c:pt idx="18">
                  <c:v>火电</c:v>
                </c:pt>
                <c:pt idx="19">
                  <c:v>其他电网(含小型基建)</c:v>
                </c:pt>
                <c:pt idx="20">
                  <c:v>其他电源</c:v>
                </c:pt>
                <c:pt idx="21">
                  <c:v>其他火电</c:v>
                </c:pt>
                <c:pt idx="22">
                  <c:v>其中抽水蓄能</c:v>
                </c:pt>
                <c:pt idx="23">
                  <c:v>燃煤</c:v>
                </c:pt>
                <c:pt idx="24">
                  <c:v>燃气</c:v>
                </c:pt>
                <c:pt idx="25">
                  <c:v>燃油</c:v>
                </c:pt>
                <c:pt idx="26">
                  <c:v>水电</c:v>
                </c:pt>
                <c:pt idx="27">
                  <c:v>送变电</c:v>
                </c:pt>
                <c:pt idx="28">
                  <c:v>太阳能</c:v>
                </c:pt>
              </c:strCache>
            </c:strRef>
          </c:cat>
          <c:val>
            <c:numRef>
              <c:f>'Power Infrastructure Investment'!$S$5:$S$34</c:f>
              <c:numCache>
                <c:formatCode>General</c:formatCode>
                <c:ptCount val="29"/>
                <c:pt idx="2">
                  <c:v>331380</c:v>
                </c:pt>
                <c:pt idx="4">
                  <c:v>4991902</c:v>
                </c:pt>
                <c:pt idx="5">
                  <c:v>5323282</c:v>
                </c:pt>
                <c:pt idx="6">
                  <c:v>897924</c:v>
                </c:pt>
                <c:pt idx="7">
                  <c:v>6228067</c:v>
                </c:pt>
                <c:pt idx="8">
                  <c:v>41883339</c:v>
                </c:pt>
                <c:pt idx="9">
                  <c:v>6380481</c:v>
                </c:pt>
                <c:pt idx="10">
                  <c:v>455553</c:v>
                </c:pt>
                <c:pt idx="11">
                  <c:v>4736655</c:v>
                </c:pt>
                <c:pt idx="12">
                  <c:v>999720</c:v>
                </c:pt>
                <c:pt idx="13">
                  <c:v>48963113</c:v>
                </c:pt>
                <c:pt idx="14">
                  <c:v>52924357</c:v>
                </c:pt>
                <c:pt idx="15">
                  <c:v>26531184</c:v>
                </c:pt>
                <c:pt idx="16">
                  <c:v>101887470</c:v>
                </c:pt>
                <c:pt idx="17">
                  <c:v>3794978</c:v>
                </c:pt>
                <c:pt idx="18">
                  <c:v>5676658</c:v>
                </c:pt>
                <c:pt idx="19">
                  <c:v>1756491</c:v>
                </c:pt>
                <c:pt idx="21">
                  <c:v>416868</c:v>
                </c:pt>
                <c:pt idx="22">
                  <c:v>2380584</c:v>
                </c:pt>
                <c:pt idx="23">
                  <c:v>4003760</c:v>
                </c:pt>
                <c:pt idx="24">
                  <c:v>1153936</c:v>
                </c:pt>
                <c:pt idx="26">
                  <c:v>10670182</c:v>
                </c:pt>
                <c:pt idx="27">
                  <c:v>47206622</c:v>
                </c:pt>
                <c:pt idx="28">
                  <c:v>6251356</c:v>
                </c:pt>
              </c:numCache>
            </c:numRef>
          </c:val>
        </c:ser>
        <c:ser>
          <c:idx val="11"/>
          <c:order val="11"/>
          <c:tx>
            <c:strRef>
              <c:f>'Power Infrastructure Investment'!$T$3:$T$4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'Power Infrastructure Investment'!$H$5:$H$34</c:f>
              <c:strCache>
                <c:ptCount val="29"/>
                <c:pt idx="0">
                  <c:v>±1100千伏</c:v>
                </c:pt>
                <c:pt idx="1">
                  <c:v>±400千伏</c:v>
                </c:pt>
                <c:pt idx="2">
                  <c:v>±500千伏</c:v>
                </c:pt>
                <c:pt idx="3">
                  <c:v>±660千伏</c:v>
                </c:pt>
                <c:pt idx="4">
                  <c:v>±800千伏</c:v>
                </c:pt>
                <c:pt idx="5">
                  <c:v>1、直流工程</c:v>
                </c:pt>
                <c:pt idx="6">
                  <c:v>1000千伏</c:v>
                </c:pt>
                <c:pt idx="7">
                  <c:v>110千伏(含66千伏)</c:v>
                </c:pt>
                <c:pt idx="8">
                  <c:v>2、交流工程</c:v>
                </c:pt>
                <c:pt idx="9">
                  <c:v>220千伏</c:v>
                </c:pt>
                <c:pt idx="10">
                  <c:v>330千伏</c:v>
                </c:pt>
                <c:pt idx="11">
                  <c:v>500千伏</c:v>
                </c:pt>
                <c:pt idx="12">
                  <c:v>750千伏</c:v>
                </c:pt>
                <c:pt idx="13">
                  <c:v>电网投资</c:v>
                </c:pt>
                <c:pt idx="14">
                  <c:v>电源投资</c:v>
                </c:pt>
                <c:pt idx="15">
                  <c:v>风电</c:v>
                </c:pt>
                <c:pt idx="16">
                  <c:v>合计</c:v>
                </c:pt>
                <c:pt idx="17">
                  <c:v>核电</c:v>
                </c:pt>
                <c:pt idx="18">
                  <c:v>火电</c:v>
                </c:pt>
                <c:pt idx="19">
                  <c:v>其他电网(含小型基建)</c:v>
                </c:pt>
                <c:pt idx="20">
                  <c:v>其他电源</c:v>
                </c:pt>
                <c:pt idx="21">
                  <c:v>其他火电</c:v>
                </c:pt>
                <c:pt idx="22">
                  <c:v>其中抽水蓄能</c:v>
                </c:pt>
                <c:pt idx="23">
                  <c:v>燃煤</c:v>
                </c:pt>
                <c:pt idx="24">
                  <c:v>燃气</c:v>
                </c:pt>
                <c:pt idx="25">
                  <c:v>燃油</c:v>
                </c:pt>
                <c:pt idx="26">
                  <c:v>水电</c:v>
                </c:pt>
                <c:pt idx="27">
                  <c:v>送变电</c:v>
                </c:pt>
                <c:pt idx="28">
                  <c:v>太阳能</c:v>
                </c:pt>
              </c:strCache>
            </c:strRef>
          </c:cat>
          <c:val>
            <c:numRef>
              <c:f>'Power Infrastructure Investment'!$T$5:$T$34</c:f>
              <c:numCache>
                <c:formatCode>General</c:formatCode>
                <c:ptCount val="29"/>
                <c:pt idx="2">
                  <c:v>42202</c:v>
                </c:pt>
                <c:pt idx="4">
                  <c:v>3759669</c:v>
                </c:pt>
                <c:pt idx="5">
                  <c:v>3801871</c:v>
                </c:pt>
                <c:pt idx="6">
                  <c:v>1515392</c:v>
                </c:pt>
                <c:pt idx="7">
                  <c:v>7339507</c:v>
                </c:pt>
                <c:pt idx="8">
                  <c:v>43834772</c:v>
                </c:pt>
                <c:pt idx="9">
                  <c:v>7428260</c:v>
                </c:pt>
                <c:pt idx="10">
                  <c:v>486926</c:v>
                </c:pt>
                <c:pt idx="11">
                  <c:v>4960172</c:v>
                </c:pt>
                <c:pt idx="12">
                  <c:v>895250</c:v>
                </c:pt>
                <c:pt idx="13">
                  <c:v>49162538</c:v>
                </c:pt>
                <c:pt idx="14">
                  <c:v>58700921</c:v>
                </c:pt>
                <c:pt idx="15">
                  <c:v>25894681</c:v>
                </c:pt>
                <c:pt idx="16">
                  <c:v>107863459</c:v>
                </c:pt>
                <c:pt idx="17">
                  <c:v>5388598</c:v>
                </c:pt>
                <c:pt idx="18">
                  <c:v>7076797</c:v>
                </c:pt>
                <c:pt idx="19">
                  <c:v>1525894</c:v>
                </c:pt>
                <c:pt idx="20">
                  <c:v>7659</c:v>
                </c:pt>
                <c:pt idx="21">
                  <c:v>397853</c:v>
                </c:pt>
                <c:pt idx="22">
                  <c:v>2930658</c:v>
                </c:pt>
                <c:pt idx="23">
                  <c:v>5524354</c:v>
                </c:pt>
                <c:pt idx="24">
                  <c:v>1154590</c:v>
                </c:pt>
                <c:pt idx="26">
                  <c:v>11726064</c:v>
                </c:pt>
                <c:pt idx="27">
                  <c:v>47636644</c:v>
                </c:pt>
                <c:pt idx="28">
                  <c:v>8607122</c:v>
                </c:pt>
              </c:numCache>
            </c:numRef>
          </c:val>
        </c:ser>
        <c:ser>
          <c:idx val="12"/>
          <c:order val="12"/>
          <c:tx>
            <c:strRef>
              <c:f>'Power Infrastructure Investment'!$U$3:$U$4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'Power Infrastructure Investment'!$H$5:$H$34</c:f>
              <c:strCache>
                <c:ptCount val="29"/>
                <c:pt idx="0">
                  <c:v>±1100千伏</c:v>
                </c:pt>
                <c:pt idx="1">
                  <c:v>±400千伏</c:v>
                </c:pt>
                <c:pt idx="2">
                  <c:v>±500千伏</c:v>
                </c:pt>
                <c:pt idx="3">
                  <c:v>±660千伏</c:v>
                </c:pt>
                <c:pt idx="4">
                  <c:v>±800千伏</c:v>
                </c:pt>
                <c:pt idx="5">
                  <c:v>1、直流工程</c:v>
                </c:pt>
                <c:pt idx="6">
                  <c:v>1000千伏</c:v>
                </c:pt>
                <c:pt idx="7">
                  <c:v>110千伏(含66千伏)</c:v>
                </c:pt>
                <c:pt idx="8">
                  <c:v>2、交流工程</c:v>
                </c:pt>
                <c:pt idx="9">
                  <c:v>220千伏</c:v>
                </c:pt>
                <c:pt idx="10">
                  <c:v>330千伏</c:v>
                </c:pt>
                <c:pt idx="11">
                  <c:v>500千伏</c:v>
                </c:pt>
                <c:pt idx="12">
                  <c:v>750千伏</c:v>
                </c:pt>
                <c:pt idx="13">
                  <c:v>电网投资</c:v>
                </c:pt>
                <c:pt idx="14">
                  <c:v>电源投资</c:v>
                </c:pt>
                <c:pt idx="15">
                  <c:v>风电</c:v>
                </c:pt>
                <c:pt idx="16">
                  <c:v>合计</c:v>
                </c:pt>
                <c:pt idx="17">
                  <c:v>核电</c:v>
                </c:pt>
                <c:pt idx="18">
                  <c:v>火电</c:v>
                </c:pt>
                <c:pt idx="19">
                  <c:v>其他电网(含小型基建)</c:v>
                </c:pt>
                <c:pt idx="20">
                  <c:v>其他电源</c:v>
                </c:pt>
                <c:pt idx="21">
                  <c:v>其他火电</c:v>
                </c:pt>
                <c:pt idx="22">
                  <c:v>其中抽水蓄能</c:v>
                </c:pt>
                <c:pt idx="23">
                  <c:v>燃煤</c:v>
                </c:pt>
                <c:pt idx="24">
                  <c:v>燃气</c:v>
                </c:pt>
                <c:pt idx="25">
                  <c:v>燃油</c:v>
                </c:pt>
                <c:pt idx="26">
                  <c:v>水电</c:v>
                </c:pt>
                <c:pt idx="27">
                  <c:v>送变电</c:v>
                </c:pt>
                <c:pt idx="28">
                  <c:v>太阳能</c:v>
                </c:pt>
              </c:strCache>
            </c:strRef>
          </c:cat>
          <c:val>
            <c:numRef>
              <c:f>'Power Infrastructure Investment'!$U$5:$U$34</c:f>
              <c:numCache>
                <c:formatCode>General</c:formatCode>
                <c:ptCount val="29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6088175"/>
        <c:axId val="2036083375"/>
      </c:barChart>
      <c:catAx>
        <c:axId val="2036088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36083375"/>
        <c:crosses val="autoZero"/>
        <c:auto val="1"/>
        <c:lblAlgn val="ctr"/>
        <c:lblOffset val="100"/>
        <c:noMultiLvlLbl val="0"/>
      </c:catAx>
      <c:valAx>
        <c:axId val="2036083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36088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dd659f2-a752-4cb8-b070-1a1c23a53fe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14</xdr:col>
      <xdr:colOff>0</xdr:colOff>
      <xdr:row>15</xdr:row>
      <xdr:rowOff>0</xdr:rowOff>
    </xdr:from>
    <xdr:to>
      <xdr:col>19</xdr:col>
      <xdr:colOff>257175</xdr:colOff>
      <xdr:row>30</xdr:row>
      <xdr:rowOff>28575</xdr:rowOff>
    </xdr:to>
    <xdr:graphicFrame>
      <xdr:nvGraphicFramePr>
        <xdr:cNvPr id="2" name="图表 1"/>
        <xdr:cNvGraphicFramePr/>
      </xdr:nvGraphicFramePr>
      <xdr:xfrm>
        <a:off x="10727690" y="2571750"/>
        <a:ext cx="4446270" cy="26003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395605</xdr:colOff>
      <xdr:row>34</xdr:row>
      <xdr:rowOff>107315</xdr:rowOff>
    </xdr:from>
    <xdr:to>
      <xdr:col>14</xdr:col>
      <xdr:colOff>304800</xdr:colOff>
      <xdr:row>49</xdr:row>
      <xdr:rowOff>107315</xdr:rowOff>
    </xdr:to>
    <xdr:graphicFrame>
      <xdr:nvGraphicFramePr>
        <xdr:cNvPr id="2" name="Chart 1"/>
        <xdr:cNvGraphicFramePr/>
      </xdr:nvGraphicFramePr>
      <xdr:xfrm>
        <a:off x="6817360" y="5936615"/>
        <a:ext cx="4609465" cy="25717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Programming\EPS\Github%20Push\Shandong\eps-shandong-smart-trans\InputData\elec\CCaMC\na-Capacity%20Construction%20and%20Maint%20Cost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bout"/>
      <sheetName val="Exchange Rate"/>
      <sheetName val="IRENA Historic Cost"/>
      <sheetName val="LCOE China - IEA"/>
      <sheetName val="CPIA Data"/>
      <sheetName val="Solar Thermal"/>
      <sheetName val="LBNL Data"/>
      <sheetName val="Start Year Wind and Solar"/>
      <sheetName val="Start Year Soft Cost Data"/>
      <sheetName val="S&amp;L"/>
      <sheetName val="Existing Plants"/>
      <sheetName val="Existing O&amp;M Costs"/>
      <sheetName val="New O&amp;M Costs"/>
      <sheetName val="All Other Capital and O&amp;M Costs"/>
      <sheetName val="All Other Capital and O&amp;M C 22"/>
      <sheetName val="CCaMC-AFOaMCpUC-pre-ret"/>
      <sheetName val="CCaMC-AFOaMCpUC-pre-nonret"/>
      <sheetName val="CCaMC-AFOaMCpUC-new"/>
      <sheetName val="CCaMC-VOaMCpUC-pre-ret"/>
      <sheetName val="CCaMC-VOaMCpUC-pre-nonret"/>
      <sheetName val="CCaMC-VOaMCpUC-new"/>
      <sheetName val="CCaMC-BCCpUC"/>
      <sheetName val="CCaMC-BSCpU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Rui Wang\2021 &#26234;&#27719;&#32511;&#34892;\&#26032;&#22411;&#30005;&#21147;&#31995;&#32479;&#35268;&#21010;&#26041;&#27861;&#23398;&#30740;&#31350;\&#30005;&#21147;&#31995;&#32479;&#25968;&#25454;&#24211;\&#30005;&#21147;&#25237;&#36164;&#38271;&#34920;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093.5883077546" refreshedBy="admin" recordCount="1886">
  <cacheSource type="worksheet">
    <worksheetSource ref="B1:E1048576" sheet="投资原始数据" r:id="rId2"/>
  </cacheSource>
  <cacheFields count="4">
    <cacheField name="年份" numFmtId="0">
      <sharedItems containsString="0" containsBlank="1" containsNumber="1" containsInteger="1" minValue="0" maxValue="2022" count="14"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m/>
      </sharedItems>
    </cacheField>
    <cacheField name="投资项目" numFmtId="0">
      <sharedItems containsBlank="1" count="6">
        <s v="其他费用"/>
        <s v="建筑工程"/>
        <s v="安装工程"/>
        <s v="设备工器具购置"/>
        <s v="本年完成投资"/>
        <m/>
      </sharedItems>
    </cacheField>
    <cacheField name="Type" numFmtId="0">
      <sharedItems containsBlank="1" count="30">
        <s v="其他电源"/>
        <s v="燃油"/>
        <s v="1000千伏"/>
        <s v="±400千伏"/>
        <s v="其他火电"/>
        <s v="±500千伏"/>
        <s v="燃气"/>
        <s v="±660千伏"/>
        <s v="太阳能"/>
        <s v="±800千伏"/>
        <s v="其中抽水蓄能"/>
        <s v="330千伏"/>
        <s v="1、直流工程"/>
        <s v="其他电网(含小型基建)"/>
        <s v="750千伏"/>
        <s v="水电"/>
        <s v="核电"/>
        <s v="风电"/>
        <s v="500千伏"/>
        <s v="110千伏(含66千伏)"/>
        <s v="220千伏"/>
        <s v="燃煤"/>
        <s v="火电"/>
        <s v="电源投资"/>
        <s v="2、交流工程"/>
        <s v="送变电"/>
        <s v="电网投资"/>
        <s v="合计"/>
        <s v="±1100千伏"/>
        <m/>
      </sharedItems>
    </cacheField>
    <cacheField name="Investment" numFmtId="0">
      <sharedItems containsString="0" containsBlank="1" containsNumber="1" containsInteger="1" minValue="-1272" maxValue="107863459" count="1495">
        <n v="61"/>
        <n v="139"/>
        <n v="600"/>
        <n v="1076"/>
        <n v="1261"/>
        <n v="1646"/>
        <n v="2275"/>
        <n v="2414"/>
        <n v="13469"/>
        <n v="16157"/>
        <n v="16506"/>
        <n v="16741"/>
        <n v="17255"/>
        <n v="18462"/>
        <n v="18624"/>
        <n v="19700"/>
        <n v="20215"/>
        <n v="21059"/>
        <n v="26052"/>
        <n v="29004"/>
        <n v="30170"/>
        <n v="33290"/>
        <n v="35254"/>
        <n v="36289"/>
        <n v="37158"/>
        <n v="43763"/>
        <n v="47446"/>
        <n v="58875"/>
        <n v="62987"/>
        <n v="70133"/>
        <n v="80631"/>
        <n v="100080"/>
        <n v="111204"/>
        <n v="115076"/>
        <n v="146229"/>
        <n v="146270"/>
        <n v="148200"/>
        <n v="154731"/>
        <n v="169560"/>
        <n v="172575"/>
        <n v="185350"/>
        <n v="187989"/>
        <n v="192115"/>
        <n v="210586"/>
        <n v="212086"/>
        <n v="222214"/>
        <n v="222759"/>
        <n v="242065"/>
        <n v="251749"/>
        <n v="254426"/>
        <n v="262542"/>
        <n v="275352"/>
        <n v="275997"/>
        <n v="297775"/>
        <n v="372515"/>
        <n v="417698"/>
        <n v="448326"/>
        <n v="499278"/>
        <n v="533713"/>
        <n v="558363"/>
        <n v="585653"/>
        <n v="600293"/>
        <n v="642222"/>
        <n v="664256"/>
        <n v="691230"/>
        <n v="713955"/>
        <n v="756058"/>
        <n v="814627"/>
        <n v="888786"/>
        <n v="991059"/>
        <n v="1058633"/>
        <n v="1069435"/>
        <n v="1096475"/>
        <n v="1107258"/>
        <n v="1146671"/>
        <n v="1160549"/>
        <n v="1178976"/>
        <n v="1226892"/>
        <n v="1293803"/>
        <n v="1550346"/>
        <n v="1591472"/>
        <n v="1738513"/>
        <n v="1751563"/>
        <n v="1962406"/>
        <n v="2123222"/>
        <n v="2253767"/>
        <n v="2283977"/>
        <n v="2308316"/>
        <n v="2415744"/>
        <n v="2475086"/>
        <n v="2773304"/>
        <n v="2835360"/>
        <n v="2854364"/>
        <n v="2926064"/>
        <n v="3351433"/>
        <n v="3377081"/>
        <n v="3390098"/>
        <n v="3491041"/>
        <n v="3711523"/>
        <n v="4441326"/>
        <n v="4978801"/>
        <n v="5048934"/>
        <n v="5240387"/>
        <n v="5634587"/>
        <n v="5658085"/>
        <n v="5806286"/>
        <n v="6120373"/>
        <n v="6372153"/>
        <n v="6475656"/>
        <n v="6648001"/>
        <n v="8067327"/>
        <n v="8191792"/>
        <n v="8292379"/>
        <n v="8607728"/>
        <n v="9377455"/>
        <n v="10133513"/>
        <n v="10233593"/>
        <n v="10375540"/>
        <n v="10831615"/>
        <n v="10952845"/>
        <n v="12544317"/>
        <n v="12806859"/>
        <n v="13623691"/>
        <n v="13814964"/>
        <n v="14098665"/>
        <n v="14242315"/>
        <n v="14261423"/>
        <n v="19403452"/>
        <n v="30549189"/>
        <n v="32210311"/>
        <n v="33384549"/>
        <n v="34481024"/>
        <n v="39693629"/>
        <n v="74174653"/>
        <m/>
        <n v="794"/>
        <n v="1719"/>
        <n v="3561"/>
        <n v="3616"/>
        <n v="13053"/>
        <n v="15276"/>
        <n v="16876"/>
        <n v="22016"/>
        <n v="24069"/>
        <n v="24285"/>
        <n v="24847"/>
        <n v="28320"/>
        <n v="28562"/>
        <n v="29397"/>
        <n v="32604"/>
        <n v="34995"/>
        <n v="40618"/>
        <n v="52473"/>
        <n v="60019"/>
        <n v="68492"/>
        <n v="69265"/>
        <n v="71162"/>
        <n v="75622"/>
        <n v="80310"/>
        <n v="81129"/>
        <n v="84628"/>
        <n v="87044"/>
        <n v="92103"/>
        <n v="103248"/>
        <n v="105319"/>
        <n v="110358"/>
        <n v="110726"/>
        <n v="113745"/>
        <n v="123462"/>
        <n v="132671"/>
        <n v="139381"/>
        <n v="139443"/>
        <n v="147425"/>
        <n v="161246"/>
        <n v="164286"/>
        <n v="171560"/>
        <n v="174114"/>
        <n v="193516"/>
        <n v="195155"/>
        <n v="210334"/>
        <n v="213148"/>
        <n v="220667"/>
        <n v="239846"/>
        <n v="265530"/>
        <n v="275189"/>
        <n v="322428"/>
        <n v="324357"/>
        <n v="336652"/>
        <n v="345088"/>
        <n v="347636"/>
        <n v="416070"/>
        <n v="441536"/>
        <n v="464780"/>
        <n v="471993"/>
        <n v="491750"/>
        <n v="500583"/>
        <n v="509728"/>
        <n v="517175"/>
        <n v="534551"/>
        <n v="551394"/>
        <n v="597521"/>
        <n v="625452"/>
        <n v="651550"/>
        <n v="728775"/>
        <n v="784639"/>
        <n v="789831"/>
        <n v="802138"/>
        <n v="809047"/>
        <n v="859181"/>
        <n v="873770"/>
        <n v="913082"/>
        <n v="1013875"/>
        <n v="1073559"/>
        <n v="1119487"/>
        <n v="1144990"/>
        <n v="1190896"/>
        <n v="1204663"/>
        <n v="1252440"/>
        <n v="1261649"/>
        <n v="1492256"/>
        <n v="1546649"/>
        <n v="1734578"/>
        <n v="1774024"/>
        <n v="1890489"/>
        <n v="1963451"/>
        <n v="1972114"/>
        <n v="1984053"/>
        <n v="2033949"/>
        <n v="2208866"/>
        <n v="2220666"/>
        <n v="2245211"/>
        <n v="2327084"/>
        <n v="2410493"/>
        <n v="2969873"/>
        <n v="3037222"/>
        <n v="3273665"/>
        <n v="3527393"/>
        <n v="3637078"/>
        <n v="3903077"/>
        <n v="3978217"/>
        <n v="4082087"/>
        <n v="4361171"/>
        <n v="4907027"/>
        <n v="5288526"/>
        <n v="5317548"/>
        <n v="5368836"/>
        <n v="5654200"/>
        <n v="5976628"/>
        <n v="5994289"/>
        <n v="6414903"/>
        <n v="7639639"/>
        <n v="7900261"/>
        <n v="8975370"/>
        <n v="9024369"/>
        <n v="9325998"/>
        <n v="9705297"/>
        <n v="9803615"/>
        <n v="10148879"/>
        <n v="10858299"/>
        <n v="10938710"/>
        <n v="11283797"/>
        <n v="11333218"/>
        <n v="11999550"/>
        <n v="13013425"/>
        <n v="13610946"/>
        <n v="14557462"/>
        <n v="14969659"/>
        <n v="15302626"/>
        <n v="17698986"/>
        <n v="31309932"/>
        <n v="32754506"/>
        <n v="34975172"/>
        <n v="36865661"/>
        <n v="39274019"/>
        <n v="76139680"/>
        <n v="11308"/>
        <n v="20792"/>
        <n v="21275"/>
        <n v="23142"/>
        <n v="24717"/>
        <n v="27070"/>
        <n v="28518"/>
        <n v="30709"/>
        <n v="38583"/>
        <n v="50688"/>
        <n v="56708"/>
        <n v="61192"/>
        <n v="61331"/>
        <n v="70629"/>
        <n v="74434"/>
        <n v="93803"/>
        <n v="96705"/>
        <n v="107019"/>
        <n v="113275"/>
        <n v="114782"/>
        <n v="117586"/>
        <n v="143734"/>
        <n v="154776"/>
        <n v="168918"/>
        <n v="171802"/>
        <n v="201989"/>
        <n v="213126"/>
        <n v="245514"/>
        <n v="286047"/>
        <n v="288121"/>
        <n v="289526"/>
        <n v="305399"/>
        <n v="309898"/>
        <n v="354162"/>
        <n v="369735"/>
        <n v="379538"/>
        <n v="384576"/>
        <n v="392745"/>
        <n v="402739"/>
        <n v="405330"/>
        <n v="433964"/>
        <n v="479593"/>
        <n v="508508"/>
        <n v="517937"/>
        <n v="535970"/>
        <n v="590970"/>
        <n v="600237"/>
        <n v="623327"/>
        <n v="657332"/>
        <n v="675223"/>
        <n v="683246"/>
        <n v="754355"/>
        <n v="788627"/>
        <n v="801092"/>
        <n v="854165"/>
        <n v="922162"/>
        <n v="987037"/>
        <n v="1049723"/>
        <n v="1084727"/>
        <n v="1115686"/>
        <n v="1227323"/>
        <n v="1229478"/>
        <n v="1234013"/>
        <n v="1355122"/>
        <n v="1388366"/>
        <n v="1442583"/>
        <n v="1630853"/>
        <n v="1634398"/>
        <n v="1639250"/>
        <n v="1743336"/>
        <n v="1773977"/>
        <n v="1857560"/>
        <n v="2031666"/>
        <n v="2046562"/>
        <n v="2263016"/>
        <n v="2297690"/>
        <n v="2436941"/>
        <n v="2456696"/>
        <n v="2513909"/>
        <n v="2632474"/>
        <n v="2776524"/>
        <n v="2931793"/>
        <n v="3074302"/>
        <n v="3567640"/>
        <n v="3771183"/>
        <n v="3996993"/>
        <n v="4229321"/>
        <n v="4793470"/>
        <n v="4886618"/>
        <n v="5186215"/>
        <n v="5680118"/>
        <n v="5987307"/>
        <n v="6073750"/>
        <n v="6085447"/>
        <n v="6488187"/>
        <n v="6598350"/>
        <n v="7844842"/>
        <n v="8044052"/>
        <n v="8283151"/>
        <n v="8291699"/>
        <n v="8766223"/>
        <n v="9994141"/>
        <n v="10024752"/>
        <n v="10617468"/>
        <n v="10927366"/>
        <n v="11335406"/>
        <n v="12004155"/>
        <n v="12387838"/>
        <n v="12690528"/>
        <n v="13208465"/>
        <n v="13364307"/>
        <n v="14270457"/>
        <n v="14593973"/>
        <n v="18492342"/>
        <n v="27802438"/>
        <n v="31803134"/>
        <n v="34579658"/>
        <n v="36611324"/>
        <n v="37318220"/>
        <n v="73929544"/>
        <n v="4349"/>
        <n v="10787"/>
        <n v="13301"/>
        <n v="21384"/>
        <n v="25000"/>
        <n v="28135"/>
        <n v="33923"/>
        <n v="43691"/>
        <n v="49821"/>
        <n v="63492"/>
        <n v="66287"/>
        <n v="81974"/>
        <n v="89277"/>
        <n v="89587"/>
        <n v="89904"/>
        <n v="114233"/>
        <n v="122064"/>
        <n v="147064"/>
        <n v="151687"/>
        <n v="187320"/>
        <n v="192343"/>
        <n v="202578"/>
        <n v="219877"/>
        <n v="222337"/>
        <n v="225371"/>
        <n v="247326"/>
        <n v="247374"/>
        <n v="264356"/>
        <n v="289446"/>
        <n v="344210"/>
        <n v="344890"/>
        <n v="352674"/>
        <n v="365737"/>
        <n v="416166"/>
        <n v="427820"/>
        <n v="439767"/>
        <n v="450100"/>
        <n v="471035"/>
        <n v="476965"/>
        <n v="500079"/>
        <n v="504819"/>
        <n v="600685"/>
        <n v="626901"/>
        <n v="649879"/>
        <n v="659529"/>
        <n v="716505"/>
        <n v="811509"/>
        <n v="829034"/>
        <n v="845990"/>
        <n v="886578"/>
        <n v="1019094"/>
        <n v="1113123"/>
        <n v="1133494"/>
        <n v="1159614"/>
        <n v="1164681"/>
        <n v="1175678"/>
        <n v="1200399"/>
        <n v="1226045"/>
        <n v="1304792"/>
        <n v="1340278"/>
        <n v="1342438"/>
        <n v="1362428"/>
        <n v="1393548"/>
        <n v="1429399"/>
        <n v="1598466"/>
        <n v="1603059"/>
        <n v="1640922"/>
        <n v="1715002"/>
        <n v="1785076"/>
        <n v="1844838"/>
        <n v="2062628"/>
        <n v="2065913"/>
        <n v="2094040"/>
        <n v="2194202"/>
        <n v="2280531"/>
        <n v="2402038"/>
        <n v="2408096"/>
        <n v="2453749"/>
        <n v="2709748"/>
        <n v="2871441"/>
        <n v="3094331"/>
        <n v="3230193"/>
        <n v="3544431"/>
        <n v="3791800"/>
        <n v="3984963"/>
        <n v="4028707"/>
        <n v="4549320"/>
        <n v="4977866"/>
        <n v="5843745"/>
        <n v="5990810"/>
        <n v="6373177"/>
        <n v="6495629"/>
        <n v="6496073"/>
        <n v="6601906"/>
        <n v="6689646"/>
        <n v="6789343"/>
        <n v="6991921"/>
        <n v="7114356"/>
        <n v="7921906"/>
        <n v="8049324"/>
        <n v="8213466"/>
        <n v="10161773"/>
        <n v="10614556"/>
        <n v="11299644"/>
        <n v="11754526"/>
        <n v="12229379"/>
        <n v="12255478"/>
        <n v="12345382"/>
        <n v="12639922"/>
        <n v="12729199"/>
        <n v="14709094"/>
        <n v="15600640"/>
        <n v="15879893"/>
        <n v="18746448"/>
        <n v="28225275"/>
        <n v="34131122"/>
        <n v="37675553"/>
        <n v="38562130"/>
        <n v="38719325"/>
        <n v="77281456"/>
        <n v="753"/>
        <n v="769"/>
        <n v="4694"/>
        <n v="6215"/>
        <n v="26853"/>
        <n v="28109"/>
        <n v="29768"/>
        <n v="36333"/>
        <n v="39152"/>
        <n v="55751"/>
        <n v="59675"/>
        <n v="72196"/>
        <n v="81937"/>
        <n v="115426"/>
        <n v="123126"/>
        <n v="131328"/>
        <n v="135355"/>
        <n v="142863"/>
        <n v="159713"/>
        <n v="165123"/>
        <n v="168315"/>
        <n v="196171"/>
        <n v="197571"/>
        <n v="209224"/>
        <n v="209652"/>
        <n v="215685"/>
        <n v="242425"/>
        <n v="242538"/>
        <n v="248965"/>
        <n v="250530"/>
        <n v="263472"/>
        <n v="307391"/>
        <n v="313992"/>
        <n v="316271"/>
        <n v="352073"/>
        <n v="366522"/>
        <n v="372557"/>
        <n v="419762"/>
        <n v="420974"/>
        <n v="497625"/>
        <n v="498628"/>
        <n v="596083"/>
        <n v="601240"/>
        <n v="651766"/>
        <n v="757884"/>
        <n v="846922"/>
        <n v="900030"/>
        <n v="902442"/>
        <n v="918284"/>
        <n v="940784"/>
        <n v="970148"/>
        <n v="1040252"/>
        <n v="1084011"/>
        <n v="1108156"/>
        <n v="1126962"/>
        <n v="1154313"/>
        <n v="1162848"/>
        <n v="1189515"/>
        <n v="1251945"/>
        <n v="1257639"/>
        <n v="1263574"/>
        <n v="1368580"/>
        <n v="1405725"/>
        <n v="1406138"/>
        <n v="1504358"/>
        <n v="1566207"/>
        <n v="1620111"/>
        <n v="1677401"/>
        <n v="1744789"/>
        <n v="1859270"/>
        <n v="1972937"/>
        <n v="1987046"/>
        <n v="1996887"/>
        <n v="2092347"/>
        <n v="2100834"/>
        <n v="2114593"/>
        <n v="2150971"/>
        <n v="2382758"/>
        <n v="2508776"/>
        <n v="2622958"/>
        <n v="2875078"/>
        <n v="3079612"/>
        <n v="3778545"/>
        <n v="4250565"/>
        <n v="4443042"/>
        <n v="4559539"/>
        <n v="5327242"/>
        <n v="5527054"/>
        <n v="6175009"/>
        <n v="6275251"/>
        <n v="6440372"/>
        <n v="6827043"/>
        <n v="6937997"/>
        <n v="6961974"/>
        <n v="7069581"/>
        <n v="7442138"/>
        <n v="8274666"/>
        <n v="9154985"/>
        <n v="9239712"/>
        <n v="9409122"/>
        <n v="9425799"/>
        <n v="9583471"/>
        <n v="11448956"/>
        <n v="12394945"/>
        <n v="12755005"/>
        <n v="12870432"/>
        <n v="13013295"/>
        <n v="13549258"/>
        <n v="13799789"/>
        <n v="15212663"/>
        <n v="16092906"/>
        <n v="16097940"/>
        <n v="16851260"/>
        <n v="29897729"/>
        <n v="36861339"/>
        <n v="38252240"/>
        <n v="39929642"/>
        <n v="41193217"/>
        <n v="78054556"/>
        <n v="-1272"/>
        <n v="-303"/>
        <n v="536"/>
        <n v="2324"/>
        <n v="3362"/>
        <n v="25301"/>
        <n v="45062"/>
        <n v="46895"/>
        <n v="48116"/>
        <n v="49859"/>
        <n v="63421"/>
        <n v="95886"/>
        <n v="116265"/>
        <n v="135068"/>
        <n v="135752"/>
        <n v="143549"/>
        <n v="145582"/>
        <n v="147652"/>
        <n v="157432"/>
        <n v="158277"/>
        <n v="182010"/>
        <n v="185604"/>
        <n v="205530"/>
        <n v="211073"/>
        <n v="220748"/>
        <n v="227257"/>
        <n v="316488"/>
        <n v="355124"/>
        <n v="379070"/>
        <n v="425965"/>
        <n v="428778"/>
        <n v="438246"/>
        <n v="451391"/>
        <n v="462415"/>
        <n v="498173"/>
        <n v="503436"/>
        <n v="553664"/>
        <n v="562421"/>
        <n v="573155"/>
        <n v="598167"/>
        <n v="619809"/>
        <n v="635883"/>
        <n v="652468"/>
        <n v="674846"/>
        <n v="704535"/>
        <n v="758408"/>
        <n v="845200"/>
        <n v="865291"/>
        <n v="870250"/>
        <n v="926951"/>
        <n v="994057"/>
        <n v="1016683"/>
        <n v="1078834"/>
        <n v="1090433"/>
        <n v="1122804"/>
        <n v="1136637"/>
        <n v="1241372"/>
        <n v="1255485"/>
        <n v="1260154"/>
        <n v="1311357"/>
        <n v="1322193"/>
        <n v="1355619"/>
        <n v="1392122"/>
        <n v="1487310"/>
        <n v="1588730"/>
        <n v="1656578"/>
        <n v="1763105"/>
        <n v="1791343"/>
        <n v="1823389"/>
        <n v="1946956"/>
        <n v="2162156"/>
        <n v="2166432"/>
        <n v="2166583"/>
        <n v="2184479"/>
        <n v="2188184"/>
        <n v="2195663"/>
        <n v="2418419"/>
        <n v="2442965"/>
        <n v="2603759"/>
        <n v="2730475"/>
        <n v="2790916"/>
        <n v="3153489"/>
        <n v="3332684"/>
        <n v="3406251"/>
        <n v="3520882"/>
        <n v="4567837"/>
        <n v="4629443"/>
        <n v="5071809"/>
        <n v="5650803"/>
        <n v="5776048"/>
        <n v="5987121"/>
        <n v="6303609"/>
        <n v="7137732"/>
        <n v="7891269"/>
        <n v="7901074"/>
        <n v="8223333"/>
        <n v="8327039"/>
        <n v="8873227"/>
        <n v="8923316"/>
        <n v="9111088"/>
        <n v="9197289"/>
        <n v="10614335"/>
        <n v="11633342"/>
        <n v="12002448"/>
        <n v="13883507"/>
        <n v="14810458"/>
        <n v="14835759"/>
        <n v="15414697"/>
        <n v="15415170"/>
        <n v="16013337"/>
        <n v="16061452"/>
        <n v="17807055"/>
        <n v="18120605"/>
        <n v="19582334"/>
        <n v="32642814"/>
        <n v="39362341"/>
        <n v="42975798"/>
        <n v="45137954"/>
        <n v="46398109"/>
        <n v="85760450"/>
        <n v="32"/>
        <n v="808"/>
        <n v="1154"/>
        <n v="1493"/>
        <n v="2151"/>
        <n v="4484"/>
        <n v="26021"/>
        <n v="27814"/>
        <n v="38639"/>
        <n v="40741"/>
        <n v="41037"/>
        <n v="47632"/>
        <n v="47939"/>
        <n v="62082"/>
        <n v="74267"/>
        <n v="74331"/>
        <n v="81772"/>
        <n v="104252"/>
        <n v="108389"/>
        <n v="112493"/>
        <n v="142816"/>
        <n v="149750"/>
        <n v="153099"/>
        <n v="175357"/>
        <n v="209600"/>
        <n v="213500"/>
        <n v="219811"/>
        <n v="224890"/>
        <n v="226811"/>
        <n v="231319"/>
        <n v="246513"/>
        <n v="320467"/>
        <n v="322227"/>
        <n v="367918"/>
        <n v="380692"/>
        <n v="391830"/>
        <n v="417158"/>
        <n v="486064"/>
        <n v="493917"/>
        <n v="522861"/>
        <n v="524547"/>
        <n v="555231"/>
        <n v="564323"/>
        <n v="620857"/>
        <n v="630677"/>
        <n v="648302"/>
        <n v="652867"/>
        <n v="721905"/>
        <n v="742535"/>
        <n v="842336"/>
        <n v="948301"/>
        <n v="967071"/>
        <n v="970506"/>
        <n v="971119"/>
        <n v="1043301"/>
        <n v="1046180"/>
        <n v="1161412"/>
        <n v="1221808"/>
        <n v="1242616"/>
        <n v="1274756"/>
        <n v="1299955"/>
        <n v="1300049"/>
        <n v="1351280"/>
        <n v="1412048"/>
        <n v="1419404"/>
        <n v="1456302"/>
        <n v="1485043"/>
        <n v="1499792"/>
        <n v="1518060"/>
        <n v="1573311"/>
        <n v="1610423"/>
        <n v="1796197"/>
        <n v="1873475"/>
        <n v="1904619"/>
        <n v="1954573"/>
        <n v="1956158"/>
        <n v="2208844"/>
        <n v="2262248"/>
        <n v="2304856"/>
        <n v="2380277"/>
        <n v="2412271"/>
        <n v="2510254"/>
        <n v="2625614"/>
        <n v="2644476"/>
        <n v="2717609"/>
        <n v="2756350"/>
        <n v="3560408"/>
        <n v="3980497"/>
        <n v="4254136"/>
        <n v="4277281"/>
        <n v="4402192"/>
        <n v="4947549"/>
        <n v="5040673"/>
        <n v="5204587"/>
        <n v="5965855"/>
        <n v="6171433"/>
        <n v="6273604"/>
        <n v="6596532"/>
        <n v="6629426"/>
        <n v="6882263"/>
        <n v="6988362"/>
        <n v="7406809"/>
        <n v="7468853"/>
        <n v="7596905"/>
        <n v="7969259"/>
        <n v="8450110"/>
        <n v="9266583"/>
        <n v="9731986"/>
        <n v="11192772"/>
        <n v="14585267"/>
        <n v="15457566"/>
        <n v="15918963"/>
        <n v="16035530"/>
        <n v="18415807"/>
        <n v="18441829"/>
        <n v="18983896"/>
        <n v="20395944"/>
        <n v="20434583"/>
        <n v="23994991"/>
        <n v="33899394"/>
        <n v="34083732"/>
        <n v="47867543"/>
        <n v="52815092"/>
        <n v="54314885"/>
        <n v="88398617"/>
        <n v="10942"/>
        <n v="12846"/>
        <n v="13333"/>
        <n v="14843"/>
        <n v="15133"/>
        <n v="20807"/>
        <n v="30418"/>
        <n v="31477"/>
        <n v="39440"/>
        <n v="45621"/>
        <n v="60631"/>
        <n v="71336"/>
        <n v="91657"/>
        <n v="92607"/>
        <n v="99805"/>
        <n v="111485"/>
        <n v="137019"/>
        <n v="139001"/>
        <n v="144753"/>
        <n v="155543"/>
        <n v="160192"/>
        <n v="161041"/>
        <n v="193491"/>
        <n v="221127"/>
        <n v="232587"/>
        <n v="241669"/>
        <n v="257975"/>
        <n v="270994"/>
        <n v="275395"/>
        <n v="279956"/>
        <n v="413040"/>
        <n v="428377"/>
        <n v="436476"/>
        <n v="444529"/>
        <n v="445814"/>
        <n v="484699"/>
        <n v="524706"/>
        <n v="546164"/>
        <n v="546311"/>
        <n v="554807"/>
        <n v="556450"/>
        <n v="557177"/>
        <n v="558344"/>
        <n v="561894"/>
        <n v="619817"/>
        <n v="681994"/>
        <n v="689387"/>
        <n v="718651"/>
        <n v="719720"/>
        <n v="732409"/>
        <n v="823250"/>
        <n v="908248"/>
        <n v="931099"/>
        <n v="979676"/>
        <n v="1043511"/>
        <n v="1072831"/>
        <n v="1092735"/>
        <n v="1140534"/>
        <n v="1143768"/>
        <n v="1181486"/>
        <n v="1192557"/>
        <n v="1205409"/>
        <n v="1209686"/>
        <n v="1259220"/>
        <n v="1260983"/>
        <n v="1414033"/>
        <n v="1419891"/>
        <n v="1443278"/>
        <n v="1510200"/>
        <n v="1557607"/>
        <n v="1594243"/>
        <n v="1675549"/>
        <n v="1681603"/>
        <n v="1796036"/>
        <n v="1886054"/>
        <n v="1933251"/>
        <n v="1948941"/>
        <n v="1963083"/>
        <n v="2037090"/>
        <n v="2272840"/>
        <n v="2316087"/>
        <n v="2419185"/>
        <n v="2470803"/>
        <n v="2709275"/>
        <n v="2852208"/>
        <n v="3081999"/>
        <n v="3254163"/>
        <n v="4090108"/>
        <n v="4107831"/>
        <n v="4234716"/>
        <n v="4542153"/>
        <n v="4716814"/>
        <n v="4848558"/>
        <n v="6014748"/>
        <n v="6216184"/>
        <n v="6275211"/>
        <n v="6368789"/>
        <n v="6408756"/>
        <n v="6476099"/>
        <n v="6696742"/>
        <n v="6810730"/>
        <n v="7062506"/>
        <n v="7088509"/>
        <n v="7255086"/>
        <n v="7287037"/>
        <n v="7647319"/>
        <n v="7807160"/>
        <n v="8577120"/>
        <n v="8589331"/>
        <n v="12233043"/>
        <n v="13033983"/>
        <n v="13663843"/>
        <n v="15454479"/>
        <n v="17344901"/>
        <n v="17750797"/>
        <n v="18235496"/>
        <n v="19815703"/>
        <n v="20091099"/>
        <n v="22800374"/>
        <n v="28998394"/>
        <n v="30468539"/>
        <n v="42762421"/>
        <n v="51351751"/>
        <n v="53388841"/>
        <n v="82387235"/>
        <n v="836"/>
        <n v="2054"/>
        <n v="2204"/>
        <n v="4659"/>
        <n v="5094"/>
        <n v="12360"/>
        <n v="22269"/>
        <n v="42205"/>
        <n v="61129"/>
        <n v="62218"/>
        <n v="94760"/>
        <n v="101611"/>
        <n v="115025"/>
        <n v="142048"/>
        <n v="151672"/>
        <n v="160808"/>
        <n v="169085"/>
        <n v="174678"/>
        <n v="191839"/>
        <n v="197021"/>
        <n v="207556"/>
        <n v="210482"/>
        <n v="236951"/>
        <n v="238035"/>
        <n v="263878"/>
        <n v="310145"/>
        <n v="314596"/>
        <n v="334050"/>
        <n v="343437"/>
        <n v="403740"/>
        <n v="409290"/>
        <n v="419812"/>
        <n v="421815"/>
        <n v="440991"/>
        <n v="458083"/>
        <n v="459498"/>
        <n v="480825"/>
        <n v="504914"/>
        <n v="518000"/>
        <n v="554283"/>
        <n v="598609"/>
        <n v="647577"/>
        <n v="657646"/>
        <n v="708477"/>
        <n v="710172"/>
        <n v="735266"/>
        <n v="742082"/>
        <n v="761031"/>
        <n v="778553"/>
        <n v="820734"/>
        <n v="823213"/>
        <n v="887730"/>
        <n v="927776"/>
        <n v="975208"/>
        <n v="1076276"/>
        <n v="1127191"/>
        <n v="1133628"/>
        <n v="1156808"/>
        <n v="1158123"/>
        <n v="1163483"/>
        <n v="1218215"/>
        <n v="1242064"/>
        <n v="1277390"/>
        <n v="1301606"/>
        <n v="1325462"/>
        <n v="1325893"/>
        <n v="1415968"/>
        <n v="1424617"/>
        <n v="1463923"/>
        <n v="1493672"/>
        <n v="1500831"/>
        <n v="1557496"/>
        <n v="1562955"/>
        <n v="1624779"/>
        <n v="1837307"/>
        <n v="1886608"/>
        <n v="1932040"/>
        <n v="1934563"/>
        <n v="2030144"/>
        <n v="2071185"/>
        <n v="2277367"/>
        <n v="2345722"/>
        <n v="2405754"/>
        <n v="2466922"/>
        <n v="2728503"/>
        <n v="2742636"/>
        <n v="3007237"/>
        <n v="3095849"/>
        <n v="3122011"/>
        <n v="3479956"/>
        <n v="4028576"/>
        <n v="4471618"/>
        <n v="4852910"/>
        <n v="5204685"/>
        <n v="6409835"/>
        <n v="6443114"/>
        <n v="6461876"/>
        <n v="6494009"/>
        <n v="6576563"/>
        <n v="6612618"/>
        <n v="7002561"/>
        <n v="7118312"/>
        <n v="7553854"/>
        <n v="7817732"/>
        <n v="7860394"/>
        <n v="7864177"/>
        <n v="7877528"/>
        <n v="8239547"/>
        <n v="10688823"/>
        <n v="14032373"/>
        <n v="14436958"/>
        <n v="16117076"/>
        <n v="16378095"/>
        <n v="17139125"/>
        <n v="18131668"/>
        <n v="20018276"/>
        <n v="20499102"/>
        <n v="23227604"/>
        <n v="27827948"/>
        <n v="27871417"/>
        <n v="46127730"/>
        <n v="51332415"/>
        <n v="53738169"/>
        <n v="81609586"/>
        <n v="178"/>
        <n v="2148"/>
        <n v="7674"/>
        <n v="10000"/>
        <n v="19894"/>
        <n v="30401"/>
        <n v="33447"/>
        <n v="36916"/>
        <n v="51893"/>
        <n v="52175"/>
        <n v="56177"/>
        <n v="58889"/>
        <n v="77569"/>
        <n v="101649"/>
        <n v="107603"/>
        <n v="108341"/>
        <n v="110077"/>
        <n v="127958"/>
        <n v="163316"/>
        <n v="165757"/>
        <n v="169633"/>
        <n v="173188"/>
        <n v="177458"/>
        <n v="182103"/>
        <n v="184976"/>
        <n v="209682"/>
        <n v="210204"/>
        <n v="232325"/>
        <n v="240261"/>
        <n v="255205"/>
        <n v="263744"/>
        <n v="292105"/>
        <n v="319921"/>
        <n v="334919"/>
        <n v="338741"/>
        <n v="353628"/>
        <n v="392964"/>
        <n v="421358"/>
        <n v="440056"/>
        <n v="443435"/>
        <n v="445629"/>
        <n v="494944"/>
        <n v="534154"/>
        <n v="541517"/>
        <n v="571768"/>
        <n v="579068"/>
        <n v="583107"/>
        <n v="644395"/>
        <n v="645254"/>
        <n v="650583"/>
        <n v="663044"/>
        <n v="732407"/>
        <n v="745272"/>
        <n v="813856"/>
        <n v="857629"/>
        <n v="881964"/>
        <n v="913622"/>
        <n v="981154"/>
        <n v="1018436"/>
        <n v="1021560"/>
        <n v="1042352"/>
        <n v="1058158"/>
        <n v="1103148"/>
        <n v="1131421"/>
        <n v="1270261"/>
        <n v="1275962"/>
        <n v="1299895"/>
        <n v="1325534"/>
        <n v="1355678"/>
        <n v="1360334"/>
        <n v="1361072"/>
        <n v="1367769"/>
        <n v="1374987"/>
        <n v="1497033"/>
        <n v="1536326"/>
        <n v="1599741"/>
        <n v="1687557"/>
        <n v="1720815"/>
        <n v="1840289"/>
        <n v="1999345"/>
        <n v="2040905"/>
        <n v="2057387"/>
        <n v="2192823"/>
        <n v="2285368"/>
        <n v="2324077"/>
        <n v="2494928"/>
        <n v="2541050"/>
        <n v="2654454"/>
        <n v="2860868"/>
        <n v="2906984"/>
        <n v="3596383"/>
        <n v="3823984"/>
        <n v="4584565"/>
        <n v="5062824"/>
        <n v="5763775"/>
        <n v="6083696"/>
        <n v="6200893"/>
        <n v="6337501"/>
        <n v="6464522"/>
        <n v="6734280"/>
        <n v="6917974"/>
        <n v="7839716"/>
        <n v="8365375"/>
        <n v="8387272"/>
        <n v="8605636"/>
        <n v="9139790"/>
        <n v="9659104"/>
        <n v="12443671"/>
        <n v="12473030"/>
        <n v="13327679"/>
        <n v="13906746"/>
        <n v="14551142"/>
        <n v="14573995"/>
        <n v="17841478"/>
        <n v="18798894"/>
        <n v="19197157"/>
        <n v="19692101"/>
        <n v="22552969"/>
        <n v="27024171"/>
        <n v="32832718"/>
        <n v="45298308"/>
        <n v="47793236"/>
        <n v="50117312"/>
        <n v="82950030"/>
        <n v="22529"/>
        <n v="28527"/>
        <n v="35503"/>
        <n v="61711"/>
        <n v="69279"/>
        <n v="90206"/>
        <n v="90420"/>
        <n v="92285"/>
        <n v="94408"/>
        <n v="99353"/>
        <n v="106104"/>
        <n v="113370"/>
        <n v="115510"/>
        <n v="118993"/>
        <n v="173423"/>
        <n v="180546"/>
        <n v="182516"/>
        <n v="205570"/>
        <n v="225448"/>
        <n v="226681"/>
        <n v="230720"/>
        <n v="242224"/>
        <n v="284184"/>
        <n v="287428"/>
        <n v="331380"/>
        <n v="367401"/>
        <n v="402513"/>
        <n v="416868"/>
        <n v="417788"/>
        <n v="443054"/>
        <n v="444954"/>
        <n v="455553"/>
        <n v="462733"/>
        <n v="503748"/>
        <n v="541456"/>
        <n v="557693"/>
        <n v="565423"/>
        <n v="576959"/>
        <n v="578863"/>
        <n v="621596"/>
        <n v="663797"/>
        <n v="718443"/>
        <n v="830966"/>
        <n v="849601"/>
        <n v="856981"/>
        <n v="867169"/>
        <n v="897924"/>
        <n v="901412"/>
        <n v="929486"/>
        <n v="952767"/>
        <n v="999720"/>
        <n v="1034036"/>
        <n v="1087808"/>
        <n v="1088558"/>
        <n v="1130425"/>
        <n v="1137999"/>
        <n v="1153936"/>
        <n v="1166116"/>
        <n v="1201677"/>
        <n v="1262975"/>
        <n v="1288076"/>
        <n v="1341982"/>
        <n v="1386400"/>
        <n v="1447866"/>
        <n v="1485684"/>
        <n v="1547219"/>
        <n v="1560892"/>
        <n v="1642637"/>
        <n v="1657557"/>
        <n v="1756491"/>
        <n v="1940451"/>
        <n v="2047364"/>
        <n v="2180150"/>
        <n v="2284740"/>
        <n v="2342280"/>
        <n v="2380584"/>
        <n v="2444887"/>
        <n v="2535307"/>
        <n v="2660791"/>
        <n v="3356113"/>
        <n v="3529953"/>
        <n v="3794978"/>
        <n v="4003760"/>
        <n v="4733561"/>
        <n v="4736655"/>
        <n v="4991902"/>
        <n v="5323282"/>
        <n v="5376721"/>
        <n v="5676658"/>
        <n v="5799003"/>
        <n v="5953680"/>
        <n v="6228067"/>
        <n v="6251356"/>
        <n v="6356193"/>
        <n v="6380481"/>
        <n v="6418157"/>
        <n v="8062376"/>
        <n v="8726173"/>
        <n v="9013601"/>
        <n v="10670182"/>
        <n v="12205520"/>
        <n v="12222857"/>
        <n v="12568875"/>
        <n v="14758165"/>
        <n v="15167496"/>
        <n v="15379761"/>
        <n v="16221385"/>
        <n v="17768604"/>
        <n v="18213558"/>
        <n v="18925068"/>
        <n v="21219121"/>
        <n v="22947119"/>
        <n v="23042060"/>
        <n v="26531184"/>
        <n v="38421821"/>
        <n v="41883339"/>
        <n v="47206622"/>
        <n v="48963113"/>
        <n v="52924357"/>
        <n v="101887470"/>
        <n v="81"/>
        <n v="703"/>
        <n v="944"/>
        <n v="5931"/>
        <n v="7659"/>
        <n v="9364"/>
        <n v="14111"/>
        <n v="18727"/>
        <n v="42202"/>
        <n v="54580"/>
        <n v="54608"/>
        <n v="58813"/>
        <n v="77379"/>
        <n v="95057"/>
        <n v="98701"/>
        <n v="121049"/>
        <n v="121308"/>
        <n v="144558"/>
        <n v="146144"/>
        <n v="147430"/>
        <n v="178696"/>
        <n v="185626"/>
        <n v="198208"/>
        <n v="227440"/>
        <n v="234543"/>
        <n v="271524"/>
        <n v="280308"/>
        <n v="302423"/>
        <n v="355645"/>
        <n v="358512"/>
        <n v="397853"/>
        <n v="420723"/>
        <n v="443891"/>
        <n v="467085"/>
        <n v="482005"/>
        <n v="486926"/>
        <n v="500732"/>
        <n v="527360"/>
        <n v="531429"/>
        <n v="545099"/>
        <n v="623139"/>
        <n v="702095"/>
        <n v="760498"/>
        <n v="833381"/>
        <n v="882393"/>
        <n v="895250"/>
        <n v="921427"/>
        <n v="988912"/>
        <n v="1003023"/>
        <n v="1012040"/>
        <n v="1050529"/>
        <n v="1090956"/>
        <n v="1100320"/>
        <n v="1137527"/>
        <n v="1154590"/>
        <n v="1161418"/>
        <n v="1197796"/>
        <n v="1214722"/>
        <n v="1228938"/>
        <n v="1283824"/>
        <n v="1325569"/>
        <n v="1391221"/>
        <n v="1449903"/>
        <n v="1512795"/>
        <n v="1515392"/>
        <n v="1517278"/>
        <n v="1525894"/>
        <n v="1596578"/>
        <n v="1608075"/>
        <n v="1770550"/>
        <n v="1817188"/>
        <n v="1853754"/>
        <n v="1890333"/>
        <n v="2113183"/>
        <n v="2168346"/>
        <n v="2241615"/>
        <n v="2364185"/>
        <n v="2688925"/>
        <n v="2930658"/>
        <n v="2956244"/>
        <n v="3164090"/>
        <n v="3611262"/>
        <n v="3759669"/>
        <n v="3801871"/>
        <n v="3974994"/>
        <n v="4814860"/>
        <n v="4960172"/>
        <n v="5388598"/>
        <n v="5524354"/>
        <n v="5650375"/>
        <n v="6151107"/>
        <n v="6233925"/>
        <n v="6329613"/>
        <n v="6506752"/>
        <n v="6627163"/>
        <n v="7076797"/>
        <n v="7339507"/>
        <n v="7428260"/>
        <n v="8607122"/>
        <n v="8793167"/>
        <n v="9796190"/>
        <n v="10076498"/>
        <n v="11726064"/>
        <n v="12700011"/>
        <n v="12919839"/>
        <n v="13447669"/>
        <n v="14117635"/>
        <n v="14649064"/>
        <n v="15253475"/>
        <n v="16471392"/>
        <n v="17571712"/>
        <n v="17930224"/>
        <n v="21760227"/>
        <n v="23524167"/>
        <n v="23670164"/>
        <n v="24259837"/>
        <n v="25894681"/>
        <n v="38319229"/>
        <n v="43834772"/>
        <n v="47636644"/>
        <n v="49162538"/>
        <n v="58700921"/>
        <n v="107863459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86">
  <r>
    <x v="0"/>
    <x v="0"/>
    <x v="0"/>
    <x v="0"/>
  </r>
  <r>
    <x v="0"/>
    <x v="1"/>
    <x v="1"/>
    <x v="1"/>
  </r>
  <r>
    <x v="0"/>
    <x v="2"/>
    <x v="0"/>
    <x v="2"/>
  </r>
  <r>
    <x v="0"/>
    <x v="3"/>
    <x v="0"/>
    <x v="2"/>
  </r>
  <r>
    <x v="0"/>
    <x v="0"/>
    <x v="2"/>
    <x v="3"/>
  </r>
  <r>
    <x v="0"/>
    <x v="4"/>
    <x v="0"/>
    <x v="4"/>
  </r>
  <r>
    <x v="0"/>
    <x v="3"/>
    <x v="3"/>
    <x v="5"/>
  </r>
  <r>
    <x v="0"/>
    <x v="3"/>
    <x v="1"/>
    <x v="6"/>
  </r>
  <r>
    <x v="0"/>
    <x v="4"/>
    <x v="1"/>
    <x v="7"/>
  </r>
  <r>
    <x v="0"/>
    <x v="2"/>
    <x v="4"/>
    <x v="8"/>
  </r>
  <r>
    <x v="0"/>
    <x v="1"/>
    <x v="5"/>
    <x v="9"/>
  </r>
  <r>
    <x v="0"/>
    <x v="1"/>
    <x v="3"/>
    <x v="10"/>
  </r>
  <r>
    <x v="0"/>
    <x v="2"/>
    <x v="6"/>
    <x v="11"/>
  </r>
  <r>
    <x v="0"/>
    <x v="1"/>
    <x v="7"/>
    <x v="12"/>
  </r>
  <r>
    <x v="0"/>
    <x v="0"/>
    <x v="8"/>
    <x v="13"/>
  </r>
  <r>
    <x v="0"/>
    <x v="3"/>
    <x v="2"/>
    <x v="14"/>
  </r>
  <r>
    <x v="0"/>
    <x v="4"/>
    <x v="2"/>
    <x v="15"/>
  </r>
  <r>
    <x v="0"/>
    <x v="1"/>
    <x v="9"/>
    <x v="16"/>
  </r>
  <r>
    <x v="0"/>
    <x v="2"/>
    <x v="10"/>
    <x v="17"/>
  </r>
  <r>
    <x v="0"/>
    <x v="0"/>
    <x v="4"/>
    <x v="18"/>
  </r>
  <r>
    <x v="0"/>
    <x v="1"/>
    <x v="11"/>
    <x v="19"/>
  </r>
  <r>
    <x v="0"/>
    <x v="2"/>
    <x v="8"/>
    <x v="20"/>
  </r>
  <r>
    <x v="0"/>
    <x v="0"/>
    <x v="6"/>
    <x v="21"/>
  </r>
  <r>
    <x v="0"/>
    <x v="1"/>
    <x v="8"/>
    <x v="22"/>
  </r>
  <r>
    <x v="0"/>
    <x v="0"/>
    <x v="7"/>
    <x v="23"/>
  </r>
  <r>
    <x v="0"/>
    <x v="1"/>
    <x v="6"/>
    <x v="24"/>
  </r>
  <r>
    <x v="0"/>
    <x v="1"/>
    <x v="4"/>
    <x v="25"/>
  </r>
  <r>
    <x v="0"/>
    <x v="0"/>
    <x v="3"/>
    <x v="26"/>
  </r>
  <r>
    <x v="0"/>
    <x v="0"/>
    <x v="11"/>
    <x v="27"/>
  </r>
  <r>
    <x v="0"/>
    <x v="3"/>
    <x v="4"/>
    <x v="28"/>
  </r>
  <r>
    <x v="0"/>
    <x v="1"/>
    <x v="12"/>
    <x v="29"/>
  </r>
  <r>
    <x v="0"/>
    <x v="2"/>
    <x v="3"/>
    <x v="30"/>
  </r>
  <r>
    <x v="0"/>
    <x v="2"/>
    <x v="13"/>
    <x v="31"/>
  </r>
  <r>
    <x v="0"/>
    <x v="0"/>
    <x v="5"/>
    <x v="32"/>
  </r>
  <r>
    <x v="0"/>
    <x v="2"/>
    <x v="11"/>
    <x v="33"/>
  </r>
  <r>
    <x v="0"/>
    <x v="4"/>
    <x v="3"/>
    <x v="34"/>
  </r>
  <r>
    <x v="0"/>
    <x v="4"/>
    <x v="4"/>
    <x v="35"/>
  </r>
  <r>
    <x v="0"/>
    <x v="0"/>
    <x v="13"/>
    <x v="36"/>
  </r>
  <r>
    <x v="0"/>
    <x v="3"/>
    <x v="10"/>
    <x v="37"/>
  </r>
  <r>
    <x v="0"/>
    <x v="3"/>
    <x v="11"/>
    <x v="38"/>
  </r>
  <r>
    <x v="0"/>
    <x v="0"/>
    <x v="10"/>
    <x v="39"/>
  </r>
  <r>
    <x v="0"/>
    <x v="1"/>
    <x v="10"/>
    <x v="40"/>
  </r>
  <r>
    <x v="0"/>
    <x v="2"/>
    <x v="5"/>
    <x v="41"/>
  </r>
  <r>
    <x v="0"/>
    <x v="3"/>
    <x v="8"/>
    <x v="42"/>
  </r>
  <r>
    <x v="0"/>
    <x v="3"/>
    <x v="6"/>
    <x v="43"/>
  </r>
  <r>
    <x v="0"/>
    <x v="2"/>
    <x v="7"/>
    <x v="44"/>
  </r>
  <r>
    <x v="0"/>
    <x v="1"/>
    <x v="14"/>
    <x v="45"/>
  </r>
  <r>
    <x v="0"/>
    <x v="0"/>
    <x v="9"/>
    <x v="46"/>
  </r>
  <r>
    <x v="0"/>
    <x v="2"/>
    <x v="15"/>
    <x v="47"/>
  </r>
  <r>
    <x v="0"/>
    <x v="0"/>
    <x v="14"/>
    <x v="48"/>
  </r>
  <r>
    <x v="0"/>
    <x v="2"/>
    <x v="16"/>
    <x v="49"/>
  </r>
  <r>
    <x v="0"/>
    <x v="3"/>
    <x v="13"/>
    <x v="50"/>
  </r>
  <r>
    <x v="0"/>
    <x v="2"/>
    <x v="9"/>
    <x v="51"/>
  </r>
  <r>
    <x v="0"/>
    <x v="4"/>
    <x v="8"/>
    <x v="52"/>
  </r>
  <r>
    <x v="0"/>
    <x v="4"/>
    <x v="6"/>
    <x v="53"/>
  </r>
  <r>
    <x v="0"/>
    <x v="4"/>
    <x v="11"/>
    <x v="54"/>
  </r>
  <r>
    <x v="0"/>
    <x v="0"/>
    <x v="12"/>
    <x v="55"/>
  </r>
  <r>
    <x v="0"/>
    <x v="3"/>
    <x v="7"/>
    <x v="56"/>
  </r>
  <r>
    <x v="0"/>
    <x v="3"/>
    <x v="5"/>
    <x v="57"/>
  </r>
  <r>
    <x v="0"/>
    <x v="4"/>
    <x v="10"/>
    <x v="58"/>
  </r>
  <r>
    <x v="0"/>
    <x v="2"/>
    <x v="17"/>
    <x v="59"/>
  </r>
  <r>
    <x v="0"/>
    <x v="1"/>
    <x v="13"/>
    <x v="60"/>
  </r>
  <r>
    <x v="0"/>
    <x v="2"/>
    <x v="14"/>
    <x v="61"/>
  </r>
  <r>
    <x v="0"/>
    <x v="3"/>
    <x v="9"/>
    <x v="62"/>
  </r>
  <r>
    <x v="0"/>
    <x v="3"/>
    <x v="14"/>
    <x v="63"/>
  </r>
  <r>
    <x v="0"/>
    <x v="0"/>
    <x v="17"/>
    <x v="64"/>
  </r>
  <r>
    <x v="0"/>
    <x v="4"/>
    <x v="7"/>
    <x v="65"/>
  </r>
  <r>
    <x v="0"/>
    <x v="2"/>
    <x v="12"/>
    <x v="66"/>
  </r>
  <r>
    <x v="0"/>
    <x v="4"/>
    <x v="5"/>
    <x v="67"/>
  </r>
  <r>
    <x v="0"/>
    <x v="1"/>
    <x v="18"/>
    <x v="68"/>
  </r>
  <r>
    <x v="0"/>
    <x v="0"/>
    <x v="19"/>
    <x v="69"/>
  </r>
  <r>
    <x v="0"/>
    <x v="1"/>
    <x v="17"/>
    <x v="70"/>
  </r>
  <r>
    <x v="0"/>
    <x v="1"/>
    <x v="19"/>
    <x v="71"/>
  </r>
  <r>
    <x v="0"/>
    <x v="4"/>
    <x v="13"/>
    <x v="72"/>
  </r>
  <r>
    <x v="0"/>
    <x v="3"/>
    <x v="15"/>
    <x v="73"/>
  </r>
  <r>
    <x v="0"/>
    <x v="0"/>
    <x v="18"/>
    <x v="74"/>
  </r>
  <r>
    <x v="0"/>
    <x v="4"/>
    <x v="9"/>
    <x v="75"/>
  </r>
  <r>
    <x v="0"/>
    <x v="3"/>
    <x v="18"/>
    <x v="76"/>
  </r>
  <r>
    <x v="0"/>
    <x v="2"/>
    <x v="18"/>
    <x v="77"/>
  </r>
  <r>
    <x v="0"/>
    <x v="1"/>
    <x v="16"/>
    <x v="78"/>
  </r>
  <r>
    <x v="0"/>
    <x v="0"/>
    <x v="16"/>
    <x v="79"/>
  </r>
  <r>
    <x v="0"/>
    <x v="3"/>
    <x v="12"/>
    <x v="80"/>
  </r>
  <r>
    <x v="0"/>
    <x v="4"/>
    <x v="14"/>
    <x v="81"/>
  </r>
  <r>
    <x v="0"/>
    <x v="2"/>
    <x v="19"/>
    <x v="82"/>
  </r>
  <r>
    <x v="0"/>
    <x v="0"/>
    <x v="20"/>
    <x v="83"/>
  </r>
  <r>
    <x v="0"/>
    <x v="1"/>
    <x v="20"/>
    <x v="84"/>
  </r>
  <r>
    <x v="0"/>
    <x v="2"/>
    <x v="21"/>
    <x v="85"/>
  </r>
  <r>
    <x v="0"/>
    <x v="2"/>
    <x v="22"/>
    <x v="86"/>
  </r>
  <r>
    <x v="0"/>
    <x v="3"/>
    <x v="19"/>
    <x v="87"/>
  </r>
  <r>
    <x v="0"/>
    <x v="0"/>
    <x v="21"/>
    <x v="88"/>
  </r>
  <r>
    <x v="0"/>
    <x v="0"/>
    <x v="22"/>
    <x v="89"/>
  </r>
  <r>
    <x v="0"/>
    <x v="1"/>
    <x v="21"/>
    <x v="90"/>
  </r>
  <r>
    <x v="0"/>
    <x v="4"/>
    <x v="12"/>
    <x v="91"/>
  </r>
  <r>
    <x v="0"/>
    <x v="1"/>
    <x v="22"/>
    <x v="92"/>
  </r>
  <r>
    <x v="0"/>
    <x v="2"/>
    <x v="20"/>
    <x v="93"/>
  </r>
  <r>
    <x v="0"/>
    <x v="1"/>
    <x v="15"/>
    <x v="94"/>
  </r>
  <r>
    <x v="0"/>
    <x v="3"/>
    <x v="16"/>
    <x v="95"/>
  </r>
  <r>
    <x v="0"/>
    <x v="2"/>
    <x v="23"/>
    <x v="96"/>
  </r>
  <r>
    <x v="0"/>
    <x v="0"/>
    <x v="15"/>
    <x v="97"/>
  </r>
  <r>
    <x v="0"/>
    <x v="3"/>
    <x v="20"/>
    <x v="98"/>
  </r>
  <r>
    <x v="0"/>
    <x v="4"/>
    <x v="18"/>
    <x v="99"/>
  </r>
  <r>
    <x v="0"/>
    <x v="1"/>
    <x v="24"/>
    <x v="100"/>
  </r>
  <r>
    <x v="0"/>
    <x v="1"/>
    <x v="25"/>
    <x v="101"/>
  </r>
  <r>
    <x v="0"/>
    <x v="0"/>
    <x v="24"/>
    <x v="102"/>
  </r>
  <r>
    <x v="0"/>
    <x v="1"/>
    <x v="26"/>
    <x v="103"/>
  </r>
  <r>
    <x v="0"/>
    <x v="0"/>
    <x v="25"/>
    <x v="104"/>
  </r>
  <r>
    <x v="0"/>
    <x v="0"/>
    <x v="26"/>
    <x v="105"/>
  </r>
  <r>
    <x v="0"/>
    <x v="4"/>
    <x v="19"/>
    <x v="106"/>
  </r>
  <r>
    <x v="0"/>
    <x v="3"/>
    <x v="21"/>
    <x v="107"/>
  </r>
  <r>
    <x v="0"/>
    <x v="4"/>
    <x v="16"/>
    <x v="108"/>
  </r>
  <r>
    <x v="0"/>
    <x v="3"/>
    <x v="22"/>
    <x v="109"/>
  </r>
  <r>
    <x v="0"/>
    <x v="3"/>
    <x v="17"/>
    <x v="110"/>
  </r>
  <r>
    <x v="0"/>
    <x v="4"/>
    <x v="15"/>
    <x v="111"/>
  </r>
  <r>
    <x v="0"/>
    <x v="0"/>
    <x v="23"/>
    <x v="112"/>
  </r>
  <r>
    <x v="0"/>
    <x v="1"/>
    <x v="23"/>
    <x v="113"/>
  </r>
  <r>
    <x v="0"/>
    <x v="2"/>
    <x v="24"/>
    <x v="114"/>
  </r>
  <r>
    <x v="0"/>
    <x v="2"/>
    <x v="25"/>
    <x v="115"/>
  </r>
  <r>
    <x v="0"/>
    <x v="2"/>
    <x v="26"/>
    <x v="116"/>
  </r>
  <r>
    <x v="0"/>
    <x v="4"/>
    <x v="17"/>
    <x v="117"/>
  </r>
  <r>
    <x v="0"/>
    <x v="4"/>
    <x v="20"/>
    <x v="118"/>
  </r>
  <r>
    <x v="0"/>
    <x v="3"/>
    <x v="24"/>
    <x v="119"/>
  </r>
  <r>
    <x v="0"/>
    <x v="3"/>
    <x v="25"/>
    <x v="120"/>
  </r>
  <r>
    <x v="0"/>
    <x v="3"/>
    <x v="26"/>
    <x v="121"/>
  </r>
  <r>
    <x v="0"/>
    <x v="2"/>
    <x v="27"/>
    <x v="122"/>
  </r>
  <r>
    <x v="0"/>
    <x v="4"/>
    <x v="21"/>
    <x v="123"/>
  </r>
  <r>
    <x v="0"/>
    <x v="0"/>
    <x v="27"/>
    <x v="124"/>
  </r>
  <r>
    <x v="0"/>
    <x v="1"/>
    <x v="27"/>
    <x v="125"/>
  </r>
  <r>
    <x v="0"/>
    <x v="4"/>
    <x v="22"/>
    <x v="126"/>
  </r>
  <r>
    <x v="0"/>
    <x v="3"/>
    <x v="23"/>
    <x v="127"/>
  </r>
  <r>
    <x v="0"/>
    <x v="4"/>
    <x v="24"/>
    <x v="128"/>
  </r>
  <r>
    <x v="0"/>
    <x v="3"/>
    <x v="27"/>
    <x v="129"/>
  </r>
  <r>
    <x v="0"/>
    <x v="4"/>
    <x v="25"/>
    <x v="130"/>
  </r>
  <r>
    <x v="0"/>
    <x v="4"/>
    <x v="26"/>
    <x v="131"/>
  </r>
  <r>
    <x v="0"/>
    <x v="4"/>
    <x v="23"/>
    <x v="132"/>
  </r>
  <r>
    <x v="0"/>
    <x v="4"/>
    <x v="27"/>
    <x v="133"/>
  </r>
  <r>
    <x v="0"/>
    <x v="2"/>
    <x v="1"/>
    <x v="134"/>
  </r>
  <r>
    <x v="0"/>
    <x v="0"/>
    <x v="1"/>
    <x v="134"/>
  </r>
  <r>
    <x v="0"/>
    <x v="1"/>
    <x v="0"/>
    <x v="134"/>
  </r>
  <r>
    <x v="0"/>
    <x v="4"/>
    <x v="28"/>
    <x v="134"/>
  </r>
  <r>
    <x v="0"/>
    <x v="1"/>
    <x v="28"/>
    <x v="134"/>
  </r>
  <r>
    <x v="0"/>
    <x v="2"/>
    <x v="28"/>
    <x v="134"/>
  </r>
  <r>
    <x v="0"/>
    <x v="3"/>
    <x v="28"/>
    <x v="134"/>
  </r>
  <r>
    <x v="0"/>
    <x v="0"/>
    <x v="28"/>
    <x v="134"/>
  </r>
  <r>
    <x v="0"/>
    <x v="1"/>
    <x v="2"/>
    <x v="134"/>
  </r>
  <r>
    <x v="0"/>
    <x v="2"/>
    <x v="2"/>
    <x v="134"/>
  </r>
  <r>
    <x v="1"/>
    <x v="0"/>
    <x v="0"/>
    <x v="135"/>
  </r>
  <r>
    <x v="1"/>
    <x v="1"/>
    <x v="7"/>
    <x v="136"/>
  </r>
  <r>
    <x v="1"/>
    <x v="2"/>
    <x v="0"/>
    <x v="137"/>
  </r>
  <r>
    <x v="1"/>
    <x v="1"/>
    <x v="0"/>
    <x v="138"/>
  </r>
  <r>
    <x v="1"/>
    <x v="2"/>
    <x v="10"/>
    <x v="139"/>
  </r>
  <r>
    <x v="1"/>
    <x v="1"/>
    <x v="5"/>
    <x v="140"/>
  </r>
  <r>
    <x v="1"/>
    <x v="3"/>
    <x v="0"/>
    <x v="141"/>
  </r>
  <r>
    <x v="1"/>
    <x v="0"/>
    <x v="11"/>
    <x v="142"/>
  </r>
  <r>
    <x v="1"/>
    <x v="2"/>
    <x v="2"/>
    <x v="143"/>
  </r>
  <r>
    <x v="1"/>
    <x v="1"/>
    <x v="2"/>
    <x v="144"/>
  </r>
  <r>
    <x v="1"/>
    <x v="4"/>
    <x v="0"/>
    <x v="145"/>
  </r>
  <r>
    <x v="1"/>
    <x v="1"/>
    <x v="3"/>
    <x v="146"/>
  </r>
  <r>
    <x v="1"/>
    <x v="1"/>
    <x v="11"/>
    <x v="147"/>
  </r>
  <r>
    <x v="1"/>
    <x v="0"/>
    <x v="7"/>
    <x v="148"/>
  </r>
  <r>
    <x v="1"/>
    <x v="2"/>
    <x v="5"/>
    <x v="149"/>
  </r>
  <r>
    <x v="1"/>
    <x v="1"/>
    <x v="9"/>
    <x v="150"/>
  </r>
  <r>
    <x v="1"/>
    <x v="1"/>
    <x v="14"/>
    <x v="151"/>
  </r>
  <r>
    <x v="1"/>
    <x v="2"/>
    <x v="11"/>
    <x v="152"/>
  </r>
  <r>
    <x v="1"/>
    <x v="2"/>
    <x v="6"/>
    <x v="153"/>
  </r>
  <r>
    <x v="1"/>
    <x v="2"/>
    <x v="7"/>
    <x v="154"/>
  </r>
  <r>
    <x v="1"/>
    <x v="0"/>
    <x v="5"/>
    <x v="155"/>
  </r>
  <r>
    <x v="1"/>
    <x v="0"/>
    <x v="8"/>
    <x v="156"/>
  </r>
  <r>
    <x v="1"/>
    <x v="2"/>
    <x v="8"/>
    <x v="157"/>
  </r>
  <r>
    <x v="1"/>
    <x v="1"/>
    <x v="12"/>
    <x v="158"/>
  </r>
  <r>
    <x v="1"/>
    <x v="1"/>
    <x v="6"/>
    <x v="159"/>
  </r>
  <r>
    <x v="1"/>
    <x v="1"/>
    <x v="4"/>
    <x v="160"/>
  </r>
  <r>
    <x v="1"/>
    <x v="0"/>
    <x v="6"/>
    <x v="161"/>
  </r>
  <r>
    <x v="1"/>
    <x v="3"/>
    <x v="11"/>
    <x v="162"/>
  </r>
  <r>
    <x v="1"/>
    <x v="2"/>
    <x v="4"/>
    <x v="163"/>
  </r>
  <r>
    <x v="1"/>
    <x v="0"/>
    <x v="9"/>
    <x v="164"/>
  </r>
  <r>
    <x v="1"/>
    <x v="0"/>
    <x v="4"/>
    <x v="165"/>
  </r>
  <r>
    <x v="1"/>
    <x v="3"/>
    <x v="7"/>
    <x v="166"/>
  </r>
  <r>
    <x v="1"/>
    <x v="0"/>
    <x v="14"/>
    <x v="167"/>
  </r>
  <r>
    <x v="1"/>
    <x v="3"/>
    <x v="10"/>
    <x v="168"/>
  </r>
  <r>
    <x v="1"/>
    <x v="0"/>
    <x v="3"/>
    <x v="169"/>
  </r>
  <r>
    <x v="1"/>
    <x v="2"/>
    <x v="1"/>
    <x v="170"/>
  </r>
  <r>
    <x v="1"/>
    <x v="3"/>
    <x v="3"/>
    <x v="171"/>
  </r>
  <r>
    <x v="1"/>
    <x v="1"/>
    <x v="8"/>
    <x v="172"/>
  </r>
  <r>
    <x v="1"/>
    <x v="2"/>
    <x v="15"/>
    <x v="173"/>
  </r>
  <r>
    <x v="1"/>
    <x v="1"/>
    <x v="1"/>
    <x v="174"/>
  </r>
  <r>
    <x v="1"/>
    <x v="2"/>
    <x v="3"/>
    <x v="175"/>
  </r>
  <r>
    <x v="1"/>
    <x v="0"/>
    <x v="1"/>
    <x v="176"/>
  </r>
  <r>
    <x v="1"/>
    <x v="3"/>
    <x v="4"/>
    <x v="177"/>
  </r>
  <r>
    <x v="1"/>
    <x v="4"/>
    <x v="11"/>
    <x v="178"/>
  </r>
  <r>
    <x v="1"/>
    <x v="4"/>
    <x v="7"/>
    <x v="179"/>
  </r>
  <r>
    <x v="1"/>
    <x v="3"/>
    <x v="14"/>
    <x v="180"/>
  </r>
  <r>
    <x v="1"/>
    <x v="0"/>
    <x v="2"/>
    <x v="181"/>
  </r>
  <r>
    <x v="1"/>
    <x v="0"/>
    <x v="10"/>
    <x v="182"/>
  </r>
  <r>
    <x v="1"/>
    <x v="3"/>
    <x v="2"/>
    <x v="183"/>
  </r>
  <r>
    <x v="1"/>
    <x v="1"/>
    <x v="10"/>
    <x v="184"/>
  </r>
  <r>
    <x v="1"/>
    <x v="0"/>
    <x v="13"/>
    <x v="185"/>
  </r>
  <r>
    <x v="1"/>
    <x v="3"/>
    <x v="1"/>
    <x v="186"/>
  </r>
  <r>
    <x v="1"/>
    <x v="0"/>
    <x v="12"/>
    <x v="187"/>
  </r>
  <r>
    <x v="1"/>
    <x v="2"/>
    <x v="13"/>
    <x v="188"/>
  </r>
  <r>
    <x v="1"/>
    <x v="3"/>
    <x v="5"/>
    <x v="189"/>
  </r>
  <r>
    <x v="1"/>
    <x v="3"/>
    <x v="9"/>
    <x v="190"/>
  </r>
  <r>
    <x v="1"/>
    <x v="2"/>
    <x v="14"/>
    <x v="191"/>
  </r>
  <r>
    <x v="1"/>
    <x v="4"/>
    <x v="5"/>
    <x v="192"/>
  </r>
  <r>
    <x v="1"/>
    <x v="4"/>
    <x v="3"/>
    <x v="193"/>
  </r>
  <r>
    <x v="1"/>
    <x v="4"/>
    <x v="4"/>
    <x v="194"/>
  </r>
  <r>
    <x v="1"/>
    <x v="3"/>
    <x v="6"/>
    <x v="195"/>
  </r>
  <r>
    <x v="1"/>
    <x v="2"/>
    <x v="16"/>
    <x v="196"/>
  </r>
  <r>
    <x v="1"/>
    <x v="2"/>
    <x v="9"/>
    <x v="197"/>
  </r>
  <r>
    <x v="1"/>
    <x v="4"/>
    <x v="2"/>
    <x v="198"/>
  </r>
  <r>
    <x v="1"/>
    <x v="2"/>
    <x v="17"/>
    <x v="199"/>
  </r>
  <r>
    <x v="1"/>
    <x v="3"/>
    <x v="13"/>
    <x v="200"/>
  </r>
  <r>
    <x v="1"/>
    <x v="1"/>
    <x v="13"/>
    <x v="201"/>
  </r>
  <r>
    <x v="1"/>
    <x v="4"/>
    <x v="10"/>
    <x v="202"/>
  </r>
  <r>
    <x v="1"/>
    <x v="4"/>
    <x v="6"/>
    <x v="203"/>
  </r>
  <r>
    <x v="1"/>
    <x v="1"/>
    <x v="18"/>
    <x v="204"/>
  </r>
  <r>
    <x v="1"/>
    <x v="2"/>
    <x v="12"/>
    <x v="205"/>
  </r>
  <r>
    <x v="1"/>
    <x v="4"/>
    <x v="1"/>
    <x v="206"/>
  </r>
  <r>
    <x v="1"/>
    <x v="4"/>
    <x v="14"/>
    <x v="207"/>
  </r>
  <r>
    <x v="1"/>
    <x v="3"/>
    <x v="18"/>
    <x v="208"/>
  </r>
  <r>
    <x v="1"/>
    <x v="0"/>
    <x v="18"/>
    <x v="209"/>
  </r>
  <r>
    <x v="1"/>
    <x v="0"/>
    <x v="17"/>
    <x v="210"/>
  </r>
  <r>
    <x v="1"/>
    <x v="3"/>
    <x v="12"/>
    <x v="211"/>
  </r>
  <r>
    <x v="1"/>
    <x v="4"/>
    <x v="9"/>
    <x v="212"/>
  </r>
  <r>
    <x v="1"/>
    <x v="2"/>
    <x v="18"/>
    <x v="213"/>
  </r>
  <r>
    <x v="1"/>
    <x v="1"/>
    <x v="17"/>
    <x v="214"/>
  </r>
  <r>
    <x v="1"/>
    <x v="0"/>
    <x v="19"/>
    <x v="215"/>
  </r>
  <r>
    <x v="1"/>
    <x v="3"/>
    <x v="15"/>
    <x v="216"/>
  </r>
  <r>
    <x v="1"/>
    <x v="3"/>
    <x v="8"/>
    <x v="217"/>
  </r>
  <r>
    <x v="1"/>
    <x v="1"/>
    <x v="19"/>
    <x v="218"/>
  </r>
  <r>
    <x v="1"/>
    <x v="1"/>
    <x v="16"/>
    <x v="219"/>
  </r>
  <r>
    <x v="1"/>
    <x v="4"/>
    <x v="8"/>
    <x v="220"/>
  </r>
  <r>
    <x v="1"/>
    <x v="0"/>
    <x v="16"/>
    <x v="221"/>
  </r>
  <r>
    <x v="1"/>
    <x v="2"/>
    <x v="21"/>
    <x v="222"/>
  </r>
  <r>
    <x v="1"/>
    <x v="4"/>
    <x v="13"/>
    <x v="223"/>
  </r>
  <r>
    <x v="1"/>
    <x v="1"/>
    <x v="21"/>
    <x v="224"/>
  </r>
  <r>
    <x v="1"/>
    <x v="2"/>
    <x v="22"/>
    <x v="225"/>
  </r>
  <r>
    <x v="1"/>
    <x v="0"/>
    <x v="21"/>
    <x v="226"/>
  </r>
  <r>
    <x v="1"/>
    <x v="0"/>
    <x v="20"/>
    <x v="227"/>
  </r>
  <r>
    <x v="1"/>
    <x v="1"/>
    <x v="22"/>
    <x v="228"/>
  </r>
  <r>
    <x v="1"/>
    <x v="4"/>
    <x v="12"/>
    <x v="229"/>
  </r>
  <r>
    <x v="1"/>
    <x v="0"/>
    <x v="22"/>
    <x v="230"/>
  </r>
  <r>
    <x v="1"/>
    <x v="1"/>
    <x v="20"/>
    <x v="231"/>
  </r>
  <r>
    <x v="1"/>
    <x v="2"/>
    <x v="19"/>
    <x v="232"/>
  </r>
  <r>
    <x v="1"/>
    <x v="2"/>
    <x v="20"/>
    <x v="233"/>
  </r>
  <r>
    <x v="1"/>
    <x v="3"/>
    <x v="19"/>
    <x v="234"/>
  </r>
  <r>
    <x v="1"/>
    <x v="2"/>
    <x v="23"/>
    <x v="235"/>
  </r>
  <r>
    <x v="1"/>
    <x v="3"/>
    <x v="20"/>
    <x v="236"/>
  </r>
  <r>
    <x v="1"/>
    <x v="4"/>
    <x v="18"/>
    <x v="237"/>
  </r>
  <r>
    <x v="1"/>
    <x v="3"/>
    <x v="16"/>
    <x v="238"/>
  </r>
  <r>
    <x v="1"/>
    <x v="1"/>
    <x v="15"/>
    <x v="239"/>
  </r>
  <r>
    <x v="1"/>
    <x v="3"/>
    <x v="21"/>
    <x v="240"/>
  </r>
  <r>
    <x v="1"/>
    <x v="0"/>
    <x v="15"/>
    <x v="241"/>
  </r>
  <r>
    <x v="1"/>
    <x v="3"/>
    <x v="22"/>
    <x v="242"/>
  </r>
  <r>
    <x v="1"/>
    <x v="1"/>
    <x v="24"/>
    <x v="243"/>
  </r>
  <r>
    <x v="1"/>
    <x v="0"/>
    <x v="24"/>
    <x v="244"/>
  </r>
  <r>
    <x v="1"/>
    <x v="1"/>
    <x v="25"/>
    <x v="245"/>
  </r>
  <r>
    <x v="1"/>
    <x v="0"/>
    <x v="25"/>
    <x v="246"/>
  </r>
  <r>
    <x v="1"/>
    <x v="0"/>
    <x v="26"/>
    <x v="247"/>
  </r>
  <r>
    <x v="1"/>
    <x v="1"/>
    <x v="26"/>
    <x v="248"/>
  </r>
  <r>
    <x v="1"/>
    <x v="3"/>
    <x v="17"/>
    <x v="249"/>
  </r>
  <r>
    <x v="1"/>
    <x v="4"/>
    <x v="16"/>
    <x v="250"/>
  </r>
  <r>
    <x v="1"/>
    <x v="4"/>
    <x v="19"/>
    <x v="251"/>
  </r>
  <r>
    <x v="1"/>
    <x v="1"/>
    <x v="23"/>
    <x v="252"/>
  </r>
  <r>
    <x v="1"/>
    <x v="4"/>
    <x v="17"/>
    <x v="253"/>
  </r>
  <r>
    <x v="1"/>
    <x v="0"/>
    <x v="23"/>
    <x v="254"/>
  </r>
  <r>
    <x v="1"/>
    <x v="4"/>
    <x v="15"/>
    <x v="255"/>
  </r>
  <r>
    <x v="1"/>
    <x v="4"/>
    <x v="21"/>
    <x v="256"/>
  </r>
  <r>
    <x v="1"/>
    <x v="2"/>
    <x v="24"/>
    <x v="257"/>
  </r>
  <r>
    <x v="1"/>
    <x v="4"/>
    <x v="20"/>
    <x v="258"/>
  </r>
  <r>
    <x v="1"/>
    <x v="2"/>
    <x v="25"/>
    <x v="259"/>
  </r>
  <r>
    <x v="1"/>
    <x v="2"/>
    <x v="26"/>
    <x v="260"/>
  </r>
  <r>
    <x v="1"/>
    <x v="4"/>
    <x v="22"/>
    <x v="261"/>
  </r>
  <r>
    <x v="1"/>
    <x v="3"/>
    <x v="24"/>
    <x v="262"/>
  </r>
  <r>
    <x v="1"/>
    <x v="3"/>
    <x v="25"/>
    <x v="263"/>
  </r>
  <r>
    <x v="1"/>
    <x v="3"/>
    <x v="26"/>
    <x v="264"/>
  </r>
  <r>
    <x v="1"/>
    <x v="2"/>
    <x v="27"/>
    <x v="265"/>
  </r>
  <r>
    <x v="1"/>
    <x v="1"/>
    <x v="27"/>
    <x v="266"/>
  </r>
  <r>
    <x v="1"/>
    <x v="0"/>
    <x v="27"/>
    <x v="267"/>
  </r>
  <r>
    <x v="1"/>
    <x v="3"/>
    <x v="23"/>
    <x v="268"/>
  </r>
  <r>
    <x v="1"/>
    <x v="3"/>
    <x v="27"/>
    <x v="269"/>
  </r>
  <r>
    <x v="1"/>
    <x v="4"/>
    <x v="24"/>
    <x v="270"/>
  </r>
  <r>
    <x v="1"/>
    <x v="4"/>
    <x v="25"/>
    <x v="271"/>
  </r>
  <r>
    <x v="1"/>
    <x v="4"/>
    <x v="26"/>
    <x v="272"/>
  </r>
  <r>
    <x v="1"/>
    <x v="4"/>
    <x v="23"/>
    <x v="273"/>
  </r>
  <r>
    <x v="1"/>
    <x v="4"/>
    <x v="27"/>
    <x v="274"/>
  </r>
  <r>
    <x v="1"/>
    <x v="4"/>
    <x v="28"/>
    <x v="134"/>
  </r>
  <r>
    <x v="1"/>
    <x v="1"/>
    <x v="28"/>
    <x v="134"/>
  </r>
  <r>
    <x v="1"/>
    <x v="2"/>
    <x v="28"/>
    <x v="134"/>
  </r>
  <r>
    <x v="1"/>
    <x v="3"/>
    <x v="28"/>
    <x v="134"/>
  </r>
  <r>
    <x v="1"/>
    <x v="0"/>
    <x v="28"/>
    <x v="134"/>
  </r>
  <r>
    <x v="2"/>
    <x v="2"/>
    <x v="4"/>
    <x v="275"/>
  </r>
  <r>
    <x v="2"/>
    <x v="0"/>
    <x v="5"/>
    <x v="276"/>
  </r>
  <r>
    <x v="2"/>
    <x v="2"/>
    <x v="10"/>
    <x v="277"/>
  </r>
  <r>
    <x v="2"/>
    <x v="1"/>
    <x v="11"/>
    <x v="278"/>
  </r>
  <r>
    <x v="2"/>
    <x v="1"/>
    <x v="4"/>
    <x v="279"/>
  </r>
  <r>
    <x v="2"/>
    <x v="0"/>
    <x v="4"/>
    <x v="280"/>
  </r>
  <r>
    <x v="2"/>
    <x v="1"/>
    <x v="2"/>
    <x v="281"/>
  </r>
  <r>
    <x v="2"/>
    <x v="3"/>
    <x v="4"/>
    <x v="282"/>
  </r>
  <r>
    <x v="2"/>
    <x v="1"/>
    <x v="5"/>
    <x v="283"/>
  </r>
  <r>
    <x v="2"/>
    <x v="0"/>
    <x v="11"/>
    <x v="284"/>
  </r>
  <r>
    <x v="2"/>
    <x v="0"/>
    <x v="8"/>
    <x v="285"/>
  </r>
  <r>
    <x v="2"/>
    <x v="2"/>
    <x v="8"/>
    <x v="286"/>
  </r>
  <r>
    <x v="2"/>
    <x v="0"/>
    <x v="14"/>
    <x v="287"/>
  </r>
  <r>
    <x v="2"/>
    <x v="3"/>
    <x v="14"/>
    <x v="288"/>
  </r>
  <r>
    <x v="2"/>
    <x v="1"/>
    <x v="14"/>
    <x v="289"/>
  </r>
  <r>
    <x v="2"/>
    <x v="4"/>
    <x v="4"/>
    <x v="290"/>
  </r>
  <r>
    <x v="2"/>
    <x v="3"/>
    <x v="11"/>
    <x v="291"/>
  </r>
  <r>
    <x v="2"/>
    <x v="2"/>
    <x v="6"/>
    <x v="292"/>
  </r>
  <r>
    <x v="2"/>
    <x v="3"/>
    <x v="2"/>
    <x v="293"/>
  </r>
  <r>
    <x v="2"/>
    <x v="1"/>
    <x v="8"/>
    <x v="294"/>
  </r>
  <r>
    <x v="2"/>
    <x v="2"/>
    <x v="11"/>
    <x v="295"/>
  </r>
  <r>
    <x v="2"/>
    <x v="2"/>
    <x v="5"/>
    <x v="296"/>
  </r>
  <r>
    <x v="2"/>
    <x v="3"/>
    <x v="10"/>
    <x v="297"/>
  </r>
  <r>
    <x v="2"/>
    <x v="0"/>
    <x v="2"/>
    <x v="298"/>
  </r>
  <r>
    <x v="2"/>
    <x v="2"/>
    <x v="15"/>
    <x v="299"/>
  </r>
  <r>
    <x v="2"/>
    <x v="1"/>
    <x v="6"/>
    <x v="300"/>
  </r>
  <r>
    <x v="2"/>
    <x v="0"/>
    <x v="10"/>
    <x v="301"/>
  </r>
  <r>
    <x v="2"/>
    <x v="0"/>
    <x v="6"/>
    <x v="302"/>
  </r>
  <r>
    <x v="2"/>
    <x v="1"/>
    <x v="10"/>
    <x v="303"/>
  </r>
  <r>
    <x v="2"/>
    <x v="4"/>
    <x v="11"/>
    <x v="304"/>
  </r>
  <r>
    <x v="2"/>
    <x v="2"/>
    <x v="2"/>
    <x v="305"/>
  </r>
  <r>
    <x v="2"/>
    <x v="3"/>
    <x v="5"/>
    <x v="306"/>
  </r>
  <r>
    <x v="2"/>
    <x v="2"/>
    <x v="13"/>
    <x v="307"/>
  </r>
  <r>
    <x v="2"/>
    <x v="1"/>
    <x v="9"/>
    <x v="308"/>
  </r>
  <r>
    <x v="2"/>
    <x v="1"/>
    <x v="18"/>
    <x v="309"/>
  </r>
  <r>
    <x v="2"/>
    <x v="0"/>
    <x v="9"/>
    <x v="310"/>
  </r>
  <r>
    <x v="2"/>
    <x v="2"/>
    <x v="14"/>
    <x v="311"/>
  </r>
  <r>
    <x v="2"/>
    <x v="1"/>
    <x v="12"/>
    <x v="312"/>
  </r>
  <r>
    <x v="2"/>
    <x v="0"/>
    <x v="13"/>
    <x v="313"/>
  </r>
  <r>
    <x v="2"/>
    <x v="0"/>
    <x v="12"/>
    <x v="314"/>
  </r>
  <r>
    <x v="2"/>
    <x v="2"/>
    <x v="17"/>
    <x v="315"/>
  </r>
  <r>
    <x v="2"/>
    <x v="2"/>
    <x v="9"/>
    <x v="316"/>
  </r>
  <r>
    <x v="2"/>
    <x v="4"/>
    <x v="5"/>
    <x v="317"/>
  </r>
  <r>
    <x v="2"/>
    <x v="3"/>
    <x v="13"/>
    <x v="318"/>
  </r>
  <r>
    <x v="2"/>
    <x v="2"/>
    <x v="16"/>
    <x v="319"/>
  </r>
  <r>
    <x v="2"/>
    <x v="4"/>
    <x v="14"/>
    <x v="320"/>
  </r>
  <r>
    <x v="2"/>
    <x v="4"/>
    <x v="2"/>
    <x v="321"/>
  </r>
  <r>
    <x v="2"/>
    <x v="2"/>
    <x v="12"/>
    <x v="322"/>
  </r>
  <r>
    <x v="2"/>
    <x v="0"/>
    <x v="18"/>
    <x v="323"/>
  </r>
  <r>
    <x v="2"/>
    <x v="4"/>
    <x v="10"/>
    <x v="324"/>
  </r>
  <r>
    <x v="2"/>
    <x v="3"/>
    <x v="18"/>
    <x v="325"/>
  </r>
  <r>
    <x v="2"/>
    <x v="3"/>
    <x v="8"/>
    <x v="326"/>
  </r>
  <r>
    <x v="2"/>
    <x v="0"/>
    <x v="17"/>
    <x v="327"/>
  </r>
  <r>
    <x v="2"/>
    <x v="1"/>
    <x v="13"/>
    <x v="328"/>
  </r>
  <r>
    <x v="2"/>
    <x v="1"/>
    <x v="17"/>
    <x v="329"/>
  </r>
  <r>
    <x v="2"/>
    <x v="2"/>
    <x v="18"/>
    <x v="330"/>
  </r>
  <r>
    <x v="2"/>
    <x v="4"/>
    <x v="8"/>
    <x v="331"/>
  </r>
  <r>
    <x v="2"/>
    <x v="3"/>
    <x v="9"/>
    <x v="332"/>
  </r>
  <r>
    <x v="2"/>
    <x v="3"/>
    <x v="6"/>
    <x v="333"/>
  </r>
  <r>
    <x v="2"/>
    <x v="2"/>
    <x v="21"/>
    <x v="334"/>
  </r>
  <r>
    <x v="2"/>
    <x v="1"/>
    <x v="16"/>
    <x v="335"/>
  </r>
  <r>
    <x v="2"/>
    <x v="0"/>
    <x v="19"/>
    <x v="336"/>
  </r>
  <r>
    <x v="2"/>
    <x v="2"/>
    <x v="22"/>
    <x v="337"/>
  </r>
  <r>
    <x v="2"/>
    <x v="3"/>
    <x v="12"/>
    <x v="338"/>
  </r>
  <r>
    <x v="2"/>
    <x v="3"/>
    <x v="15"/>
    <x v="339"/>
  </r>
  <r>
    <x v="2"/>
    <x v="1"/>
    <x v="19"/>
    <x v="340"/>
  </r>
  <r>
    <x v="2"/>
    <x v="1"/>
    <x v="21"/>
    <x v="341"/>
  </r>
  <r>
    <x v="2"/>
    <x v="0"/>
    <x v="20"/>
    <x v="342"/>
  </r>
  <r>
    <x v="2"/>
    <x v="4"/>
    <x v="6"/>
    <x v="343"/>
  </r>
  <r>
    <x v="2"/>
    <x v="1"/>
    <x v="20"/>
    <x v="344"/>
  </r>
  <r>
    <x v="2"/>
    <x v="0"/>
    <x v="21"/>
    <x v="345"/>
  </r>
  <r>
    <x v="2"/>
    <x v="1"/>
    <x v="22"/>
    <x v="346"/>
  </r>
  <r>
    <x v="2"/>
    <x v="4"/>
    <x v="13"/>
    <x v="347"/>
  </r>
  <r>
    <x v="2"/>
    <x v="0"/>
    <x v="22"/>
    <x v="348"/>
  </r>
  <r>
    <x v="2"/>
    <x v="4"/>
    <x v="9"/>
    <x v="349"/>
  </r>
  <r>
    <x v="2"/>
    <x v="2"/>
    <x v="19"/>
    <x v="350"/>
  </r>
  <r>
    <x v="2"/>
    <x v="2"/>
    <x v="23"/>
    <x v="351"/>
  </r>
  <r>
    <x v="2"/>
    <x v="2"/>
    <x v="20"/>
    <x v="352"/>
  </r>
  <r>
    <x v="2"/>
    <x v="0"/>
    <x v="16"/>
    <x v="353"/>
  </r>
  <r>
    <x v="2"/>
    <x v="4"/>
    <x v="18"/>
    <x v="354"/>
  </r>
  <r>
    <x v="2"/>
    <x v="4"/>
    <x v="12"/>
    <x v="355"/>
  </r>
  <r>
    <x v="2"/>
    <x v="3"/>
    <x v="20"/>
    <x v="356"/>
  </r>
  <r>
    <x v="2"/>
    <x v="3"/>
    <x v="19"/>
    <x v="357"/>
  </r>
  <r>
    <x v="2"/>
    <x v="3"/>
    <x v="16"/>
    <x v="358"/>
  </r>
  <r>
    <x v="2"/>
    <x v="3"/>
    <x v="21"/>
    <x v="359"/>
  </r>
  <r>
    <x v="2"/>
    <x v="3"/>
    <x v="17"/>
    <x v="360"/>
  </r>
  <r>
    <x v="2"/>
    <x v="1"/>
    <x v="15"/>
    <x v="361"/>
  </r>
  <r>
    <x v="2"/>
    <x v="1"/>
    <x v="24"/>
    <x v="362"/>
  </r>
  <r>
    <x v="2"/>
    <x v="3"/>
    <x v="22"/>
    <x v="363"/>
  </r>
  <r>
    <x v="2"/>
    <x v="1"/>
    <x v="25"/>
    <x v="364"/>
  </r>
  <r>
    <x v="2"/>
    <x v="0"/>
    <x v="24"/>
    <x v="365"/>
  </r>
  <r>
    <x v="2"/>
    <x v="1"/>
    <x v="26"/>
    <x v="366"/>
  </r>
  <r>
    <x v="2"/>
    <x v="4"/>
    <x v="17"/>
    <x v="367"/>
  </r>
  <r>
    <x v="2"/>
    <x v="0"/>
    <x v="25"/>
    <x v="368"/>
  </r>
  <r>
    <x v="2"/>
    <x v="0"/>
    <x v="26"/>
    <x v="369"/>
  </r>
  <r>
    <x v="2"/>
    <x v="0"/>
    <x v="15"/>
    <x v="370"/>
  </r>
  <r>
    <x v="2"/>
    <x v="4"/>
    <x v="16"/>
    <x v="371"/>
  </r>
  <r>
    <x v="2"/>
    <x v="4"/>
    <x v="19"/>
    <x v="372"/>
  </r>
  <r>
    <x v="2"/>
    <x v="1"/>
    <x v="23"/>
    <x v="373"/>
  </r>
  <r>
    <x v="2"/>
    <x v="4"/>
    <x v="21"/>
    <x v="374"/>
  </r>
  <r>
    <x v="2"/>
    <x v="4"/>
    <x v="20"/>
    <x v="375"/>
  </r>
  <r>
    <x v="2"/>
    <x v="2"/>
    <x v="24"/>
    <x v="376"/>
  </r>
  <r>
    <x v="2"/>
    <x v="4"/>
    <x v="22"/>
    <x v="377"/>
  </r>
  <r>
    <x v="2"/>
    <x v="2"/>
    <x v="25"/>
    <x v="378"/>
  </r>
  <r>
    <x v="2"/>
    <x v="2"/>
    <x v="26"/>
    <x v="379"/>
  </r>
  <r>
    <x v="2"/>
    <x v="3"/>
    <x v="24"/>
    <x v="380"/>
  </r>
  <r>
    <x v="2"/>
    <x v="0"/>
    <x v="23"/>
    <x v="381"/>
  </r>
  <r>
    <x v="2"/>
    <x v="4"/>
    <x v="15"/>
    <x v="382"/>
  </r>
  <r>
    <x v="2"/>
    <x v="3"/>
    <x v="25"/>
    <x v="383"/>
  </r>
  <r>
    <x v="2"/>
    <x v="3"/>
    <x v="26"/>
    <x v="384"/>
  </r>
  <r>
    <x v="2"/>
    <x v="2"/>
    <x v="27"/>
    <x v="385"/>
  </r>
  <r>
    <x v="2"/>
    <x v="1"/>
    <x v="27"/>
    <x v="386"/>
  </r>
  <r>
    <x v="2"/>
    <x v="3"/>
    <x v="23"/>
    <x v="387"/>
  </r>
  <r>
    <x v="2"/>
    <x v="0"/>
    <x v="27"/>
    <x v="388"/>
  </r>
  <r>
    <x v="2"/>
    <x v="3"/>
    <x v="27"/>
    <x v="389"/>
  </r>
  <r>
    <x v="2"/>
    <x v="4"/>
    <x v="24"/>
    <x v="390"/>
  </r>
  <r>
    <x v="2"/>
    <x v="4"/>
    <x v="25"/>
    <x v="391"/>
  </r>
  <r>
    <x v="2"/>
    <x v="4"/>
    <x v="26"/>
    <x v="392"/>
  </r>
  <r>
    <x v="2"/>
    <x v="4"/>
    <x v="23"/>
    <x v="393"/>
  </r>
  <r>
    <x v="2"/>
    <x v="4"/>
    <x v="27"/>
    <x v="394"/>
  </r>
  <r>
    <x v="2"/>
    <x v="4"/>
    <x v="1"/>
    <x v="134"/>
  </r>
  <r>
    <x v="2"/>
    <x v="1"/>
    <x v="1"/>
    <x v="134"/>
  </r>
  <r>
    <x v="2"/>
    <x v="2"/>
    <x v="1"/>
    <x v="134"/>
  </r>
  <r>
    <x v="2"/>
    <x v="3"/>
    <x v="1"/>
    <x v="134"/>
  </r>
  <r>
    <x v="2"/>
    <x v="0"/>
    <x v="1"/>
    <x v="134"/>
  </r>
  <r>
    <x v="2"/>
    <x v="4"/>
    <x v="0"/>
    <x v="134"/>
  </r>
  <r>
    <x v="2"/>
    <x v="1"/>
    <x v="0"/>
    <x v="134"/>
  </r>
  <r>
    <x v="2"/>
    <x v="2"/>
    <x v="0"/>
    <x v="134"/>
  </r>
  <r>
    <x v="2"/>
    <x v="3"/>
    <x v="0"/>
    <x v="134"/>
  </r>
  <r>
    <x v="2"/>
    <x v="0"/>
    <x v="0"/>
    <x v="134"/>
  </r>
  <r>
    <x v="2"/>
    <x v="4"/>
    <x v="28"/>
    <x v="134"/>
  </r>
  <r>
    <x v="2"/>
    <x v="1"/>
    <x v="28"/>
    <x v="134"/>
  </r>
  <r>
    <x v="2"/>
    <x v="2"/>
    <x v="28"/>
    <x v="134"/>
  </r>
  <r>
    <x v="2"/>
    <x v="3"/>
    <x v="28"/>
    <x v="134"/>
  </r>
  <r>
    <x v="2"/>
    <x v="0"/>
    <x v="28"/>
    <x v="134"/>
  </r>
  <r>
    <x v="2"/>
    <x v="4"/>
    <x v="7"/>
    <x v="134"/>
  </r>
  <r>
    <x v="2"/>
    <x v="1"/>
    <x v="7"/>
    <x v="134"/>
  </r>
  <r>
    <x v="2"/>
    <x v="2"/>
    <x v="7"/>
    <x v="134"/>
  </r>
  <r>
    <x v="2"/>
    <x v="3"/>
    <x v="7"/>
    <x v="134"/>
  </r>
  <r>
    <x v="2"/>
    <x v="0"/>
    <x v="7"/>
    <x v="134"/>
  </r>
  <r>
    <x v="2"/>
    <x v="4"/>
    <x v="3"/>
    <x v="134"/>
  </r>
  <r>
    <x v="2"/>
    <x v="1"/>
    <x v="3"/>
    <x v="134"/>
  </r>
  <r>
    <x v="2"/>
    <x v="2"/>
    <x v="3"/>
    <x v="134"/>
  </r>
  <r>
    <x v="2"/>
    <x v="3"/>
    <x v="3"/>
    <x v="134"/>
  </r>
  <r>
    <x v="2"/>
    <x v="0"/>
    <x v="3"/>
    <x v="134"/>
  </r>
  <r>
    <x v="3"/>
    <x v="2"/>
    <x v="4"/>
    <x v="395"/>
  </r>
  <r>
    <x v="3"/>
    <x v="0"/>
    <x v="4"/>
    <x v="396"/>
  </r>
  <r>
    <x v="3"/>
    <x v="1"/>
    <x v="4"/>
    <x v="397"/>
  </r>
  <r>
    <x v="3"/>
    <x v="3"/>
    <x v="4"/>
    <x v="398"/>
  </r>
  <r>
    <x v="3"/>
    <x v="1"/>
    <x v="5"/>
    <x v="399"/>
  </r>
  <r>
    <x v="3"/>
    <x v="1"/>
    <x v="2"/>
    <x v="400"/>
  </r>
  <r>
    <x v="3"/>
    <x v="1"/>
    <x v="11"/>
    <x v="401"/>
  </r>
  <r>
    <x v="3"/>
    <x v="2"/>
    <x v="10"/>
    <x v="402"/>
  </r>
  <r>
    <x v="3"/>
    <x v="4"/>
    <x v="4"/>
    <x v="403"/>
  </r>
  <r>
    <x v="3"/>
    <x v="0"/>
    <x v="5"/>
    <x v="404"/>
  </r>
  <r>
    <x v="3"/>
    <x v="1"/>
    <x v="14"/>
    <x v="405"/>
  </r>
  <r>
    <x v="3"/>
    <x v="0"/>
    <x v="11"/>
    <x v="406"/>
  </r>
  <r>
    <x v="3"/>
    <x v="2"/>
    <x v="13"/>
    <x v="407"/>
  </r>
  <r>
    <x v="3"/>
    <x v="3"/>
    <x v="11"/>
    <x v="408"/>
  </r>
  <r>
    <x v="3"/>
    <x v="3"/>
    <x v="13"/>
    <x v="409"/>
  </r>
  <r>
    <x v="3"/>
    <x v="2"/>
    <x v="5"/>
    <x v="410"/>
  </r>
  <r>
    <x v="3"/>
    <x v="1"/>
    <x v="9"/>
    <x v="411"/>
  </r>
  <r>
    <x v="3"/>
    <x v="1"/>
    <x v="12"/>
    <x v="412"/>
  </r>
  <r>
    <x v="3"/>
    <x v="3"/>
    <x v="10"/>
    <x v="413"/>
  </r>
  <r>
    <x v="3"/>
    <x v="2"/>
    <x v="6"/>
    <x v="414"/>
  </r>
  <r>
    <x v="3"/>
    <x v="2"/>
    <x v="15"/>
    <x v="415"/>
  </r>
  <r>
    <x v="3"/>
    <x v="0"/>
    <x v="13"/>
    <x v="416"/>
  </r>
  <r>
    <x v="3"/>
    <x v="0"/>
    <x v="14"/>
    <x v="417"/>
  </r>
  <r>
    <x v="3"/>
    <x v="2"/>
    <x v="11"/>
    <x v="418"/>
  </r>
  <r>
    <x v="3"/>
    <x v="0"/>
    <x v="8"/>
    <x v="419"/>
  </r>
  <r>
    <x v="3"/>
    <x v="2"/>
    <x v="8"/>
    <x v="420"/>
  </r>
  <r>
    <x v="3"/>
    <x v="3"/>
    <x v="5"/>
    <x v="421"/>
  </r>
  <r>
    <x v="3"/>
    <x v="3"/>
    <x v="14"/>
    <x v="422"/>
  </r>
  <r>
    <x v="3"/>
    <x v="0"/>
    <x v="10"/>
    <x v="423"/>
  </r>
  <r>
    <x v="3"/>
    <x v="1"/>
    <x v="10"/>
    <x v="424"/>
  </r>
  <r>
    <x v="3"/>
    <x v="0"/>
    <x v="6"/>
    <x v="425"/>
  </r>
  <r>
    <x v="3"/>
    <x v="0"/>
    <x v="9"/>
    <x v="426"/>
  </r>
  <r>
    <x v="3"/>
    <x v="1"/>
    <x v="6"/>
    <x v="427"/>
  </r>
  <r>
    <x v="3"/>
    <x v="0"/>
    <x v="12"/>
    <x v="428"/>
  </r>
  <r>
    <x v="3"/>
    <x v="4"/>
    <x v="11"/>
    <x v="429"/>
  </r>
  <r>
    <x v="3"/>
    <x v="0"/>
    <x v="2"/>
    <x v="430"/>
  </r>
  <r>
    <x v="3"/>
    <x v="4"/>
    <x v="5"/>
    <x v="431"/>
  </r>
  <r>
    <x v="3"/>
    <x v="3"/>
    <x v="2"/>
    <x v="432"/>
  </r>
  <r>
    <x v="3"/>
    <x v="1"/>
    <x v="8"/>
    <x v="433"/>
  </r>
  <r>
    <x v="3"/>
    <x v="2"/>
    <x v="17"/>
    <x v="434"/>
  </r>
  <r>
    <x v="3"/>
    <x v="1"/>
    <x v="13"/>
    <x v="435"/>
  </r>
  <r>
    <x v="3"/>
    <x v="0"/>
    <x v="17"/>
    <x v="436"/>
  </r>
  <r>
    <x v="3"/>
    <x v="2"/>
    <x v="16"/>
    <x v="437"/>
  </r>
  <r>
    <x v="3"/>
    <x v="2"/>
    <x v="14"/>
    <x v="438"/>
  </r>
  <r>
    <x v="3"/>
    <x v="2"/>
    <x v="2"/>
    <x v="439"/>
  </r>
  <r>
    <x v="3"/>
    <x v="3"/>
    <x v="18"/>
    <x v="440"/>
  </r>
  <r>
    <x v="3"/>
    <x v="1"/>
    <x v="16"/>
    <x v="441"/>
  </r>
  <r>
    <x v="3"/>
    <x v="4"/>
    <x v="10"/>
    <x v="442"/>
  </r>
  <r>
    <x v="3"/>
    <x v="1"/>
    <x v="17"/>
    <x v="443"/>
  </r>
  <r>
    <x v="3"/>
    <x v="4"/>
    <x v="13"/>
    <x v="444"/>
  </r>
  <r>
    <x v="3"/>
    <x v="0"/>
    <x v="18"/>
    <x v="445"/>
  </r>
  <r>
    <x v="3"/>
    <x v="2"/>
    <x v="21"/>
    <x v="446"/>
  </r>
  <r>
    <x v="3"/>
    <x v="2"/>
    <x v="18"/>
    <x v="447"/>
  </r>
  <r>
    <x v="3"/>
    <x v="1"/>
    <x v="18"/>
    <x v="448"/>
  </r>
  <r>
    <x v="3"/>
    <x v="3"/>
    <x v="6"/>
    <x v="449"/>
  </r>
  <r>
    <x v="3"/>
    <x v="0"/>
    <x v="19"/>
    <x v="450"/>
  </r>
  <r>
    <x v="3"/>
    <x v="4"/>
    <x v="14"/>
    <x v="451"/>
  </r>
  <r>
    <x v="3"/>
    <x v="2"/>
    <x v="9"/>
    <x v="452"/>
  </r>
  <r>
    <x v="3"/>
    <x v="2"/>
    <x v="22"/>
    <x v="453"/>
  </r>
  <r>
    <x v="3"/>
    <x v="2"/>
    <x v="12"/>
    <x v="454"/>
  </r>
  <r>
    <x v="3"/>
    <x v="1"/>
    <x v="19"/>
    <x v="455"/>
  </r>
  <r>
    <x v="3"/>
    <x v="3"/>
    <x v="15"/>
    <x v="456"/>
  </r>
  <r>
    <x v="3"/>
    <x v="3"/>
    <x v="9"/>
    <x v="457"/>
  </r>
  <r>
    <x v="3"/>
    <x v="0"/>
    <x v="21"/>
    <x v="458"/>
  </r>
  <r>
    <x v="3"/>
    <x v="4"/>
    <x v="2"/>
    <x v="459"/>
  </r>
  <r>
    <x v="3"/>
    <x v="0"/>
    <x v="20"/>
    <x v="460"/>
  </r>
  <r>
    <x v="3"/>
    <x v="3"/>
    <x v="12"/>
    <x v="461"/>
  </r>
  <r>
    <x v="3"/>
    <x v="1"/>
    <x v="21"/>
    <x v="462"/>
  </r>
  <r>
    <x v="3"/>
    <x v="0"/>
    <x v="22"/>
    <x v="463"/>
  </r>
  <r>
    <x v="3"/>
    <x v="1"/>
    <x v="20"/>
    <x v="464"/>
  </r>
  <r>
    <x v="3"/>
    <x v="4"/>
    <x v="6"/>
    <x v="465"/>
  </r>
  <r>
    <x v="3"/>
    <x v="2"/>
    <x v="20"/>
    <x v="466"/>
  </r>
  <r>
    <x v="3"/>
    <x v="1"/>
    <x v="22"/>
    <x v="467"/>
  </r>
  <r>
    <x v="3"/>
    <x v="2"/>
    <x v="19"/>
    <x v="468"/>
  </r>
  <r>
    <x v="3"/>
    <x v="3"/>
    <x v="8"/>
    <x v="469"/>
  </r>
  <r>
    <x v="3"/>
    <x v="3"/>
    <x v="19"/>
    <x v="470"/>
  </r>
  <r>
    <x v="3"/>
    <x v="3"/>
    <x v="20"/>
    <x v="471"/>
  </r>
  <r>
    <x v="3"/>
    <x v="0"/>
    <x v="16"/>
    <x v="472"/>
  </r>
  <r>
    <x v="3"/>
    <x v="3"/>
    <x v="16"/>
    <x v="473"/>
  </r>
  <r>
    <x v="3"/>
    <x v="2"/>
    <x v="23"/>
    <x v="474"/>
  </r>
  <r>
    <x v="3"/>
    <x v="4"/>
    <x v="9"/>
    <x v="475"/>
  </r>
  <r>
    <x v="3"/>
    <x v="4"/>
    <x v="8"/>
    <x v="476"/>
  </r>
  <r>
    <x v="3"/>
    <x v="4"/>
    <x v="12"/>
    <x v="477"/>
  </r>
  <r>
    <x v="3"/>
    <x v="3"/>
    <x v="21"/>
    <x v="478"/>
  </r>
  <r>
    <x v="3"/>
    <x v="1"/>
    <x v="15"/>
    <x v="479"/>
  </r>
  <r>
    <x v="3"/>
    <x v="4"/>
    <x v="18"/>
    <x v="480"/>
  </r>
  <r>
    <x v="3"/>
    <x v="3"/>
    <x v="17"/>
    <x v="481"/>
  </r>
  <r>
    <x v="3"/>
    <x v="3"/>
    <x v="22"/>
    <x v="482"/>
  </r>
  <r>
    <x v="3"/>
    <x v="1"/>
    <x v="24"/>
    <x v="483"/>
  </r>
  <r>
    <x v="3"/>
    <x v="1"/>
    <x v="25"/>
    <x v="484"/>
  </r>
  <r>
    <x v="3"/>
    <x v="0"/>
    <x v="24"/>
    <x v="485"/>
  </r>
  <r>
    <x v="3"/>
    <x v="1"/>
    <x v="26"/>
    <x v="486"/>
  </r>
  <r>
    <x v="3"/>
    <x v="4"/>
    <x v="17"/>
    <x v="487"/>
  </r>
  <r>
    <x v="3"/>
    <x v="4"/>
    <x v="16"/>
    <x v="488"/>
  </r>
  <r>
    <x v="3"/>
    <x v="0"/>
    <x v="15"/>
    <x v="489"/>
  </r>
  <r>
    <x v="3"/>
    <x v="0"/>
    <x v="25"/>
    <x v="490"/>
  </r>
  <r>
    <x v="3"/>
    <x v="0"/>
    <x v="26"/>
    <x v="491"/>
  </r>
  <r>
    <x v="3"/>
    <x v="4"/>
    <x v="19"/>
    <x v="492"/>
  </r>
  <r>
    <x v="3"/>
    <x v="4"/>
    <x v="20"/>
    <x v="493"/>
  </r>
  <r>
    <x v="3"/>
    <x v="4"/>
    <x v="21"/>
    <x v="494"/>
  </r>
  <r>
    <x v="3"/>
    <x v="1"/>
    <x v="23"/>
    <x v="495"/>
  </r>
  <r>
    <x v="3"/>
    <x v="4"/>
    <x v="22"/>
    <x v="496"/>
  </r>
  <r>
    <x v="3"/>
    <x v="3"/>
    <x v="24"/>
    <x v="497"/>
  </r>
  <r>
    <x v="3"/>
    <x v="2"/>
    <x v="24"/>
    <x v="498"/>
  </r>
  <r>
    <x v="3"/>
    <x v="0"/>
    <x v="23"/>
    <x v="499"/>
  </r>
  <r>
    <x v="3"/>
    <x v="4"/>
    <x v="15"/>
    <x v="500"/>
  </r>
  <r>
    <x v="3"/>
    <x v="3"/>
    <x v="25"/>
    <x v="501"/>
  </r>
  <r>
    <x v="3"/>
    <x v="3"/>
    <x v="26"/>
    <x v="502"/>
  </r>
  <r>
    <x v="3"/>
    <x v="2"/>
    <x v="25"/>
    <x v="503"/>
  </r>
  <r>
    <x v="3"/>
    <x v="2"/>
    <x v="26"/>
    <x v="504"/>
  </r>
  <r>
    <x v="3"/>
    <x v="1"/>
    <x v="27"/>
    <x v="505"/>
  </r>
  <r>
    <x v="3"/>
    <x v="2"/>
    <x v="27"/>
    <x v="506"/>
  </r>
  <r>
    <x v="3"/>
    <x v="3"/>
    <x v="23"/>
    <x v="507"/>
  </r>
  <r>
    <x v="3"/>
    <x v="0"/>
    <x v="27"/>
    <x v="508"/>
  </r>
  <r>
    <x v="3"/>
    <x v="3"/>
    <x v="27"/>
    <x v="509"/>
  </r>
  <r>
    <x v="3"/>
    <x v="4"/>
    <x v="24"/>
    <x v="510"/>
  </r>
  <r>
    <x v="3"/>
    <x v="4"/>
    <x v="25"/>
    <x v="511"/>
  </r>
  <r>
    <x v="3"/>
    <x v="4"/>
    <x v="26"/>
    <x v="512"/>
  </r>
  <r>
    <x v="3"/>
    <x v="4"/>
    <x v="23"/>
    <x v="513"/>
  </r>
  <r>
    <x v="3"/>
    <x v="4"/>
    <x v="27"/>
    <x v="514"/>
  </r>
  <r>
    <x v="3"/>
    <x v="4"/>
    <x v="1"/>
    <x v="134"/>
  </r>
  <r>
    <x v="3"/>
    <x v="1"/>
    <x v="1"/>
    <x v="134"/>
  </r>
  <r>
    <x v="3"/>
    <x v="2"/>
    <x v="1"/>
    <x v="134"/>
  </r>
  <r>
    <x v="3"/>
    <x v="3"/>
    <x v="1"/>
    <x v="134"/>
  </r>
  <r>
    <x v="3"/>
    <x v="0"/>
    <x v="1"/>
    <x v="134"/>
  </r>
  <r>
    <x v="3"/>
    <x v="4"/>
    <x v="0"/>
    <x v="134"/>
  </r>
  <r>
    <x v="3"/>
    <x v="1"/>
    <x v="0"/>
    <x v="134"/>
  </r>
  <r>
    <x v="3"/>
    <x v="2"/>
    <x v="0"/>
    <x v="134"/>
  </r>
  <r>
    <x v="3"/>
    <x v="3"/>
    <x v="0"/>
    <x v="134"/>
  </r>
  <r>
    <x v="3"/>
    <x v="0"/>
    <x v="0"/>
    <x v="134"/>
  </r>
  <r>
    <x v="3"/>
    <x v="4"/>
    <x v="28"/>
    <x v="134"/>
  </r>
  <r>
    <x v="3"/>
    <x v="1"/>
    <x v="28"/>
    <x v="134"/>
  </r>
  <r>
    <x v="3"/>
    <x v="2"/>
    <x v="28"/>
    <x v="134"/>
  </r>
  <r>
    <x v="3"/>
    <x v="3"/>
    <x v="28"/>
    <x v="134"/>
  </r>
  <r>
    <x v="3"/>
    <x v="0"/>
    <x v="28"/>
    <x v="134"/>
  </r>
  <r>
    <x v="3"/>
    <x v="4"/>
    <x v="7"/>
    <x v="134"/>
  </r>
  <r>
    <x v="3"/>
    <x v="1"/>
    <x v="7"/>
    <x v="134"/>
  </r>
  <r>
    <x v="3"/>
    <x v="2"/>
    <x v="7"/>
    <x v="134"/>
  </r>
  <r>
    <x v="3"/>
    <x v="3"/>
    <x v="7"/>
    <x v="134"/>
  </r>
  <r>
    <x v="3"/>
    <x v="0"/>
    <x v="7"/>
    <x v="134"/>
  </r>
  <r>
    <x v="3"/>
    <x v="4"/>
    <x v="3"/>
    <x v="134"/>
  </r>
  <r>
    <x v="3"/>
    <x v="1"/>
    <x v="3"/>
    <x v="134"/>
  </r>
  <r>
    <x v="3"/>
    <x v="2"/>
    <x v="3"/>
    <x v="134"/>
  </r>
  <r>
    <x v="3"/>
    <x v="3"/>
    <x v="3"/>
    <x v="134"/>
  </r>
  <r>
    <x v="3"/>
    <x v="0"/>
    <x v="3"/>
    <x v="134"/>
  </r>
  <r>
    <x v="4"/>
    <x v="0"/>
    <x v="4"/>
    <x v="515"/>
  </r>
  <r>
    <x v="4"/>
    <x v="2"/>
    <x v="4"/>
    <x v="516"/>
  </r>
  <r>
    <x v="4"/>
    <x v="1"/>
    <x v="4"/>
    <x v="517"/>
  </r>
  <r>
    <x v="4"/>
    <x v="4"/>
    <x v="4"/>
    <x v="518"/>
  </r>
  <r>
    <x v="4"/>
    <x v="0"/>
    <x v="5"/>
    <x v="519"/>
  </r>
  <r>
    <x v="4"/>
    <x v="2"/>
    <x v="15"/>
    <x v="520"/>
  </r>
  <r>
    <x v="4"/>
    <x v="1"/>
    <x v="5"/>
    <x v="521"/>
  </r>
  <r>
    <x v="4"/>
    <x v="2"/>
    <x v="10"/>
    <x v="522"/>
  </r>
  <r>
    <x v="4"/>
    <x v="1"/>
    <x v="11"/>
    <x v="523"/>
  </r>
  <r>
    <x v="4"/>
    <x v="2"/>
    <x v="5"/>
    <x v="524"/>
  </r>
  <r>
    <x v="4"/>
    <x v="2"/>
    <x v="9"/>
    <x v="525"/>
  </r>
  <r>
    <x v="4"/>
    <x v="1"/>
    <x v="14"/>
    <x v="526"/>
  </r>
  <r>
    <x v="4"/>
    <x v="0"/>
    <x v="11"/>
    <x v="527"/>
  </r>
  <r>
    <x v="4"/>
    <x v="2"/>
    <x v="12"/>
    <x v="528"/>
  </r>
  <r>
    <x v="4"/>
    <x v="0"/>
    <x v="8"/>
    <x v="529"/>
  </r>
  <r>
    <x v="4"/>
    <x v="2"/>
    <x v="8"/>
    <x v="530"/>
  </r>
  <r>
    <x v="4"/>
    <x v="1"/>
    <x v="9"/>
    <x v="531"/>
  </r>
  <r>
    <x v="4"/>
    <x v="2"/>
    <x v="13"/>
    <x v="532"/>
  </r>
  <r>
    <x v="4"/>
    <x v="2"/>
    <x v="6"/>
    <x v="533"/>
  </r>
  <r>
    <x v="4"/>
    <x v="1"/>
    <x v="12"/>
    <x v="534"/>
  </r>
  <r>
    <x v="4"/>
    <x v="2"/>
    <x v="11"/>
    <x v="535"/>
  </r>
  <r>
    <x v="4"/>
    <x v="3"/>
    <x v="10"/>
    <x v="536"/>
  </r>
  <r>
    <x v="4"/>
    <x v="0"/>
    <x v="14"/>
    <x v="537"/>
  </r>
  <r>
    <x v="4"/>
    <x v="3"/>
    <x v="11"/>
    <x v="538"/>
  </r>
  <r>
    <x v="4"/>
    <x v="1"/>
    <x v="8"/>
    <x v="539"/>
  </r>
  <r>
    <x v="4"/>
    <x v="0"/>
    <x v="9"/>
    <x v="540"/>
  </r>
  <r>
    <x v="4"/>
    <x v="3"/>
    <x v="2"/>
    <x v="541"/>
  </r>
  <r>
    <x v="4"/>
    <x v="0"/>
    <x v="12"/>
    <x v="542"/>
  </r>
  <r>
    <x v="4"/>
    <x v="0"/>
    <x v="10"/>
    <x v="543"/>
  </r>
  <r>
    <x v="4"/>
    <x v="3"/>
    <x v="13"/>
    <x v="544"/>
  </r>
  <r>
    <x v="4"/>
    <x v="1"/>
    <x v="6"/>
    <x v="545"/>
  </r>
  <r>
    <x v="4"/>
    <x v="3"/>
    <x v="5"/>
    <x v="546"/>
  </r>
  <r>
    <x v="4"/>
    <x v="2"/>
    <x v="14"/>
    <x v="547"/>
  </r>
  <r>
    <x v="4"/>
    <x v="3"/>
    <x v="14"/>
    <x v="548"/>
  </r>
  <r>
    <x v="4"/>
    <x v="0"/>
    <x v="6"/>
    <x v="549"/>
  </r>
  <r>
    <x v="4"/>
    <x v="1"/>
    <x v="2"/>
    <x v="550"/>
  </r>
  <r>
    <x v="4"/>
    <x v="0"/>
    <x v="13"/>
    <x v="551"/>
  </r>
  <r>
    <x v="4"/>
    <x v="4"/>
    <x v="5"/>
    <x v="552"/>
  </r>
  <r>
    <x v="4"/>
    <x v="1"/>
    <x v="10"/>
    <x v="553"/>
  </r>
  <r>
    <x v="4"/>
    <x v="1"/>
    <x v="13"/>
    <x v="554"/>
  </r>
  <r>
    <x v="4"/>
    <x v="4"/>
    <x v="11"/>
    <x v="555"/>
  </r>
  <r>
    <x v="4"/>
    <x v="2"/>
    <x v="16"/>
    <x v="556"/>
  </r>
  <r>
    <x v="4"/>
    <x v="0"/>
    <x v="2"/>
    <x v="557"/>
  </r>
  <r>
    <x v="4"/>
    <x v="1"/>
    <x v="16"/>
    <x v="558"/>
  </r>
  <r>
    <x v="4"/>
    <x v="2"/>
    <x v="17"/>
    <x v="559"/>
  </r>
  <r>
    <x v="4"/>
    <x v="3"/>
    <x v="9"/>
    <x v="560"/>
  </r>
  <r>
    <x v="4"/>
    <x v="4"/>
    <x v="14"/>
    <x v="561"/>
  </r>
  <r>
    <x v="4"/>
    <x v="4"/>
    <x v="10"/>
    <x v="562"/>
  </r>
  <r>
    <x v="4"/>
    <x v="3"/>
    <x v="18"/>
    <x v="563"/>
  </r>
  <r>
    <x v="4"/>
    <x v="2"/>
    <x v="2"/>
    <x v="564"/>
  </r>
  <r>
    <x v="4"/>
    <x v="0"/>
    <x v="17"/>
    <x v="565"/>
  </r>
  <r>
    <x v="4"/>
    <x v="3"/>
    <x v="8"/>
    <x v="566"/>
  </r>
  <r>
    <x v="4"/>
    <x v="3"/>
    <x v="6"/>
    <x v="567"/>
  </r>
  <r>
    <x v="4"/>
    <x v="0"/>
    <x v="18"/>
    <x v="568"/>
  </r>
  <r>
    <x v="4"/>
    <x v="1"/>
    <x v="18"/>
    <x v="569"/>
  </r>
  <r>
    <x v="4"/>
    <x v="3"/>
    <x v="12"/>
    <x v="570"/>
  </r>
  <r>
    <x v="4"/>
    <x v="0"/>
    <x v="19"/>
    <x v="571"/>
  </r>
  <r>
    <x v="4"/>
    <x v="1"/>
    <x v="19"/>
    <x v="572"/>
  </r>
  <r>
    <x v="4"/>
    <x v="1"/>
    <x v="17"/>
    <x v="573"/>
  </r>
  <r>
    <x v="4"/>
    <x v="4"/>
    <x v="9"/>
    <x v="574"/>
  </r>
  <r>
    <x v="4"/>
    <x v="4"/>
    <x v="13"/>
    <x v="575"/>
  </r>
  <r>
    <x v="4"/>
    <x v="3"/>
    <x v="15"/>
    <x v="576"/>
  </r>
  <r>
    <x v="4"/>
    <x v="2"/>
    <x v="21"/>
    <x v="577"/>
  </r>
  <r>
    <x v="4"/>
    <x v="2"/>
    <x v="18"/>
    <x v="578"/>
  </r>
  <r>
    <x v="4"/>
    <x v="4"/>
    <x v="8"/>
    <x v="579"/>
  </r>
  <r>
    <x v="4"/>
    <x v="2"/>
    <x v="22"/>
    <x v="580"/>
  </r>
  <r>
    <x v="4"/>
    <x v="0"/>
    <x v="21"/>
    <x v="581"/>
  </r>
  <r>
    <x v="4"/>
    <x v="4"/>
    <x v="12"/>
    <x v="582"/>
  </r>
  <r>
    <x v="4"/>
    <x v="0"/>
    <x v="20"/>
    <x v="583"/>
  </r>
  <r>
    <x v="4"/>
    <x v="4"/>
    <x v="6"/>
    <x v="584"/>
  </r>
  <r>
    <x v="4"/>
    <x v="0"/>
    <x v="22"/>
    <x v="585"/>
  </r>
  <r>
    <x v="4"/>
    <x v="3"/>
    <x v="16"/>
    <x v="586"/>
  </r>
  <r>
    <x v="4"/>
    <x v="1"/>
    <x v="20"/>
    <x v="587"/>
  </r>
  <r>
    <x v="4"/>
    <x v="0"/>
    <x v="16"/>
    <x v="588"/>
  </r>
  <r>
    <x v="4"/>
    <x v="2"/>
    <x v="19"/>
    <x v="589"/>
  </r>
  <r>
    <x v="4"/>
    <x v="1"/>
    <x v="21"/>
    <x v="590"/>
  </r>
  <r>
    <x v="4"/>
    <x v="4"/>
    <x v="2"/>
    <x v="591"/>
  </r>
  <r>
    <x v="4"/>
    <x v="1"/>
    <x v="22"/>
    <x v="592"/>
  </r>
  <r>
    <x v="4"/>
    <x v="3"/>
    <x v="19"/>
    <x v="593"/>
  </r>
  <r>
    <x v="4"/>
    <x v="2"/>
    <x v="20"/>
    <x v="594"/>
  </r>
  <r>
    <x v="4"/>
    <x v="3"/>
    <x v="20"/>
    <x v="595"/>
  </r>
  <r>
    <x v="4"/>
    <x v="2"/>
    <x v="23"/>
    <x v="596"/>
  </r>
  <r>
    <x v="4"/>
    <x v="1"/>
    <x v="15"/>
    <x v="597"/>
  </r>
  <r>
    <x v="4"/>
    <x v="0"/>
    <x v="15"/>
    <x v="598"/>
  </r>
  <r>
    <x v="4"/>
    <x v="3"/>
    <x v="21"/>
    <x v="599"/>
  </r>
  <r>
    <x v="4"/>
    <x v="4"/>
    <x v="18"/>
    <x v="600"/>
  </r>
  <r>
    <x v="4"/>
    <x v="4"/>
    <x v="16"/>
    <x v="601"/>
  </r>
  <r>
    <x v="4"/>
    <x v="3"/>
    <x v="22"/>
    <x v="602"/>
  </r>
  <r>
    <x v="4"/>
    <x v="3"/>
    <x v="17"/>
    <x v="603"/>
  </r>
  <r>
    <x v="4"/>
    <x v="1"/>
    <x v="24"/>
    <x v="604"/>
  </r>
  <r>
    <x v="4"/>
    <x v="1"/>
    <x v="25"/>
    <x v="605"/>
  </r>
  <r>
    <x v="4"/>
    <x v="0"/>
    <x v="24"/>
    <x v="606"/>
  </r>
  <r>
    <x v="4"/>
    <x v="1"/>
    <x v="26"/>
    <x v="607"/>
  </r>
  <r>
    <x v="4"/>
    <x v="4"/>
    <x v="19"/>
    <x v="608"/>
  </r>
  <r>
    <x v="4"/>
    <x v="0"/>
    <x v="25"/>
    <x v="609"/>
  </r>
  <r>
    <x v="4"/>
    <x v="0"/>
    <x v="26"/>
    <x v="610"/>
  </r>
  <r>
    <x v="4"/>
    <x v="1"/>
    <x v="23"/>
    <x v="611"/>
  </r>
  <r>
    <x v="4"/>
    <x v="4"/>
    <x v="17"/>
    <x v="612"/>
  </r>
  <r>
    <x v="4"/>
    <x v="4"/>
    <x v="20"/>
    <x v="613"/>
  </r>
  <r>
    <x v="4"/>
    <x v="0"/>
    <x v="23"/>
    <x v="614"/>
  </r>
  <r>
    <x v="4"/>
    <x v="4"/>
    <x v="15"/>
    <x v="615"/>
  </r>
  <r>
    <x v="4"/>
    <x v="4"/>
    <x v="21"/>
    <x v="616"/>
  </r>
  <r>
    <x v="4"/>
    <x v="4"/>
    <x v="22"/>
    <x v="617"/>
  </r>
  <r>
    <x v="4"/>
    <x v="3"/>
    <x v="24"/>
    <x v="618"/>
  </r>
  <r>
    <x v="4"/>
    <x v="2"/>
    <x v="24"/>
    <x v="619"/>
  </r>
  <r>
    <x v="4"/>
    <x v="2"/>
    <x v="25"/>
    <x v="620"/>
  </r>
  <r>
    <x v="4"/>
    <x v="2"/>
    <x v="26"/>
    <x v="621"/>
  </r>
  <r>
    <x v="4"/>
    <x v="3"/>
    <x v="25"/>
    <x v="622"/>
  </r>
  <r>
    <x v="4"/>
    <x v="3"/>
    <x v="26"/>
    <x v="623"/>
  </r>
  <r>
    <x v="4"/>
    <x v="1"/>
    <x v="27"/>
    <x v="624"/>
  </r>
  <r>
    <x v="4"/>
    <x v="2"/>
    <x v="27"/>
    <x v="625"/>
  </r>
  <r>
    <x v="4"/>
    <x v="3"/>
    <x v="23"/>
    <x v="626"/>
  </r>
  <r>
    <x v="4"/>
    <x v="0"/>
    <x v="27"/>
    <x v="627"/>
  </r>
  <r>
    <x v="4"/>
    <x v="3"/>
    <x v="27"/>
    <x v="628"/>
  </r>
  <r>
    <x v="4"/>
    <x v="4"/>
    <x v="23"/>
    <x v="629"/>
  </r>
  <r>
    <x v="4"/>
    <x v="4"/>
    <x v="24"/>
    <x v="630"/>
  </r>
  <r>
    <x v="4"/>
    <x v="4"/>
    <x v="25"/>
    <x v="631"/>
  </r>
  <r>
    <x v="4"/>
    <x v="4"/>
    <x v="26"/>
    <x v="632"/>
  </r>
  <r>
    <x v="4"/>
    <x v="4"/>
    <x v="27"/>
    <x v="633"/>
  </r>
  <r>
    <x v="4"/>
    <x v="4"/>
    <x v="1"/>
    <x v="134"/>
  </r>
  <r>
    <x v="4"/>
    <x v="1"/>
    <x v="1"/>
    <x v="134"/>
  </r>
  <r>
    <x v="4"/>
    <x v="2"/>
    <x v="1"/>
    <x v="134"/>
  </r>
  <r>
    <x v="4"/>
    <x v="3"/>
    <x v="1"/>
    <x v="134"/>
  </r>
  <r>
    <x v="4"/>
    <x v="0"/>
    <x v="1"/>
    <x v="134"/>
  </r>
  <r>
    <x v="4"/>
    <x v="3"/>
    <x v="4"/>
    <x v="134"/>
  </r>
  <r>
    <x v="4"/>
    <x v="4"/>
    <x v="0"/>
    <x v="134"/>
  </r>
  <r>
    <x v="4"/>
    <x v="1"/>
    <x v="0"/>
    <x v="134"/>
  </r>
  <r>
    <x v="4"/>
    <x v="2"/>
    <x v="0"/>
    <x v="134"/>
  </r>
  <r>
    <x v="4"/>
    <x v="3"/>
    <x v="0"/>
    <x v="134"/>
  </r>
  <r>
    <x v="4"/>
    <x v="0"/>
    <x v="0"/>
    <x v="134"/>
  </r>
  <r>
    <x v="4"/>
    <x v="4"/>
    <x v="28"/>
    <x v="134"/>
  </r>
  <r>
    <x v="4"/>
    <x v="1"/>
    <x v="28"/>
    <x v="134"/>
  </r>
  <r>
    <x v="4"/>
    <x v="2"/>
    <x v="28"/>
    <x v="134"/>
  </r>
  <r>
    <x v="4"/>
    <x v="3"/>
    <x v="28"/>
    <x v="134"/>
  </r>
  <r>
    <x v="4"/>
    <x v="0"/>
    <x v="28"/>
    <x v="134"/>
  </r>
  <r>
    <x v="4"/>
    <x v="4"/>
    <x v="7"/>
    <x v="134"/>
  </r>
  <r>
    <x v="4"/>
    <x v="1"/>
    <x v="7"/>
    <x v="134"/>
  </r>
  <r>
    <x v="4"/>
    <x v="2"/>
    <x v="7"/>
    <x v="134"/>
  </r>
  <r>
    <x v="4"/>
    <x v="3"/>
    <x v="7"/>
    <x v="134"/>
  </r>
  <r>
    <x v="4"/>
    <x v="0"/>
    <x v="7"/>
    <x v="134"/>
  </r>
  <r>
    <x v="4"/>
    <x v="4"/>
    <x v="3"/>
    <x v="134"/>
  </r>
  <r>
    <x v="4"/>
    <x v="1"/>
    <x v="3"/>
    <x v="134"/>
  </r>
  <r>
    <x v="4"/>
    <x v="2"/>
    <x v="3"/>
    <x v="134"/>
  </r>
  <r>
    <x v="4"/>
    <x v="3"/>
    <x v="3"/>
    <x v="134"/>
  </r>
  <r>
    <x v="4"/>
    <x v="0"/>
    <x v="3"/>
    <x v="134"/>
  </r>
  <r>
    <x v="5"/>
    <x v="0"/>
    <x v="4"/>
    <x v="634"/>
  </r>
  <r>
    <x v="5"/>
    <x v="2"/>
    <x v="4"/>
    <x v="635"/>
  </r>
  <r>
    <x v="5"/>
    <x v="3"/>
    <x v="4"/>
    <x v="636"/>
  </r>
  <r>
    <x v="5"/>
    <x v="4"/>
    <x v="4"/>
    <x v="637"/>
  </r>
  <r>
    <x v="5"/>
    <x v="1"/>
    <x v="4"/>
    <x v="638"/>
  </r>
  <r>
    <x v="5"/>
    <x v="3"/>
    <x v="13"/>
    <x v="639"/>
  </r>
  <r>
    <x v="5"/>
    <x v="2"/>
    <x v="10"/>
    <x v="640"/>
  </r>
  <r>
    <x v="5"/>
    <x v="0"/>
    <x v="5"/>
    <x v="641"/>
  </r>
  <r>
    <x v="5"/>
    <x v="2"/>
    <x v="13"/>
    <x v="642"/>
  </r>
  <r>
    <x v="5"/>
    <x v="1"/>
    <x v="11"/>
    <x v="643"/>
  </r>
  <r>
    <x v="5"/>
    <x v="1"/>
    <x v="5"/>
    <x v="644"/>
  </r>
  <r>
    <x v="5"/>
    <x v="1"/>
    <x v="14"/>
    <x v="645"/>
  </r>
  <r>
    <x v="5"/>
    <x v="0"/>
    <x v="11"/>
    <x v="646"/>
  </r>
  <r>
    <x v="5"/>
    <x v="2"/>
    <x v="6"/>
    <x v="647"/>
  </r>
  <r>
    <x v="5"/>
    <x v="2"/>
    <x v="5"/>
    <x v="648"/>
  </r>
  <r>
    <x v="5"/>
    <x v="2"/>
    <x v="8"/>
    <x v="649"/>
  </r>
  <r>
    <x v="5"/>
    <x v="0"/>
    <x v="8"/>
    <x v="650"/>
  </r>
  <r>
    <x v="5"/>
    <x v="1"/>
    <x v="9"/>
    <x v="651"/>
  </r>
  <r>
    <x v="5"/>
    <x v="1"/>
    <x v="6"/>
    <x v="652"/>
  </r>
  <r>
    <x v="5"/>
    <x v="2"/>
    <x v="15"/>
    <x v="653"/>
  </r>
  <r>
    <x v="5"/>
    <x v="3"/>
    <x v="11"/>
    <x v="654"/>
  </r>
  <r>
    <x v="5"/>
    <x v="0"/>
    <x v="14"/>
    <x v="655"/>
  </r>
  <r>
    <x v="5"/>
    <x v="2"/>
    <x v="11"/>
    <x v="656"/>
  </r>
  <r>
    <x v="5"/>
    <x v="1"/>
    <x v="12"/>
    <x v="657"/>
  </r>
  <r>
    <x v="5"/>
    <x v="0"/>
    <x v="6"/>
    <x v="658"/>
  </r>
  <r>
    <x v="5"/>
    <x v="3"/>
    <x v="10"/>
    <x v="659"/>
  </r>
  <r>
    <x v="5"/>
    <x v="1"/>
    <x v="13"/>
    <x v="660"/>
  </r>
  <r>
    <x v="5"/>
    <x v="1"/>
    <x v="10"/>
    <x v="661"/>
  </r>
  <r>
    <x v="5"/>
    <x v="0"/>
    <x v="9"/>
    <x v="662"/>
  </r>
  <r>
    <x v="5"/>
    <x v="0"/>
    <x v="12"/>
    <x v="663"/>
  </r>
  <r>
    <x v="5"/>
    <x v="3"/>
    <x v="5"/>
    <x v="664"/>
  </r>
  <r>
    <x v="5"/>
    <x v="3"/>
    <x v="14"/>
    <x v="665"/>
  </r>
  <r>
    <x v="5"/>
    <x v="0"/>
    <x v="10"/>
    <x v="666"/>
  </r>
  <r>
    <x v="5"/>
    <x v="2"/>
    <x v="9"/>
    <x v="667"/>
  </r>
  <r>
    <x v="5"/>
    <x v="3"/>
    <x v="9"/>
    <x v="668"/>
  </r>
  <r>
    <x v="5"/>
    <x v="3"/>
    <x v="6"/>
    <x v="669"/>
  </r>
  <r>
    <x v="5"/>
    <x v="4"/>
    <x v="11"/>
    <x v="670"/>
  </r>
  <r>
    <x v="5"/>
    <x v="2"/>
    <x v="16"/>
    <x v="671"/>
  </r>
  <r>
    <x v="5"/>
    <x v="1"/>
    <x v="8"/>
    <x v="672"/>
  </r>
  <r>
    <x v="5"/>
    <x v="2"/>
    <x v="12"/>
    <x v="673"/>
  </r>
  <r>
    <x v="5"/>
    <x v="1"/>
    <x v="2"/>
    <x v="674"/>
  </r>
  <r>
    <x v="5"/>
    <x v="2"/>
    <x v="14"/>
    <x v="675"/>
  </r>
  <r>
    <x v="5"/>
    <x v="0"/>
    <x v="2"/>
    <x v="676"/>
  </r>
  <r>
    <x v="5"/>
    <x v="4"/>
    <x v="5"/>
    <x v="677"/>
  </r>
  <r>
    <x v="5"/>
    <x v="1"/>
    <x v="16"/>
    <x v="678"/>
  </r>
  <r>
    <x v="5"/>
    <x v="3"/>
    <x v="2"/>
    <x v="679"/>
  </r>
  <r>
    <x v="5"/>
    <x v="1"/>
    <x v="18"/>
    <x v="680"/>
  </r>
  <r>
    <x v="5"/>
    <x v="2"/>
    <x v="17"/>
    <x v="681"/>
  </r>
  <r>
    <x v="5"/>
    <x v="0"/>
    <x v="13"/>
    <x v="682"/>
  </r>
  <r>
    <x v="5"/>
    <x v="3"/>
    <x v="12"/>
    <x v="683"/>
  </r>
  <r>
    <x v="5"/>
    <x v="3"/>
    <x v="15"/>
    <x v="684"/>
  </r>
  <r>
    <x v="5"/>
    <x v="4"/>
    <x v="6"/>
    <x v="685"/>
  </r>
  <r>
    <x v="5"/>
    <x v="4"/>
    <x v="10"/>
    <x v="686"/>
  </r>
  <r>
    <x v="5"/>
    <x v="0"/>
    <x v="17"/>
    <x v="687"/>
  </r>
  <r>
    <x v="5"/>
    <x v="2"/>
    <x v="2"/>
    <x v="688"/>
  </r>
  <r>
    <x v="5"/>
    <x v="3"/>
    <x v="18"/>
    <x v="689"/>
  </r>
  <r>
    <x v="5"/>
    <x v="1"/>
    <x v="19"/>
    <x v="690"/>
  </r>
  <r>
    <x v="5"/>
    <x v="2"/>
    <x v="18"/>
    <x v="691"/>
  </r>
  <r>
    <x v="5"/>
    <x v="4"/>
    <x v="13"/>
    <x v="692"/>
  </r>
  <r>
    <x v="5"/>
    <x v="0"/>
    <x v="19"/>
    <x v="693"/>
  </r>
  <r>
    <x v="5"/>
    <x v="3"/>
    <x v="8"/>
    <x v="694"/>
  </r>
  <r>
    <x v="5"/>
    <x v="4"/>
    <x v="14"/>
    <x v="695"/>
  </r>
  <r>
    <x v="5"/>
    <x v="0"/>
    <x v="18"/>
    <x v="696"/>
  </r>
  <r>
    <x v="5"/>
    <x v="4"/>
    <x v="9"/>
    <x v="697"/>
  </r>
  <r>
    <x v="5"/>
    <x v="1"/>
    <x v="20"/>
    <x v="698"/>
  </r>
  <r>
    <x v="5"/>
    <x v="2"/>
    <x v="21"/>
    <x v="699"/>
  </r>
  <r>
    <x v="5"/>
    <x v="0"/>
    <x v="20"/>
    <x v="700"/>
  </r>
  <r>
    <x v="5"/>
    <x v="2"/>
    <x v="22"/>
    <x v="701"/>
  </r>
  <r>
    <x v="5"/>
    <x v="1"/>
    <x v="17"/>
    <x v="702"/>
  </r>
  <r>
    <x v="5"/>
    <x v="0"/>
    <x v="21"/>
    <x v="703"/>
  </r>
  <r>
    <x v="5"/>
    <x v="4"/>
    <x v="12"/>
    <x v="704"/>
  </r>
  <r>
    <x v="5"/>
    <x v="0"/>
    <x v="22"/>
    <x v="705"/>
  </r>
  <r>
    <x v="5"/>
    <x v="2"/>
    <x v="19"/>
    <x v="706"/>
  </r>
  <r>
    <x v="5"/>
    <x v="4"/>
    <x v="8"/>
    <x v="707"/>
  </r>
  <r>
    <x v="5"/>
    <x v="0"/>
    <x v="16"/>
    <x v="708"/>
  </r>
  <r>
    <x v="5"/>
    <x v="3"/>
    <x v="16"/>
    <x v="709"/>
  </r>
  <r>
    <x v="5"/>
    <x v="3"/>
    <x v="19"/>
    <x v="710"/>
  </r>
  <r>
    <x v="5"/>
    <x v="1"/>
    <x v="21"/>
    <x v="711"/>
  </r>
  <r>
    <x v="5"/>
    <x v="1"/>
    <x v="22"/>
    <x v="712"/>
  </r>
  <r>
    <x v="5"/>
    <x v="2"/>
    <x v="20"/>
    <x v="713"/>
  </r>
  <r>
    <x v="5"/>
    <x v="3"/>
    <x v="20"/>
    <x v="714"/>
  </r>
  <r>
    <x v="5"/>
    <x v="4"/>
    <x v="2"/>
    <x v="715"/>
  </r>
  <r>
    <x v="5"/>
    <x v="0"/>
    <x v="15"/>
    <x v="716"/>
  </r>
  <r>
    <x v="5"/>
    <x v="1"/>
    <x v="15"/>
    <x v="717"/>
  </r>
  <r>
    <x v="5"/>
    <x v="2"/>
    <x v="23"/>
    <x v="718"/>
  </r>
  <r>
    <x v="5"/>
    <x v="3"/>
    <x v="21"/>
    <x v="719"/>
  </r>
  <r>
    <x v="5"/>
    <x v="4"/>
    <x v="18"/>
    <x v="720"/>
  </r>
  <r>
    <x v="5"/>
    <x v="3"/>
    <x v="22"/>
    <x v="721"/>
  </r>
  <r>
    <x v="5"/>
    <x v="4"/>
    <x v="16"/>
    <x v="722"/>
  </r>
  <r>
    <x v="5"/>
    <x v="1"/>
    <x v="24"/>
    <x v="723"/>
  </r>
  <r>
    <x v="5"/>
    <x v="1"/>
    <x v="25"/>
    <x v="724"/>
  </r>
  <r>
    <x v="5"/>
    <x v="1"/>
    <x v="26"/>
    <x v="725"/>
  </r>
  <r>
    <x v="5"/>
    <x v="4"/>
    <x v="19"/>
    <x v="726"/>
  </r>
  <r>
    <x v="5"/>
    <x v="4"/>
    <x v="15"/>
    <x v="727"/>
  </r>
  <r>
    <x v="5"/>
    <x v="0"/>
    <x v="24"/>
    <x v="728"/>
  </r>
  <r>
    <x v="5"/>
    <x v="3"/>
    <x v="17"/>
    <x v="729"/>
  </r>
  <r>
    <x v="5"/>
    <x v="0"/>
    <x v="25"/>
    <x v="730"/>
  </r>
  <r>
    <x v="5"/>
    <x v="4"/>
    <x v="20"/>
    <x v="731"/>
  </r>
  <r>
    <x v="5"/>
    <x v="0"/>
    <x v="23"/>
    <x v="732"/>
  </r>
  <r>
    <x v="5"/>
    <x v="1"/>
    <x v="23"/>
    <x v="733"/>
  </r>
  <r>
    <x v="5"/>
    <x v="0"/>
    <x v="26"/>
    <x v="734"/>
  </r>
  <r>
    <x v="5"/>
    <x v="4"/>
    <x v="21"/>
    <x v="735"/>
  </r>
  <r>
    <x v="5"/>
    <x v="4"/>
    <x v="22"/>
    <x v="736"/>
  </r>
  <r>
    <x v="5"/>
    <x v="4"/>
    <x v="17"/>
    <x v="737"/>
  </r>
  <r>
    <x v="5"/>
    <x v="3"/>
    <x v="24"/>
    <x v="738"/>
  </r>
  <r>
    <x v="5"/>
    <x v="3"/>
    <x v="25"/>
    <x v="739"/>
  </r>
  <r>
    <x v="5"/>
    <x v="3"/>
    <x v="26"/>
    <x v="740"/>
  </r>
  <r>
    <x v="5"/>
    <x v="1"/>
    <x v="27"/>
    <x v="741"/>
  </r>
  <r>
    <x v="5"/>
    <x v="2"/>
    <x v="24"/>
    <x v="742"/>
  </r>
  <r>
    <x v="5"/>
    <x v="2"/>
    <x v="25"/>
    <x v="743"/>
  </r>
  <r>
    <x v="5"/>
    <x v="2"/>
    <x v="26"/>
    <x v="744"/>
  </r>
  <r>
    <x v="5"/>
    <x v="3"/>
    <x v="23"/>
    <x v="745"/>
  </r>
  <r>
    <x v="5"/>
    <x v="0"/>
    <x v="27"/>
    <x v="746"/>
  </r>
  <r>
    <x v="5"/>
    <x v="2"/>
    <x v="27"/>
    <x v="747"/>
  </r>
  <r>
    <x v="5"/>
    <x v="3"/>
    <x v="27"/>
    <x v="748"/>
  </r>
  <r>
    <x v="5"/>
    <x v="4"/>
    <x v="23"/>
    <x v="749"/>
  </r>
  <r>
    <x v="5"/>
    <x v="4"/>
    <x v="24"/>
    <x v="750"/>
  </r>
  <r>
    <x v="5"/>
    <x v="4"/>
    <x v="25"/>
    <x v="751"/>
  </r>
  <r>
    <x v="5"/>
    <x v="4"/>
    <x v="26"/>
    <x v="752"/>
  </r>
  <r>
    <x v="5"/>
    <x v="4"/>
    <x v="27"/>
    <x v="753"/>
  </r>
  <r>
    <x v="5"/>
    <x v="4"/>
    <x v="1"/>
    <x v="134"/>
  </r>
  <r>
    <x v="5"/>
    <x v="1"/>
    <x v="1"/>
    <x v="134"/>
  </r>
  <r>
    <x v="5"/>
    <x v="2"/>
    <x v="1"/>
    <x v="134"/>
  </r>
  <r>
    <x v="5"/>
    <x v="3"/>
    <x v="1"/>
    <x v="134"/>
  </r>
  <r>
    <x v="5"/>
    <x v="0"/>
    <x v="1"/>
    <x v="134"/>
  </r>
  <r>
    <x v="5"/>
    <x v="4"/>
    <x v="0"/>
    <x v="134"/>
  </r>
  <r>
    <x v="5"/>
    <x v="1"/>
    <x v="0"/>
    <x v="134"/>
  </r>
  <r>
    <x v="5"/>
    <x v="2"/>
    <x v="0"/>
    <x v="134"/>
  </r>
  <r>
    <x v="5"/>
    <x v="3"/>
    <x v="0"/>
    <x v="134"/>
  </r>
  <r>
    <x v="5"/>
    <x v="0"/>
    <x v="0"/>
    <x v="134"/>
  </r>
  <r>
    <x v="5"/>
    <x v="4"/>
    <x v="28"/>
    <x v="134"/>
  </r>
  <r>
    <x v="5"/>
    <x v="1"/>
    <x v="28"/>
    <x v="134"/>
  </r>
  <r>
    <x v="5"/>
    <x v="2"/>
    <x v="28"/>
    <x v="134"/>
  </r>
  <r>
    <x v="5"/>
    <x v="3"/>
    <x v="28"/>
    <x v="134"/>
  </r>
  <r>
    <x v="5"/>
    <x v="0"/>
    <x v="28"/>
    <x v="134"/>
  </r>
  <r>
    <x v="5"/>
    <x v="4"/>
    <x v="7"/>
    <x v="134"/>
  </r>
  <r>
    <x v="5"/>
    <x v="1"/>
    <x v="7"/>
    <x v="134"/>
  </r>
  <r>
    <x v="5"/>
    <x v="2"/>
    <x v="7"/>
    <x v="134"/>
  </r>
  <r>
    <x v="5"/>
    <x v="3"/>
    <x v="7"/>
    <x v="134"/>
  </r>
  <r>
    <x v="5"/>
    <x v="0"/>
    <x v="7"/>
    <x v="134"/>
  </r>
  <r>
    <x v="5"/>
    <x v="4"/>
    <x v="3"/>
    <x v="134"/>
  </r>
  <r>
    <x v="5"/>
    <x v="1"/>
    <x v="3"/>
    <x v="134"/>
  </r>
  <r>
    <x v="5"/>
    <x v="2"/>
    <x v="3"/>
    <x v="134"/>
  </r>
  <r>
    <x v="5"/>
    <x v="3"/>
    <x v="3"/>
    <x v="134"/>
  </r>
  <r>
    <x v="5"/>
    <x v="0"/>
    <x v="3"/>
    <x v="134"/>
  </r>
  <r>
    <x v="6"/>
    <x v="2"/>
    <x v="4"/>
    <x v="754"/>
  </r>
  <r>
    <x v="6"/>
    <x v="0"/>
    <x v="4"/>
    <x v="755"/>
  </r>
  <r>
    <x v="6"/>
    <x v="3"/>
    <x v="28"/>
    <x v="756"/>
  </r>
  <r>
    <x v="6"/>
    <x v="1"/>
    <x v="4"/>
    <x v="757"/>
  </r>
  <r>
    <x v="6"/>
    <x v="3"/>
    <x v="4"/>
    <x v="758"/>
  </r>
  <r>
    <x v="6"/>
    <x v="4"/>
    <x v="4"/>
    <x v="759"/>
  </r>
  <r>
    <x v="6"/>
    <x v="3"/>
    <x v="13"/>
    <x v="760"/>
  </r>
  <r>
    <x v="6"/>
    <x v="1"/>
    <x v="5"/>
    <x v="761"/>
  </r>
  <r>
    <x v="6"/>
    <x v="2"/>
    <x v="13"/>
    <x v="762"/>
  </r>
  <r>
    <x v="6"/>
    <x v="1"/>
    <x v="11"/>
    <x v="763"/>
  </r>
  <r>
    <x v="6"/>
    <x v="2"/>
    <x v="5"/>
    <x v="764"/>
  </r>
  <r>
    <x v="6"/>
    <x v="1"/>
    <x v="28"/>
    <x v="765"/>
  </r>
  <r>
    <x v="6"/>
    <x v="2"/>
    <x v="10"/>
    <x v="766"/>
  </r>
  <r>
    <x v="6"/>
    <x v="0"/>
    <x v="28"/>
    <x v="767"/>
  </r>
  <r>
    <x v="6"/>
    <x v="3"/>
    <x v="5"/>
    <x v="768"/>
  </r>
  <r>
    <x v="6"/>
    <x v="1"/>
    <x v="14"/>
    <x v="769"/>
  </r>
  <r>
    <x v="6"/>
    <x v="0"/>
    <x v="5"/>
    <x v="770"/>
  </r>
  <r>
    <x v="6"/>
    <x v="3"/>
    <x v="10"/>
    <x v="771"/>
  </r>
  <r>
    <x v="6"/>
    <x v="2"/>
    <x v="6"/>
    <x v="772"/>
  </r>
  <r>
    <x v="6"/>
    <x v="0"/>
    <x v="11"/>
    <x v="773"/>
  </r>
  <r>
    <x v="6"/>
    <x v="3"/>
    <x v="11"/>
    <x v="774"/>
  </r>
  <r>
    <x v="6"/>
    <x v="2"/>
    <x v="15"/>
    <x v="775"/>
  </r>
  <r>
    <x v="6"/>
    <x v="0"/>
    <x v="6"/>
    <x v="776"/>
  </r>
  <r>
    <x v="6"/>
    <x v="0"/>
    <x v="14"/>
    <x v="777"/>
  </r>
  <r>
    <x v="6"/>
    <x v="2"/>
    <x v="28"/>
    <x v="778"/>
  </r>
  <r>
    <x v="6"/>
    <x v="0"/>
    <x v="8"/>
    <x v="779"/>
  </r>
  <r>
    <x v="6"/>
    <x v="2"/>
    <x v="8"/>
    <x v="780"/>
  </r>
  <r>
    <x v="6"/>
    <x v="4"/>
    <x v="5"/>
    <x v="781"/>
  </r>
  <r>
    <x v="6"/>
    <x v="2"/>
    <x v="11"/>
    <x v="782"/>
  </r>
  <r>
    <x v="6"/>
    <x v="3"/>
    <x v="14"/>
    <x v="783"/>
  </r>
  <r>
    <x v="6"/>
    <x v="1"/>
    <x v="6"/>
    <x v="784"/>
  </r>
  <r>
    <x v="6"/>
    <x v="4"/>
    <x v="28"/>
    <x v="785"/>
  </r>
  <r>
    <x v="6"/>
    <x v="0"/>
    <x v="10"/>
    <x v="786"/>
  </r>
  <r>
    <x v="6"/>
    <x v="1"/>
    <x v="10"/>
    <x v="787"/>
  </r>
  <r>
    <x v="6"/>
    <x v="0"/>
    <x v="9"/>
    <x v="788"/>
  </r>
  <r>
    <x v="6"/>
    <x v="1"/>
    <x v="13"/>
    <x v="789"/>
  </r>
  <r>
    <x v="6"/>
    <x v="1"/>
    <x v="2"/>
    <x v="790"/>
  </r>
  <r>
    <x v="6"/>
    <x v="2"/>
    <x v="14"/>
    <x v="791"/>
  </r>
  <r>
    <x v="6"/>
    <x v="1"/>
    <x v="8"/>
    <x v="792"/>
  </r>
  <r>
    <x v="6"/>
    <x v="4"/>
    <x v="11"/>
    <x v="793"/>
  </r>
  <r>
    <x v="6"/>
    <x v="0"/>
    <x v="12"/>
    <x v="794"/>
  </r>
  <r>
    <x v="6"/>
    <x v="1"/>
    <x v="9"/>
    <x v="795"/>
  </r>
  <r>
    <x v="6"/>
    <x v="2"/>
    <x v="16"/>
    <x v="796"/>
  </r>
  <r>
    <x v="6"/>
    <x v="3"/>
    <x v="15"/>
    <x v="797"/>
  </r>
  <r>
    <x v="6"/>
    <x v="1"/>
    <x v="12"/>
    <x v="798"/>
  </r>
  <r>
    <x v="6"/>
    <x v="1"/>
    <x v="16"/>
    <x v="799"/>
  </r>
  <r>
    <x v="6"/>
    <x v="0"/>
    <x v="2"/>
    <x v="800"/>
  </r>
  <r>
    <x v="6"/>
    <x v="2"/>
    <x v="17"/>
    <x v="801"/>
  </r>
  <r>
    <x v="6"/>
    <x v="1"/>
    <x v="18"/>
    <x v="802"/>
  </r>
  <r>
    <x v="6"/>
    <x v="4"/>
    <x v="10"/>
    <x v="803"/>
  </r>
  <r>
    <x v="6"/>
    <x v="3"/>
    <x v="6"/>
    <x v="804"/>
  </r>
  <r>
    <x v="6"/>
    <x v="4"/>
    <x v="14"/>
    <x v="805"/>
  </r>
  <r>
    <x v="6"/>
    <x v="3"/>
    <x v="18"/>
    <x v="806"/>
  </r>
  <r>
    <x v="6"/>
    <x v="0"/>
    <x v="17"/>
    <x v="807"/>
  </r>
  <r>
    <x v="6"/>
    <x v="0"/>
    <x v="13"/>
    <x v="808"/>
  </r>
  <r>
    <x v="6"/>
    <x v="0"/>
    <x v="18"/>
    <x v="809"/>
  </r>
  <r>
    <x v="6"/>
    <x v="2"/>
    <x v="9"/>
    <x v="810"/>
  </r>
  <r>
    <x v="6"/>
    <x v="1"/>
    <x v="20"/>
    <x v="811"/>
  </r>
  <r>
    <x v="6"/>
    <x v="0"/>
    <x v="20"/>
    <x v="812"/>
  </r>
  <r>
    <x v="6"/>
    <x v="0"/>
    <x v="19"/>
    <x v="813"/>
  </r>
  <r>
    <x v="6"/>
    <x v="1"/>
    <x v="17"/>
    <x v="814"/>
  </r>
  <r>
    <x v="6"/>
    <x v="2"/>
    <x v="2"/>
    <x v="815"/>
  </r>
  <r>
    <x v="6"/>
    <x v="1"/>
    <x v="19"/>
    <x v="816"/>
  </r>
  <r>
    <x v="6"/>
    <x v="2"/>
    <x v="12"/>
    <x v="817"/>
  </r>
  <r>
    <x v="6"/>
    <x v="0"/>
    <x v="21"/>
    <x v="818"/>
  </r>
  <r>
    <x v="6"/>
    <x v="4"/>
    <x v="6"/>
    <x v="819"/>
  </r>
  <r>
    <x v="6"/>
    <x v="3"/>
    <x v="8"/>
    <x v="820"/>
  </r>
  <r>
    <x v="6"/>
    <x v="4"/>
    <x v="13"/>
    <x v="821"/>
  </r>
  <r>
    <x v="6"/>
    <x v="2"/>
    <x v="18"/>
    <x v="822"/>
  </r>
  <r>
    <x v="6"/>
    <x v="0"/>
    <x v="22"/>
    <x v="823"/>
  </r>
  <r>
    <x v="6"/>
    <x v="3"/>
    <x v="2"/>
    <x v="824"/>
  </r>
  <r>
    <x v="6"/>
    <x v="2"/>
    <x v="21"/>
    <x v="825"/>
  </r>
  <r>
    <x v="6"/>
    <x v="3"/>
    <x v="16"/>
    <x v="826"/>
  </r>
  <r>
    <x v="6"/>
    <x v="2"/>
    <x v="22"/>
    <x v="827"/>
  </r>
  <r>
    <x v="6"/>
    <x v="0"/>
    <x v="16"/>
    <x v="828"/>
  </r>
  <r>
    <x v="6"/>
    <x v="3"/>
    <x v="20"/>
    <x v="829"/>
  </r>
  <r>
    <x v="6"/>
    <x v="2"/>
    <x v="20"/>
    <x v="830"/>
  </r>
  <r>
    <x v="6"/>
    <x v="1"/>
    <x v="21"/>
    <x v="831"/>
  </r>
  <r>
    <x v="6"/>
    <x v="3"/>
    <x v="9"/>
    <x v="832"/>
  </r>
  <r>
    <x v="6"/>
    <x v="3"/>
    <x v="12"/>
    <x v="833"/>
  </r>
  <r>
    <x v="6"/>
    <x v="4"/>
    <x v="8"/>
    <x v="834"/>
  </r>
  <r>
    <x v="6"/>
    <x v="1"/>
    <x v="22"/>
    <x v="835"/>
  </r>
  <r>
    <x v="6"/>
    <x v="2"/>
    <x v="19"/>
    <x v="836"/>
  </r>
  <r>
    <x v="6"/>
    <x v="1"/>
    <x v="15"/>
    <x v="837"/>
  </r>
  <r>
    <x v="6"/>
    <x v="3"/>
    <x v="19"/>
    <x v="838"/>
  </r>
  <r>
    <x v="6"/>
    <x v="0"/>
    <x v="15"/>
    <x v="839"/>
  </r>
  <r>
    <x v="6"/>
    <x v="2"/>
    <x v="23"/>
    <x v="840"/>
  </r>
  <r>
    <x v="6"/>
    <x v="4"/>
    <x v="2"/>
    <x v="841"/>
  </r>
  <r>
    <x v="6"/>
    <x v="3"/>
    <x v="21"/>
    <x v="842"/>
  </r>
  <r>
    <x v="6"/>
    <x v="4"/>
    <x v="18"/>
    <x v="843"/>
  </r>
  <r>
    <x v="6"/>
    <x v="4"/>
    <x v="9"/>
    <x v="844"/>
  </r>
  <r>
    <x v="6"/>
    <x v="4"/>
    <x v="12"/>
    <x v="845"/>
  </r>
  <r>
    <x v="6"/>
    <x v="4"/>
    <x v="16"/>
    <x v="846"/>
  </r>
  <r>
    <x v="6"/>
    <x v="3"/>
    <x v="22"/>
    <x v="847"/>
  </r>
  <r>
    <x v="6"/>
    <x v="1"/>
    <x v="24"/>
    <x v="848"/>
  </r>
  <r>
    <x v="6"/>
    <x v="4"/>
    <x v="15"/>
    <x v="849"/>
  </r>
  <r>
    <x v="6"/>
    <x v="3"/>
    <x v="17"/>
    <x v="850"/>
  </r>
  <r>
    <x v="6"/>
    <x v="1"/>
    <x v="25"/>
    <x v="851"/>
  </r>
  <r>
    <x v="6"/>
    <x v="4"/>
    <x v="20"/>
    <x v="852"/>
  </r>
  <r>
    <x v="6"/>
    <x v="0"/>
    <x v="24"/>
    <x v="853"/>
  </r>
  <r>
    <x v="6"/>
    <x v="1"/>
    <x v="26"/>
    <x v="854"/>
  </r>
  <r>
    <x v="6"/>
    <x v="0"/>
    <x v="25"/>
    <x v="855"/>
  </r>
  <r>
    <x v="6"/>
    <x v="0"/>
    <x v="23"/>
    <x v="856"/>
  </r>
  <r>
    <x v="6"/>
    <x v="1"/>
    <x v="23"/>
    <x v="857"/>
  </r>
  <r>
    <x v="6"/>
    <x v="4"/>
    <x v="19"/>
    <x v="858"/>
  </r>
  <r>
    <x v="6"/>
    <x v="0"/>
    <x v="26"/>
    <x v="859"/>
  </r>
  <r>
    <x v="6"/>
    <x v="4"/>
    <x v="17"/>
    <x v="860"/>
  </r>
  <r>
    <x v="6"/>
    <x v="4"/>
    <x v="21"/>
    <x v="861"/>
  </r>
  <r>
    <x v="6"/>
    <x v="4"/>
    <x v="22"/>
    <x v="862"/>
  </r>
  <r>
    <x v="6"/>
    <x v="1"/>
    <x v="27"/>
    <x v="863"/>
  </r>
  <r>
    <x v="6"/>
    <x v="3"/>
    <x v="23"/>
    <x v="864"/>
  </r>
  <r>
    <x v="6"/>
    <x v="0"/>
    <x v="27"/>
    <x v="865"/>
  </r>
  <r>
    <x v="6"/>
    <x v="3"/>
    <x v="24"/>
    <x v="866"/>
  </r>
  <r>
    <x v="6"/>
    <x v="3"/>
    <x v="25"/>
    <x v="867"/>
  </r>
  <r>
    <x v="6"/>
    <x v="3"/>
    <x v="26"/>
    <x v="868"/>
  </r>
  <r>
    <x v="6"/>
    <x v="2"/>
    <x v="24"/>
    <x v="869"/>
  </r>
  <r>
    <x v="6"/>
    <x v="2"/>
    <x v="25"/>
    <x v="870"/>
  </r>
  <r>
    <x v="6"/>
    <x v="2"/>
    <x v="26"/>
    <x v="871"/>
  </r>
  <r>
    <x v="6"/>
    <x v="2"/>
    <x v="27"/>
    <x v="872"/>
  </r>
  <r>
    <x v="6"/>
    <x v="3"/>
    <x v="27"/>
    <x v="873"/>
  </r>
  <r>
    <x v="6"/>
    <x v="4"/>
    <x v="23"/>
    <x v="874"/>
  </r>
  <r>
    <x v="6"/>
    <x v="4"/>
    <x v="24"/>
    <x v="875"/>
  </r>
  <r>
    <x v="6"/>
    <x v="4"/>
    <x v="25"/>
    <x v="876"/>
  </r>
  <r>
    <x v="6"/>
    <x v="4"/>
    <x v="26"/>
    <x v="877"/>
  </r>
  <r>
    <x v="6"/>
    <x v="4"/>
    <x v="27"/>
    <x v="878"/>
  </r>
  <r>
    <x v="6"/>
    <x v="4"/>
    <x v="1"/>
    <x v="134"/>
  </r>
  <r>
    <x v="6"/>
    <x v="1"/>
    <x v="1"/>
    <x v="134"/>
  </r>
  <r>
    <x v="6"/>
    <x v="2"/>
    <x v="1"/>
    <x v="134"/>
  </r>
  <r>
    <x v="6"/>
    <x v="3"/>
    <x v="1"/>
    <x v="134"/>
  </r>
  <r>
    <x v="6"/>
    <x v="0"/>
    <x v="1"/>
    <x v="134"/>
  </r>
  <r>
    <x v="6"/>
    <x v="4"/>
    <x v="0"/>
    <x v="134"/>
  </r>
  <r>
    <x v="6"/>
    <x v="1"/>
    <x v="0"/>
    <x v="134"/>
  </r>
  <r>
    <x v="6"/>
    <x v="2"/>
    <x v="0"/>
    <x v="134"/>
  </r>
  <r>
    <x v="6"/>
    <x v="3"/>
    <x v="0"/>
    <x v="134"/>
  </r>
  <r>
    <x v="6"/>
    <x v="0"/>
    <x v="0"/>
    <x v="134"/>
  </r>
  <r>
    <x v="6"/>
    <x v="4"/>
    <x v="7"/>
    <x v="134"/>
  </r>
  <r>
    <x v="6"/>
    <x v="1"/>
    <x v="7"/>
    <x v="134"/>
  </r>
  <r>
    <x v="6"/>
    <x v="2"/>
    <x v="7"/>
    <x v="134"/>
  </r>
  <r>
    <x v="6"/>
    <x v="3"/>
    <x v="7"/>
    <x v="134"/>
  </r>
  <r>
    <x v="6"/>
    <x v="0"/>
    <x v="7"/>
    <x v="134"/>
  </r>
  <r>
    <x v="6"/>
    <x v="4"/>
    <x v="3"/>
    <x v="134"/>
  </r>
  <r>
    <x v="6"/>
    <x v="1"/>
    <x v="3"/>
    <x v="134"/>
  </r>
  <r>
    <x v="6"/>
    <x v="2"/>
    <x v="3"/>
    <x v="134"/>
  </r>
  <r>
    <x v="6"/>
    <x v="3"/>
    <x v="3"/>
    <x v="134"/>
  </r>
  <r>
    <x v="6"/>
    <x v="0"/>
    <x v="3"/>
    <x v="134"/>
  </r>
  <r>
    <x v="7"/>
    <x v="2"/>
    <x v="4"/>
    <x v="879"/>
  </r>
  <r>
    <x v="7"/>
    <x v="2"/>
    <x v="5"/>
    <x v="880"/>
  </r>
  <r>
    <x v="7"/>
    <x v="1"/>
    <x v="5"/>
    <x v="881"/>
  </r>
  <r>
    <x v="7"/>
    <x v="1"/>
    <x v="4"/>
    <x v="882"/>
  </r>
  <r>
    <x v="7"/>
    <x v="0"/>
    <x v="4"/>
    <x v="883"/>
  </r>
  <r>
    <x v="7"/>
    <x v="0"/>
    <x v="5"/>
    <x v="884"/>
  </r>
  <r>
    <x v="7"/>
    <x v="3"/>
    <x v="4"/>
    <x v="885"/>
  </r>
  <r>
    <x v="7"/>
    <x v="1"/>
    <x v="11"/>
    <x v="886"/>
  </r>
  <r>
    <x v="7"/>
    <x v="2"/>
    <x v="10"/>
    <x v="887"/>
  </r>
  <r>
    <x v="7"/>
    <x v="3"/>
    <x v="5"/>
    <x v="888"/>
  </r>
  <r>
    <x v="7"/>
    <x v="0"/>
    <x v="11"/>
    <x v="889"/>
  </r>
  <r>
    <x v="7"/>
    <x v="4"/>
    <x v="4"/>
    <x v="890"/>
  </r>
  <r>
    <x v="7"/>
    <x v="1"/>
    <x v="14"/>
    <x v="891"/>
  </r>
  <r>
    <x v="7"/>
    <x v="4"/>
    <x v="5"/>
    <x v="892"/>
  </r>
  <r>
    <x v="7"/>
    <x v="3"/>
    <x v="11"/>
    <x v="893"/>
  </r>
  <r>
    <x v="7"/>
    <x v="1"/>
    <x v="28"/>
    <x v="894"/>
  </r>
  <r>
    <x v="7"/>
    <x v="0"/>
    <x v="28"/>
    <x v="895"/>
  </r>
  <r>
    <x v="7"/>
    <x v="1"/>
    <x v="2"/>
    <x v="896"/>
  </r>
  <r>
    <x v="7"/>
    <x v="3"/>
    <x v="10"/>
    <x v="897"/>
  </r>
  <r>
    <x v="7"/>
    <x v="2"/>
    <x v="6"/>
    <x v="898"/>
  </r>
  <r>
    <x v="7"/>
    <x v="2"/>
    <x v="15"/>
    <x v="899"/>
  </r>
  <r>
    <x v="7"/>
    <x v="0"/>
    <x v="14"/>
    <x v="900"/>
  </r>
  <r>
    <x v="7"/>
    <x v="0"/>
    <x v="6"/>
    <x v="901"/>
  </r>
  <r>
    <x v="7"/>
    <x v="2"/>
    <x v="11"/>
    <x v="902"/>
  </r>
  <r>
    <x v="7"/>
    <x v="3"/>
    <x v="14"/>
    <x v="903"/>
  </r>
  <r>
    <x v="7"/>
    <x v="2"/>
    <x v="8"/>
    <x v="904"/>
  </r>
  <r>
    <x v="7"/>
    <x v="0"/>
    <x v="2"/>
    <x v="905"/>
  </r>
  <r>
    <x v="7"/>
    <x v="1"/>
    <x v="6"/>
    <x v="906"/>
  </r>
  <r>
    <x v="7"/>
    <x v="2"/>
    <x v="13"/>
    <x v="907"/>
  </r>
  <r>
    <x v="7"/>
    <x v="0"/>
    <x v="8"/>
    <x v="908"/>
  </r>
  <r>
    <x v="7"/>
    <x v="4"/>
    <x v="11"/>
    <x v="909"/>
  </r>
  <r>
    <x v="7"/>
    <x v="2"/>
    <x v="16"/>
    <x v="910"/>
  </r>
  <r>
    <x v="7"/>
    <x v="3"/>
    <x v="28"/>
    <x v="911"/>
  </r>
  <r>
    <x v="7"/>
    <x v="1"/>
    <x v="8"/>
    <x v="912"/>
  </r>
  <r>
    <x v="7"/>
    <x v="2"/>
    <x v="14"/>
    <x v="913"/>
  </r>
  <r>
    <x v="7"/>
    <x v="3"/>
    <x v="13"/>
    <x v="914"/>
  </r>
  <r>
    <x v="7"/>
    <x v="2"/>
    <x v="28"/>
    <x v="915"/>
  </r>
  <r>
    <x v="7"/>
    <x v="2"/>
    <x v="2"/>
    <x v="916"/>
  </r>
  <r>
    <x v="7"/>
    <x v="1"/>
    <x v="10"/>
    <x v="917"/>
  </r>
  <r>
    <x v="7"/>
    <x v="3"/>
    <x v="15"/>
    <x v="918"/>
  </r>
  <r>
    <x v="7"/>
    <x v="1"/>
    <x v="16"/>
    <x v="919"/>
  </r>
  <r>
    <x v="7"/>
    <x v="1"/>
    <x v="9"/>
    <x v="920"/>
  </r>
  <r>
    <x v="7"/>
    <x v="1"/>
    <x v="13"/>
    <x v="921"/>
  </r>
  <r>
    <x v="7"/>
    <x v="0"/>
    <x v="9"/>
    <x v="922"/>
  </r>
  <r>
    <x v="7"/>
    <x v="2"/>
    <x v="17"/>
    <x v="923"/>
  </r>
  <r>
    <x v="7"/>
    <x v="1"/>
    <x v="12"/>
    <x v="924"/>
  </r>
  <r>
    <x v="7"/>
    <x v="0"/>
    <x v="10"/>
    <x v="925"/>
  </r>
  <r>
    <x v="7"/>
    <x v="0"/>
    <x v="13"/>
    <x v="926"/>
  </r>
  <r>
    <x v="7"/>
    <x v="0"/>
    <x v="12"/>
    <x v="927"/>
  </r>
  <r>
    <x v="7"/>
    <x v="3"/>
    <x v="2"/>
    <x v="928"/>
  </r>
  <r>
    <x v="7"/>
    <x v="3"/>
    <x v="6"/>
    <x v="929"/>
  </r>
  <r>
    <x v="7"/>
    <x v="0"/>
    <x v="17"/>
    <x v="930"/>
  </r>
  <r>
    <x v="7"/>
    <x v="4"/>
    <x v="14"/>
    <x v="931"/>
  </r>
  <r>
    <x v="7"/>
    <x v="1"/>
    <x v="18"/>
    <x v="932"/>
  </r>
  <r>
    <x v="7"/>
    <x v="0"/>
    <x v="18"/>
    <x v="933"/>
  </r>
  <r>
    <x v="7"/>
    <x v="0"/>
    <x v="19"/>
    <x v="934"/>
  </r>
  <r>
    <x v="7"/>
    <x v="2"/>
    <x v="21"/>
    <x v="935"/>
  </r>
  <r>
    <x v="7"/>
    <x v="1"/>
    <x v="20"/>
    <x v="936"/>
  </r>
  <r>
    <x v="7"/>
    <x v="3"/>
    <x v="18"/>
    <x v="937"/>
  </r>
  <r>
    <x v="7"/>
    <x v="1"/>
    <x v="19"/>
    <x v="938"/>
  </r>
  <r>
    <x v="7"/>
    <x v="1"/>
    <x v="17"/>
    <x v="939"/>
  </r>
  <r>
    <x v="7"/>
    <x v="0"/>
    <x v="21"/>
    <x v="940"/>
  </r>
  <r>
    <x v="7"/>
    <x v="4"/>
    <x v="28"/>
    <x v="941"/>
  </r>
  <r>
    <x v="7"/>
    <x v="2"/>
    <x v="22"/>
    <x v="942"/>
  </r>
  <r>
    <x v="7"/>
    <x v="0"/>
    <x v="20"/>
    <x v="943"/>
  </r>
  <r>
    <x v="7"/>
    <x v="0"/>
    <x v="22"/>
    <x v="944"/>
  </r>
  <r>
    <x v="7"/>
    <x v="4"/>
    <x v="10"/>
    <x v="945"/>
  </r>
  <r>
    <x v="7"/>
    <x v="4"/>
    <x v="6"/>
    <x v="946"/>
  </r>
  <r>
    <x v="7"/>
    <x v="1"/>
    <x v="21"/>
    <x v="947"/>
  </r>
  <r>
    <x v="7"/>
    <x v="3"/>
    <x v="20"/>
    <x v="948"/>
  </r>
  <r>
    <x v="7"/>
    <x v="3"/>
    <x v="16"/>
    <x v="949"/>
  </r>
  <r>
    <x v="7"/>
    <x v="4"/>
    <x v="2"/>
    <x v="950"/>
  </r>
  <r>
    <x v="7"/>
    <x v="2"/>
    <x v="18"/>
    <x v="951"/>
  </r>
  <r>
    <x v="7"/>
    <x v="1"/>
    <x v="22"/>
    <x v="952"/>
  </r>
  <r>
    <x v="7"/>
    <x v="3"/>
    <x v="8"/>
    <x v="953"/>
  </r>
  <r>
    <x v="7"/>
    <x v="2"/>
    <x v="9"/>
    <x v="954"/>
  </r>
  <r>
    <x v="7"/>
    <x v="3"/>
    <x v="19"/>
    <x v="955"/>
  </r>
  <r>
    <x v="7"/>
    <x v="0"/>
    <x v="16"/>
    <x v="956"/>
  </r>
  <r>
    <x v="7"/>
    <x v="4"/>
    <x v="13"/>
    <x v="957"/>
  </r>
  <r>
    <x v="7"/>
    <x v="2"/>
    <x v="19"/>
    <x v="958"/>
  </r>
  <r>
    <x v="7"/>
    <x v="2"/>
    <x v="20"/>
    <x v="959"/>
  </r>
  <r>
    <x v="7"/>
    <x v="1"/>
    <x v="15"/>
    <x v="960"/>
  </r>
  <r>
    <x v="7"/>
    <x v="2"/>
    <x v="12"/>
    <x v="961"/>
  </r>
  <r>
    <x v="7"/>
    <x v="2"/>
    <x v="23"/>
    <x v="962"/>
  </r>
  <r>
    <x v="7"/>
    <x v="4"/>
    <x v="8"/>
    <x v="963"/>
  </r>
  <r>
    <x v="7"/>
    <x v="0"/>
    <x v="15"/>
    <x v="964"/>
  </r>
  <r>
    <x v="7"/>
    <x v="3"/>
    <x v="21"/>
    <x v="965"/>
  </r>
  <r>
    <x v="7"/>
    <x v="3"/>
    <x v="17"/>
    <x v="966"/>
  </r>
  <r>
    <x v="7"/>
    <x v="3"/>
    <x v="22"/>
    <x v="967"/>
  </r>
  <r>
    <x v="7"/>
    <x v="3"/>
    <x v="9"/>
    <x v="968"/>
  </r>
  <r>
    <x v="7"/>
    <x v="4"/>
    <x v="16"/>
    <x v="969"/>
  </r>
  <r>
    <x v="7"/>
    <x v="3"/>
    <x v="12"/>
    <x v="970"/>
  </r>
  <r>
    <x v="7"/>
    <x v="4"/>
    <x v="18"/>
    <x v="971"/>
  </r>
  <r>
    <x v="7"/>
    <x v="1"/>
    <x v="24"/>
    <x v="972"/>
  </r>
  <r>
    <x v="7"/>
    <x v="4"/>
    <x v="15"/>
    <x v="973"/>
  </r>
  <r>
    <x v="7"/>
    <x v="4"/>
    <x v="20"/>
    <x v="974"/>
  </r>
  <r>
    <x v="7"/>
    <x v="0"/>
    <x v="24"/>
    <x v="975"/>
  </r>
  <r>
    <x v="7"/>
    <x v="1"/>
    <x v="23"/>
    <x v="976"/>
  </r>
  <r>
    <x v="7"/>
    <x v="4"/>
    <x v="19"/>
    <x v="977"/>
  </r>
  <r>
    <x v="7"/>
    <x v="1"/>
    <x v="25"/>
    <x v="978"/>
  </r>
  <r>
    <x v="7"/>
    <x v="4"/>
    <x v="17"/>
    <x v="979"/>
  </r>
  <r>
    <x v="7"/>
    <x v="4"/>
    <x v="21"/>
    <x v="980"/>
  </r>
  <r>
    <x v="7"/>
    <x v="0"/>
    <x v="25"/>
    <x v="981"/>
  </r>
  <r>
    <x v="7"/>
    <x v="1"/>
    <x v="26"/>
    <x v="982"/>
  </r>
  <r>
    <x v="7"/>
    <x v="4"/>
    <x v="9"/>
    <x v="983"/>
  </r>
  <r>
    <x v="7"/>
    <x v="0"/>
    <x v="23"/>
    <x v="984"/>
  </r>
  <r>
    <x v="7"/>
    <x v="0"/>
    <x v="26"/>
    <x v="985"/>
  </r>
  <r>
    <x v="7"/>
    <x v="4"/>
    <x v="22"/>
    <x v="986"/>
  </r>
  <r>
    <x v="7"/>
    <x v="4"/>
    <x v="12"/>
    <x v="987"/>
  </r>
  <r>
    <x v="7"/>
    <x v="3"/>
    <x v="23"/>
    <x v="988"/>
  </r>
  <r>
    <x v="7"/>
    <x v="3"/>
    <x v="24"/>
    <x v="989"/>
  </r>
  <r>
    <x v="7"/>
    <x v="1"/>
    <x v="27"/>
    <x v="990"/>
  </r>
  <r>
    <x v="7"/>
    <x v="0"/>
    <x v="27"/>
    <x v="991"/>
  </r>
  <r>
    <x v="7"/>
    <x v="2"/>
    <x v="24"/>
    <x v="992"/>
  </r>
  <r>
    <x v="7"/>
    <x v="3"/>
    <x v="25"/>
    <x v="993"/>
  </r>
  <r>
    <x v="7"/>
    <x v="3"/>
    <x v="26"/>
    <x v="994"/>
  </r>
  <r>
    <x v="7"/>
    <x v="2"/>
    <x v="25"/>
    <x v="995"/>
  </r>
  <r>
    <x v="7"/>
    <x v="2"/>
    <x v="26"/>
    <x v="996"/>
  </r>
  <r>
    <x v="7"/>
    <x v="2"/>
    <x v="27"/>
    <x v="997"/>
  </r>
  <r>
    <x v="7"/>
    <x v="4"/>
    <x v="23"/>
    <x v="998"/>
  </r>
  <r>
    <x v="7"/>
    <x v="3"/>
    <x v="27"/>
    <x v="999"/>
  </r>
  <r>
    <x v="7"/>
    <x v="4"/>
    <x v="24"/>
    <x v="1000"/>
  </r>
  <r>
    <x v="7"/>
    <x v="4"/>
    <x v="25"/>
    <x v="1001"/>
  </r>
  <r>
    <x v="7"/>
    <x v="4"/>
    <x v="26"/>
    <x v="1002"/>
  </r>
  <r>
    <x v="7"/>
    <x v="4"/>
    <x v="27"/>
    <x v="1003"/>
  </r>
  <r>
    <x v="7"/>
    <x v="4"/>
    <x v="1"/>
    <x v="134"/>
  </r>
  <r>
    <x v="7"/>
    <x v="1"/>
    <x v="1"/>
    <x v="134"/>
  </r>
  <r>
    <x v="7"/>
    <x v="2"/>
    <x v="1"/>
    <x v="134"/>
  </r>
  <r>
    <x v="7"/>
    <x v="3"/>
    <x v="1"/>
    <x v="134"/>
  </r>
  <r>
    <x v="7"/>
    <x v="0"/>
    <x v="1"/>
    <x v="134"/>
  </r>
  <r>
    <x v="7"/>
    <x v="4"/>
    <x v="0"/>
    <x v="134"/>
  </r>
  <r>
    <x v="7"/>
    <x v="1"/>
    <x v="0"/>
    <x v="134"/>
  </r>
  <r>
    <x v="7"/>
    <x v="2"/>
    <x v="0"/>
    <x v="134"/>
  </r>
  <r>
    <x v="7"/>
    <x v="3"/>
    <x v="0"/>
    <x v="134"/>
  </r>
  <r>
    <x v="7"/>
    <x v="0"/>
    <x v="0"/>
    <x v="134"/>
  </r>
  <r>
    <x v="7"/>
    <x v="4"/>
    <x v="7"/>
    <x v="134"/>
  </r>
  <r>
    <x v="7"/>
    <x v="1"/>
    <x v="7"/>
    <x v="134"/>
  </r>
  <r>
    <x v="7"/>
    <x v="2"/>
    <x v="7"/>
    <x v="134"/>
  </r>
  <r>
    <x v="7"/>
    <x v="3"/>
    <x v="7"/>
    <x v="134"/>
  </r>
  <r>
    <x v="7"/>
    <x v="0"/>
    <x v="7"/>
    <x v="134"/>
  </r>
  <r>
    <x v="7"/>
    <x v="4"/>
    <x v="3"/>
    <x v="134"/>
  </r>
  <r>
    <x v="7"/>
    <x v="1"/>
    <x v="3"/>
    <x v="134"/>
  </r>
  <r>
    <x v="7"/>
    <x v="2"/>
    <x v="3"/>
    <x v="134"/>
  </r>
  <r>
    <x v="7"/>
    <x v="3"/>
    <x v="3"/>
    <x v="134"/>
  </r>
  <r>
    <x v="7"/>
    <x v="0"/>
    <x v="3"/>
    <x v="134"/>
  </r>
  <r>
    <x v="8"/>
    <x v="0"/>
    <x v="4"/>
    <x v="1004"/>
  </r>
  <r>
    <x v="8"/>
    <x v="3"/>
    <x v="4"/>
    <x v="1005"/>
  </r>
  <r>
    <x v="8"/>
    <x v="1"/>
    <x v="4"/>
    <x v="1006"/>
  </r>
  <r>
    <x v="8"/>
    <x v="0"/>
    <x v="28"/>
    <x v="1007"/>
  </r>
  <r>
    <x v="8"/>
    <x v="4"/>
    <x v="4"/>
    <x v="1008"/>
  </r>
  <r>
    <x v="8"/>
    <x v="1"/>
    <x v="28"/>
    <x v="1009"/>
  </r>
  <r>
    <x v="8"/>
    <x v="0"/>
    <x v="5"/>
    <x v="1010"/>
  </r>
  <r>
    <x v="8"/>
    <x v="2"/>
    <x v="10"/>
    <x v="1011"/>
  </r>
  <r>
    <x v="8"/>
    <x v="1"/>
    <x v="11"/>
    <x v="1012"/>
  </r>
  <r>
    <x v="8"/>
    <x v="1"/>
    <x v="14"/>
    <x v="1013"/>
  </r>
  <r>
    <x v="8"/>
    <x v="2"/>
    <x v="15"/>
    <x v="1014"/>
  </r>
  <r>
    <x v="8"/>
    <x v="0"/>
    <x v="11"/>
    <x v="1015"/>
  </r>
  <r>
    <x v="8"/>
    <x v="3"/>
    <x v="11"/>
    <x v="1016"/>
  </r>
  <r>
    <x v="8"/>
    <x v="2"/>
    <x v="11"/>
    <x v="1017"/>
  </r>
  <r>
    <x v="8"/>
    <x v="0"/>
    <x v="14"/>
    <x v="1018"/>
  </r>
  <r>
    <x v="8"/>
    <x v="2"/>
    <x v="5"/>
    <x v="1019"/>
  </r>
  <r>
    <x v="8"/>
    <x v="2"/>
    <x v="6"/>
    <x v="1020"/>
  </r>
  <r>
    <x v="8"/>
    <x v="1"/>
    <x v="2"/>
    <x v="1021"/>
  </r>
  <r>
    <x v="8"/>
    <x v="0"/>
    <x v="2"/>
    <x v="1022"/>
  </r>
  <r>
    <x v="8"/>
    <x v="1"/>
    <x v="6"/>
    <x v="1023"/>
  </r>
  <r>
    <x v="8"/>
    <x v="3"/>
    <x v="10"/>
    <x v="1024"/>
  </r>
  <r>
    <x v="8"/>
    <x v="0"/>
    <x v="8"/>
    <x v="1025"/>
  </r>
  <r>
    <x v="8"/>
    <x v="0"/>
    <x v="9"/>
    <x v="1026"/>
  </r>
  <r>
    <x v="8"/>
    <x v="1"/>
    <x v="9"/>
    <x v="1027"/>
  </r>
  <r>
    <x v="8"/>
    <x v="0"/>
    <x v="12"/>
    <x v="1028"/>
  </r>
  <r>
    <x v="8"/>
    <x v="3"/>
    <x v="14"/>
    <x v="1029"/>
  </r>
  <r>
    <x v="8"/>
    <x v="0"/>
    <x v="6"/>
    <x v="1030"/>
  </r>
  <r>
    <x v="8"/>
    <x v="3"/>
    <x v="5"/>
    <x v="1031"/>
  </r>
  <r>
    <x v="8"/>
    <x v="2"/>
    <x v="8"/>
    <x v="1032"/>
  </r>
  <r>
    <x v="8"/>
    <x v="2"/>
    <x v="14"/>
    <x v="1033"/>
  </r>
  <r>
    <x v="8"/>
    <x v="1"/>
    <x v="16"/>
    <x v="1034"/>
  </r>
  <r>
    <x v="8"/>
    <x v="4"/>
    <x v="11"/>
    <x v="1035"/>
  </r>
  <r>
    <x v="8"/>
    <x v="0"/>
    <x v="13"/>
    <x v="1036"/>
  </r>
  <r>
    <x v="8"/>
    <x v="1"/>
    <x v="8"/>
    <x v="1037"/>
  </r>
  <r>
    <x v="8"/>
    <x v="1"/>
    <x v="5"/>
    <x v="1038"/>
  </r>
  <r>
    <x v="8"/>
    <x v="2"/>
    <x v="16"/>
    <x v="1039"/>
  </r>
  <r>
    <x v="8"/>
    <x v="2"/>
    <x v="13"/>
    <x v="1040"/>
  </r>
  <r>
    <x v="8"/>
    <x v="2"/>
    <x v="17"/>
    <x v="1041"/>
  </r>
  <r>
    <x v="8"/>
    <x v="3"/>
    <x v="28"/>
    <x v="1042"/>
  </r>
  <r>
    <x v="8"/>
    <x v="0"/>
    <x v="10"/>
    <x v="1043"/>
  </r>
  <r>
    <x v="8"/>
    <x v="2"/>
    <x v="28"/>
    <x v="1044"/>
  </r>
  <r>
    <x v="8"/>
    <x v="2"/>
    <x v="2"/>
    <x v="1045"/>
  </r>
  <r>
    <x v="8"/>
    <x v="1"/>
    <x v="18"/>
    <x v="1046"/>
  </r>
  <r>
    <x v="8"/>
    <x v="1"/>
    <x v="12"/>
    <x v="1047"/>
  </r>
  <r>
    <x v="8"/>
    <x v="0"/>
    <x v="17"/>
    <x v="1048"/>
  </r>
  <r>
    <x v="8"/>
    <x v="3"/>
    <x v="6"/>
    <x v="1049"/>
  </r>
  <r>
    <x v="8"/>
    <x v="1"/>
    <x v="13"/>
    <x v="1050"/>
  </r>
  <r>
    <x v="8"/>
    <x v="3"/>
    <x v="13"/>
    <x v="1051"/>
  </r>
  <r>
    <x v="8"/>
    <x v="3"/>
    <x v="15"/>
    <x v="1052"/>
  </r>
  <r>
    <x v="8"/>
    <x v="1"/>
    <x v="10"/>
    <x v="1053"/>
  </r>
  <r>
    <x v="8"/>
    <x v="3"/>
    <x v="2"/>
    <x v="1054"/>
  </r>
  <r>
    <x v="8"/>
    <x v="3"/>
    <x v="18"/>
    <x v="1055"/>
  </r>
  <r>
    <x v="8"/>
    <x v="4"/>
    <x v="14"/>
    <x v="1056"/>
  </r>
  <r>
    <x v="8"/>
    <x v="4"/>
    <x v="5"/>
    <x v="1057"/>
  </r>
  <r>
    <x v="8"/>
    <x v="3"/>
    <x v="8"/>
    <x v="1058"/>
  </r>
  <r>
    <x v="8"/>
    <x v="2"/>
    <x v="9"/>
    <x v="1059"/>
  </r>
  <r>
    <x v="8"/>
    <x v="4"/>
    <x v="28"/>
    <x v="1060"/>
  </r>
  <r>
    <x v="8"/>
    <x v="2"/>
    <x v="21"/>
    <x v="1061"/>
  </r>
  <r>
    <x v="8"/>
    <x v="1"/>
    <x v="20"/>
    <x v="1062"/>
  </r>
  <r>
    <x v="8"/>
    <x v="0"/>
    <x v="19"/>
    <x v="1063"/>
  </r>
  <r>
    <x v="8"/>
    <x v="1"/>
    <x v="17"/>
    <x v="1064"/>
  </r>
  <r>
    <x v="8"/>
    <x v="0"/>
    <x v="21"/>
    <x v="1065"/>
  </r>
  <r>
    <x v="8"/>
    <x v="0"/>
    <x v="18"/>
    <x v="1066"/>
  </r>
  <r>
    <x v="8"/>
    <x v="1"/>
    <x v="21"/>
    <x v="1067"/>
  </r>
  <r>
    <x v="8"/>
    <x v="3"/>
    <x v="16"/>
    <x v="1068"/>
  </r>
  <r>
    <x v="8"/>
    <x v="2"/>
    <x v="22"/>
    <x v="1069"/>
  </r>
  <r>
    <x v="8"/>
    <x v="4"/>
    <x v="6"/>
    <x v="1070"/>
  </r>
  <r>
    <x v="8"/>
    <x v="0"/>
    <x v="20"/>
    <x v="1071"/>
  </r>
  <r>
    <x v="8"/>
    <x v="1"/>
    <x v="19"/>
    <x v="1072"/>
  </r>
  <r>
    <x v="8"/>
    <x v="3"/>
    <x v="9"/>
    <x v="1073"/>
  </r>
  <r>
    <x v="8"/>
    <x v="1"/>
    <x v="22"/>
    <x v="1074"/>
  </r>
  <r>
    <x v="8"/>
    <x v="0"/>
    <x v="22"/>
    <x v="1075"/>
  </r>
  <r>
    <x v="8"/>
    <x v="3"/>
    <x v="20"/>
    <x v="1076"/>
  </r>
  <r>
    <x v="8"/>
    <x v="4"/>
    <x v="10"/>
    <x v="1077"/>
  </r>
  <r>
    <x v="8"/>
    <x v="4"/>
    <x v="2"/>
    <x v="1078"/>
  </r>
  <r>
    <x v="8"/>
    <x v="2"/>
    <x v="12"/>
    <x v="1079"/>
  </r>
  <r>
    <x v="8"/>
    <x v="2"/>
    <x v="19"/>
    <x v="1080"/>
  </r>
  <r>
    <x v="8"/>
    <x v="3"/>
    <x v="19"/>
    <x v="1081"/>
  </r>
  <r>
    <x v="8"/>
    <x v="2"/>
    <x v="18"/>
    <x v="1082"/>
  </r>
  <r>
    <x v="8"/>
    <x v="4"/>
    <x v="8"/>
    <x v="1083"/>
  </r>
  <r>
    <x v="8"/>
    <x v="0"/>
    <x v="16"/>
    <x v="1084"/>
  </r>
  <r>
    <x v="8"/>
    <x v="3"/>
    <x v="12"/>
    <x v="1085"/>
  </r>
  <r>
    <x v="8"/>
    <x v="4"/>
    <x v="13"/>
    <x v="1086"/>
  </r>
  <r>
    <x v="8"/>
    <x v="2"/>
    <x v="20"/>
    <x v="1087"/>
  </r>
  <r>
    <x v="8"/>
    <x v="2"/>
    <x v="23"/>
    <x v="1088"/>
  </r>
  <r>
    <x v="8"/>
    <x v="3"/>
    <x v="21"/>
    <x v="1089"/>
  </r>
  <r>
    <x v="8"/>
    <x v="1"/>
    <x v="15"/>
    <x v="1090"/>
  </r>
  <r>
    <x v="8"/>
    <x v="4"/>
    <x v="9"/>
    <x v="1091"/>
  </r>
  <r>
    <x v="8"/>
    <x v="0"/>
    <x v="15"/>
    <x v="1092"/>
  </r>
  <r>
    <x v="8"/>
    <x v="3"/>
    <x v="22"/>
    <x v="1093"/>
  </r>
  <r>
    <x v="8"/>
    <x v="3"/>
    <x v="17"/>
    <x v="1094"/>
  </r>
  <r>
    <x v="8"/>
    <x v="4"/>
    <x v="16"/>
    <x v="1095"/>
  </r>
  <r>
    <x v="8"/>
    <x v="4"/>
    <x v="18"/>
    <x v="1096"/>
  </r>
  <r>
    <x v="8"/>
    <x v="4"/>
    <x v="12"/>
    <x v="1097"/>
  </r>
  <r>
    <x v="8"/>
    <x v="1"/>
    <x v="24"/>
    <x v="1098"/>
  </r>
  <r>
    <x v="8"/>
    <x v="4"/>
    <x v="21"/>
    <x v="1099"/>
  </r>
  <r>
    <x v="8"/>
    <x v="4"/>
    <x v="17"/>
    <x v="1100"/>
  </r>
  <r>
    <x v="8"/>
    <x v="4"/>
    <x v="19"/>
    <x v="1101"/>
  </r>
  <r>
    <x v="8"/>
    <x v="1"/>
    <x v="23"/>
    <x v="1102"/>
  </r>
  <r>
    <x v="8"/>
    <x v="4"/>
    <x v="20"/>
    <x v="1103"/>
  </r>
  <r>
    <x v="8"/>
    <x v="4"/>
    <x v="15"/>
    <x v="1104"/>
  </r>
  <r>
    <x v="8"/>
    <x v="1"/>
    <x v="25"/>
    <x v="1105"/>
  </r>
  <r>
    <x v="8"/>
    <x v="0"/>
    <x v="24"/>
    <x v="1106"/>
  </r>
  <r>
    <x v="8"/>
    <x v="0"/>
    <x v="25"/>
    <x v="1107"/>
  </r>
  <r>
    <x v="8"/>
    <x v="1"/>
    <x v="26"/>
    <x v="1108"/>
  </r>
  <r>
    <x v="8"/>
    <x v="4"/>
    <x v="22"/>
    <x v="1109"/>
  </r>
  <r>
    <x v="8"/>
    <x v="0"/>
    <x v="23"/>
    <x v="1110"/>
  </r>
  <r>
    <x v="8"/>
    <x v="0"/>
    <x v="26"/>
    <x v="1111"/>
  </r>
  <r>
    <x v="8"/>
    <x v="3"/>
    <x v="23"/>
    <x v="1112"/>
  </r>
  <r>
    <x v="8"/>
    <x v="3"/>
    <x v="24"/>
    <x v="1113"/>
  </r>
  <r>
    <x v="8"/>
    <x v="1"/>
    <x v="27"/>
    <x v="1114"/>
  </r>
  <r>
    <x v="8"/>
    <x v="0"/>
    <x v="27"/>
    <x v="1115"/>
  </r>
  <r>
    <x v="8"/>
    <x v="3"/>
    <x v="25"/>
    <x v="1116"/>
  </r>
  <r>
    <x v="8"/>
    <x v="3"/>
    <x v="26"/>
    <x v="1117"/>
  </r>
  <r>
    <x v="8"/>
    <x v="2"/>
    <x v="24"/>
    <x v="1118"/>
  </r>
  <r>
    <x v="8"/>
    <x v="2"/>
    <x v="25"/>
    <x v="1119"/>
  </r>
  <r>
    <x v="8"/>
    <x v="2"/>
    <x v="26"/>
    <x v="1120"/>
  </r>
  <r>
    <x v="8"/>
    <x v="2"/>
    <x v="27"/>
    <x v="1121"/>
  </r>
  <r>
    <x v="8"/>
    <x v="3"/>
    <x v="27"/>
    <x v="1122"/>
  </r>
  <r>
    <x v="8"/>
    <x v="4"/>
    <x v="23"/>
    <x v="1123"/>
  </r>
  <r>
    <x v="8"/>
    <x v="4"/>
    <x v="24"/>
    <x v="1124"/>
  </r>
  <r>
    <x v="8"/>
    <x v="4"/>
    <x v="25"/>
    <x v="1125"/>
  </r>
  <r>
    <x v="8"/>
    <x v="4"/>
    <x v="26"/>
    <x v="1126"/>
  </r>
  <r>
    <x v="8"/>
    <x v="4"/>
    <x v="27"/>
    <x v="1127"/>
  </r>
  <r>
    <x v="8"/>
    <x v="4"/>
    <x v="1"/>
    <x v="134"/>
  </r>
  <r>
    <x v="8"/>
    <x v="1"/>
    <x v="1"/>
    <x v="134"/>
  </r>
  <r>
    <x v="8"/>
    <x v="2"/>
    <x v="1"/>
    <x v="134"/>
  </r>
  <r>
    <x v="8"/>
    <x v="3"/>
    <x v="1"/>
    <x v="134"/>
  </r>
  <r>
    <x v="8"/>
    <x v="0"/>
    <x v="1"/>
    <x v="134"/>
  </r>
  <r>
    <x v="8"/>
    <x v="2"/>
    <x v="4"/>
    <x v="134"/>
  </r>
  <r>
    <x v="8"/>
    <x v="4"/>
    <x v="0"/>
    <x v="134"/>
  </r>
  <r>
    <x v="8"/>
    <x v="1"/>
    <x v="0"/>
    <x v="134"/>
  </r>
  <r>
    <x v="8"/>
    <x v="2"/>
    <x v="0"/>
    <x v="134"/>
  </r>
  <r>
    <x v="8"/>
    <x v="3"/>
    <x v="0"/>
    <x v="134"/>
  </r>
  <r>
    <x v="8"/>
    <x v="0"/>
    <x v="0"/>
    <x v="134"/>
  </r>
  <r>
    <x v="8"/>
    <x v="4"/>
    <x v="7"/>
    <x v="134"/>
  </r>
  <r>
    <x v="8"/>
    <x v="1"/>
    <x v="7"/>
    <x v="134"/>
  </r>
  <r>
    <x v="8"/>
    <x v="2"/>
    <x v="7"/>
    <x v="134"/>
  </r>
  <r>
    <x v="8"/>
    <x v="3"/>
    <x v="7"/>
    <x v="134"/>
  </r>
  <r>
    <x v="8"/>
    <x v="0"/>
    <x v="7"/>
    <x v="134"/>
  </r>
  <r>
    <x v="8"/>
    <x v="4"/>
    <x v="3"/>
    <x v="134"/>
  </r>
  <r>
    <x v="8"/>
    <x v="1"/>
    <x v="3"/>
    <x v="134"/>
  </r>
  <r>
    <x v="8"/>
    <x v="2"/>
    <x v="3"/>
    <x v="134"/>
  </r>
  <r>
    <x v="8"/>
    <x v="3"/>
    <x v="3"/>
    <x v="134"/>
  </r>
  <r>
    <x v="8"/>
    <x v="0"/>
    <x v="3"/>
    <x v="134"/>
  </r>
  <r>
    <x v="9"/>
    <x v="0"/>
    <x v="3"/>
    <x v="1128"/>
  </r>
  <r>
    <x v="9"/>
    <x v="2"/>
    <x v="3"/>
    <x v="1129"/>
  </r>
  <r>
    <x v="9"/>
    <x v="3"/>
    <x v="3"/>
    <x v="1130"/>
  </r>
  <r>
    <x v="9"/>
    <x v="4"/>
    <x v="3"/>
    <x v="1131"/>
  </r>
  <r>
    <x v="9"/>
    <x v="2"/>
    <x v="4"/>
    <x v="1132"/>
  </r>
  <r>
    <x v="9"/>
    <x v="0"/>
    <x v="5"/>
    <x v="1133"/>
  </r>
  <r>
    <x v="9"/>
    <x v="1"/>
    <x v="11"/>
    <x v="1134"/>
  </r>
  <r>
    <x v="9"/>
    <x v="0"/>
    <x v="11"/>
    <x v="1135"/>
  </r>
  <r>
    <x v="9"/>
    <x v="0"/>
    <x v="4"/>
    <x v="1136"/>
  </r>
  <r>
    <x v="9"/>
    <x v="2"/>
    <x v="10"/>
    <x v="1137"/>
  </r>
  <r>
    <x v="9"/>
    <x v="1"/>
    <x v="5"/>
    <x v="1138"/>
  </r>
  <r>
    <x v="9"/>
    <x v="1"/>
    <x v="4"/>
    <x v="1139"/>
  </r>
  <r>
    <x v="9"/>
    <x v="2"/>
    <x v="5"/>
    <x v="1140"/>
  </r>
  <r>
    <x v="9"/>
    <x v="3"/>
    <x v="4"/>
    <x v="1141"/>
  </r>
  <r>
    <x v="9"/>
    <x v="0"/>
    <x v="14"/>
    <x v="1142"/>
  </r>
  <r>
    <x v="9"/>
    <x v="1"/>
    <x v="14"/>
    <x v="1143"/>
  </r>
  <r>
    <x v="9"/>
    <x v="3"/>
    <x v="11"/>
    <x v="1144"/>
  </r>
  <r>
    <x v="9"/>
    <x v="3"/>
    <x v="5"/>
    <x v="1145"/>
  </r>
  <r>
    <x v="9"/>
    <x v="2"/>
    <x v="15"/>
    <x v="1146"/>
  </r>
  <r>
    <x v="9"/>
    <x v="3"/>
    <x v="10"/>
    <x v="1147"/>
  </r>
  <r>
    <x v="9"/>
    <x v="2"/>
    <x v="6"/>
    <x v="1148"/>
  </r>
  <r>
    <x v="9"/>
    <x v="2"/>
    <x v="11"/>
    <x v="1149"/>
  </r>
  <r>
    <x v="9"/>
    <x v="1"/>
    <x v="6"/>
    <x v="1150"/>
  </r>
  <r>
    <x v="9"/>
    <x v="3"/>
    <x v="14"/>
    <x v="1151"/>
  </r>
  <r>
    <x v="9"/>
    <x v="1"/>
    <x v="2"/>
    <x v="1152"/>
  </r>
  <r>
    <x v="9"/>
    <x v="0"/>
    <x v="9"/>
    <x v="1153"/>
  </r>
  <r>
    <x v="9"/>
    <x v="0"/>
    <x v="2"/>
    <x v="1154"/>
  </r>
  <r>
    <x v="9"/>
    <x v="4"/>
    <x v="4"/>
    <x v="1155"/>
  </r>
  <r>
    <x v="9"/>
    <x v="0"/>
    <x v="12"/>
    <x v="1156"/>
  </r>
  <r>
    <x v="9"/>
    <x v="0"/>
    <x v="6"/>
    <x v="1157"/>
  </r>
  <r>
    <x v="9"/>
    <x v="1"/>
    <x v="9"/>
    <x v="1158"/>
  </r>
  <r>
    <x v="9"/>
    <x v="4"/>
    <x v="5"/>
    <x v="1159"/>
  </r>
  <r>
    <x v="9"/>
    <x v="1"/>
    <x v="12"/>
    <x v="1160"/>
  </r>
  <r>
    <x v="9"/>
    <x v="2"/>
    <x v="8"/>
    <x v="1161"/>
  </r>
  <r>
    <x v="9"/>
    <x v="1"/>
    <x v="8"/>
    <x v="1162"/>
  </r>
  <r>
    <x v="9"/>
    <x v="4"/>
    <x v="11"/>
    <x v="1163"/>
  </r>
  <r>
    <x v="9"/>
    <x v="1"/>
    <x v="18"/>
    <x v="1164"/>
  </r>
  <r>
    <x v="9"/>
    <x v="0"/>
    <x v="8"/>
    <x v="1165"/>
  </r>
  <r>
    <x v="9"/>
    <x v="3"/>
    <x v="6"/>
    <x v="1166"/>
  </r>
  <r>
    <x v="9"/>
    <x v="3"/>
    <x v="9"/>
    <x v="1167"/>
  </r>
  <r>
    <x v="9"/>
    <x v="2"/>
    <x v="16"/>
    <x v="1168"/>
  </r>
  <r>
    <x v="9"/>
    <x v="2"/>
    <x v="13"/>
    <x v="1169"/>
  </r>
  <r>
    <x v="9"/>
    <x v="0"/>
    <x v="13"/>
    <x v="1170"/>
  </r>
  <r>
    <x v="9"/>
    <x v="3"/>
    <x v="2"/>
    <x v="1171"/>
  </r>
  <r>
    <x v="9"/>
    <x v="1"/>
    <x v="16"/>
    <x v="1172"/>
  </r>
  <r>
    <x v="9"/>
    <x v="3"/>
    <x v="12"/>
    <x v="1173"/>
  </r>
  <r>
    <x v="9"/>
    <x v="2"/>
    <x v="14"/>
    <x v="1174"/>
  </r>
  <r>
    <x v="9"/>
    <x v="3"/>
    <x v="13"/>
    <x v="1175"/>
  </r>
  <r>
    <x v="9"/>
    <x v="0"/>
    <x v="10"/>
    <x v="1176"/>
  </r>
  <r>
    <x v="9"/>
    <x v="1"/>
    <x v="13"/>
    <x v="1177"/>
  </r>
  <r>
    <x v="9"/>
    <x v="2"/>
    <x v="2"/>
    <x v="1178"/>
  </r>
  <r>
    <x v="9"/>
    <x v="3"/>
    <x v="15"/>
    <x v="1179"/>
  </r>
  <r>
    <x v="9"/>
    <x v="3"/>
    <x v="8"/>
    <x v="1180"/>
  </r>
  <r>
    <x v="9"/>
    <x v="2"/>
    <x v="17"/>
    <x v="1181"/>
  </r>
  <r>
    <x v="9"/>
    <x v="1"/>
    <x v="10"/>
    <x v="1182"/>
  </r>
  <r>
    <x v="9"/>
    <x v="0"/>
    <x v="18"/>
    <x v="1183"/>
  </r>
  <r>
    <x v="9"/>
    <x v="2"/>
    <x v="21"/>
    <x v="1184"/>
  </r>
  <r>
    <x v="9"/>
    <x v="4"/>
    <x v="14"/>
    <x v="1185"/>
  </r>
  <r>
    <x v="9"/>
    <x v="0"/>
    <x v="21"/>
    <x v="1186"/>
  </r>
  <r>
    <x v="9"/>
    <x v="3"/>
    <x v="18"/>
    <x v="1187"/>
  </r>
  <r>
    <x v="9"/>
    <x v="4"/>
    <x v="6"/>
    <x v="1188"/>
  </r>
  <r>
    <x v="9"/>
    <x v="1"/>
    <x v="20"/>
    <x v="1189"/>
  </r>
  <r>
    <x v="9"/>
    <x v="2"/>
    <x v="22"/>
    <x v="1190"/>
  </r>
  <r>
    <x v="9"/>
    <x v="1"/>
    <x v="21"/>
    <x v="1191"/>
  </r>
  <r>
    <x v="9"/>
    <x v="0"/>
    <x v="16"/>
    <x v="1192"/>
  </r>
  <r>
    <x v="9"/>
    <x v="2"/>
    <x v="9"/>
    <x v="1193"/>
  </r>
  <r>
    <x v="9"/>
    <x v="2"/>
    <x v="18"/>
    <x v="1194"/>
  </r>
  <r>
    <x v="9"/>
    <x v="0"/>
    <x v="22"/>
    <x v="1195"/>
  </r>
  <r>
    <x v="9"/>
    <x v="2"/>
    <x v="12"/>
    <x v="1196"/>
  </r>
  <r>
    <x v="9"/>
    <x v="3"/>
    <x v="20"/>
    <x v="1197"/>
  </r>
  <r>
    <x v="9"/>
    <x v="1"/>
    <x v="19"/>
    <x v="1198"/>
  </r>
  <r>
    <x v="9"/>
    <x v="1"/>
    <x v="22"/>
    <x v="1199"/>
  </r>
  <r>
    <x v="9"/>
    <x v="0"/>
    <x v="19"/>
    <x v="1200"/>
  </r>
  <r>
    <x v="9"/>
    <x v="0"/>
    <x v="20"/>
    <x v="1201"/>
  </r>
  <r>
    <x v="9"/>
    <x v="3"/>
    <x v="16"/>
    <x v="1202"/>
  </r>
  <r>
    <x v="9"/>
    <x v="4"/>
    <x v="2"/>
    <x v="1203"/>
  </r>
  <r>
    <x v="9"/>
    <x v="3"/>
    <x v="19"/>
    <x v="1204"/>
  </r>
  <r>
    <x v="9"/>
    <x v="4"/>
    <x v="10"/>
    <x v="1205"/>
  </r>
  <r>
    <x v="9"/>
    <x v="4"/>
    <x v="8"/>
    <x v="1206"/>
  </r>
  <r>
    <x v="9"/>
    <x v="3"/>
    <x v="21"/>
    <x v="1207"/>
  </r>
  <r>
    <x v="9"/>
    <x v="2"/>
    <x v="19"/>
    <x v="1208"/>
  </r>
  <r>
    <x v="9"/>
    <x v="0"/>
    <x v="17"/>
    <x v="1209"/>
  </r>
  <r>
    <x v="9"/>
    <x v="4"/>
    <x v="9"/>
    <x v="1210"/>
  </r>
  <r>
    <x v="9"/>
    <x v="2"/>
    <x v="20"/>
    <x v="1211"/>
  </r>
  <r>
    <x v="9"/>
    <x v="4"/>
    <x v="13"/>
    <x v="1212"/>
  </r>
  <r>
    <x v="9"/>
    <x v="4"/>
    <x v="12"/>
    <x v="1213"/>
  </r>
  <r>
    <x v="9"/>
    <x v="3"/>
    <x v="22"/>
    <x v="1214"/>
  </r>
  <r>
    <x v="9"/>
    <x v="1"/>
    <x v="17"/>
    <x v="1215"/>
  </r>
  <r>
    <x v="9"/>
    <x v="2"/>
    <x v="23"/>
    <x v="1216"/>
  </r>
  <r>
    <x v="9"/>
    <x v="1"/>
    <x v="15"/>
    <x v="1217"/>
  </r>
  <r>
    <x v="9"/>
    <x v="4"/>
    <x v="18"/>
    <x v="1218"/>
  </r>
  <r>
    <x v="9"/>
    <x v="4"/>
    <x v="16"/>
    <x v="1219"/>
  </r>
  <r>
    <x v="9"/>
    <x v="0"/>
    <x v="15"/>
    <x v="1220"/>
  </r>
  <r>
    <x v="9"/>
    <x v="4"/>
    <x v="21"/>
    <x v="1221"/>
  </r>
  <r>
    <x v="9"/>
    <x v="1"/>
    <x v="24"/>
    <x v="1222"/>
  </r>
  <r>
    <x v="9"/>
    <x v="1"/>
    <x v="25"/>
    <x v="1223"/>
  </r>
  <r>
    <x v="9"/>
    <x v="4"/>
    <x v="20"/>
    <x v="1224"/>
  </r>
  <r>
    <x v="9"/>
    <x v="4"/>
    <x v="22"/>
    <x v="1225"/>
  </r>
  <r>
    <x v="9"/>
    <x v="4"/>
    <x v="19"/>
    <x v="1226"/>
  </r>
  <r>
    <x v="9"/>
    <x v="1"/>
    <x v="26"/>
    <x v="1227"/>
  </r>
  <r>
    <x v="9"/>
    <x v="3"/>
    <x v="17"/>
    <x v="1228"/>
  </r>
  <r>
    <x v="9"/>
    <x v="1"/>
    <x v="23"/>
    <x v="1229"/>
  </r>
  <r>
    <x v="9"/>
    <x v="0"/>
    <x v="24"/>
    <x v="1230"/>
  </r>
  <r>
    <x v="9"/>
    <x v="4"/>
    <x v="15"/>
    <x v="1231"/>
  </r>
  <r>
    <x v="9"/>
    <x v="0"/>
    <x v="25"/>
    <x v="1232"/>
  </r>
  <r>
    <x v="9"/>
    <x v="0"/>
    <x v="26"/>
    <x v="1233"/>
  </r>
  <r>
    <x v="9"/>
    <x v="0"/>
    <x v="23"/>
    <x v="1234"/>
  </r>
  <r>
    <x v="9"/>
    <x v="4"/>
    <x v="17"/>
    <x v="1235"/>
  </r>
  <r>
    <x v="9"/>
    <x v="3"/>
    <x v="23"/>
    <x v="1236"/>
  </r>
  <r>
    <x v="9"/>
    <x v="3"/>
    <x v="24"/>
    <x v="1237"/>
  </r>
  <r>
    <x v="9"/>
    <x v="3"/>
    <x v="25"/>
    <x v="1238"/>
  </r>
  <r>
    <x v="9"/>
    <x v="3"/>
    <x v="26"/>
    <x v="1239"/>
  </r>
  <r>
    <x v="9"/>
    <x v="1"/>
    <x v="27"/>
    <x v="1240"/>
  </r>
  <r>
    <x v="9"/>
    <x v="2"/>
    <x v="24"/>
    <x v="1241"/>
  </r>
  <r>
    <x v="9"/>
    <x v="0"/>
    <x v="27"/>
    <x v="1242"/>
  </r>
  <r>
    <x v="9"/>
    <x v="2"/>
    <x v="25"/>
    <x v="1243"/>
  </r>
  <r>
    <x v="9"/>
    <x v="2"/>
    <x v="26"/>
    <x v="1244"/>
  </r>
  <r>
    <x v="9"/>
    <x v="2"/>
    <x v="27"/>
    <x v="1245"/>
  </r>
  <r>
    <x v="9"/>
    <x v="3"/>
    <x v="27"/>
    <x v="1246"/>
  </r>
  <r>
    <x v="9"/>
    <x v="4"/>
    <x v="23"/>
    <x v="1247"/>
  </r>
  <r>
    <x v="9"/>
    <x v="4"/>
    <x v="24"/>
    <x v="1248"/>
  </r>
  <r>
    <x v="9"/>
    <x v="4"/>
    <x v="25"/>
    <x v="1249"/>
  </r>
  <r>
    <x v="9"/>
    <x v="4"/>
    <x v="26"/>
    <x v="1250"/>
  </r>
  <r>
    <x v="9"/>
    <x v="4"/>
    <x v="27"/>
    <x v="1251"/>
  </r>
  <r>
    <x v="9"/>
    <x v="4"/>
    <x v="1"/>
    <x v="134"/>
  </r>
  <r>
    <x v="9"/>
    <x v="1"/>
    <x v="1"/>
    <x v="134"/>
  </r>
  <r>
    <x v="9"/>
    <x v="2"/>
    <x v="1"/>
    <x v="134"/>
  </r>
  <r>
    <x v="9"/>
    <x v="3"/>
    <x v="1"/>
    <x v="134"/>
  </r>
  <r>
    <x v="9"/>
    <x v="0"/>
    <x v="1"/>
    <x v="134"/>
  </r>
  <r>
    <x v="9"/>
    <x v="4"/>
    <x v="0"/>
    <x v="134"/>
  </r>
  <r>
    <x v="9"/>
    <x v="1"/>
    <x v="0"/>
    <x v="134"/>
  </r>
  <r>
    <x v="9"/>
    <x v="2"/>
    <x v="0"/>
    <x v="134"/>
  </r>
  <r>
    <x v="9"/>
    <x v="3"/>
    <x v="0"/>
    <x v="134"/>
  </r>
  <r>
    <x v="9"/>
    <x v="0"/>
    <x v="0"/>
    <x v="134"/>
  </r>
  <r>
    <x v="9"/>
    <x v="4"/>
    <x v="28"/>
    <x v="134"/>
  </r>
  <r>
    <x v="9"/>
    <x v="1"/>
    <x v="28"/>
    <x v="134"/>
  </r>
  <r>
    <x v="9"/>
    <x v="2"/>
    <x v="28"/>
    <x v="134"/>
  </r>
  <r>
    <x v="9"/>
    <x v="3"/>
    <x v="28"/>
    <x v="134"/>
  </r>
  <r>
    <x v="9"/>
    <x v="0"/>
    <x v="28"/>
    <x v="134"/>
  </r>
  <r>
    <x v="9"/>
    <x v="4"/>
    <x v="7"/>
    <x v="134"/>
  </r>
  <r>
    <x v="9"/>
    <x v="1"/>
    <x v="7"/>
    <x v="134"/>
  </r>
  <r>
    <x v="9"/>
    <x v="2"/>
    <x v="7"/>
    <x v="134"/>
  </r>
  <r>
    <x v="9"/>
    <x v="3"/>
    <x v="7"/>
    <x v="134"/>
  </r>
  <r>
    <x v="9"/>
    <x v="0"/>
    <x v="7"/>
    <x v="134"/>
  </r>
  <r>
    <x v="9"/>
    <x v="1"/>
    <x v="3"/>
    <x v="134"/>
  </r>
  <r>
    <x v="10"/>
    <x v="1"/>
    <x v="2"/>
    <x v="1252"/>
  </r>
  <r>
    <x v="10"/>
    <x v="2"/>
    <x v="4"/>
    <x v="1253"/>
  </r>
  <r>
    <x v="10"/>
    <x v="1"/>
    <x v="5"/>
    <x v="1254"/>
  </r>
  <r>
    <x v="10"/>
    <x v="1"/>
    <x v="11"/>
    <x v="1255"/>
  </r>
  <r>
    <x v="10"/>
    <x v="0"/>
    <x v="11"/>
    <x v="1256"/>
  </r>
  <r>
    <x v="10"/>
    <x v="1"/>
    <x v="14"/>
    <x v="1257"/>
  </r>
  <r>
    <x v="10"/>
    <x v="3"/>
    <x v="5"/>
    <x v="1258"/>
  </r>
  <r>
    <x v="10"/>
    <x v="0"/>
    <x v="4"/>
    <x v="1259"/>
  </r>
  <r>
    <x v="10"/>
    <x v="2"/>
    <x v="10"/>
    <x v="1260"/>
  </r>
  <r>
    <x v="10"/>
    <x v="2"/>
    <x v="5"/>
    <x v="1261"/>
  </r>
  <r>
    <x v="10"/>
    <x v="0"/>
    <x v="5"/>
    <x v="1262"/>
  </r>
  <r>
    <x v="10"/>
    <x v="0"/>
    <x v="14"/>
    <x v="1263"/>
  </r>
  <r>
    <x v="10"/>
    <x v="3"/>
    <x v="4"/>
    <x v="1264"/>
  </r>
  <r>
    <x v="10"/>
    <x v="3"/>
    <x v="11"/>
    <x v="1265"/>
  </r>
  <r>
    <x v="10"/>
    <x v="0"/>
    <x v="2"/>
    <x v="1266"/>
  </r>
  <r>
    <x v="10"/>
    <x v="1"/>
    <x v="4"/>
    <x v="1267"/>
  </r>
  <r>
    <x v="10"/>
    <x v="2"/>
    <x v="6"/>
    <x v="1268"/>
  </r>
  <r>
    <x v="10"/>
    <x v="2"/>
    <x v="11"/>
    <x v="1269"/>
  </r>
  <r>
    <x v="10"/>
    <x v="1"/>
    <x v="6"/>
    <x v="1270"/>
  </r>
  <r>
    <x v="10"/>
    <x v="2"/>
    <x v="15"/>
    <x v="1271"/>
  </r>
  <r>
    <x v="10"/>
    <x v="3"/>
    <x v="14"/>
    <x v="1272"/>
  </r>
  <r>
    <x v="10"/>
    <x v="0"/>
    <x v="6"/>
    <x v="1273"/>
  </r>
  <r>
    <x v="10"/>
    <x v="2"/>
    <x v="2"/>
    <x v="1274"/>
  </r>
  <r>
    <x v="10"/>
    <x v="0"/>
    <x v="13"/>
    <x v="1275"/>
  </r>
  <r>
    <x v="10"/>
    <x v="4"/>
    <x v="5"/>
    <x v="1276"/>
  </r>
  <r>
    <x v="10"/>
    <x v="3"/>
    <x v="10"/>
    <x v="1277"/>
  </r>
  <r>
    <x v="10"/>
    <x v="1"/>
    <x v="13"/>
    <x v="1278"/>
  </r>
  <r>
    <x v="10"/>
    <x v="4"/>
    <x v="4"/>
    <x v="1279"/>
  </r>
  <r>
    <x v="10"/>
    <x v="3"/>
    <x v="2"/>
    <x v="1280"/>
  </r>
  <r>
    <x v="10"/>
    <x v="2"/>
    <x v="16"/>
    <x v="1281"/>
  </r>
  <r>
    <x v="10"/>
    <x v="2"/>
    <x v="13"/>
    <x v="1282"/>
  </r>
  <r>
    <x v="10"/>
    <x v="4"/>
    <x v="11"/>
    <x v="1283"/>
  </r>
  <r>
    <x v="10"/>
    <x v="1"/>
    <x v="18"/>
    <x v="1284"/>
  </r>
  <r>
    <x v="10"/>
    <x v="3"/>
    <x v="6"/>
    <x v="1285"/>
  </r>
  <r>
    <x v="10"/>
    <x v="1"/>
    <x v="9"/>
    <x v="1286"/>
  </r>
  <r>
    <x v="10"/>
    <x v="0"/>
    <x v="9"/>
    <x v="1287"/>
  </r>
  <r>
    <x v="10"/>
    <x v="2"/>
    <x v="14"/>
    <x v="1288"/>
  </r>
  <r>
    <x v="10"/>
    <x v="1"/>
    <x v="12"/>
    <x v="1289"/>
  </r>
  <r>
    <x v="10"/>
    <x v="1"/>
    <x v="16"/>
    <x v="1290"/>
  </r>
  <r>
    <x v="10"/>
    <x v="3"/>
    <x v="13"/>
    <x v="1291"/>
  </r>
  <r>
    <x v="10"/>
    <x v="0"/>
    <x v="12"/>
    <x v="1292"/>
  </r>
  <r>
    <x v="10"/>
    <x v="2"/>
    <x v="21"/>
    <x v="1293"/>
  </r>
  <r>
    <x v="10"/>
    <x v="0"/>
    <x v="10"/>
    <x v="1294"/>
  </r>
  <r>
    <x v="10"/>
    <x v="2"/>
    <x v="8"/>
    <x v="1295"/>
  </r>
  <r>
    <x v="10"/>
    <x v="1"/>
    <x v="21"/>
    <x v="1296"/>
  </r>
  <r>
    <x v="10"/>
    <x v="0"/>
    <x v="21"/>
    <x v="1297"/>
  </r>
  <r>
    <x v="10"/>
    <x v="4"/>
    <x v="2"/>
    <x v="1298"/>
  </r>
  <r>
    <x v="10"/>
    <x v="0"/>
    <x v="8"/>
    <x v="1299"/>
  </r>
  <r>
    <x v="10"/>
    <x v="2"/>
    <x v="22"/>
    <x v="1300"/>
  </r>
  <r>
    <x v="10"/>
    <x v="1"/>
    <x v="8"/>
    <x v="1301"/>
  </r>
  <r>
    <x v="10"/>
    <x v="4"/>
    <x v="14"/>
    <x v="1302"/>
  </r>
  <r>
    <x v="10"/>
    <x v="3"/>
    <x v="15"/>
    <x v="1303"/>
  </r>
  <r>
    <x v="10"/>
    <x v="1"/>
    <x v="10"/>
    <x v="1304"/>
  </r>
  <r>
    <x v="10"/>
    <x v="0"/>
    <x v="18"/>
    <x v="1305"/>
  </r>
  <r>
    <x v="10"/>
    <x v="3"/>
    <x v="16"/>
    <x v="1306"/>
  </r>
  <r>
    <x v="10"/>
    <x v="3"/>
    <x v="18"/>
    <x v="1307"/>
  </r>
  <r>
    <x v="10"/>
    <x v="4"/>
    <x v="6"/>
    <x v="1308"/>
  </r>
  <r>
    <x v="10"/>
    <x v="1"/>
    <x v="20"/>
    <x v="1309"/>
  </r>
  <r>
    <x v="10"/>
    <x v="0"/>
    <x v="22"/>
    <x v="1310"/>
  </r>
  <r>
    <x v="10"/>
    <x v="1"/>
    <x v="22"/>
    <x v="1311"/>
  </r>
  <r>
    <x v="10"/>
    <x v="0"/>
    <x v="19"/>
    <x v="1312"/>
  </r>
  <r>
    <x v="10"/>
    <x v="1"/>
    <x v="19"/>
    <x v="1313"/>
  </r>
  <r>
    <x v="10"/>
    <x v="0"/>
    <x v="20"/>
    <x v="1314"/>
  </r>
  <r>
    <x v="10"/>
    <x v="2"/>
    <x v="9"/>
    <x v="1315"/>
  </r>
  <r>
    <x v="10"/>
    <x v="3"/>
    <x v="20"/>
    <x v="1316"/>
  </r>
  <r>
    <x v="10"/>
    <x v="2"/>
    <x v="12"/>
    <x v="1317"/>
  </r>
  <r>
    <x v="10"/>
    <x v="3"/>
    <x v="21"/>
    <x v="1318"/>
  </r>
  <r>
    <x v="10"/>
    <x v="0"/>
    <x v="16"/>
    <x v="1319"/>
  </r>
  <r>
    <x v="10"/>
    <x v="3"/>
    <x v="19"/>
    <x v="1320"/>
  </r>
  <r>
    <x v="10"/>
    <x v="4"/>
    <x v="13"/>
    <x v="1321"/>
  </r>
  <r>
    <x v="10"/>
    <x v="2"/>
    <x v="19"/>
    <x v="1322"/>
  </r>
  <r>
    <x v="10"/>
    <x v="2"/>
    <x v="18"/>
    <x v="1323"/>
  </r>
  <r>
    <x v="10"/>
    <x v="3"/>
    <x v="22"/>
    <x v="1324"/>
  </r>
  <r>
    <x v="10"/>
    <x v="2"/>
    <x v="17"/>
    <x v="1325"/>
  </r>
  <r>
    <x v="10"/>
    <x v="2"/>
    <x v="20"/>
    <x v="1326"/>
  </r>
  <r>
    <x v="10"/>
    <x v="4"/>
    <x v="10"/>
    <x v="1327"/>
  </r>
  <r>
    <x v="10"/>
    <x v="3"/>
    <x v="9"/>
    <x v="1328"/>
  </r>
  <r>
    <x v="10"/>
    <x v="3"/>
    <x v="12"/>
    <x v="1329"/>
  </r>
  <r>
    <x v="10"/>
    <x v="0"/>
    <x v="17"/>
    <x v="1330"/>
  </r>
  <r>
    <x v="10"/>
    <x v="1"/>
    <x v="15"/>
    <x v="1331"/>
  </r>
  <r>
    <x v="10"/>
    <x v="3"/>
    <x v="8"/>
    <x v="1332"/>
  </r>
  <r>
    <x v="10"/>
    <x v="4"/>
    <x v="16"/>
    <x v="1333"/>
  </r>
  <r>
    <x v="10"/>
    <x v="4"/>
    <x v="21"/>
    <x v="1334"/>
  </r>
  <r>
    <x v="10"/>
    <x v="2"/>
    <x v="23"/>
    <x v="1335"/>
  </r>
  <r>
    <x v="10"/>
    <x v="4"/>
    <x v="18"/>
    <x v="1336"/>
  </r>
  <r>
    <x v="10"/>
    <x v="4"/>
    <x v="9"/>
    <x v="1337"/>
  </r>
  <r>
    <x v="10"/>
    <x v="4"/>
    <x v="12"/>
    <x v="1338"/>
  </r>
  <r>
    <x v="10"/>
    <x v="1"/>
    <x v="24"/>
    <x v="1339"/>
  </r>
  <r>
    <x v="10"/>
    <x v="4"/>
    <x v="22"/>
    <x v="1340"/>
  </r>
  <r>
    <x v="10"/>
    <x v="0"/>
    <x v="15"/>
    <x v="1341"/>
  </r>
  <r>
    <x v="10"/>
    <x v="1"/>
    <x v="25"/>
    <x v="1342"/>
  </r>
  <r>
    <x v="10"/>
    <x v="4"/>
    <x v="19"/>
    <x v="1343"/>
  </r>
  <r>
    <x v="10"/>
    <x v="4"/>
    <x v="8"/>
    <x v="1344"/>
  </r>
  <r>
    <x v="10"/>
    <x v="1"/>
    <x v="26"/>
    <x v="1345"/>
  </r>
  <r>
    <x v="10"/>
    <x v="4"/>
    <x v="20"/>
    <x v="1346"/>
  </r>
  <r>
    <x v="10"/>
    <x v="1"/>
    <x v="17"/>
    <x v="1347"/>
  </r>
  <r>
    <x v="10"/>
    <x v="0"/>
    <x v="24"/>
    <x v="1348"/>
  </r>
  <r>
    <x v="10"/>
    <x v="0"/>
    <x v="25"/>
    <x v="1349"/>
  </r>
  <r>
    <x v="10"/>
    <x v="0"/>
    <x v="26"/>
    <x v="1350"/>
  </r>
  <r>
    <x v="10"/>
    <x v="4"/>
    <x v="15"/>
    <x v="1351"/>
  </r>
  <r>
    <x v="10"/>
    <x v="0"/>
    <x v="23"/>
    <x v="1352"/>
  </r>
  <r>
    <x v="10"/>
    <x v="3"/>
    <x v="24"/>
    <x v="1353"/>
  </r>
  <r>
    <x v="10"/>
    <x v="1"/>
    <x v="23"/>
    <x v="1354"/>
  </r>
  <r>
    <x v="10"/>
    <x v="3"/>
    <x v="25"/>
    <x v="1355"/>
  </r>
  <r>
    <x v="10"/>
    <x v="3"/>
    <x v="17"/>
    <x v="1356"/>
  </r>
  <r>
    <x v="10"/>
    <x v="3"/>
    <x v="26"/>
    <x v="1357"/>
  </r>
  <r>
    <x v="10"/>
    <x v="2"/>
    <x v="24"/>
    <x v="1358"/>
  </r>
  <r>
    <x v="10"/>
    <x v="2"/>
    <x v="25"/>
    <x v="1359"/>
  </r>
  <r>
    <x v="10"/>
    <x v="2"/>
    <x v="26"/>
    <x v="1360"/>
  </r>
  <r>
    <x v="10"/>
    <x v="1"/>
    <x v="27"/>
    <x v="1361"/>
  </r>
  <r>
    <x v="10"/>
    <x v="0"/>
    <x v="27"/>
    <x v="1362"/>
  </r>
  <r>
    <x v="10"/>
    <x v="2"/>
    <x v="27"/>
    <x v="1363"/>
  </r>
  <r>
    <x v="10"/>
    <x v="3"/>
    <x v="23"/>
    <x v="1364"/>
  </r>
  <r>
    <x v="10"/>
    <x v="4"/>
    <x v="17"/>
    <x v="1365"/>
  </r>
  <r>
    <x v="10"/>
    <x v="3"/>
    <x v="27"/>
    <x v="1366"/>
  </r>
  <r>
    <x v="10"/>
    <x v="4"/>
    <x v="24"/>
    <x v="1367"/>
  </r>
  <r>
    <x v="10"/>
    <x v="4"/>
    <x v="25"/>
    <x v="1368"/>
  </r>
  <r>
    <x v="10"/>
    <x v="4"/>
    <x v="26"/>
    <x v="1369"/>
  </r>
  <r>
    <x v="10"/>
    <x v="4"/>
    <x v="23"/>
    <x v="1370"/>
  </r>
  <r>
    <x v="10"/>
    <x v="4"/>
    <x v="27"/>
    <x v="1371"/>
  </r>
  <r>
    <x v="10"/>
    <x v="4"/>
    <x v="1"/>
    <x v="134"/>
  </r>
  <r>
    <x v="10"/>
    <x v="1"/>
    <x v="1"/>
    <x v="134"/>
  </r>
  <r>
    <x v="10"/>
    <x v="2"/>
    <x v="1"/>
    <x v="134"/>
  </r>
  <r>
    <x v="10"/>
    <x v="3"/>
    <x v="1"/>
    <x v="134"/>
  </r>
  <r>
    <x v="10"/>
    <x v="0"/>
    <x v="1"/>
    <x v="134"/>
  </r>
  <r>
    <x v="10"/>
    <x v="4"/>
    <x v="0"/>
    <x v="134"/>
  </r>
  <r>
    <x v="10"/>
    <x v="1"/>
    <x v="0"/>
    <x v="134"/>
  </r>
  <r>
    <x v="10"/>
    <x v="2"/>
    <x v="0"/>
    <x v="134"/>
  </r>
  <r>
    <x v="10"/>
    <x v="3"/>
    <x v="0"/>
    <x v="134"/>
  </r>
  <r>
    <x v="10"/>
    <x v="0"/>
    <x v="0"/>
    <x v="134"/>
  </r>
  <r>
    <x v="10"/>
    <x v="4"/>
    <x v="28"/>
    <x v="134"/>
  </r>
  <r>
    <x v="10"/>
    <x v="1"/>
    <x v="28"/>
    <x v="134"/>
  </r>
  <r>
    <x v="10"/>
    <x v="2"/>
    <x v="28"/>
    <x v="134"/>
  </r>
  <r>
    <x v="10"/>
    <x v="3"/>
    <x v="28"/>
    <x v="134"/>
  </r>
  <r>
    <x v="10"/>
    <x v="0"/>
    <x v="28"/>
    <x v="134"/>
  </r>
  <r>
    <x v="10"/>
    <x v="4"/>
    <x v="7"/>
    <x v="134"/>
  </r>
  <r>
    <x v="10"/>
    <x v="1"/>
    <x v="7"/>
    <x v="134"/>
  </r>
  <r>
    <x v="10"/>
    <x v="2"/>
    <x v="7"/>
    <x v="134"/>
  </r>
  <r>
    <x v="10"/>
    <x v="3"/>
    <x v="7"/>
    <x v="134"/>
  </r>
  <r>
    <x v="10"/>
    <x v="0"/>
    <x v="7"/>
    <x v="134"/>
  </r>
  <r>
    <x v="10"/>
    <x v="4"/>
    <x v="3"/>
    <x v="134"/>
  </r>
  <r>
    <x v="10"/>
    <x v="1"/>
    <x v="3"/>
    <x v="134"/>
  </r>
  <r>
    <x v="10"/>
    <x v="2"/>
    <x v="3"/>
    <x v="134"/>
  </r>
  <r>
    <x v="10"/>
    <x v="3"/>
    <x v="3"/>
    <x v="134"/>
  </r>
  <r>
    <x v="10"/>
    <x v="0"/>
    <x v="3"/>
    <x v="134"/>
  </r>
  <r>
    <x v="11"/>
    <x v="2"/>
    <x v="0"/>
    <x v="1372"/>
  </r>
  <r>
    <x v="11"/>
    <x v="0"/>
    <x v="0"/>
    <x v="1373"/>
  </r>
  <r>
    <x v="11"/>
    <x v="1"/>
    <x v="0"/>
    <x v="1374"/>
  </r>
  <r>
    <x v="11"/>
    <x v="3"/>
    <x v="0"/>
    <x v="1375"/>
  </r>
  <r>
    <x v="11"/>
    <x v="4"/>
    <x v="0"/>
    <x v="1376"/>
  </r>
  <r>
    <x v="11"/>
    <x v="2"/>
    <x v="5"/>
    <x v="1377"/>
  </r>
  <r>
    <x v="11"/>
    <x v="0"/>
    <x v="5"/>
    <x v="1378"/>
  </r>
  <r>
    <x v="11"/>
    <x v="1"/>
    <x v="5"/>
    <x v="1379"/>
  </r>
  <r>
    <x v="11"/>
    <x v="4"/>
    <x v="5"/>
    <x v="1380"/>
  </r>
  <r>
    <x v="11"/>
    <x v="1"/>
    <x v="14"/>
    <x v="1381"/>
  </r>
  <r>
    <x v="11"/>
    <x v="2"/>
    <x v="4"/>
    <x v="1382"/>
  </r>
  <r>
    <x v="11"/>
    <x v="1"/>
    <x v="11"/>
    <x v="1383"/>
  </r>
  <r>
    <x v="11"/>
    <x v="0"/>
    <x v="4"/>
    <x v="1384"/>
  </r>
  <r>
    <x v="11"/>
    <x v="0"/>
    <x v="11"/>
    <x v="1385"/>
  </r>
  <r>
    <x v="11"/>
    <x v="2"/>
    <x v="6"/>
    <x v="1386"/>
  </r>
  <r>
    <x v="11"/>
    <x v="1"/>
    <x v="2"/>
    <x v="1387"/>
  </r>
  <r>
    <x v="11"/>
    <x v="1"/>
    <x v="4"/>
    <x v="1388"/>
  </r>
  <r>
    <x v="11"/>
    <x v="3"/>
    <x v="4"/>
    <x v="1389"/>
  </r>
  <r>
    <x v="11"/>
    <x v="0"/>
    <x v="14"/>
    <x v="1390"/>
  </r>
  <r>
    <x v="11"/>
    <x v="3"/>
    <x v="11"/>
    <x v="1391"/>
  </r>
  <r>
    <x v="11"/>
    <x v="2"/>
    <x v="10"/>
    <x v="1392"/>
  </r>
  <r>
    <x v="11"/>
    <x v="2"/>
    <x v="11"/>
    <x v="1393"/>
  </r>
  <r>
    <x v="11"/>
    <x v="1"/>
    <x v="6"/>
    <x v="1394"/>
  </r>
  <r>
    <x v="11"/>
    <x v="3"/>
    <x v="14"/>
    <x v="1395"/>
  </r>
  <r>
    <x v="11"/>
    <x v="0"/>
    <x v="6"/>
    <x v="1396"/>
  </r>
  <r>
    <x v="11"/>
    <x v="0"/>
    <x v="2"/>
    <x v="1397"/>
  </r>
  <r>
    <x v="11"/>
    <x v="0"/>
    <x v="13"/>
    <x v="1398"/>
  </r>
  <r>
    <x v="11"/>
    <x v="2"/>
    <x v="15"/>
    <x v="1399"/>
  </r>
  <r>
    <x v="11"/>
    <x v="1"/>
    <x v="13"/>
    <x v="1400"/>
  </r>
  <r>
    <x v="11"/>
    <x v="2"/>
    <x v="13"/>
    <x v="1401"/>
  </r>
  <r>
    <x v="11"/>
    <x v="4"/>
    <x v="4"/>
    <x v="1402"/>
  </r>
  <r>
    <x v="11"/>
    <x v="3"/>
    <x v="2"/>
    <x v="1403"/>
  </r>
  <r>
    <x v="11"/>
    <x v="2"/>
    <x v="16"/>
    <x v="1404"/>
  </r>
  <r>
    <x v="11"/>
    <x v="2"/>
    <x v="14"/>
    <x v="1405"/>
  </r>
  <r>
    <x v="11"/>
    <x v="1"/>
    <x v="9"/>
    <x v="1406"/>
  </r>
  <r>
    <x v="11"/>
    <x v="4"/>
    <x v="11"/>
    <x v="1407"/>
  </r>
  <r>
    <x v="11"/>
    <x v="1"/>
    <x v="12"/>
    <x v="1408"/>
  </r>
  <r>
    <x v="11"/>
    <x v="3"/>
    <x v="10"/>
    <x v="1409"/>
  </r>
  <r>
    <x v="11"/>
    <x v="3"/>
    <x v="13"/>
    <x v="1410"/>
  </r>
  <r>
    <x v="11"/>
    <x v="1"/>
    <x v="18"/>
    <x v="1411"/>
  </r>
  <r>
    <x v="11"/>
    <x v="3"/>
    <x v="6"/>
    <x v="1412"/>
  </r>
  <r>
    <x v="11"/>
    <x v="2"/>
    <x v="2"/>
    <x v="1413"/>
  </r>
  <r>
    <x v="11"/>
    <x v="2"/>
    <x v="21"/>
    <x v="1414"/>
  </r>
  <r>
    <x v="11"/>
    <x v="0"/>
    <x v="10"/>
    <x v="1415"/>
  </r>
  <r>
    <x v="11"/>
    <x v="0"/>
    <x v="21"/>
    <x v="1416"/>
  </r>
  <r>
    <x v="11"/>
    <x v="4"/>
    <x v="14"/>
    <x v="1417"/>
  </r>
  <r>
    <x v="11"/>
    <x v="2"/>
    <x v="22"/>
    <x v="1418"/>
  </r>
  <r>
    <x v="11"/>
    <x v="0"/>
    <x v="9"/>
    <x v="1419"/>
  </r>
  <r>
    <x v="11"/>
    <x v="0"/>
    <x v="12"/>
    <x v="1420"/>
  </r>
  <r>
    <x v="11"/>
    <x v="0"/>
    <x v="18"/>
    <x v="1421"/>
  </r>
  <r>
    <x v="11"/>
    <x v="2"/>
    <x v="8"/>
    <x v="1422"/>
  </r>
  <r>
    <x v="11"/>
    <x v="2"/>
    <x v="9"/>
    <x v="1423"/>
  </r>
  <r>
    <x v="11"/>
    <x v="2"/>
    <x v="12"/>
    <x v="1424"/>
  </r>
  <r>
    <x v="11"/>
    <x v="0"/>
    <x v="22"/>
    <x v="1425"/>
  </r>
  <r>
    <x v="11"/>
    <x v="4"/>
    <x v="6"/>
    <x v="1426"/>
  </r>
  <r>
    <x v="11"/>
    <x v="3"/>
    <x v="18"/>
    <x v="1427"/>
  </r>
  <r>
    <x v="11"/>
    <x v="3"/>
    <x v="12"/>
    <x v="1428"/>
  </r>
  <r>
    <x v="11"/>
    <x v="3"/>
    <x v="9"/>
    <x v="1428"/>
  </r>
  <r>
    <x v="11"/>
    <x v="3"/>
    <x v="15"/>
    <x v="1429"/>
  </r>
  <r>
    <x v="11"/>
    <x v="0"/>
    <x v="8"/>
    <x v="1430"/>
  </r>
  <r>
    <x v="11"/>
    <x v="1"/>
    <x v="16"/>
    <x v="1431"/>
  </r>
  <r>
    <x v="11"/>
    <x v="1"/>
    <x v="20"/>
    <x v="1432"/>
  </r>
  <r>
    <x v="11"/>
    <x v="1"/>
    <x v="10"/>
    <x v="1433"/>
  </r>
  <r>
    <x v="11"/>
    <x v="0"/>
    <x v="19"/>
    <x v="1434"/>
  </r>
  <r>
    <x v="11"/>
    <x v="1"/>
    <x v="8"/>
    <x v="1435"/>
  </r>
  <r>
    <x v="11"/>
    <x v="4"/>
    <x v="2"/>
    <x v="1436"/>
  </r>
  <r>
    <x v="11"/>
    <x v="1"/>
    <x v="21"/>
    <x v="1437"/>
  </r>
  <r>
    <x v="11"/>
    <x v="4"/>
    <x v="13"/>
    <x v="1438"/>
  </r>
  <r>
    <x v="11"/>
    <x v="0"/>
    <x v="20"/>
    <x v="1439"/>
  </r>
  <r>
    <x v="11"/>
    <x v="1"/>
    <x v="19"/>
    <x v="1440"/>
  </r>
  <r>
    <x v="11"/>
    <x v="3"/>
    <x v="16"/>
    <x v="1441"/>
  </r>
  <r>
    <x v="11"/>
    <x v="3"/>
    <x v="20"/>
    <x v="1442"/>
  </r>
  <r>
    <x v="11"/>
    <x v="1"/>
    <x v="22"/>
    <x v="1443"/>
  </r>
  <r>
    <x v="11"/>
    <x v="0"/>
    <x v="16"/>
    <x v="1444"/>
  </r>
  <r>
    <x v="11"/>
    <x v="3"/>
    <x v="19"/>
    <x v="1445"/>
  </r>
  <r>
    <x v="11"/>
    <x v="2"/>
    <x v="19"/>
    <x v="1446"/>
  </r>
  <r>
    <x v="11"/>
    <x v="2"/>
    <x v="18"/>
    <x v="1447"/>
  </r>
  <r>
    <x v="11"/>
    <x v="3"/>
    <x v="21"/>
    <x v="1448"/>
  </r>
  <r>
    <x v="11"/>
    <x v="2"/>
    <x v="20"/>
    <x v="1449"/>
  </r>
  <r>
    <x v="11"/>
    <x v="4"/>
    <x v="10"/>
    <x v="1450"/>
  </r>
  <r>
    <x v="11"/>
    <x v="0"/>
    <x v="17"/>
    <x v="1451"/>
  </r>
  <r>
    <x v="11"/>
    <x v="3"/>
    <x v="22"/>
    <x v="1452"/>
  </r>
  <r>
    <x v="11"/>
    <x v="2"/>
    <x v="17"/>
    <x v="1453"/>
  </r>
  <r>
    <x v="11"/>
    <x v="4"/>
    <x v="9"/>
    <x v="1454"/>
  </r>
  <r>
    <x v="11"/>
    <x v="4"/>
    <x v="12"/>
    <x v="1455"/>
  </r>
  <r>
    <x v="11"/>
    <x v="1"/>
    <x v="15"/>
    <x v="1456"/>
  </r>
  <r>
    <x v="11"/>
    <x v="3"/>
    <x v="8"/>
    <x v="1457"/>
  </r>
  <r>
    <x v="11"/>
    <x v="4"/>
    <x v="18"/>
    <x v="1458"/>
  </r>
  <r>
    <x v="11"/>
    <x v="4"/>
    <x v="16"/>
    <x v="1459"/>
  </r>
  <r>
    <x v="11"/>
    <x v="4"/>
    <x v="21"/>
    <x v="1460"/>
  </r>
  <r>
    <x v="11"/>
    <x v="1"/>
    <x v="24"/>
    <x v="1461"/>
  </r>
  <r>
    <x v="11"/>
    <x v="1"/>
    <x v="25"/>
    <x v="1462"/>
  </r>
  <r>
    <x v="11"/>
    <x v="0"/>
    <x v="15"/>
    <x v="1463"/>
  </r>
  <r>
    <x v="11"/>
    <x v="2"/>
    <x v="23"/>
    <x v="1464"/>
  </r>
  <r>
    <x v="11"/>
    <x v="1"/>
    <x v="26"/>
    <x v="1465"/>
  </r>
  <r>
    <x v="11"/>
    <x v="1"/>
    <x v="17"/>
    <x v="1466"/>
  </r>
  <r>
    <x v="11"/>
    <x v="4"/>
    <x v="22"/>
    <x v="1467"/>
  </r>
  <r>
    <x v="11"/>
    <x v="4"/>
    <x v="19"/>
    <x v="1468"/>
  </r>
  <r>
    <x v="11"/>
    <x v="4"/>
    <x v="20"/>
    <x v="1469"/>
  </r>
  <r>
    <x v="11"/>
    <x v="4"/>
    <x v="8"/>
    <x v="1470"/>
  </r>
  <r>
    <x v="11"/>
    <x v="0"/>
    <x v="24"/>
    <x v="1471"/>
  </r>
  <r>
    <x v="11"/>
    <x v="0"/>
    <x v="25"/>
    <x v="1472"/>
  </r>
  <r>
    <x v="11"/>
    <x v="0"/>
    <x v="26"/>
    <x v="1473"/>
  </r>
  <r>
    <x v="11"/>
    <x v="4"/>
    <x v="15"/>
    <x v="1474"/>
  </r>
  <r>
    <x v="11"/>
    <x v="3"/>
    <x v="17"/>
    <x v="1475"/>
  </r>
  <r>
    <x v="11"/>
    <x v="3"/>
    <x v="24"/>
    <x v="1476"/>
  </r>
  <r>
    <x v="11"/>
    <x v="0"/>
    <x v="23"/>
    <x v="1477"/>
  </r>
  <r>
    <x v="11"/>
    <x v="3"/>
    <x v="25"/>
    <x v="1478"/>
  </r>
  <r>
    <x v="11"/>
    <x v="3"/>
    <x v="26"/>
    <x v="1479"/>
  </r>
  <r>
    <x v="11"/>
    <x v="1"/>
    <x v="23"/>
    <x v="1480"/>
  </r>
  <r>
    <x v="11"/>
    <x v="2"/>
    <x v="24"/>
    <x v="1481"/>
  </r>
  <r>
    <x v="11"/>
    <x v="2"/>
    <x v="25"/>
    <x v="1482"/>
  </r>
  <r>
    <x v="11"/>
    <x v="2"/>
    <x v="26"/>
    <x v="1483"/>
  </r>
  <r>
    <x v="11"/>
    <x v="1"/>
    <x v="27"/>
    <x v="1484"/>
  </r>
  <r>
    <x v="11"/>
    <x v="0"/>
    <x v="27"/>
    <x v="1485"/>
  </r>
  <r>
    <x v="11"/>
    <x v="3"/>
    <x v="23"/>
    <x v="1486"/>
  </r>
  <r>
    <x v="11"/>
    <x v="2"/>
    <x v="27"/>
    <x v="1487"/>
  </r>
  <r>
    <x v="11"/>
    <x v="4"/>
    <x v="17"/>
    <x v="1488"/>
  </r>
  <r>
    <x v="11"/>
    <x v="3"/>
    <x v="27"/>
    <x v="1489"/>
  </r>
  <r>
    <x v="11"/>
    <x v="4"/>
    <x v="24"/>
    <x v="1490"/>
  </r>
  <r>
    <x v="11"/>
    <x v="4"/>
    <x v="25"/>
    <x v="1491"/>
  </r>
  <r>
    <x v="11"/>
    <x v="4"/>
    <x v="26"/>
    <x v="1492"/>
  </r>
  <r>
    <x v="11"/>
    <x v="4"/>
    <x v="23"/>
    <x v="1493"/>
  </r>
  <r>
    <x v="11"/>
    <x v="4"/>
    <x v="27"/>
    <x v="1494"/>
  </r>
  <r>
    <x v="11"/>
    <x v="4"/>
    <x v="1"/>
    <x v="134"/>
  </r>
  <r>
    <x v="11"/>
    <x v="1"/>
    <x v="1"/>
    <x v="134"/>
  </r>
  <r>
    <x v="11"/>
    <x v="2"/>
    <x v="1"/>
    <x v="134"/>
  </r>
  <r>
    <x v="11"/>
    <x v="3"/>
    <x v="1"/>
    <x v="134"/>
  </r>
  <r>
    <x v="11"/>
    <x v="0"/>
    <x v="1"/>
    <x v="134"/>
  </r>
  <r>
    <x v="11"/>
    <x v="4"/>
    <x v="28"/>
    <x v="134"/>
  </r>
  <r>
    <x v="11"/>
    <x v="1"/>
    <x v="28"/>
    <x v="134"/>
  </r>
  <r>
    <x v="11"/>
    <x v="2"/>
    <x v="28"/>
    <x v="134"/>
  </r>
  <r>
    <x v="11"/>
    <x v="3"/>
    <x v="28"/>
    <x v="134"/>
  </r>
  <r>
    <x v="11"/>
    <x v="0"/>
    <x v="28"/>
    <x v="134"/>
  </r>
  <r>
    <x v="11"/>
    <x v="4"/>
    <x v="7"/>
    <x v="134"/>
  </r>
  <r>
    <x v="11"/>
    <x v="1"/>
    <x v="7"/>
    <x v="134"/>
  </r>
  <r>
    <x v="11"/>
    <x v="2"/>
    <x v="7"/>
    <x v="134"/>
  </r>
  <r>
    <x v="11"/>
    <x v="3"/>
    <x v="7"/>
    <x v="134"/>
  </r>
  <r>
    <x v="11"/>
    <x v="0"/>
    <x v="7"/>
    <x v="134"/>
  </r>
  <r>
    <x v="11"/>
    <x v="3"/>
    <x v="5"/>
    <x v="134"/>
  </r>
  <r>
    <x v="11"/>
    <x v="4"/>
    <x v="3"/>
    <x v="134"/>
  </r>
  <r>
    <x v="11"/>
    <x v="1"/>
    <x v="3"/>
    <x v="134"/>
  </r>
  <r>
    <x v="11"/>
    <x v="2"/>
    <x v="3"/>
    <x v="134"/>
  </r>
  <r>
    <x v="11"/>
    <x v="3"/>
    <x v="3"/>
    <x v="134"/>
  </r>
  <r>
    <x v="11"/>
    <x v="0"/>
    <x v="3"/>
    <x v="134"/>
  </r>
  <r>
    <x v="12"/>
    <x v="2"/>
    <x v="0"/>
    <x v="134"/>
  </r>
  <r>
    <x v="12"/>
    <x v="0"/>
    <x v="0"/>
    <x v="134"/>
  </r>
  <r>
    <x v="12"/>
    <x v="1"/>
    <x v="0"/>
    <x v="134"/>
  </r>
  <r>
    <x v="12"/>
    <x v="3"/>
    <x v="0"/>
    <x v="134"/>
  </r>
  <r>
    <x v="12"/>
    <x v="4"/>
    <x v="0"/>
    <x v="134"/>
  </r>
  <r>
    <x v="12"/>
    <x v="2"/>
    <x v="5"/>
    <x v="134"/>
  </r>
  <r>
    <x v="12"/>
    <x v="0"/>
    <x v="5"/>
    <x v="134"/>
  </r>
  <r>
    <x v="12"/>
    <x v="1"/>
    <x v="5"/>
    <x v="134"/>
  </r>
  <r>
    <x v="12"/>
    <x v="4"/>
    <x v="5"/>
    <x v="134"/>
  </r>
  <r>
    <x v="12"/>
    <x v="1"/>
    <x v="14"/>
    <x v="134"/>
  </r>
  <r>
    <x v="12"/>
    <x v="2"/>
    <x v="4"/>
    <x v="134"/>
  </r>
  <r>
    <x v="12"/>
    <x v="1"/>
    <x v="11"/>
    <x v="134"/>
  </r>
  <r>
    <x v="12"/>
    <x v="0"/>
    <x v="4"/>
    <x v="134"/>
  </r>
  <r>
    <x v="12"/>
    <x v="0"/>
    <x v="11"/>
    <x v="134"/>
  </r>
  <r>
    <x v="12"/>
    <x v="2"/>
    <x v="6"/>
    <x v="134"/>
  </r>
  <r>
    <x v="12"/>
    <x v="1"/>
    <x v="2"/>
    <x v="134"/>
  </r>
  <r>
    <x v="12"/>
    <x v="1"/>
    <x v="4"/>
    <x v="134"/>
  </r>
  <r>
    <x v="12"/>
    <x v="3"/>
    <x v="4"/>
    <x v="134"/>
  </r>
  <r>
    <x v="12"/>
    <x v="0"/>
    <x v="14"/>
    <x v="134"/>
  </r>
  <r>
    <x v="12"/>
    <x v="3"/>
    <x v="11"/>
    <x v="134"/>
  </r>
  <r>
    <x v="12"/>
    <x v="2"/>
    <x v="10"/>
    <x v="134"/>
  </r>
  <r>
    <x v="12"/>
    <x v="2"/>
    <x v="11"/>
    <x v="134"/>
  </r>
  <r>
    <x v="12"/>
    <x v="1"/>
    <x v="6"/>
    <x v="134"/>
  </r>
  <r>
    <x v="12"/>
    <x v="3"/>
    <x v="14"/>
    <x v="134"/>
  </r>
  <r>
    <x v="12"/>
    <x v="0"/>
    <x v="6"/>
    <x v="134"/>
  </r>
  <r>
    <x v="12"/>
    <x v="0"/>
    <x v="2"/>
    <x v="134"/>
  </r>
  <r>
    <x v="12"/>
    <x v="0"/>
    <x v="13"/>
    <x v="134"/>
  </r>
  <r>
    <x v="12"/>
    <x v="2"/>
    <x v="15"/>
    <x v="134"/>
  </r>
  <r>
    <x v="12"/>
    <x v="1"/>
    <x v="13"/>
    <x v="134"/>
  </r>
  <r>
    <x v="12"/>
    <x v="2"/>
    <x v="13"/>
    <x v="134"/>
  </r>
  <r>
    <x v="12"/>
    <x v="4"/>
    <x v="4"/>
    <x v="134"/>
  </r>
  <r>
    <x v="12"/>
    <x v="3"/>
    <x v="2"/>
    <x v="134"/>
  </r>
  <r>
    <x v="12"/>
    <x v="2"/>
    <x v="16"/>
    <x v="134"/>
  </r>
  <r>
    <x v="12"/>
    <x v="2"/>
    <x v="14"/>
    <x v="134"/>
  </r>
  <r>
    <x v="12"/>
    <x v="1"/>
    <x v="9"/>
    <x v="134"/>
  </r>
  <r>
    <x v="12"/>
    <x v="4"/>
    <x v="11"/>
    <x v="134"/>
  </r>
  <r>
    <x v="12"/>
    <x v="1"/>
    <x v="12"/>
    <x v="134"/>
  </r>
  <r>
    <x v="12"/>
    <x v="3"/>
    <x v="10"/>
    <x v="134"/>
  </r>
  <r>
    <x v="12"/>
    <x v="3"/>
    <x v="13"/>
    <x v="134"/>
  </r>
  <r>
    <x v="12"/>
    <x v="1"/>
    <x v="18"/>
    <x v="134"/>
  </r>
  <r>
    <x v="12"/>
    <x v="3"/>
    <x v="6"/>
    <x v="134"/>
  </r>
  <r>
    <x v="12"/>
    <x v="2"/>
    <x v="2"/>
    <x v="134"/>
  </r>
  <r>
    <x v="12"/>
    <x v="2"/>
    <x v="21"/>
    <x v="134"/>
  </r>
  <r>
    <x v="12"/>
    <x v="0"/>
    <x v="10"/>
    <x v="134"/>
  </r>
  <r>
    <x v="12"/>
    <x v="0"/>
    <x v="21"/>
    <x v="134"/>
  </r>
  <r>
    <x v="12"/>
    <x v="4"/>
    <x v="14"/>
    <x v="134"/>
  </r>
  <r>
    <x v="12"/>
    <x v="2"/>
    <x v="22"/>
    <x v="134"/>
  </r>
  <r>
    <x v="12"/>
    <x v="0"/>
    <x v="9"/>
    <x v="134"/>
  </r>
  <r>
    <x v="12"/>
    <x v="0"/>
    <x v="12"/>
    <x v="134"/>
  </r>
  <r>
    <x v="12"/>
    <x v="0"/>
    <x v="18"/>
    <x v="134"/>
  </r>
  <r>
    <x v="12"/>
    <x v="2"/>
    <x v="8"/>
    <x v="134"/>
  </r>
  <r>
    <x v="12"/>
    <x v="2"/>
    <x v="9"/>
    <x v="134"/>
  </r>
  <r>
    <x v="12"/>
    <x v="2"/>
    <x v="12"/>
    <x v="134"/>
  </r>
  <r>
    <x v="12"/>
    <x v="0"/>
    <x v="22"/>
    <x v="134"/>
  </r>
  <r>
    <x v="12"/>
    <x v="4"/>
    <x v="6"/>
    <x v="134"/>
  </r>
  <r>
    <x v="12"/>
    <x v="3"/>
    <x v="18"/>
    <x v="134"/>
  </r>
  <r>
    <x v="12"/>
    <x v="3"/>
    <x v="12"/>
    <x v="134"/>
  </r>
  <r>
    <x v="12"/>
    <x v="3"/>
    <x v="9"/>
    <x v="134"/>
  </r>
  <r>
    <x v="12"/>
    <x v="3"/>
    <x v="15"/>
    <x v="134"/>
  </r>
  <r>
    <x v="12"/>
    <x v="0"/>
    <x v="8"/>
    <x v="134"/>
  </r>
  <r>
    <x v="12"/>
    <x v="1"/>
    <x v="16"/>
    <x v="134"/>
  </r>
  <r>
    <x v="12"/>
    <x v="1"/>
    <x v="20"/>
    <x v="134"/>
  </r>
  <r>
    <x v="12"/>
    <x v="1"/>
    <x v="10"/>
    <x v="134"/>
  </r>
  <r>
    <x v="12"/>
    <x v="0"/>
    <x v="19"/>
    <x v="134"/>
  </r>
  <r>
    <x v="12"/>
    <x v="1"/>
    <x v="8"/>
    <x v="134"/>
  </r>
  <r>
    <x v="12"/>
    <x v="4"/>
    <x v="2"/>
    <x v="134"/>
  </r>
  <r>
    <x v="12"/>
    <x v="1"/>
    <x v="21"/>
    <x v="134"/>
  </r>
  <r>
    <x v="12"/>
    <x v="4"/>
    <x v="13"/>
    <x v="134"/>
  </r>
  <r>
    <x v="12"/>
    <x v="0"/>
    <x v="20"/>
    <x v="134"/>
  </r>
  <r>
    <x v="12"/>
    <x v="1"/>
    <x v="19"/>
    <x v="134"/>
  </r>
  <r>
    <x v="12"/>
    <x v="3"/>
    <x v="16"/>
    <x v="134"/>
  </r>
  <r>
    <x v="12"/>
    <x v="3"/>
    <x v="20"/>
    <x v="134"/>
  </r>
  <r>
    <x v="12"/>
    <x v="1"/>
    <x v="22"/>
    <x v="134"/>
  </r>
  <r>
    <x v="12"/>
    <x v="0"/>
    <x v="16"/>
    <x v="134"/>
  </r>
  <r>
    <x v="12"/>
    <x v="3"/>
    <x v="19"/>
    <x v="134"/>
  </r>
  <r>
    <x v="12"/>
    <x v="2"/>
    <x v="19"/>
    <x v="134"/>
  </r>
  <r>
    <x v="12"/>
    <x v="2"/>
    <x v="18"/>
    <x v="134"/>
  </r>
  <r>
    <x v="12"/>
    <x v="3"/>
    <x v="21"/>
    <x v="134"/>
  </r>
  <r>
    <x v="12"/>
    <x v="2"/>
    <x v="20"/>
    <x v="134"/>
  </r>
  <r>
    <x v="12"/>
    <x v="4"/>
    <x v="10"/>
    <x v="134"/>
  </r>
  <r>
    <x v="12"/>
    <x v="0"/>
    <x v="17"/>
    <x v="134"/>
  </r>
  <r>
    <x v="12"/>
    <x v="3"/>
    <x v="22"/>
    <x v="134"/>
  </r>
  <r>
    <x v="12"/>
    <x v="2"/>
    <x v="17"/>
    <x v="134"/>
  </r>
  <r>
    <x v="12"/>
    <x v="4"/>
    <x v="9"/>
    <x v="134"/>
  </r>
  <r>
    <x v="12"/>
    <x v="4"/>
    <x v="12"/>
    <x v="134"/>
  </r>
  <r>
    <x v="12"/>
    <x v="1"/>
    <x v="15"/>
    <x v="134"/>
  </r>
  <r>
    <x v="12"/>
    <x v="3"/>
    <x v="8"/>
    <x v="134"/>
  </r>
  <r>
    <x v="12"/>
    <x v="4"/>
    <x v="18"/>
    <x v="134"/>
  </r>
  <r>
    <x v="12"/>
    <x v="4"/>
    <x v="16"/>
    <x v="134"/>
  </r>
  <r>
    <x v="12"/>
    <x v="4"/>
    <x v="21"/>
    <x v="134"/>
  </r>
  <r>
    <x v="12"/>
    <x v="1"/>
    <x v="24"/>
    <x v="134"/>
  </r>
  <r>
    <x v="12"/>
    <x v="1"/>
    <x v="25"/>
    <x v="134"/>
  </r>
  <r>
    <x v="12"/>
    <x v="0"/>
    <x v="15"/>
    <x v="134"/>
  </r>
  <r>
    <x v="12"/>
    <x v="2"/>
    <x v="23"/>
    <x v="134"/>
  </r>
  <r>
    <x v="12"/>
    <x v="1"/>
    <x v="26"/>
    <x v="134"/>
  </r>
  <r>
    <x v="12"/>
    <x v="1"/>
    <x v="17"/>
    <x v="134"/>
  </r>
  <r>
    <x v="12"/>
    <x v="4"/>
    <x v="22"/>
    <x v="134"/>
  </r>
  <r>
    <x v="12"/>
    <x v="4"/>
    <x v="19"/>
    <x v="134"/>
  </r>
  <r>
    <x v="12"/>
    <x v="4"/>
    <x v="20"/>
    <x v="134"/>
  </r>
  <r>
    <x v="12"/>
    <x v="4"/>
    <x v="8"/>
    <x v="134"/>
  </r>
  <r>
    <x v="12"/>
    <x v="0"/>
    <x v="24"/>
    <x v="134"/>
  </r>
  <r>
    <x v="12"/>
    <x v="0"/>
    <x v="25"/>
    <x v="134"/>
  </r>
  <r>
    <x v="12"/>
    <x v="0"/>
    <x v="26"/>
    <x v="134"/>
  </r>
  <r>
    <x v="12"/>
    <x v="4"/>
    <x v="15"/>
    <x v="134"/>
  </r>
  <r>
    <x v="12"/>
    <x v="3"/>
    <x v="17"/>
    <x v="134"/>
  </r>
  <r>
    <x v="12"/>
    <x v="3"/>
    <x v="24"/>
    <x v="134"/>
  </r>
  <r>
    <x v="12"/>
    <x v="0"/>
    <x v="23"/>
    <x v="134"/>
  </r>
  <r>
    <x v="12"/>
    <x v="3"/>
    <x v="25"/>
    <x v="134"/>
  </r>
  <r>
    <x v="12"/>
    <x v="3"/>
    <x v="26"/>
    <x v="134"/>
  </r>
  <r>
    <x v="12"/>
    <x v="1"/>
    <x v="23"/>
    <x v="134"/>
  </r>
  <r>
    <x v="12"/>
    <x v="2"/>
    <x v="24"/>
    <x v="134"/>
  </r>
  <r>
    <x v="12"/>
    <x v="2"/>
    <x v="25"/>
    <x v="134"/>
  </r>
  <r>
    <x v="12"/>
    <x v="2"/>
    <x v="26"/>
    <x v="134"/>
  </r>
  <r>
    <x v="12"/>
    <x v="1"/>
    <x v="27"/>
    <x v="134"/>
  </r>
  <r>
    <x v="12"/>
    <x v="0"/>
    <x v="27"/>
    <x v="134"/>
  </r>
  <r>
    <x v="12"/>
    <x v="3"/>
    <x v="23"/>
    <x v="134"/>
  </r>
  <r>
    <x v="12"/>
    <x v="2"/>
    <x v="27"/>
    <x v="134"/>
  </r>
  <r>
    <x v="12"/>
    <x v="4"/>
    <x v="17"/>
    <x v="134"/>
  </r>
  <r>
    <x v="12"/>
    <x v="3"/>
    <x v="27"/>
    <x v="134"/>
  </r>
  <r>
    <x v="12"/>
    <x v="4"/>
    <x v="24"/>
    <x v="134"/>
  </r>
  <r>
    <x v="12"/>
    <x v="4"/>
    <x v="25"/>
    <x v="134"/>
  </r>
  <r>
    <x v="12"/>
    <x v="4"/>
    <x v="26"/>
    <x v="134"/>
  </r>
  <r>
    <x v="12"/>
    <x v="4"/>
    <x v="23"/>
    <x v="134"/>
  </r>
  <r>
    <x v="12"/>
    <x v="4"/>
    <x v="27"/>
    <x v="134"/>
  </r>
  <r>
    <x v="12"/>
    <x v="4"/>
    <x v="1"/>
    <x v="134"/>
  </r>
  <r>
    <x v="12"/>
    <x v="1"/>
    <x v="1"/>
    <x v="134"/>
  </r>
  <r>
    <x v="12"/>
    <x v="2"/>
    <x v="1"/>
    <x v="134"/>
  </r>
  <r>
    <x v="12"/>
    <x v="3"/>
    <x v="1"/>
    <x v="134"/>
  </r>
  <r>
    <x v="12"/>
    <x v="0"/>
    <x v="1"/>
    <x v="134"/>
  </r>
  <r>
    <x v="12"/>
    <x v="4"/>
    <x v="28"/>
    <x v="134"/>
  </r>
  <r>
    <x v="12"/>
    <x v="1"/>
    <x v="28"/>
    <x v="134"/>
  </r>
  <r>
    <x v="12"/>
    <x v="2"/>
    <x v="28"/>
    <x v="134"/>
  </r>
  <r>
    <x v="12"/>
    <x v="3"/>
    <x v="28"/>
    <x v="134"/>
  </r>
  <r>
    <x v="12"/>
    <x v="0"/>
    <x v="28"/>
    <x v="134"/>
  </r>
  <r>
    <x v="12"/>
    <x v="4"/>
    <x v="7"/>
    <x v="134"/>
  </r>
  <r>
    <x v="12"/>
    <x v="1"/>
    <x v="7"/>
    <x v="134"/>
  </r>
  <r>
    <x v="12"/>
    <x v="2"/>
    <x v="7"/>
    <x v="134"/>
  </r>
  <r>
    <x v="12"/>
    <x v="3"/>
    <x v="7"/>
    <x v="134"/>
  </r>
  <r>
    <x v="12"/>
    <x v="0"/>
    <x v="7"/>
    <x v="134"/>
  </r>
  <r>
    <x v="12"/>
    <x v="3"/>
    <x v="5"/>
    <x v="134"/>
  </r>
  <r>
    <x v="12"/>
    <x v="4"/>
    <x v="3"/>
    <x v="134"/>
  </r>
  <r>
    <x v="12"/>
    <x v="1"/>
    <x v="3"/>
    <x v="134"/>
  </r>
  <r>
    <x v="12"/>
    <x v="2"/>
    <x v="3"/>
    <x v="134"/>
  </r>
  <r>
    <x v="12"/>
    <x v="3"/>
    <x v="3"/>
    <x v="134"/>
  </r>
  <r>
    <x v="12"/>
    <x v="0"/>
    <x v="3"/>
    <x v="134"/>
  </r>
  <r>
    <x v="13"/>
    <x v="5"/>
    <x v="29"/>
    <x v="1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5">
  <location ref="H3:V34" firstHeaderRow="1" firstDataRow="2" firstDataCol="1" rowPageCount="1" colPageCount="1"/>
  <pivotFields count="4">
    <pivotField axis="axisCol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Page" showAll="0">
      <items count="7">
        <item x="2"/>
        <item x="4"/>
        <item x="1"/>
        <item x="0"/>
        <item x="3"/>
        <item x="5"/>
        <item t="default"/>
      </items>
    </pivotField>
    <pivotField axis="axisRow" showAll="0">
      <items count="31">
        <item x="28"/>
        <item x="3"/>
        <item x="5"/>
        <item x="7"/>
        <item x="9"/>
        <item x="12"/>
        <item x="2"/>
        <item x="19"/>
        <item x="24"/>
        <item x="20"/>
        <item x="11"/>
        <item x="18"/>
        <item x="14"/>
        <item x="26"/>
        <item x="23"/>
        <item x="17"/>
        <item x="27"/>
        <item x="16"/>
        <item x="22"/>
        <item x="13"/>
        <item x="0"/>
        <item x="4"/>
        <item x="10"/>
        <item x="21"/>
        <item x="6"/>
        <item x="1"/>
        <item x="15"/>
        <item x="25"/>
        <item x="8"/>
        <item x="29"/>
        <item t="default"/>
      </items>
    </pivotField>
    <pivotField dataField="1" showAll="0">
      <items count="1496">
        <item x="634"/>
        <item x="635"/>
        <item x="754"/>
        <item x="0"/>
        <item x="1372"/>
        <item x="1"/>
        <item x="1128"/>
        <item x="636"/>
        <item x="2"/>
        <item x="1373"/>
        <item x="515"/>
        <item x="516"/>
        <item x="135"/>
        <item x="755"/>
        <item x="1004"/>
        <item x="1374"/>
        <item x="3"/>
        <item x="756"/>
        <item x="4"/>
        <item x="757"/>
        <item x="5"/>
        <item x="136"/>
        <item x="1005"/>
        <item x="1129"/>
        <item x="758"/>
        <item x="1006"/>
        <item x="6"/>
        <item x="637"/>
        <item x="7"/>
        <item x="638"/>
        <item x="137"/>
        <item x="138"/>
        <item x="395"/>
        <item x="759"/>
        <item x="1007"/>
        <item x="517"/>
        <item x="1008"/>
        <item x="1375"/>
        <item x="518"/>
        <item x="1376"/>
        <item x="1130"/>
        <item x="1377"/>
        <item x="1131"/>
        <item x="396"/>
        <item x="879"/>
        <item x="275"/>
        <item x="1009"/>
        <item x="880"/>
        <item x="139"/>
        <item x="397"/>
        <item x="881"/>
        <item x="8"/>
        <item x="1378"/>
        <item x="882"/>
        <item x="883"/>
        <item x="140"/>
        <item x="9"/>
        <item x="10"/>
        <item x="11"/>
        <item x="141"/>
        <item x="12"/>
        <item x="13"/>
        <item x="14"/>
        <item x="1379"/>
        <item x="15"/>
        <item x="1132"/>
        <item x="16"/>
        <item x="276"/>
        <item x="884"/>
        <item x="17"/>
        <item x="277"/>
        <item x="398"/>
        <item x="142"/>
        <item x="1010"/>
        <item x="1252"/>
        <item x="278"/>
        <item x="143"/>
        <item x="144"/>
        <item x="279"/>
        <item x="145"/>
        <item x="399"/>
        <item x="639"/>
        <item x="760"/>
        <item x="18"/>
        <item x="519"/>
        <item x="280"/>
        <item x="761"/>
        <item x="520"/>
        <item x="400"/>
        <item x="146"/>
        <item x="281"/>
        <item x="1253"/>
        <item x="147"/>
        <item x="19"/>
        <item x="148"/>
        <item x="521"/>
        <item x="20"/>
        <item x="1133"/>
        <item x="885"/>
        <item x="282"/>
        <item x="886"/>
        <item x="149"/>
        <item x="21"/>
        <item x="1134"/>
        <item x="401"/>
        <item x="150"/>
        <item x="22"/>
        <item x="1254"/>
        <item x="23"/>
        <item x="522"/>
        <item x="1135"/>
        <item x="24"/>
        <item x="283"/>
        <item x="762"/>
        <item x="523"/>
        <item x="887"/>
        <item x="151"/>
        <item x="763"/>
        <item x="764"/>
        <item x="1380"/>
        <item x="1011"/>
        <item x="402"/>
        <item x="25"/>
        <item x="640"/>
        <item x="888"/>
        <item x="641"/>
        <item x="26"/>
        <item x="765"/>
        <item x="766"/>
        <item x="642"/>
        <item x="403"/>
        <item x="643"/>
        <item x="284"/>
        <item x="1136"/>
        <item x="1137"/>
        <item x="152"/>
        <item x="1381"/>
        <item x="1382"/>
        <item x="524"/>
        <item x="1138"/>
        <item x="285"/>
        <item x="1383"/>
        <item x="27"/>
        <item x="1139"/>
        <item x="525"/>
        <item x="153"/>
        <item x="889"/>
        <item x="1012"/>
        <item x="286"/>
        <item x="287"/>
        <item x="1255"/>
        <item x="767"/>
        <item x="1013"/>
        <item x="28"/>
        <item x="644"/>
        <item x="404"/>
        <item x="405"/>
        <item x="154"/>
        <item x="155"/>
        <item x="1256"/>
        <item x="29"/>
        <item x="288"/>
        <item x="156"/>
        <item x="890"/>
        <item x="526"/>
        <item x="768"/>
        <item x="769"/>
        <item x="289"/>
        <item x="157"/>
        <item x="1384"/>
        <item x="1140"/>
        <item x="158"/>
        <item x="30"/>
        <item x="159"/>
        <item x="770"/>
        <item x="527"/>
        <item x="406"/>
        <item x="160"/>
        <item x="161"/>
        <item x="407"/>
        <item x="408"/>
        <item x="409"/>
        <item x="1257"/>
        <item x="1258"/>
        <item x="891"/>
        <item x="162"/>
        <item x="1259"/>
        <item x="892"/>
        <item x="290"/>
        <item x="1260"/>
        <item x="1014"/>
        <item x="1385"/>
        <item x="645"/>
        <item x="291"/>
        <item x="1386"/>
        <item x="1261"/>
        <item x="893"/>
        <item x="31"/>
        <item x="1015"/>
        <item x="1141"/>
        <item x="163"/>
        <item x="771"/>
        <item x="164"/>
        <item x="1262"/>
        <item x="292"/>
        <item x="1142"/>
        <item x="1143"/>
        <item x="772"/>
        <item x="1144"/>
        <item x="165"/>
        <item x="166"/>
        <item x="32"/>
        <item x="894"/>
        <item x="773"/>
        <item x="293"/>
        <item x="1263"/>
        <item x="167"/>
        <item x="410"/>
        <item x="294"/>
        <item x="1016"/>
        <item x="33"/>
        <item x="528"/>
        <item x="1264"/>
        <item x="646"/>
        <item x="295"/>
        <item x="1265"/>
        <item x="1387"/>
        <item x="1388"/>
        <item x="411"/>
        <item x="529"/>
        <item x="168"/>
        <item x="1145"/>
        <item x="530"/>
        <item x="169"/>
        <item x="647"/>
        <item x="531"/>
        <item x="648"/>
        <item x="895"/>
        <item x="896"/>
        <item x="170"/>
        <item x="171"/>
        <item x="1017"/>
        <item x="774"/>
        <item x="532"/>
        <item x="649"/>
        <item x="296"/>
        <item x="1389"/>
        <item x="897"/>
        <item x="650"/>
        <item x="1390"/>
        <item x="34"/>
        <item x="35"/>
        <item x="412"/>
        <item x="172"/>
        <item x="1391"/>
        <item x="651"/>
        <item x="36"/>
        <item x="775"/>
        <item x="1018"/>
        <item x="413"/>
        <item x="776"/>
        <item x="37"/>
        <item x="297"/>
        <item x="898"/>
        <item x="652"/>
        <item x="653"/>
        <item x="533"/>
        <item x="899"/>
        <item x="1019"/>
        <item x="900"/>
        <item x="173"/>
        <item x="1146"/>
        <item x="174"/>
        <item x="534"/>
        <item x="1147"/>
        <item x="535"/>
        <item x="298"/>
        <item x="1020"/>
        <item x="38"/>
        <item x="1148"/>
        <item x="175"/>
        <item x="299"/>
        <item x="39"/>
        <item x="1149"/>
        <item x="1266"/>
        <item x="176"/>
        <item x="1021"/>
        <item x="777"/>
        <item x="1150"/>
        <item x="1392"/>
        <item x="1267"/>
        <item x="654"/>
        <item x="1151"/>
        <item x="1268"/>
        <item x="1152"/>
        <item x="40"/>
        <item x="655"/>
        <item x="1393"/>
        <item x="414"/>
        <item x="41"/>
        <item x="1022"/>
        <item x="42"/>
        <item x="415"/>
        <item x="901"/>
        <item x="177"/>
        <item x="178"/>
        <item x="536"/>
        <item x="1023"/>
        <item x="537"/>
        <item x="1394"/>
        <item x="300"/>
        <item x="416"/>
        <item x="656"/>
        <item x="1269"/>
        <item x="1024"/>
        <item x="538"/>
        <item x="778"/>
        <item x="539"/>
        <item x="1153"/>
        <item x="1154"/>
        <item x="179"/>
        <item x="1025"/>
        <item x="43"/>
        <item x="657"/>
        <item x="44"/>
        <item x="301"/>
        <item x="180"/>
        <item x="779"/>
        <item x="540"/>
        <item x="780"/>
        <item x="417"/>
        <item x="181"/>
        <item x="658"/>
        <item x="902"/>
        <item x="45"/>
        <item x="418"/>
        <item x="46"/>
        <item x="781"/>
        <item x="419"/>
        <item x="1270"/>
        <item x="1271"/>
        <item x="782"/>
        <item x="659"/>
        <item x="1395"/>
        <item x="1272"/>
        <item x="783"/>
        <item x="1155"/>
        <item x="903"/>
        <item x="1396"/>
        <item x="1026"/>
        <item x="1027"/>
        <item x="182"/>
        <item x="1156"/>
        <item x="904"/>
        <item x="47"/>
        <item x="1273"/>
        <item x="541"/>
        <item x="542"/>
        <item x="302"/>
        <item x="784"/>
        <item x="420"/>
        <item x="421"/>
        <item x="543"/>
        <item x="544"/>
        <item x="48"/>
        <item x="49"/>
        <item x="1157"/>
        <item x="905"/>
        <item x="50"/>
        <item x="545"/>
        <item x="1158"/>
        <item x="1028"/>
        <item x="422"/>
        <item x="183"/>
        <item x="906"/>
        <item x="1397"/>
        <item x="184"/>
        <item x="51"/>
        <item x="907"/>
        <item x="52"/>
        <item x="908"/>
        <item x="1398"/>
        <item x="1274"/>
        <item x="303"/>
        <item x="1275"/>
        <item x="304"/>
        <item x="423"/>
        <item x="305"/>
        <item x="1159"/>
        <item x="53"/>
        <item x="1399"/>
        <item x="306"/>
        <item x="546"/>
        <item x="307"/>
        <item x="1029"/>
        <item x="547"/>
        <item x="1030"/>
        <item x="548"/>
        <item x="660"/>
        <item x="1160"/>
        <item x="785"/>
        <item x="786"/>
        <item x="185"/>
        <item x="186"/>
        <item x="1276"/>
        <item x="1031"/>
        <item x="1161"/>
        <item x="187"/>
        <item x="1162"/>
        <item x="1032"/>
        <item x="424"/>
        <item x="425"/>
        <item x="188"/>
        <item x="189"/>
        <item x="549"/>
        <item x="426"/>
        <item x="1163"/>
        <item x="308"/>
        <item x="661"/>
        <item x="1400"/>
        <item x="1401"/>
        <item x="427"/>
        <item x="550"/>
        <item x="1277"/>
        <item x="787"/>
        <item x="309"/>
        <item x="54"/>
        <item x="551"/>
        <item x="662"/>
        <item x="310"/>
        <item x="788"/>
        <item x="311"/>
        <item x="789"/>
        <item x="312"/>
        <item x="1164"/>
        <item x="1402"/>
        <item x="1278"/>
        <item x="313"/>
        <item x="1033"/>
        <item x="314"/>
        <item x="1034"/>
        <item x="909"/>
        <item x="190"/>
        <item x="428"/>
        <item x="1279"/>
        <item x="790"/>
        <item x="55"/>
        <item x="1280"/>
        <item x="552"/>
        <item x="1035"/>
        <item x="1403"/>
        <item x="553"/>
        <item x="1165"/>
        <item x="1036"/>
        <item x="663"/>
        <item x="429"/>
        <item x="910"/>
        <item x="664"/>
        <item x="315"/>
        <item x="911"/>
        <item x="665"/>
        <item x="430"/>
        <item x="1166"/>
        <item x="1037"/>
        <item x="191"/>
        <item x="1281"/>
        <item x="1167"/>
        <item x="1404"/>
        <item x="912"/>
        <item x="1282"/>
        <item x="1168"/>
        <item x="913"/>
        <item x="56"/>
        <item x="431"/>
        <item x="666"/>
        <item x="1283"/>
        <item x="1038"/>
        <item x="1039"/>
        <item x="667"/>
        <item x="1284"/>
        <item x="192"/>
        <item x="1405"/>
        <item x="432"/>
        <item x="193"/>
        <item x="433"/>
        <item x="316"/>
        <item x="1040"/>
        <item x="1406"/>
        <item x="914"/>
        <item x="791"/>
        <item x="1407"/>
        <item x="194"/>
        <item x="792"/>
        <item x="1169"/>
        <item x="554"/>
        <item x="668"/>
        <item x="555"/>
        <item x="57"/>
        <item x="434"/>
        <item x="195"/>
        <item x="1408"/>
        <item x="669"/>
        <item x="1285"/>
        <item x="435"/>
        <item x="1041"/>
        <item x="317"/>
        <item x="196"/>
        <item x="197"/>
        <item x="318"/>
        <item x="1042"/>
        <item x="793"/>
        <item x="794"/>
        <item x="915"/>
        <item x="1409"/>
        <item x="1410"/>
        <item x="58"/>
        <item x="1170"/>
        <item x="198"/>
        <item x="319"/>
        <item x="1286"/>
        <item x="1171"/>
        <item x="1411"/>
        <item x="916"/>
        <item x="917"/>
        <item x="199"/>
        <item x="670"/>
        <item x="1043"/>
        <item x="918"/>
        <item x="795"/>
        <item x="919"/>
        <item x="920"/>
        <item x="1287"/>
        <item x="921"/>
        <item x="59"/>
        <item x="922"/>
        <item x="671"/>
        <item x="796"/>
        <item x="1288"/>
        <item x="1172"/>
        <item x="672"/>
        <item x="1289"/>
        <item x="1290"/>
        <item x="1173"/>
        <item x="1174"/>
        <item x="60"/>
        <item x="320"/>
        <item x="556"/>
        <item x="200"/>
        <item x="673"/>
        <item x="1044"/>
        <item x="321"/>
        <item x="61"/>
        <item x="436"/>
        <item x="557"/>
        <item x="674"/>
        <item x="923"/>
        <item x="797"/>
        <item x="1291"/>
        <item x="1412"/>
        <item x="322"/>
        <item x="201"/>
        <item x="437"/>
        <item x="798"/>
        <item x="675"/>
        <item x="62"/>
        <item x="1175"/>
        <item x="1176"/>
        <item x="1045"/>
        <item x="799"/>
        <item x="438"/>
        <item x="1177"/>
        <item x="202"/>
        <item x="558"/>
        <item x="676"/>
        <item x="800"/>
        <item x="323"/>
        <item x="1046"/>
        <item x="439"/>
        <item x="1178"/>
        <item x="1292"/>
        <item x="63"/>
        <item x="677"/>
        <item x="324"/>
        <item x="924"/>
        <item x="325"/>
        <item x="925"/>
        <item x="64"/>
        <item x="1413"/>
        <item x="678"/>
        <item x="1047"/>
        <item x="1048"/>
        <item x="65"/>
        <item x="440"/>
        <item x="1293"/>
        <item x="926"/>
        <item x="927"/>
        <item x="801"/>
        <item x="203"/>
        <item x="1179"/>
        <item x="928"/>
        <item x="1049"/>
        <item x="1050"/>
        <item x="802"/>
        <item x="1180"/>
        <item x="326"/>
        <item x="66"/>
        <item x="559"/>
        <item x="679"/>
        <item x="1414"/>
        <item x="1051"/>
        <item x="1052"/>
        <item x="204"/>
        <item x="327"/>
        <item x="205"/>
        <item x="328"/>
        <item x="206"/>
        <item x="207"/>
        <item x="441"/>
        <item x="1181"/>
        <item x="67"/>
        <item x="1053"/>
        <item x="1054"/>
        <item x="929"/>
        <item x="442"/>
        <item x="1294"/>
        <item x="1415"/>
        <item x="803"/>
        <item x="680"/>
        <item x="443"/>
        <item x="560"/>
        <item x="1295"/>
        <item x="329"/>
        <item x="1296"/>
        <item x="1182"/>
        <item x="208"/>
        <item x="681"/>
        <item x="1297"/>
        <item x="682"/>
        <item x="209"/>
        <item x="1183"/>
        <item x="1416"/>
        <item x="444"/>
        <item x="1055"/>
        <item x="68"/>
        <item x="1417"/>
        <item x="1298"/>
        <item x="561"/>
        <item x="1299"/>
        <item x="562"/>
        <item x="930"/>
        <item x="210"/>
        <item x="1184"/>
        <item x="563"/>
        <item x="1418"/>
        <item x="330"/>
        <item x="683"/>
        <item x="1056"/>
        <item x="1300"/>
        <item x="931"/>
        <item x="564"/>
        <item x="804"/>
        <item x="1301"/>
        <item x="805"/>
        <item x="565"/>
        <item x="806"/>
        <item x="807"/>
        <item x="1057"/>
        <item x="932"/>
        <item x="1185"/>
        <item x="331"/>
        <item x="1419"/>
        <item x="69"/>
        <item x="684"/>
        <item x="1302"/>
        <item x="1420"/>
        <item x="1421"/>
        <item x="211"/>
        <item x="685"/>
        <item x="1186"/>
        <item x="445"/>
        <item x="1187"/>
        <item x="1303"/>
        <item x="566"/>
        <item x="1188"/>
        <item x="808"/>
        <item x="933"/>
        <item x="809"/>
        <item x="332"/>
        <item x="1422"/>
        <item x="1189"/>
        <item x="70"/>
        <item x="71"/>
        <item x="934"/>
        <item x="212"/>
        <item x="1058"/>
        <item x="686"/>
        <item x="567"/>
        <item x="333"/>
        <item x="1304"/>
        <item x="1305"/>
        <item x="687"/>
        <item x="1423"/>
        <item x="935"/>
        <item x="72"/>
        <item x="1424"/>
        <item x="1190"/>
        <item x="73"/>
        <item x="568"/>
        <item x="446"/>
        <item x="334"/>
        <item x="213"/>
        <item x="688"/>
        <item x="569"/>
        <item x="1059"/>
        <item x="1306"/>
        <item x="1191"/>
        <item x="447"/>
        <item x="1060"/>
        <item x="689"/>
        <item x="1425"/>
        <item x="1307"/>
        <item x="936"/>
        <item x="937"/>
        <item x="214"/>
        <item x="74"/>
        <item x="1308"/>
        <item x="570"/>
        <item x="1426"/>
        <item x="1061"/>
        <item x="1062"/>
        <item x="448"/>
        <item x="75"/>
        <item x="810"/>
        <item x="1427"/>
        <item x="571"/>
        <item x="1063"/>
        <item x="449"/>
        <item x="1309"/>
        <item x="450"/>
        <item x="76"/>
        <item x="938"/>
        <item x="572"/>
        <item x="215"/>
        <item x="939"/>
        <item x="1428"/>
        <item x="451"/>
        <item x="1310"/>
        <item x="216"/>
        <item x="940"/>
        <item x="941"/>
        <item x="1429"/>
        <item x="1064"/>
        <item x="811"/>
        <item x="452"/>
        <item x="77"/>
        <item x="335"/>
        <item x="1430"/>
        <item x="336"/>
        <item x="337"/>
        <item x="690"/>
        <item x="1065"/>
        <item x="812"/>
        <item x="573"/>
        <item x="217"/>
        <item x="691"/>
        <item x="574"/>
        <item x="942"/>
        <item x="692"/>
        <item x="943"/>
        <item x="218"/>
        <item x="1311"/>
        <item x="575"/>
        <item x="1192"/>
        <item x="813"/>
        <item x="1193"/>
        <item x="1066"/>
        <item x="1431"/>
        <item x="1312"/>
        <item x="78"/>
        <item x="1194"/>
        <item x="814"/>
        <item x="815"/>
        <item x="1067"/>
        <item x="453"/>
        <item x="693"/>
        <item x="694"/>
        <item x="1068"/>
        <item x="1195"/>
        <item x="1432"/>
        <item x="1069"/>
        <item x="454"/>
        <item x="1313"/>
        <item x="455"/>
        <item x="816"/>
        <item x="338"/>
        <item x="695"/>
        <item x="1196"/>
        <item x="1197"/>
        <item x="1198"/>
        <item x="456"/>
        <item x="1199"/>
        <item x="576"/>
        <item x="1200"/>
        <item x="1314"/>
        <item x="339"/>
        <item x="1433"/>
        <item x="696"/>
        <item x="457"/>
        <item x="577"/>
        <item x="578"/>
        <item x="817"/>
        <item x="944"/>
        <item x="1070"/>
        <item x="818"/>
        <item x="945"/>
        <item x="1071"/>
        <item x="458"/>
        <item x="340"/>
        <item x="946"/>
        <item x="1315"/>
        <item x="1434"/>
        <item x="819"/>
        <item x="1072"/>
        <item x="820"/>
        <item x="1316"/>
        <item x="697"/>
        <item x="219"/>
        <item x="1073"/>
        <item x="1201"/>
        <item x="821"/>
        <item x="1074"/>
        <item x="579"/>
        <item x="947"/>
        <item x="1435"/>
        <item x="1436"/>
        <item x="1437"/>
        <item x="822"/>
        <item x="1438"/>
        <item x="1202"/>
        <item x="220"/>
        <item x="1317"/>
        <item x="79"/>
        <item x="1075"/>
        <item x="948"/>
        <item x="1318"/>
        <item x="1076"/>
        <item x="580"/>
        <item x="823"/>
        <item x="698"/>
        <item x="80"/>
        <item x="949"/>
        <item x="1439"/>
        <item x="459"/>
        <item x="1203"/>
        <item x="460"/>
        <item x="1440"/>
        <item x="824"/>
        <item x="581"/>
        <item x="1077"/>
        <item x="341"/>
        <item x="342"/>
        <item x="343"/>
        <item x="461"/>
        <item x="1319"/>
        <item x="699"/>
        <item x="1320"/>
        <item x="950"/>
        <item x="582"/>
        <item x="951"/>
        <item x="1204"/>
        <item x="462"/>
        <item x="1205"/>
        <item x="221"/>
        <item x="81"/>
        <item x="344"/>
        <item x="583"/>
        <item x="82"/>
        <item x="1321"/>
        <item x="700"/>
        <item x="1441"/>
        <item x="345"/>
        <item x="222"/>
        <item x="463"/>
        <item x="701"/>
        <item x="952"/>
        <item x="825"/>
        <item x="1442"/>
        <item x="702"/>
        <item x="1078"/>
        <item x="1206"/>
        <item x="464"/>
        <item x="1443"/>
        <item x="346"/>
        <item x="584"/>
        <item x="826"/>
        <item x="953"/>
        <item x="1079"/>
        <item x="1444"/>
        <item x="223"/>
        <item x="827"/>
        <item x="1080"/>
        <item x="954"/>
        <item x="1081"/>
        <item x="1322"/>
        <item x="703"/>
        <item x="955"/>
        <item x="828"/>
        <item x="829"/>
        <item x="83"/>
        <item x="956"/>
        <item x="224"/>
        <item x="225"/>
        <item x="585"/>
        <item x="226"/>
        <item x="586"/>
        <item x="587"/>
        <item x="1207"/>
        <item x="1082"/>
        <item x="347"/>
        <item x="227"/>
        <item x="957"/>
        <item x="1208"/>
        <item x="348"/>
        <item x="1323"/>
        <item x="1209"/>
        <item x="465"/>
        <item x="466"/>
        <item x="1083"/>
        <item x="588"/>
        <item x="467"/>
        <item x="589"/>
        <item x="1445"/>
        <item x="590"/>
        <item x="84"/>
        <item x="591"/>
        <item x="704"/>
        <item x="705"/>
        <item x="706"/>
        <item x="1446"/>
        <item x="1324"/>
        <item x="707"/>
        <item x="708"/>
        <item x="1210"/>
        <item x="468"/>
        <item x="709"/>
        <item x="830"/>
        <item x="228"/>
        <item x="229"/>
        <item x="1447"/>
        <item x="230"/>
        <item x="85"/>
        <item x="831"/>
        <item x="349"/>
        <item x="958"/>
        <item x="1084"/>
        <item x="469"/>
        <item x="86"/>
        <item x="1325"/>
        <item x="1211"/>
        <item x="350"/>
        <item x="832"/>
        <item x="87"/>
        <item x="959"/>
        <item x="1212"/>
        <item x="231"/>
        <item x="1326"/>
        <item x="1085"/>
        <item x="1448"/>
        <item x="833"/>
        <item x="1327"/>
        <item x="592"/>
        <item x="470"/>
        <item x="1086"/>
        <item x="471"/>
        <item x="232"/>
        <item x="834"/>
        <item x="88"/>
        <item x="710"/>
        <item x="960"/>
        <item x="351"/>
        <item x="711"/>
        <item x="1328"/>
        <item x="472"/>
        <item x="352"/>
        <item x="1087"/>
        <item x="961"/>
        <item x="89"/>
        <item x="1213"/>
        <item x="593"/>
        <item x="835"/>
        <item x="353"/>
        <item x="1329"/>
        <item x="1214"/>
        <item x="712"/>
        <item x="594"/>
        <item x="836"/>
        <item x="354"/>
        <item x="837"/>
        <item x="1215"/>
        <item x="1330"/>
        <item x="1449"/>
        <item x="962"/>
        <item x="473"/>
        <item x="838"/>
        <item x="1088"/>
        <item x="713"/>
        <item x="1089"/>
        <item x="839"/>
        <item x="90"/>
        <item x="355"/>
        <item x="714"/>
        <item x="91"/>
        <item x="963"/>
        <item x="92"/>
        <item x="1216"/>
        <item x="474"/>
        <item x="595"/>
        <item x="1217"/>
        <item x="93"/>
        <item x="1450"/>
        <item x="356"/>
        <item x="1451"/>
        <item x="233"/>
        <item x="1090"/>
        <item x="234"/>
        <item x="357"/>
        <item x="596"/>
        <item x="964"/>
        <item x="475"/>
        <item x="1091"/>
        <item x="1092"/>
        <item x="715"/>
        <item x="1452"/>
        <item x="476"/>
        <item x="965"/>
        <item x="235"/>
        <item x="716"/>
        <item x="94"/>
        <item x="1331"/>
        <item x="95"/>
        <item x="96"/>
        <item x="717"/>
        <item x="1093"/>
        <item x="97"/>
        <item x="718"/>
        <item x="236"/>
        <item x="1332"/>
        <item x="477"/>
        <item x="840"/>
        <item x="358"/>
        <item x="1218"/>
        <item x="1453"/>
        <item x="237"/>
        <item x="98"/>
        <item x="1454"/>
        <item x="359"/>
        <item x="597"/>
        <item x="478"/>
        <item x="1333"/>
        <item x="1455"/>
        <item x="1219"/>
        <item x="238"/>
        <item x="1456"/>
        <item x="239"/>
        <item x="841"/>
        <item x="479"/>
        <item x="360"/>
        <item x="1334"/>
        <item x="1094"/>
        <item x="480"/>
        <item x="240"/>
        <item x="966"/>
        <item x="967"/>
        <item x="361"/>
        <item x="968"/>
        <item x="598"/>
        <item x="842"/>
        <item x="843"/>
        <item x="241"/>
        <item x="844"/>
        <item x="99"/>
        <item x="599"/>
        <item x="1095"/>
        <item x="969"/>
        <item x="481"/>
        <item x="600"/>
        <item x="719"/>
        <item x="1220"/>
        <item x="720"/>
        <item x="970"/>
        <item x="1335"/>
        <item x="1336"/>
        <item x="362"/>
        <item x="1457"/>
        <item x="971"/>
        <item x="1096"/>
        <item x="363"/>
        <item x="242"/>
        <item x="845"/>
        <item x="1458"/>
        <item x="482"/>
        <item x="100"/>
        <item x="1337"/>
        <item x="846"/>
        <item x="101"/>
        <item x="1221"/>
        <item x="721"/>
        <item x="364"/>
        <item x="847"/>
        <item x="1097"/>
        <item x="102"/>
        <item x="243"/>
        <item x="244"/>
        <item x="1338"/>
        <item x="601"/>
        <item x="245"/>
        <item x="1339"/>
        <item x="1459"/>
        <item x="1460"/>
        <item x="602"/>
        <item x="103"/>
        <item x="1461"/>
        <item x="722"/>
        <item x="246"/>
        <item x="104"/>
        <item x="1340"/>
        <item x="365"/>
        <item x="1222"/>
        <item x="723"/>
        <item x="1341"/>
        <item x="105"/>
        <item x="483"/>
        <item x="1342"/>
        <item x="848"/>
        <item x="247"/>
        <item x="724"/>
        <item x="366"/>
        <item x="484"/>
        <item x="248"/>
        <item x="972"/>
        <item x="367"/>
        <item x="1223"/>
        <item x="368"/>
        <item x="106"/>
        <item x="1462"/>
        <item x="849"/>
        <item x="603"/>
        <item x="1224"/>
        <item x="973"/>
        <item x="1343"/>
        <item x="1463"/>
        <item x="1344"/>
        <item x="850"/>
        <item x="974"/>
        <item x="604"/>
        <item x="725"/>
        <item x="1464"/>
        <item x="1225"/>
        <item x="1345"/>
        <item x="975"/>
        <item x="107"/>
        <item x="485"/>
        <item x="1346"/>
        <item x="976"/>
        <item x="1098"/>
        <item x="249"/>
        <item x="1347"/>
        <item x="605"/>
        <item x="1099"/>
        <item x="1100"/>
        <item x="1226"/>
        <item x="108"/>
        <item x="977"/>
        <item x="369"/>
        <item x="1101"/>
        <item x="486"/>
        <item x="487"/>
        <item x="1465"/>
        <item x="1102"/>
        <item x="851"/>
        <item x="370"/>
        <item x="488"/>
        <item x="1103"/>
        <item x="1466"/>
        <item x="852"/>
        <item x="109"/>
        <item x="489"/>
        <item x="978"/>
        <item x="1227"/>
        <item x="490"/>
        <item x="979"/>
        <item x="606"/>
        <item x="853"/>
        <item x="1228"/>
        <item x="607"/>
        <item x="608"/>
        <item x="854"/>
        <item x="491"/>
        <item x="1104"/>
        <item x="980"/>
        <item x="609"/>
        <item x="1467"/>
        <item x="981"/>
        <item x="492"/>
        <item x="1105"/>
        <item x="726"/>
        <item x="982"/>
        <item x="983"/>
        <item x="1468"/>
        <item x="855"/>
        <item x="1469"/>
        <item x="610"/>
        <item x="856"/>
        <item x="1106"/>
        <item x="857"/>
        <item x="250"/>
        <item x="984"/>
        <item x="985"/>
        <item x="1107"/>
        <item x="1229"/>
        <item x="371"/>
        <item x="1108"/>
        <item x="1109"/>
        <item x="1110"/>
        <item x="727"/>
        <item x="251"/>
        <item x="728"/>
        <item x="493"/>
        <item x="858"/>
        <item x="372"/>
        <item x="494"/>
        <item x="1348"/>
        <item x="110"/>
        <item x="111"/>
        <item x="495"/>
        <item x="729"/>
        <item x="1111"/>
        <item x="611"/>
        <item x="373"/>
        <item x="374"/>
        <item x="112"/>
        <item x="730"/>
        <item x="1230"/>
        <item x="1231"/>
        <item x="859"/>
        <item x="986"/>
        <item x="987"/>
        <item x="1232"/>
        <item x="1470"/>
        <item x="113"/>
        <item x="1349"/>
        <item x="375"/>
        <item x="1471"/>
        <item x="731"/>
        <item x="732"/>
        <item x="252"/>
        <item x="1350"/>
        <item x="253"/>
        <item x="733"/>
        <item x="1233"/>
        <item x="612"/>
        <item x="734"/>
        <item x="613"/>
        <item x="860"/>
        <item x="254"/>
        <item x="114"/>
        <item x="614"/>
        <item x="615"/>
        <item x="616"/>
        <item x="1234"/>
        <item x="255"/>
        <item x="861"/>
        <item x="1472"/>
        <item x="256"/>
        <item x="376"/>
        <item x="377"/>
        <item x="1473"/>
        <item x="115"/>
        <item x="257"/>
        <item x="496"/>
        <item x="116"/>
        <item x="117"/>
        <item x="735"/>
        <item x="497"/>
        <item x="378"/>
        <item x="1351"/>
        <item x="1112"/>
        <item x="118"/>
        <item x="258"/>
        <item x="379"/>
        <item x="259"/>
        <item x="119"/>
        <item x="862"/>
        <item x="260"/>
        <item x="498"/>
        <item x="261"/>
        <item x="380"/>
        <item x="617"/>
        <item x="736"/>
        <item x="1474"/>
        <item x="499"/>
        <item x="262"/>
        <item x="737"/>
        <item x="381"/>
        <item x="1352"/>
        <item x="1353"/>
        <item x="500"/>
        <item x="988"/>
        <item x="501"/>
        <item x="502"/>
        <item x="382"/>
        <item x="618"/>
        <item x="1235"/>
        <item x="1236"/>
        <item x="120"/>
        <item x="1354"/>
        <item x="503"/>
        <item x="383"/>
        <item x="1475"/>
        <item x="504"/>
        <item x="619"/>
        <item x="121"/>
        <item x="620"/>
        <item x="1476"/>
        <item x="621"/>
        <item x="263"/>
        <item x="989"/>
        <item x="384"/>
        <item x="1237"/>
        <item x="385"/>
        <item x="1477"/>
        <item x="622"/>
        <item x="264"/>
        <item x="122"/>
        <item x="990"/>
        <item x="623"/>
        <item x="123"/>
        <item x="738"/>
        <item x="1238"/>
        <item x="1113"/>
        <item x="124"/>
        <item x="1478"/>
        <item x="125"/>
        <item x="126"/>
        <item x="386"/>
        <item x="1114"/>
        <item x="1239"/>
        <item x="265"/>
        <item x="1240"/>
        <item x="863"/>
        <item x="387"/>
        <item x="1479"/>
        <item x="505"/>
        <item x="1355"/>
        <item x="739"/>
        <item x="740"/>
        <item x="266"/>
        <item x="1356"/>
        <item x="624"/>
        <item x="1480"/>
        <item x="267"/>
        <item x="1357"/>
        <item x="741"/>
        <item x="742"/>
        <item x="991"/>
        <item x="864"/>
        <item x="506"/>
        <item x="507"/>
        <item x="865"/>
        <item x="743"/>
        <item x="866"/>
        <item x="744"/>
        <item x="625"/>
        <item x="626"/>
        <item x="1115"/>
        <item x="1358"/>
        <item x="1116"/>
        <item x="1481"/>
        <item x="627"/>
        <item x="1117"/>
        <item x="992"/>
        <item x="1482"/>
        <item x="268"/>
        <item x="993"/>
        <item x="1359"/>
        <item x="745"/>
        <item x="1241"/>
        <item x="1483"/>
        <item x="746"/>
        <item x="1118"/>
        <item x="1360"/>
        <item x="994"/>
        <item x="867"/>
        <item x="868"/>
        <item x="388"/>
        <item x="508"/>
        <item x="1242"/>
        <item x="1361"/>
        <item x="869"/>
        <item x="1243"/>
        <item x="127"/>
        <item x="747"/>
        <item x="1244"/>
        <item x="995"/>
        <item x="1119"/>
        <item x="996"/>
        <item x="870"/>
        <item x="871"/>
        <item x="1120"/>
        <item x="1362"/>
        <item x="1484"/>
        <item x="1245"/>
        <item x="997"/>
        <item x="1363"/>
        <item x="1364"/>
        <item x="1121"/>
        <item x="1485"/>
        <item x="1486"/>
        <item x="872"/>
        <item x="1487"/>
        <item x="1488"/>
        <item x="1365"/>
        <item x="1246"/>
        <item x="389"/>
        <item x="1122"/>
        <item x="1123"/>
        <item x="509"/>
        <item x="998"/>
        <item x="628"/>
        <item x="999"/>
        <item x="128"/>
        <item x="269"/>
        <item x="390"/>
        <item x="129"/>
        <item x="748"/>
        <item x="270"/>
        <item x="1247"/>
        <item x="130"/>
        <item x="873"/>
        <item x="874"/>
        <item x="510"/>
        <item x="131"/>
        <item x="391"/>
        <item x="271"/>
        <item x="392"/>
        <item x="629"/>
        <item x="272"/>
        <item x="393"/>
        <item x="511"/>
        <item x="630"/>
        <item x="1489"/>
        <item x="1366"/>
        <item x="512"/>
        <item x="513"/>
        <item x="273"/>
        <item x="749"/>
        <item x="132"/>
        <item x="631"/>
        <item x="632"/>
        <item x="1367"/>
        <item x="1000"/>
        <item x="750"/>
        <item x="1490"/>
        <item x="751"/>
        <item x="1248"/>
        <item x="1124"/>
        <item x="752"/>
        <item x="1368"/>
        <item x="1491"/>
        <item x="1249"/>
        <item x="875"/>
        <item x="1369"/>
        <item x="1492"/>
        <item x="1250"/>
        <item x="1125"/>
        <item x="1001"/>
        <item x="876"/>
        <item x="1370"/>
        <item x="1002"/>
        <item x="1126"/>
        <item x="877"/>
        <item x="1493"/>
        <item x="394"/>
        <item x="133"/>
        <item x="274"/>
        <item x="514"/>
        <item x="633"/>
        <item x="1127"/>
        <item x="1003"/>
        <item x="1251"/>
        <item x="753"/>
        <item x="878"/>
        <item x="1371"/>
        <item x="1494"/>
        <item x="134"/>
        <item t="default"/>
      </items>
    </pivotField>
  </pivotFields>
  <rowFields count="1">
    <field x="2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0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pageFields count="1">
    <pageField fld="1" item="1"/>
  </pageFields>
  <dataFields count="1">
    <dataField name="Sum of Investment" fld="3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workbookViewId="0">
      <selection activeCell="C13" sqref="C13"/>
    </sheetView>
  </sheetViews>
  <sheetFormatPr defaultColWidth="9" defaultRowHeight="13.5" outlineLevelCol="1"/>
  <cols>
    <col min="2" max="2" width="44.6283185840708" customWidth="1"/>
  </cols>
  <sheetData>
    <row r="1" spans="1:2">
      <c r="A1" s="32" t="s">
        <v>0</v>
      </c>
    </row>
    <row r="3" spans="1:2">
      <c r="A3" s="33" t="s">
        <v>1</v>
      </c>
      <c r="B3" s="34" t="s">
        <v>2</v>
      </c>
    </row>
    <row r="4" spans="1:2">
      <c r="A4" s="7"/>
      <c r="B4" s="35" t="s">
        <v>3</v>
      </c>
    </row>
    <row r="5" spans="1:2">
      <c r="A5" s="7"/>
      <c r="B5" s="36" t="s">
        <v>4</v>
      </c>
    </row>
    <row r="6" spans="1:2">
      <c r="A6" s="7"/>
      <c r="B6" s="37" t="s">
        <v>5</v>
      </c>
    </row>
    <row r="7" spans="1:2">
      <c r="A7" s="7"/>
      <c r="B7" s="36" t="s">
        <v>6</v>
      </c>
    </row>
    <row r="8" spans="1:2">
      <c r="A8" s="7"/>
      <c r="B8" s="36" t="s">
        <v>7</v>
      </c>
    </row>
    <row r="10" spans="1:2">
      <c r="B10" s="34" t="s">
        <v>8</v>
      </c>
    </row>
    <row r="11" spans="1:2">
      <c r="B11" s="35" t="s">
        <v>3</v>
      </c>
    </row>
    <row r="12" spans="1:2">
      <c r="B12" s="36" t="s">
        <v>4</v>
      </c>
    </row>
    <row r="13" spans="1:2">
      <c r="B13" s="37" t="s">
        <v>5</v>
      </c>
    </row>
    <row r="14" spans="1:2">
      <c r="B14" s="36" t="s">
        <v>6</v>
      </c>
    </row>
    <row r="15" spans="1:2">
      <c r="B15" s="36" t="s">
        <v>9</v>
      </c>
    </row>
    <row r="17" spans="1:1">
      <c r="A17" s="32" t="s">
        <v>10</v>
      </c>
    </row>
    <row r="18" spans="1:1">
      <c r="A18" t="s">
        <v>11</v>
      </c>
    </row>
    <row r="19" spans="1:1">
      <c r="A19">
        <v>0.847304129608444</v>
      </c>
    </row>
    <row r="20" spans="1:1">
      <c r="A20" t="s">
        <v>12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99"/>
  <sheetViews>
    <sheetView workbookViewId="0">
      <selection activeCell="O38" sqref="O38"/>
    </sheetView>
  </sheetViews>
  <sheetFormatPr defaultColWidth="9" defaultRowHeight="13.5"/>
  <cols>
    <col min="1" max="1" width="9" style="14"/>
    <col min="2" max="3" width="16.3716814159292" style="14" customWidth="1"/>
    <col min="4" max="13" width="9.87610619469027" style="14" customWidth="1"/>
    <col min="14" max="14" width="9" style="14"/>
    <col min="15" max="15" width="20.6283185840708" style="14" customWidth="1"/>
    <col min="16" max="16" width="9.87610619469027" style="14" customWidth="1"/>
    <col min="17" max="18" width="9" style="14"/>
    <col min="19" max="19" width="9.87610619469027" style="14" customWidth="1"/>
    <col min="20" max="16384" width="9" style="14"/>
  </cols>
  <sheetData>
    <row r="1" spans="1:28">
      <c r="A1" s="15" t="s">
        <v>13</v>
      </c>
      <c r="B1" s="16" t="s">
        <v>14</v>
      </c>
      <c r="C1" s="16" t="s">
        <v>15</v>
      </c>
      <c r="D1" s="17" t="s">
        <v>16</v>
      </c>
      <c r="E1" s="17"/>
      <c r="F1" s="17" t="s">
        <v>17</v>
      </c>
      <c r="G1" s="17"/>
      <c r="H1" s="17" t="s">
        <v>18</v>
      </c>
      <c r="I1" s="17"/>
      <c r="J1" s="17" t="s">
        <v>19</v>
      </c>
      <c r="K1" s="17"/>
      <c r="L1" s="17" t="s">
        <v>20</v>
      </c>
      <c r="M1" s="17"/>
      <c r="O1" s="18" t="s">
        <v>14</v>
      </c>
      <c r="P1" s="18" t="s">
        <v>21</v>
      </c>
      <c r="Q1" s="18" t="s">
        <v>22</v>
      </c>
      <c r="R1" s="18" t="s">
        <v>23</v>
      </c>
      <c r="S1" s="18" t="s">
        <v>24</v>
      </c>
      <c r="T1" s="18"/>
      <c r="U1" s="18" t="s">
        <v>25</v>
      </c>
      <c r="V1" s="18"/>
      <c r="W1" s="18" t="s">
        <v>26</v>
      </c>
      <c r="X1" s="18"/>
      <c r="Y1" s="18" t="s">
        <v>27</v>
      </c>
      <c r="Z1" s="18"/>
      <c r="AA1" s="18" t="s">
        <v>28</v>
      </c>
      <c r="AB1" s="18"/>
    </row>
    <row r="2" spans="1:28">
      <c r="A2" s="15"/>
      <c r="B2" s="19"/>
      <c r="C2" s="19"/>
      <c r="D2" s="17" t="s">
        <v>29</v>
      </c>
      <c r="E2" s="17" t="s">
        <v>30</v>
      </c>
      <c r="F2" s="17" t="s">
        <v>29</v>
      </c>
      <c r="G2" s="17" t="s">
        <v>30</v>
      </c>
      <c r="H2" s="20" t="s">
        <v>29</v>
      </c>
      <c r="I2" s="17" t="s">
        <v>30</v>
      </c>
      <c r="J2" s="17" t="s">
        <v>29</v>
      </c>
      <c r="K2" s="17" t="s">
        <v>30</v>
      </c>
      <c r="L2" s="17" t="s">
        <v>29</v>
      </c>
      <c r="M2" s="17" t="s">
        <v>30</v>
      </c>
      <c r="O2" s="18"/>
      <c r="P2" s="18"/>
      <c r="Q2" s="18"/>
      <c r="R2" s="18"/>
      <c r="S2" s="18" t="s">
        <v>31</v>
      </c>
      <c r="T2" s="18" t="s">
        <v>32</v>
      </c>
      <c r="U2" s="18" t="s">
        <v>31</v>
      </c>
      <c r="V2" s="18" t="s">
        <v>32</v>
      </c>
      <c r="W2" s="21" t="s">
        <v>31</v>
      </c>
      <c r="X2" s="18" t="s">
        <v>32</v>
      </c>
      <c r="Y2" s="18" t="s">
        <v>31</v>
      </c>
      <c r="Z2" s="18" t="s">
        <v>32</v>
      </c>
      <c r="AA2" s="18" t="s">
        <v>31</v>
      </c>
      <c r="AB2" s="18" t="s">
        <v>32</v>
      </c>
    </row>
    <row r="3" spans="1:28">
      <c r="A3" s="14">
        <v>1</v>
      </c>
      <c r="B3" s="17" t="s">
        <v>33</v>
      </c>
      <c r="C3" s="17">
        <v>2020</v>
      </c>
      <c r="D3" s="22"/>
      <c r="E3" s="20">
        <v>176608</v>
      </c>
      <c r="F3" s="22"/>
      <c r="G3" s="20">
        <v>150404</v>
      </c>
      <c r="H3" s="23"/>
      <c r="I3" s="20">
        <v>61102</v>
      </c>
      <c r="J3" s="22"/>
      <c r="K3" s="20">
        <v>67542</v>
      </c>
      <c r="L3" s="22"/>
      <c r="M3" s="20">
        <v>62653</v>
      </c>
      <c r="O3" s="24" t="s">
        <v>34</v>
      </c>
      <c r="P3" s="24" t="s">
        <v>35</v>
      </c>
      <c r="Q3" s="24">
        <v>400</v>
      </c>
      <c r="R3" s="25">
        <f>Y3/Z3</f>
        <v>0.580234771973623</v>
      </c>
      <c r="S3" s="24"/>
      <c r="T3" s="24"/>
      <c r="U3" s="24"/>
      <c r="V3" s="24"/>
      <c r="W3" s="24">
        <v>30712</v>
      </c>
      <c r="X3" s="24">
        <v>57829</v>
      </c>
      <c r="Y3" s="24">
        <v>46019</v>
      </c>
      <c r="Z3" s="24">
        <v>79311</v>
      </c>
      <c r="AA3" s="24">
        <v>34585</v>
      </c>
      <c r="AB3" s="24">
        <v>56679</v>
      </c>
    </row>
    <row r="4" spans="1:28">
      <c r="A4" s="14">
        <v>2</v>
      </c>
      <c r="B4" s="17" t="s">
        <v>36</v>
      </c>
      <c r="C4" s="17">
        <v>2020</v>
      </c>
      <c r="D4" s="20">
        <v>12600</v>
      </c>
      <c r="E4" s="20">
        <v>13148</v>
      </c>
      <c r="F4" s="20">
        <v>12600</v>
      </c>
      <c r="G4" s="20">
        <v>13147</v>
      </c>
      <c r="H4" s="23">
        <v>3800</v>
      </c>
      <c r="I4" s="23">
        <v>3890</v>
      </c>
      <c r="J4" s="23">
        <v>5200</v>
      </c>
      <c r="K4" s="23">
        <v>4444</v>
      </c>
      <c r="L4" s="23">
        <v>5200</v>
      </c>
      <c r="M4" s="23">
        <v>4444</v>
      </c>
      <c r="O4" s="24" t="s">
        <v>37</v>
      </c>
      <c r="P4" s="24" t="s">
        <v>35</v>
      </c>
      <c r="Q4" s="24">
        <v>500</v>
      </c>
      <c r="R4" s="25">
        <f>S4/T4</f>
        <v>0.861285436052802</v>
      </c>
      <c r="S4" s="24">
        <v>7960</v>
      </c>
      <c r="T4" s="24">
        <v>9242</v>
      </c>
      <c r="U4" s="24">
        <v>6180</v>
      </c>
      <c r="V4" s="24">
        <v>5669</v>
      </c>
      <c r="W4" s="24">
        <v>2200</v>
      </c>
      <c r="X4" s="24">
        <v>1738</v>
      </c>
      <c r="Y4" s="24">
        <v>4920</v>
      </c>
      <c r="Z4" s="24">
        <v>5733</v>
      </c>
      <c r="AA4" s="24">
        <v>3040</v>
      </c>
      <c r="AB4" s="24">
        <v>2726</v>
      </c>
    </row>
    <row r="5" spans="1:28">
      <c r="A5" s="14">
        <v>3</v>
      </c>
      <c r="B5" s="17" t="s">
        <v>38</v>
      </c>
      <c r="C5" s="17">
        <v>2020</v>
      </c>
      <c r="D5" s="22"/>
      <c r="E5" s="20">
        <v>1768</v>
      </c>
      <c r="F5" s="22"/>
      <c r="G5" s="20">
        <v>1768</v>
      </c>
      <c r="H5" s="26"/>
      <c r="I5" s="26"/>
      <c r="J5" s="26"/>
      <c r="K5" s="26"/>
      <c r="L5" s="26"/>
      <c r="M5" s="26"/>
      <c r="O5" s="24" t="s">
        <v>39</v>
      </c>
      <c r="P5" s="24" t="s">
        <v>35</v>
      </c>
      <c r="Q5" s="24">
        <v>800</v>
      </c>
      <c r="R5" s="25">
        <f t="shared" ref="R5:R12" si="0">S5/T5</f>
        <v>1.06940160957717</v>
      </c>
      <c r="S5" s="24">
        <v>58600</v>
      </c>
      <c r="T5" s="24">
        <v>54797</v>
      </c>
      <c r="U5" s="24">
        <v>53500</v>
      </c>
      <c r="V5" s="24">
        <v>45979</v>
      </c>
      <c r="W5" s="24">
        <v>15800</v>
      </c>
      <c r="X5" s="24">
        <v>14147</v>
      </c>
      <c r="Y5" s="24">
        <v>18800</v>
      </c>
      <c r="Z5" s="24">
        <v>22255</v>
      </c>
      <c r="AA5" s="24">
        <v>13300</v>
      </c>
      <c r="AB5" s="24">
        <v>13448</v>
      </c>
    </row>
    <row r="6" spans="1:28">
      <c r="A6" s="14">
        <v>4</v>
      </c>
      <c r="B6" s="17" t="s">
        <v>40</v>
      </c>
      <c r="C6" s="17">
        <v>2020</v>
      </c>
      <c r="D6" s="20">
        <v>11400</v>
      </c>
      <c r="E6" s="20">
        <v>10321</v>
      </c>
      <c r="F6" s="20">
        <v>11400</v>
      </c>
      <c r="G6" s="20">
        <v>10321</v>
      </c>
      <c r="H6" s="20">
        <v>3200</v>
      </c>
      <c r="I6" s="20">
        <v>3224</v>
      </c>
      <c r="J6" s="20">
        <v>4000</v>
      </c>
      <c r="K6" s="20">
        <v>3389</v>
      </c>
      <c r="L6" s="20">
        <v>4000</v>
      </c>
      <c r="M6" s="20">
        <v>3389</v>
      </c>
      <c r="O6" s="24" t="s">
        <v>41</v>
      </c>
      <c r="P6" s="24" t="s">
        <v>35</v>
      </c>
      <c r="Q6" s="24">
        <v>1100</v>
      </c>
      <c r="R6" s="25">
        <f t="shared" si="0"/>
        <v>0.531697341513292</v>
      </c>
      <c r="S6" s="24">
        <v>7800</v>
      </c>
      <c r="T6" s="24">
        <v>14670</v>
      </c>
      <c r="U6" s="24">
        <v>7800</v>
      </c>
      <c r="V6" s="24">
        <v>14670</v>
      </c>
      <c r="W6" s="24">
        <v>2400</v>
      </c>
      <c r="X6" s="24">
        <v>3325</v>
      </c>
      <c r="Y6" s="24">
        <v>3000</v>
      </c>
      <c r="Z6" s="24">
        <v>4882</v>
      </c>
      <c r="AA6" s="24">
        <v>1200</v>
      </c>
      <c r="AB6" s="24">
        <v>3325</v>
      </c>
    </row>
    <row r="7" spans="1:28">
      <c r="A7" s="14">
        <v>5</v>
      </c>
      <c r="B7" s="17" t="s">
        <v>42</v>
      </c>
      <c r="C7" s="17">
        <v>2020</v>
      </c>
      <c r="D7" s="22"/>
      <c r="E7" s="22"/>
      <c r="F7" s="22"/>
      <c r="G7" s="22"/>
      <c r="H7" s="26"/>
      <c r="I7" s="26"/>
      <c r="J7" s="26"/>
      <c r="K7" s="26"/>
      <c r="L7" s="26"/>
      <c r="M7" s="26"/>
      <c r="O7" s="24" t="s">
        <v>43</v>
      </c>
      <c r="P7" s="24" t="s">
        <v>44</v>
      </c>
      <c r="Q7" s="24">
        <v>110</v>
      </c>
      <c r="R7" s="25">
        <f t="shared" si="0"/>
        <v>0.40852675145614</v>
      </c>
      <c r="S7" s="24">
        <v>162371</v>
      </c>
      <c r="T7" s="24">
        <v>397455</v>
      </c>
      <c r="U7" s="24">
        <v>136277</v>
      </c>
      <c r="V7" s="24">
        <v>349867</v>
      </c>
      <c r="W7" s="24">
        <v>53565</v>
      </c>
      <c r="X7" s="24">
        <v>142503</v>
      </c>
      <c r="Y7" s="24">
        <v>67057</v>
      </c>
      <c r="Z7" s="24">
        <v>181742</v>
      </c>
      <c r="AA7" s="24">
        <v>51476</v>
      </c>
      <c r="AB7" s="24">
        <v>141344</v>
      </c>
    </row>
    <row r="8" spans="1:28">
      <c r="A8" s="14">
        <v>6</v>
      </c>
      <c r="B8" s="17" t="s">
        <v>45</v>
      </c>
      <c r="C8" s="17">
        <v>2020</v>
      </c>
      <c r="D8" s="20">
        <v>1200</v>
      </c>
      <c r="E8" s="20">
        <v>1059</v>
      </c>
      <c r="F8" s="20">
        <v>1200</v>
      </c>
      <c r="G8" s="20">
        <v>1059</v>
      </c>
      <c r="H8" s="20">
        <v>600</v>
      </c>
      <c r="I8" s="20">
        <v>666</v>
      </c>
      <c r="J8" s="20">
        <v>1200</v>
      </c>
      <c r="K8" s="20">
        <v>1055</v>
      </c>
      <c r="L8" s="20">
        <v>1200</v>
      </c>
      <c r="M8" s="20">
        <v>1055</v>
      </c>
      <c r="O8" s="24" t="s">
        <v>46</v>
      </c>
      <c r="P8" s="24" t="s">
        <v>44</v>
      </c>
      <c r="Q8" s="24">
        <v>220</v>
      </c>
      <c r="R8" s="25">
        <f t="shared" si="0"/>
        <v>0.493484815446965</v>
      </c>
      <c r="S8" s="24">
        <v>196896</v>
      </c>
      <c r="T8" s="24">
        <v>398991</v>
      </c>
      <c r="U8" s="24">
        <v>158637</v>
      </c>
      <c r="V8" s="24">
        <v>332070</v>
      </c>
      <c r="W8" s="24">
        <v>56126</v>
      </c>
      <c r="X8" s="24">
        <v>116833</v>
      </c>
      <c r="Y8" s="24">
        <v>80364</v>
      </c>
      <c r="Z8" s="24">
        <v>159030</v>
      </c>
      <c r="AA8" s="24">
        <v>55578</v>
      </c>
      <c r="AB8" s="24">
        <v>116982</v>
      </c>
    </row>
    <row r="9" spans="1:28">
      <c r="A9" s="14">
        <v>7</v>
      </c>
      <c r="B9" s="17" t="s">
        <v>47</v>
      </c>
      <c r="C9" s="17">
        <v>2020</v>
      </c>
      <c r="D9" s="22"/>
      <c r="E9" s="22"/>
      <c r="F9" s="22"/>
      <c r="G9" s="22"/>
      <c r="H9" s="26"/>
      <c r="I9" s="26"/>
      <c r="J9" s="26"/>
      <c r="K9" s="26"/>
      <c r="L9" s="26"/>
      <c r="M9" s="26"/>
      <c r="O9" s="24" t="s">
        <v>48</v>
      </c>
      <c r="P9" s="24" t="s">
        <v>44</v>
      </c>
      <c r="Q9" s="24">
        <v>330</v>
      </c>
      <c r="R9" s="25">
        <f t="shared" si="0"/>
        <v>0.436405281595257</v>
      </c>
      <c r="S9" s="24">
        <v>16195</v>
      </c>
      <c r="T9" s="24">
        <v>37110</v>
      </c>
      <c r="U9" s="24">
        <v>14658</v>
      </c>
      <c r="V9" s="24">
        <v>34085</v>
      </c>
      <c r="W9" s="24">
        <v>6076</v>
      </c>
      <c r="X9" s="24">
        <v>11740</v>
      </c>
      <c r="Y9" s="24">
        <v>7089</v>
      </c>
      <c r="Z9" s="24">
        <v>18263</v>
      </c>
      <c r="AA9" s="24">
        <v>5238</v>
      </c>
      <c r="AB9" s="24">
        <v>13840</v>
      </c>
    </row>
    <row r="10" spans="1:28">
      <c r="A10" s="14">
        <v>8</v>
      </c>
      <c r="B10" s="17" t="s">
        <v>49</v>
      </c>
      <c r="C10" s="17">
        <v>2020</v>
      </c>
      <c r="D10" s="20">
        <v>104095</v>
      </c>
      <c r="E10" s="20">
        <v>163460</v>
      </c>
      <c r="F10" s="20">
        <v>87746</v>
      </c>
      <c r="G10" s="20">
        <v>137257</v>
      </c>
      <c r="H10" s="27">
        <v>35202</v>
      </c>
      <c r="I10" s="27">
        <v>57213</v>
      </c>
      <c r="J10" s="27">
        <v>34042</v>
      </c>
      <c r="K10" s="27">
        <v>63098</v>
      </c>
      <c r="L10" s="27">
        <v>31597</v>
      </c>
      <c r="M10" s="27">
        <v>58208</v>
      </c>
      <c r="O10" s="24" t="s">
        <v>50</v>
      </c>
      <c r="P10" s="24" t="s">
        <v>44</v>
      </c>
      <c r="Q10" s="24">
        <v>500</v>
      </c>
      <c r="R10" s="25">
        <f t="shared" si="0"/>
        <v>1.02905525403942</v>
      </c>
      <c r="S10" s="24">
        <v>165717</v>
      </c>
      <c r="T10" s="24">
        <v>161038</v>
      </c>
      <c r="U10" s="24">
        <v>150031</v>
      </c>
      <c r="V10" s="24">
        <v>142497</v>
      </c>
      <c r="W10" s="24">
        <v>52630</v>
      </c>
      <c r="X10" s="24">
        <v>52609</v>
      </c>
      <c r="Y10" s="24">
        <v>64080</v>
      </c>
      <c r="Z10" s="24">
        <v>63440</v>
      </c>
      <c r="AA10" s="24">
        <v>52380</v>
      </c>
      <c r="AB10" s="24">
        <v>49668</v>
      </c>
    </row>
    <row r="11" spans="1:28">
      <c r="A11" s="14">
        <v>9</v>
      </c>
      <c r="B11" s="17" t="s">
        <v>51</v>
      </c>
      <c r="C11" s="17">
        <v>2020</v>
      </c>
      <c r="D11" s="20">
        <v>6000</v>
      </c>
      <c r="E11" s="20">
        <v>3411</v>
      </c>
      <c r="F11" s="20">
        <v>5400</v>
      </c>
      <c r="G11" s="20">
        <v>2806</v>
      </c>
      <c r="H11" s="20">
        <v>3300</v>
      </c>
      <c r="I11" s="20">
        <v>690</v>
      </c>
      <c r="J11" s="20">
        <v>1800</v>
      </c>
      <c r="K11" s="20">
        <v>1736</v>
      </c>
      <c r="L11" s="20">
        <v>1800</v>
      </c>
      <c r="M11" s="20">
        <v>1736</v>
      </c>
      <c r="O11" s="24" t="s">
        <v>52</v>
      </c>
      <c r="P11" s="24" t="s">
        <v>44</v>
      </c>
      <c r="Q11" s="24">
        <v>750</v>
      </c>
      <c r="R11" s="25">
        <f t="shared" si="0"/>
        <v>1.11605467703029</v>
      </c>
      <c r="S11" s="24">
        <v>41640</v>
      </c>
      <c r="T11" s="24">
        <v>37310</v>
      </c>
      <c r="U11" s="24">
        <v>39810</v>
      </c>
      <c r="V11" s="24">
        <v>37106</v>
      </c>
      <c r="W11" s="24">
        <v>12415</v>
      </c>
      <c r="X11" s="24">
        <v>11771</v>
      </c>
      <c r="Y11" s="24">
        <v>17035</v>
      </c>
      <c r="Z11" s="24">
        <v>13469</v>
      </c>
      <c r="AA11" s="24">
        <v>14175</v>
      </c>
      <c r="AB11" s="24">
        <v>12090</v>
      </c>
    </row>
    <row r="12" spans="1:28">
      <c r="A12" s="14">
        <v>10</v>
      </c>
      <c r="B12" s="17" t="s">
        <v>53</v>
      </c>
      <c r="C12" s="17">
        <v>2020</v>
      </c>
      <c r="D12" s="20">
        <v>6850</v>
      </c>
      <c r="E12" s="20">
        <v>6153</v>
      </c>
      <c r="F12" s="20">
        <v>6430</v>
      </c>
      <c r="G12" s="20">
        <v>6051</v>
      </c>
      <c r="H12" s="20">
        <v>1520</v>
      </c>
      <c r="I12" s="20">
        <v>2038</v>
      </c>
      <c r="J12" s="20">
        <v>2620</v>
      </c>
      <c r="K12" s="20">
        <v>1818</v>
      </c>
      <c r="L12" s="20">
        <v>2620</v>
      </c>
      <c r="M12" s="20">
        <v>1760</v>
      </c>
      <c r="O12" s="24" t="s">
        <v>54</v>
      </c>
      <c r="P12" s="24" t="s">
        <v>44</v>
      </c>
      <c r="Q12" s="24">
        <v>1000</v>
      </c>
      <c r="R12" s="25">
        <f t="shared" si="0"/>
        <v>1.14434423015222</v>
      </c>
      <c r="S12" s="24">
        <v>32100</v>
      </c>
      <c r="T12" s="24">
        <v>28051</v>
      </c>
      <c r="U12" s="24">
        <v>30300</v>
      </c>
      <c r="V12" s="24">
        <v>25909</v>
      </c>
      <c r="W12" s="24">
        <v>13200</v>
      </c>
      <c r="X12" s="24">
        <v>8149</v>
      </c>
      <c r="Y12" s="24">
        <v>12900</v>
      </c>
      <c r="Z12" s="24">
        <v>11693</v>
      </c>
      <c r="AA12" s="24">
        <v>12300</v>
      </c>
      <c r="AB12" s="24">
        <v>11063</v>
      </c>
    </row>
    <row r="13" spans="1:28">
      <c r="A13" s="14">
        <v>11</v>
      </c>
      <c r="B13" s="17" t="s">
        <v>55</v>
      </c>
      <c r="C13" s="17">
        <v>2020</v>
      </c>
      <c r="D13" s="20">
        <v>25436</v>
      </c>
      <c r="E13" s="20">
        <v>22532</v>
      </c>
      <c r="F13" s="20">
        <v>21568</v>
      </c>
      <c r="G13" s="20">
        <v>17874</v>
      </c>
      <c r="H13" s="20">
        <v>8580</v>
      </c>
      <c r="I13" s="20">
        <v>8676</v>
      </c>
      <c r="J13" s="20">
        <v>8355</v>
      </c>
      <c r="K13" s="20">
        <v>8137</v>
      </c>
      <c r="L13" s="20">
        <v>7705</v>
      </c>
      <c r="M13" s="20">
        <v>7214</v>
      </c>
      <c r="O13" s="14" t="s">
        <v>56</v>
      </c>
      <c r="P13" s="14" t="s">
        <v>44</v>
      </c>
      <c r="Q13" s="14">
        <v>35</v>
      </c>
      <c r="R13" s="28">
        <f>S14*Q13^2+T14*Q13+U14</f>
        <v>0.18034630581</v>
      </c>
      <c r="S13" s="29"/>
      <c r="T13" s="29"/>
      <c r="U13" s="29"/>
      <c r="V13" s="29"/>
      <c r="W13" s="29"/>
      <c r="X13" s="29"/>
      <c r="Y13" s="29"/>
      <c r="Z13" s="29"/>
      <c r="AA13" s="29"/>
      <c r="AB13" s="29"/>
    </row>
    <row r="14" spans="1:28">
      <c r="A14" s="14">
        <v>12</v>
      </c>
      <c r="B14" s="17" t="s">
        <v>57</v>
      </c>
      <c r="C14" s="17">
        <v>2020</v>
      </c>
      <c r="D14" s="20">
        <v>4330</v>
      </c>
      <c r="E14" s="20">
        <v>7010</v>
      </c>
      <c r="F14" s="20">
        <v>4114</v>
      </c>
      <c r="G14" s="20">
        <v>6982</v>
      </c>
      <c r="H14" s="20">
        <v>2008</v>
      </c>
      <c r="I14" s="20">
        <v>3004</v>
      </c>
      <c r="J14" s="20">
        <v>1674</v>
      </c>
      <c r="K14" s="20">
        <v>3014</v>
      </c>
      <c r="L14" s="20">
        <v>1458</v>
      </c>
      <c r="M14" s="20">
        <v>2815</v>
      </c>
      <c r="S14" s="30">
        <v>-9.262524e-7</v>
      </c>
      <c r="T14" s="30">
        <v>0.001990639</v>
      </c>
      <c r="U14" s="30">
        <v>0.1118086</v>
      </c>
    </row>
    <row r="15" spans="1:28">
      <c r="A15" s="14">
        <v>13</v>
      </c>
      <c r="B15" s="17" t="s">
        <v>58</v>
      </c>
      <c r="C15" s="17">
        <v>2020</v>
      </c>
      <c r="D15" s="20">
        <v>31777</v>
      </c>
      <c r="E15" s="20">
        <v>61314</v>
      </c>
      <c r="F15" s="20">
        <v>25303</v>
      </c>
      <c r="G15" s="20">
        <v>48944</v>
      </c>
      <c r="H15" s="20">
        <v>10920</v>
      </c>
      <c r="I15" s="20">
        <v>20330</v>
      </c>
      <c r="J15" s="20">
        <v>10576</v>
      </c>
      <c r="K15" s="20">
        <v>21107</v>
      </c>
      <c r="L15" s="20">
        <v>9533</v>
      </c>
      <c r="M15" s="20">
        <v>18511</v>
      </c>
    </row>
    <row r="16" spans="1:28">
      <c r="A16" s="14">
        <v>14</v>
      </c>
      <c r="B16" s="17" t="s">
        <v>59</v>
      </c>
      <c r="C16" s="17">
        <v>2020</v>
      </c>
      <c r="D16" s="20">
        <v>29701</v>
      </c>
      <c r="E16" s="20">
        <v>63040</v>
      </c>
      <c r="F16" s="20">
        <v>24931</v>
      </c>
      <c r="G16" s="20">
        <v>54600</v>
      </c>
      <c r="H16" s="20">
        <v>8874</v>
      </c>
      <c r="I16" s="20">
        <v>22474</v>
      </c>
      <c r="J16" s="20">
        <v>9017</v>
      </c>
      <c r="K16" s="20">
        <v>27286</v>
      </c>
      <c r="L16" s="20">
        <v>8481</v>
      </c>
      <c r="M16" s="20">
        <v>26173</v>
      </c>
    </row>
    <row r="17" spans="1:13">
      <c r="A17" s="14">
        <v>15</v>
      </c>
      <c r="B17" s="17" t="s">
        <v>33</v>
      </c>
      <c r="C17" s="17">
        <v>2019</v>
      </c>
      <c r="D17" s="22"/>
      <c r="E17" s="20">
        <v>177201</v>
      </c>
      <c r="F17" s="22"/>
      <c r="G17" s="20">
        <v>160164</v>
      </c>
      <c r="H17" s="23"/>
      <c r="I17" s="20">
        <v>58731</v>
      </c>
      <c r="J17" s="22"/>
      <c r="K17" s="20">
        <v>71109</v>
      </c>
      <c r="L17" s="22"/>
      <c r="M17" s="20">
        <v>57935</v>
      </c>
    </row>
    <row r="18" spans="1:13">
      <c r="A18" s="14">
        <v>16</v>
      </c>
      <c r="B18" s="17" t="s">
        <v>36</v>
      </c>
      <c r="C18" s="17">
        <v>2019</v>
      </c>
      <c r="D18" s="20">
        <v>9700</v>
      </c>
      <c r="E18" s="20">
        <v>11027</v>
      </c>
      <c r="F18" s="20">
        <v>9000</v>
      </c>
      <c r="G18" s="20">
        <v>9075</v>
      </c>
      <c r="H18" s="23">
        <v>1900</v>
      </c>
      <c r="I18" s="23">
        <v>1295</v>
      </c>
      <c r="J18" s="23">
        <v>3800</v>
      </c>
      <c r="K18" s="23">
        <v>3510</v>
      </c>
      <c r="L18" s="23">
        <v>2200</v>
      </c>
      <c r="M18" s="23"/>
    </row>
    <row r="19" spans="1:13">
      <c r="A19" s="14">
        <v>17</v>
      </c>
      <c r="B19" s="17" t="s">
        <v>38</v>
      </c>
      <c r="C19" s="17">
        <v>2019</v>
      </c>
      <c r="D19" s="22">
        <v>1800</v>
      </c>
      <c r="E19" s="20">
        <v>4010</v>
      </c>
      <c r="F19" s="22">
        <v>1800</v>
      </c>
      <c r="G19" s="20">
        <v>4010</v>
      </c>
      <c r="H19" s="26"/>
      <c r="I19" s="26"/>
      <c r="J19" s="26">
        <v>1800</v>
      </c>
      <c r="K19" s="26">
        <v>1557</v>
      </c>
      <c r="L19" s="26">
        <v>1200</v>
      </c>
      <c r="M19" s="26"/>
    </row>
    <row r="20" spans="1:13">
      <c r="A20" s="14">
        <v>18</v>
      </c>
      <c r="B20" s="17" t="s">
        <v>40</v>
      </c>
      <c r="C20" s="17">
        <v>2019</v>
      </c>
      <c r="D20" s="20">
        <v>6000</v>
      </c>
      <c r="E20" s="20">
        <v>5945</v>
      </c>
      <c r="F20" s="20">
        <v>5000</v>
      </c>
      <c r="G20" s="20">
        <v>3992</v>
      </c>
      <c r="H20" s="20">
        <v>1600</v>
      </c>
      <c r="I20" s="20">
        <v>909</v>
      </c>
      <c r="J20" s="20">
        <v>1000</v>
      </c>
      <c r="K20" s="20">
        <v>1953</v>
      </c>
      <c r="L20" s="20"/>
      <c r="M20" s="20"/>
    </row>
    <row r="21" spans="1:13">
      <c r="A21" s="14">
        <v>19</v>
      </c>
      <c r="B21" s="17" t="s">
        <v>42</v>
      </c>
      <c r="C21" s="17">
        <v>2019</v>
      </c>
      <c r="D21" s="22"/>
      <c r="E21" s="22"/>
      <c r="F21" s="22"/>
      <c r="G21" s="22"/>
      <c r="H21" s="26"/>
      <c r="I21" s="26"/>
      <c r="J21" s="26"/>
      <c r="K21" s="26"/>
      <c r="L21" s="26"/>
      <c r="M21" s="26"/>
    </row>
    <row r="22" spans="1:13">
      <c r="A22" s="14">
        <v>20</v>
      </c>
      <c r="B22" s="17" t="s">
        <v>45</v>
      </c>
      <c r="C22" s="17">
        <v>2019</v>
      </c>
      <c r="D22" s="20">
        <v>900</v>
      </c>
      <c r="E22" s="20">
        <v>1073</v>
      </c>
      <c r="F22" s="20">
        <v>1200</v>
      </c>
      <c r="G22" s="20">
        <v>1074</v>
      </c>
      <c r="H22" s="20">
        <v>300</v>
      </c>
      <c r="I22" s="20">
        <v>386</v>
      </c>
      <c r="J22" s="20"/>
      <c r="K22" s="20"/>
      <c r="L22" s="20"/>
      <c r="M22" s="20"/>
    </row>
    <row r="23" spans="1:13">
      <c r="A23" s="14">
        <v>21</v>
      </c>
      <c r="B23" s="17" t="s">
        <v>47</v>
      </c>
      <c r="C23" s="17">
        <v>2019</v>
      </c>
      <c r="D23" s="22">
        <v>1000</v>
      </c>
      <c r="E23" s="22"/>
      <c r="F23" s="22">
        <v>1000</v>
      </c>
      <c r="G23" s="22"/>
      <c r="H23" s="26"/>
      <c r="I23" s="26"/>
      <c r="J23" s="26">
        <v>1000</v>
      </c>
      <c r="K23" s="26"/>
      <c r="L23" s="26">
        <v>1000</v>
      </c>
      <c r="M23" s="26"/>
    </row>
    <row r="24" spans="1:13">
      <c r="A24" s="14">
        <v>22</v>
      </c>
      <c r="B24" s="17" t="s">
        <v>49</v>
      </c>
      <c r="C24" s="17">
        <v>2019</v>
      </c>
      <c r="D24" s="20">
        <v>95307</v>
      </c>
      <c r="E24" s="20">
        <v>166174</v>
      </c>
      <c r="F24" s="20">
        <v>88187</v>
      </c>
      <c r="G24" s="20">
        <v>151088</v>
      </c>
      <c r="H24" s="27">
        <v>34390</v>
      </c>
      <c r="I24" s="27">
        <v>57436</v>
      </c>
      <c r="J24" s="27">
        <v>37608</v>
      </c>
      <c r="K24" s="27">
        <v>67599</v>
      </c>
      <c r="L24" s="27">
        <v>31915</v>
      </c>
      <c r="M24" s="27">
        <v>57935</v>
      </c>
    </row>
    <row r="25" spans="1:13">
      <c r="A25" s="14">
        <v>23</v>
      </c>
      <c r="B25" s="17" t="s">
        <v>51</v>
      </c>
      <c r="C25" s="17">
        <v>2019</v>
      </c>
      <c r="D25" s="20">
        <v>4800</v>
      </c>
      <c r="E25" s="20">
        <v>4316</v>
      </c>
      <c r="F25" s="20">
        <v>4800</v>
      </c>
      <c r="G25" s="20">
        <v>4316</v>
      </c>
      <c r="H25" s="20">
        <v>2100</v>
      </c>
      <c r="I25" s="20">
        <v>1128</v>
      </c>
      <c r="J25" s="20">
        <v>1500</v>
      </c>
      <c r="K25" s="20">
        <v>2100</v>
      </c>
      <c r="L25" s="20">
        <v>1500</v>
      </c>
      <c r="M25" s="20">
        <v>2100</v>
      </c>
    </row>
    <row r="26" spans="1:13">
      <c r="A26" s="14">
        <v>24</v>
      </c>
      <c r="B26" s="17" t="s">
        <v>53</v>
      </c>
      <c r="C26" s="17">
        <v>2019</v>
      </c>
      <c r="D26" s="20">
        <v>8840</v>
      </c>
      <c r="E26" s="20">
        <v>8350</v>
      </c>
      <c r="F26" s="20">
        <v>8630</v>
      </c>
      <c r="G26" s="20">
        <v>8350</v>
      </c>
      <c r="H26" s="20">
        <v>2615</v>
      </c>
      <c r="I26" s="20">
        <v>1386</v>
      </c>
      <c r="J26" s="20">
        <v>3455</v>
      </c>
      <c r="K26" s="20">
        <v>4566</v>
      </c>
      <c r="L26" s="20">
        <v>3245</v>
      </c>
      <c r="M26" s="20">
        <v>4406</v>
      </c>
    </row>
    <row r="27" spans="1:13">
      <c r="A27" s="14">
        <v>25</v>
      </c>
      <c r="B27" s="17" t="s">
        <v>55</v>
      </c>
      <c r="C27" s="17">
        <v>2019</v>
      </c>
      <c r="D27" s="20">
        <v>25333</v>
      </c>
      <c r="E27" s="20">
        <v>22478</v>
      </c>
      <c r="F27" s="20">
        <v>23603</v>
      </c>
      <c r="G27" s="20">
        <v>19409</v>
      </c>
      <c r="H27" s="20">
        <v>9493</v>
      </c>
      <c r="I27" s="20">
        <v>8563</v>
      </c>
      <c r="J27" s="20">
        <v>9995</v>
      </c>
      <c r="K27" s="20">
        <v>8095</v>
      </c>
      <c r="L27" s="20">
        <v>8645</v>
      </c>
      <c r="M27" s="20">
        <v>5595</v>
      </c>
    </row>
    <row r="28" spans="1:13">
      <c r="A28" s="14">
        <v>26</v>
      </c>
      <c r="B28" s="17" t="s">
        <v>57</v>
      </c>
      <c r="C28" s="17">
        <v>2019</v>
      </c>
      <c r="D28" s="20">
        <v>3705</v>
      </c>
      <c r="E28" s="20">
        <v>7328</v>
      </c>
      <c r="F28" s="20">
        <v>3489</v>
      </c>
      <c r="G28" s="20">
        <v>7300</v>
      </c>
      <c r="H28" s="20">
        <v>1188</v>
      </c>
      <c r="I28" s="20">
        <v>1810</v>
      </c>
      <c r="J28" s="20">
        <v>1623</v>
      </c>
      <c r="K28" s="20">
        <v>4245</v>
      </c>
      <c r="L28" s="20">
        <v>1263</v>
      </c>
      <c r="M28" s="20">
        <v>3989</v>
      </c>
    </row>
    <row r="29" spans="1:13">
      <c r="A29" s="14">
        <v>27</v>
      </c>
      <c r="B29" s="17" t="s">
        <v>58</v>
      </c>
      <c r="C29" s="17">
        <v>2019</v>
      </c>
      <c r="D29" s="20">
        <v>29630</v>
      </c>
      <c r="E29" s="20">
        <v>62940</v>
      </c>
      <c r="F29" s="20">
        <v>26136</v>
      </c>
      <c r="G29" s="20">
        <v>54343</v>
      </c>
      <c r="H29" s="20">
        <v>10163</v>
      </c>
      <c r="I29" s="20">
        <v>18694</v>
      </c>
      <c r="J29" s="20">
        <v>11775</v>
      </c>
      <c r="K29" s="20">
        <v>24284</v>
      </c>
      <c r="L29" s="20">
        <v>9161</v>
      </c>
      <c r="M29" s="20">
        <v>19822</v>
      </c>
    </row>
    <row r="30" spans="1:13">
      <c r="A30" s="14">
        <v>28</v>
      </c>
      <c r="B30" s="17" t="s">
        <v>59</v>
      </c>
      <c r="C30" s="17">
        <v>2019</v>
      </c>
      <c r="D30" s="20">
        <v>22999</v>
      </c>
      <c r="E30" s="20">
        <v>60762</v>
      </c>
      <c r="F30" s="20">
        <v>21528</v>
      </c>
      <c r="G30" s="20">
        <v>57370</v>
      </c>
      <c r="H30" s="20">
        <v>8831</v>
      </c>
      <c r="I30" s="20">
        <v>25855</v>
      </c>
      <c r="J30" s="20">
        <v>9260</v>
      </c>
      <c r="K30" s="20">
        <v>24310</v>
      </c>
      <c r="L30" s="20">
        <v>8100</v>
      </c>
      <c r="M30" s="20">
        <v>22023</v>
      </c>
    </row>
    <row r="31" spans="1:13">
      <c r="A31" s="14">
        <v>29</v>
      </c>
      <c r="B31" s="17" t="s">
        <v>33</v>
      </c>
      <c r="C31" s="17">
        <v>2018</v>
      </c>
      <c r="D31" s="22"/>
      <c r="E31" s="20">
        <v>202586</v>
      </c>
      <c r="F31" s="22"/>
      <c r="G31" s="20">
        <v>162751</v>
      </c>
      <c r="H31" s="23"/>
      <c r="I31" s="20">
        <v>54031</v>
      </c>
      <c r="J31" s="22"/>
      <c r="K31" s="20">
        <v>80787</v>
      </c>
      <c r="L31" s="22"/>
      <c r="M31" s="20">
        <v>60298</v>
      </c>
    </row>
    <row r="32" spans="1:13">
      <c r="A32" s="14">
        <v>30</v>
      </c>
      <c r="B32" s="17" t="s">
        <v>36</v>
      </c>
      <c r="C32" s="17">
        <v>2018</v>
      </c>
      <c r="D32" s="20">
        <v>11500</v>
      </c>
      <c r="E32" s="20">
        <v>13919</v>
      </c>
      <c r="F32" s="20">
        <v>9400</v>
      </c>
      <c r="G32" s="20">
        <v>8637</v>
      </c>
      <c r="H32" s="23">
        <v>2500</v>
      </c>
      <c r="I32" s="23">
        <v>2253</v>
      </c>
      <c r="J32" s="23">
        <v>4700</v>
      </c>
      <c r="K32" s="23">
        <v>7118</v>
      </c>
      <c r="L32" s="23">
        <v>3200</v>
      </c>
      <c r="M32" s="23">
        <v>3325</v>
      </c>
    </row>
    <row r="33" spans="1:13">
      <c r="A33" s="14">
        <v>31</v>
      </c>
      <c r="B33" s="17" t="s">
        <v>38</v>
      </c>
      <c r="C33" s="17">
        <v>2018</v>
      </c>
      <c r="D33" s="22">
        <v>2400</v>
      </c>
      <c r="E33" s="20">
        <v>4010</v>
      </c>
      <c r="F33" s="22">
        <v>2400</v>
      </c>
      <c r="G33" s="20">
        <v>4010</v>
      </c>
      <c r="H33" s="26"/>
      <c r="I33" s="26"/>
      <c r="J33" s="26">
        <v>1200</v>
      </c>
      <c r="K33" s="26">
        <v>3325</v>
      </c>
      <c r="L33" s="26">
        <v>1200</v>
      </c>
      <c r="M33" s="26">
        <v>3325</v>
      </c>
    </row>
    <row r="34" spans="1:13">
      <c r="A34" s="14">
        <v>32</v>
      </c>
      <c r="B34" s="17" t="s">
        <v>40</v>
      </c>
      <c r="C34" s="17">
        <v>2018</v>
      </c>
      <c r="D34" s="20">
        <v>8200</v>
      </c>
      <c r="E34" s="20">
        <v>8658</v>
      </c>
      <c r="F34" s="20">
        <v>6100</v>
      </c>
      <c r="G34" s="20">
        <v>3938</v>
      </c>
      <c r="H34" s="20">
        <v>1600</v>
      </c>
      <c r="I34" s="20">
        <v>1604</v>
      </c>
      <c r="J34" s="20">
        <v>3500</v>
      </c>
      <c r="K34" s="20">
        <v>3231</v>
      </c>
      <c r="L34" s="20">
        <v>2000</v>
      </c>
      <c r="M34" s="20"/>
    </row>
    <row r="35" spans="1:13">
      <c r="A35" s="14">
        <v>33</v>
      </c>
      <c r="B35" s="17" t="s">
        <v>42</v>
      </c>
      <c r="C35" s="17">
        <v>2018</v>
      </c>
      <c r="D35" s="22"/>
      <c r="E35" s="22"/>
      <c r="F35" s="22"/>
      <c r="G35" s="22"/>
      <c r="H35" s="26"/>
      <c r="I35" s="26"/>
      <c r="J35" s="26"/>
      <c r="K35" s="26"/>
      <c r="L35" s="26"/>
      <c r="M35" s="26"/>
    </row>
    <row r="36" spans="1:13">
      <c r="A36" s="14">
        <v>34</v>
      </c>
      <c r="B36" s="17" t="s">
        <v>45</v>
      </c>
      <c r="C36" s="17">
        <v>2018</v>
      </c>
      <c r="D36" s="20">
        <v>900</v>
      </c>
      <c r="E36" s="20">
        <v>1251</v>
      </c>
      <c r="F36" s="20">
        <v>900</v>
      </c>
      <c r="G36" s="20">
        <v>689</v>
      </c>
      <c r="H36" s="20">
        <v>900</v>
      </c>
      <c r="I36" s="20">
        <v>649</v>
      </c>
      <c r="J36" s="20"/>
      <c r="K36" s="20">
        <v>562</v>
      </c>
      <c r="L36" s="20"/>
      <c r="M36" s="20"/>
    </row>
    <row r="37" spans="1:13">
      <c r="A37" s="14">
        <v>35</v>
      </c>
      <c r="B37" s="17" t="s">
        <v>47</v>
      </c>
      <c r="C37" s="17">
        <v>2018</v>
      </c>
      <c r="D37" s="22"/>
      <c r="E37" s="22"/>
      <c r="F37" s="22"/>
      <c r="G37" s="22"/>
      <c r="H37" s="26"/>
      <c r="I37" s="26"/>
      <c r="J37" s="26"/>
      <c r="K37" s="26"/>
      <c r="L37" s="26"/>
      <c r="M37" s="26"/>
    </row>
    <row r="38" spans="1:13">
      <c r="A38" s="14">
        <v>36</v>
      </c>
      <c r="B38" s="17" t="s">
        <v>49</v>
      </c>
      <c r="C38" s="17">
        <v>2018</v>
      </c>
      <c r="D38" s="20">
        <v>103483</v>
      </c>
      <c r="E38" s="20">
        <v>188668</v>
      </c>
      <c r="F38" s="20">
        <v>85931</v>
      </c>
      <c r="G38" s="20">
        <v>154115</v>
      </c>
      <c r="H38" s="27">
        <v>30872</v>
      </c>
      <c r="I38" s="27">
        <v>51778</v>
      </c>
      <c r="J38" s="27">
        <v>40730</v>
      </c>
      <c r="K38" s="27">
        <v>73669</v>
      </c>
      <c r="L38" s="27">
        <v>31024</v>
      </c>
      <c r="M38" s="27">
        <v>56973</v>
      </c>
    </row>
    <row r="39" spans="1:13">
      <c r="A39" s="14">
        <v>37</v>
      </c>
      <c r="B39" s="17" t="s">
        <v>51</v>
      </c>
      <c r="C39" s="17">
        <v>2018</v>
      </c>
      <c r="D39" s="20">
        <v>2400</v>
      </c>
      <c r="E39" s="20">
        <v>2399</v>
      </c>
      <c r="F39" s="20">
        <v>2100</v>
      </c>
      <c r="G39" s="20">
        <v>2399</v>
      </c>
      <c r="H39" s="20">
        <v>1500</v>
      </c>
      <c r="I39" s="20">
        <v>2169</v>
      </c>
      <c r="J39" s="20">
        <v>900</v>
      </c>
      <c r="K39" s="20">
        <v>129</v>
      </c>
      <c r="L39" s="20">
        <v>900</v>
      </c>
      <c r="M39" s="20">
        <v>129</v>
      </c>
    </row>
    <row r="40" spans="1:13">
      <c r="A40" s="14">
        <v>38</v>
      </c>
      <c r="B40" s="17" t="s">
        <v>53</v>
      </c>
      <c r="C40" s="17">
        <v>2018</v>
      </c>
      <c r="D40" s="20">
        <v>6570</v>
      </c>
      <c r="E40" s="20">
        <v>6525</v>
      </c>
      <c r="F40" s="20">
        <v>5370</v>
      </c>
      <c r="G40" s="20">
        <v>6423</v>
      </c>
      <c r="H40" s="20">
        <v>1800</v>
      </c>
      <c r="I40" s="20">
        <v>2163</v>
      </c>
      <c r="J40" s="20">
        <v>2340</v>
      </c>
      <c r="K40" s="20">
        <v>1733</v>
      </c>
      <c r="L40" s="20">
        <v>1140</v>
      </c>
      <c r="M40" s="20">
        <v>1573</v>
      </c>
    </row>
    <row r="41" spans="1:13">
      <c r="A41" s="14">
        <v>39</v>
      </c>
      <c r="B41" s="17" t="s">
        <v>55</v>
      </c>
      <c r="C41" s="17">
        <v>2018</v>
      </c>
      <c r="D41" s="20">
        <v>29968</v>
      </c>
      <c r="E41" s="20">
        <v>30060</v>
      </c>
      <c r="F41" s="20">
        <v>26463</v>
      </c>
      <c r="G41" s="20">
        <v>26012</v>
      </c>
      <c r="H41" s="20">
        <v>8437</v>
      </c>
      <c r="I41" s="20">
        <v>6027</v>
      </c>
      <c r="J41" s="20">
        <v>13225</v>
      </c>
      <c r="K41" s="20">
        <v>17650</v>
      </c>
      <c r="L41" s="20">
        <v>11160</v>
      </c>
      <c r="M41" s="20">
        <v>14540</v>
      </c>
    </row>
    <row r="42" spans="1:13">
      <c r="A42" s="14">
        <v>40</v>
      </c>
      <c r="B42" s="17" t="s">
        <v>57</v>
      </c>
      <c r="C42" s="17">
        <v>2018</v>
      </c>
      <c r="D42" s="20">
        <v>2949</v>
      </c>
      <c r="E42" s="20">
        <v>7419</v>
      </c>
      <c r="F42" s="20">
        <v>1988</v>
      </c>
      <c r="G42" s="20">
        <v>4757</v>
      </c>
      <c r="H42" s="20">
        <v>1122</v>
      </c>
      <c r="I42" s="20">
        <v>1318</v>
      </c>
      <c r="J42" s="20">
        <v>1887</v>
      </c>
      <c r="K42" s="20">
        <v>4342</v>
      </c>
      <c r="L42" s="20">
        <v>612</v>
      </c>
      <c r="M42" s="20">
        <v>828</v>
      </c>
    </row>
    <row r="43" spans="1:13">
      <c r="A43" s="14">
        <v>41</v>
      </c>
      <c r="B43" s="17" t="s">
        <v>58</v>
      </c>
      <c r="C43" s="17">
        <v>2018</v>
      </c>
      <c r="D43" s="20">
        <v>33467</v>
      </c>
      <c r="E43" s="20">
        <v>75889</v>
      </c>
      <c r="F43" s="20">
        <v>26637</v>
      </c>
      <c r="G43" s="20">
        <v>57529</v>
      </c>
      <c r="H43" s="20">
        <v>9125</v>
      </c>
      <c r="I43" s="20">
        <v>19500</v>
      </c>
      <c r="J43" s="20">
        <v>11770</v>
      </c>
      <c r="K43" s="20">
        <v>25612</v>
      </c>
      <c r="L43" s="20">
        <v>8402</v>
      </c>
      <c r="M43" s="20">
        <v>20697</v>
      </c>
    </row>
    <row r="44" spans="1:13">
      <c r="A44" s="14">
        <v>42</v>
      </c>
      <c r="B44" s="17" t="s">
        <v>59</v>
      </c>
      <c r="C44" s="17">
        <v>2018</v>
      </c>
      <c r="D44" s="20">
        <v>28130</v>
      </c>
      <c r="E44" s="20">
        <v>66375</v>
      </c>
      <c r="F44" s="20">
        <v>23374</v>
      </c>
      <c r="G44" s="20">
        <v>56995</v>
      </c>
      <c r="H44" s="20">
        <v>8888</v>
      </c>
      <c r="I44" s="20">
        <v>20600</v>
      </c>
      <c r="J44" s="20">
        <v>10608</v>
      </c>
      <c r="K44" s="20">
        <v>24203</v>
      </c>
      <c r="L44" s="20">
        <v>8810</v>
      </c>
      <c r="M44" s="20">
        <v>19206</v>
      </c>
    </row>
    <row r="45" spans="1:13">
      <c r="A45" s="14">
        <v>43</v>
      </c>
      <c r="B45" s="17" t="s">
        <v>33</v>
      </c>
      <c r="C45" s="17">
        <v>2017</v>
      </c>
      <c r="D45" s="22"/>
      <c r="E45" s="20">
        <v>201258</v>
      </c>
      <c r="F45" s="22"/>
      <c r="G45" s="20">
        <v>175788</v>
      </c>
      <c r="H45" s="23"/>
      <c r="I45" s="20">
        <v>56053</v>
      </c>
      <c r="J45" s="22"/>
      <c r="K45" s="20">
        <v>91640</v>
      </c>
      <c r="L45" s="22"/>
      <c r="M45" s="20">
        <v>66423</v>
      </c>
    </row>
    <row r="46" spans="1:13">
      <c r="A46" s="14">
        <v>44</v>
      </c>
      <c r="B46" s="17" t="s">
        <v>36</v>
      </c>
      <c r="C46" s="17">
        <v>2017</v>
      </c>
      <c r="D46" s="20">
        <v>14400</v>
      </c>
      <c r="E46" s="20">
        <v>13469</v>
      </c>
      <c r="F46" s="20">
        <v>13800</v>
      </c>
      <c r="G46" s="20">
        <v>12903</v>
      </c>
      <c r="H46" s="23">
        <v>1000</v>
      </c>
      <c r="I46" s="23"/>
      <c r="J46" s="23">
        <v>8500</v>
      </c>
      <c r="K46" s="23">
        <v>8901</v>
      </c>
      <c r="L46" s="23">
        <v>7900</v>
      </c>
      <c r="M46" s="23">
        <v>8339</v>
      </c>
    </row>
    <row r="47" spans="1:13">
      <c r="A47" s="14">
        <v>45</v>
      </c>
      <c r="B47" s="17" t="s">
        <v>38</v>
      </c>
      <c r="C47" s="17">
        <v>2017</v>
      </c>
      <c r="D47" s="22">
        <v>1200</v>
      </c>
      <c r="E47" s="20">
        <v>3325</v>
      </c>
      <c r="F47" s="22">
        <v>1200</v>
      </c>
      <c r="G47" s="20">
        <v>3325</v>
      </c>
      <c r="H47" s="26"/>
      <c r="I47" s="26"/>
      <c r="J47" s="26"/>
      <c r="K47" s="26"/>
      <c r="L47" s="26"/>
      <c r="M47" s="26"/>
    </row>
    <row r="48" spans="1:13">
      <c r="A48" s="14">
        <v>46</v>
      </c>
      <c r="B48" s="17" t="s">
        <v>40</v>
      </c>
      <c r="C48" s="17">
        <v>2017</v>
      </c>
      <c r="D48" s="20">
        <v>11200</v>
      </c>
      <c r="E48" s="20">
        <v>9577</v>
      </c>
      <c r="F48" s="20">
        <v>11200</v>
      </c>
      <c r="G48" s="20">
        <v>9577</v>
      </c>
      <c r="H48" s="20">
        <v>1000</v>
      </c>
      <c r="I48" s="20"/>
      <c r="J48" s="20">
        <v>7700</v>
      </c>
      <c r="K48" s="20">
        <v>8339</v>
      </c>
      <c r="L48" s="20">
        <v>7700</v>
      </c>
      <c r="M48" s="20">
        <v>8339</v>
      </c>
    </row>
    <row r="49" spans="1:13">
      <c r="A49" s="14">
        <v>47</v>
      </c>
      <c r="B49" s="17" t="s">
        <v>42</v>
      </c>
      <c r="C49" s="17">
        <v>2017</v>
      </c>
      <c r="D49" s="22">
        <v>1200</v>
      </c>
      <c r="E49" s="22"/>
      <c r="F49" s="22">
        <v>1200</v>
      </c>
      <c r="G49" s="22"/>
      <c r="H49" s="26"/>
      <c r="I49" s="26"/>
      <c r="J49" s="26"/>
      <c r="K49" s="26"/>
      <c r="L49" s="26"/>
      <c r="M49" s="26"/>
    </row>
    <row r="50" spans="1:13">
      <c r="A50" s="14">
        <v>48</v>
      </c>
      <c r="B50" s="17" t="s">
        <v>45</v>
      </c>
      <c r="C50" s="17">
        <v>2017</v>
      </c>
      <c r="D50" s="20">
        <v>800</v>
      </c>
      <c r="E50" s="20">
        <v>567</v>
      </c>
      <c r="F50" s="20">
        <v>200</v>
      </c>
      <c r="G50" s="20"/>
      <c r="H50" s="20"/>
      <c r="I50" s="20"/>
      <c r="J50" s="20">
        <v>800</v>
      </c>
      <c r="K50" s="20">
        <v>562</v>
      </c>
      <c r="L50" s="20">
        <v>200</v>
      </c>
      <c r="M50" s="20"/>
    </row>
    <row r="51" spans="1:13">
      <c r="A51" s="14">
        <v>49</v>
      </c>
      <c r="B51" s="17" t="s">
        <v>47</v>
      </c>
      <c r="C51" s="17">
        <v>2017</v>
      </c>
      <c r="D51" s="22"/>
      <c r="E51" s="22"/>
      <c r="F51" s="22"/>
      <c r="G51" s="22"/>
      <c r="H51" s="26"/>
      <c r="I51" s="26"/>
      <c r="J51" s="26"/>
      <c r="K51" s="26"/>
      <c r="L51" s="26"/>
      <c r="M51" s="26"/>
    </row>
    <row r="52" spans="1:13">
      <c r="A52" s="14">
        <v>50</v>
      </c>
      <c r="B52" s="17" t="s">
        <v>49</v>
      </c>
      <c r="C52" s="17">
        <v>2017</v>
      </c>
      <c r="D52" s="20">
        <v>105704</v>
      </c>
      <c r="E52" s="20">
        <v>187789</v>
      </c>
      <c r="F52" s="20">
        <v>89181</v>
      </c>
      <c r="G52" s="20">
        <v>162885</v>
      </c>
      <c r="H52" s="27">
        <v>28400</v>
      </c>
      <c r="I52" s="27">
        <v>56053</v>
      </c>
      <c r="J52" s="27">
        <v>46799</v>
      </c>
      <c r="K52" s="27">
        <v>82739</v>
      </c>
      <c r="L52" s="27">
        <v>32595</v>
      </c>
      <c r="M52" s="27">
        <v>58084</v>
      </c>
    </row>
    <row r="53" spans="1:13">
      <c r="A53" s="14">
        <v>51</v>
      </c>
      <c r="B53" s="17" t="s">
        <v>51</v>
      </c>
      <c r="C53" s="17">
        <v>2017</v>
      </c>
      <c r="D53" s="20">
        <v>4500</v>
      </c>
      <c r="E53" s="20">
        <v>3600</v>
      </c>
      <c r="F53" s="20">
        <v>3900</v>
      </c>
      <c r="G53" s="20">
        <v>2970</v>
      </c>
      <c r="H53" s="20">
        <v>900</v>
      </c>
      <c r="I53" s="20">
        <v>72</v>
      </c>
      <c r="J53" s="20">
        <v>3600</v>
      </c>
      <c r="K53" s="20">
        <v>3476</v>
      </c>
      <c r="L53" s="20">
        <v>3000</v>
      </c>
      <c r="M53" s="20">
        <v>2846</v>
      </c>
    </row>
    <row r="54" spans="1:13">
      <c r="A54" s="14">
        <v>52</v>
      </c>
      <c r="B54" s="17" t="s">
        <v>53</v>
      </c>
      <c r="C54" s="17">
        <v>2017</v>
      </c>
      <c r="D54" s="20">
        <v>5670</v>
      </c>
      <c r="E54" s="20">
        <v>5180</v>
      </c>
      <c r="F54" s="20">
        <v>5670</v>
      </c>
      <c r="G54" s="20">
        <v>5180</v>
      </c>
      <c r="H54" s="20">
        <v>1350</v>
      </c>
      <c r="I54" s="20">
        <v>1581</v>
      </c>
      <c r="J54" s="20">
        <v>1740</v>
      </c>
      <c r="K54" s="20">
        <v>1001</v>
      </c>
      <c r="L54" s="20">
        <v>1740</v>
      </c>
      <c r="M54" s="20">
        <v>899</v>
      </c>
    </row>
    <row r="55" spans="1:13">
      <c r="A55" s="14">
        <v>53</v>
      </c>
      <c r="B55" s="17" t="s">
        <v>55</v>
      </c>
      <c r="C55" s="17">
        <v>2017</v>
      </c>
      <c r="D55" s="20">
        <v>30370</v>
      </c>
      <c r="E55" s="20">
        <v>32331</v>
      </c>
      <c r="F55" s="20">
        <v>27973</v>
      </c>
      <c r="G55" s="20">
        <v>29278</v>
      </c>
      <c r="H55" s="20">
        <v>8725</v>
      </c>
      <c r="I55" s="20">
        <v>11430</v>
      </c>
      <c r="J55" s="20">
        <v>10155</v>
      </c>
      <c r="K55" s="20">
        <v>10044</v>
      </c>
      <c r="L55" s="20">
        <v>8275</v>
      </c>
      <c r="M55" s="20">
        <v>7999</v>
      </c>
    </row>
    <row r="56" spans="1:13">
      <c r="A56" s="14">
        <v>54</v>
      </c>
      <c r="B56" s="17" t="s">
        <v>57</v>
      </c>
      <c r="C56" s="17">
        <v>2017</v>
      </c>
      <c r="D56" s="20">
        <v>1782</v>
      </c>
      <c r="E56" s="20">
        <v>5123</v>
      </c>
      <c r="F56" s="20">
        <v>1710</v>
      </c>
      <c r="G56" s="20">
        <v>5057</v>
      </c>
      <c r="H56" s="20">
        <v>459</v>
      </c>
      <c r="I56" s="20">
        <v>1073</v>
      </c>
      <c r="J56" s="20">
        <v>783</v>
      </c>
      <c r="K56" s="20">
        <v>2975</v>
      </c>
      <c r="L56" s="20">
        <v>783</v>
      </c>
      <c r="M56" s="20">
        <v>2521</v>
      </c>
    </row>
    <row r="57" spans="1:13">
      <c r="A57" s="14">
        <v>55</v>
      </c>
      <c r="B57" s="17" t="s">
        <v>58</v>
      </c>
      <c r="C57" s="17">
        <v>2017</v>
      </c>
      <c r="D57" s="20">
        <v>35375</v>
      </c>
      <c r="E57" s="20">
        <v>70782</v>
      </c>
      <c r="F57" s="20">
        <v>27561</v>
      </c>
      <c r="G57" s="20">
        <v>59414</v>
      </c>
      <c r="H57" s="20">
        <v>8001</v>
      </c>
      <c r="I57" s="20">
        <v>17879</v>
      </c>
      <c r="J57" s="20">
        <v>17005</v>
      </c>
      <c r="K57" s="20">
        <v>29235</v>
      </c>
      <c r="L57" s="20">
        <v>10433</v>
      </c>
      <c r="M57" s="20">
        <v>18810</v>
      </c>
    </row>
    <row r="58" spans="1:13">
      <c r="A58" s="14">
        <v>56</v>
      </c>
      <c r="B58" s="17" t="s">
        <v>59</v>
      </c>
      <c r="C58" s="17">
        <v>2017</v>
      </c>
      <c r="D58" s="20">
        <v>28007</v>
      </c>
      <c r="E58" s="20">
        <v>70773</v>
      </c>
      <c r="F58" s="20">
        <v>22367</v>
      </c>
      <c r="G58" s="20">
        <v>60986</v>
      </c>
      <c r="H58" s="20">
        <v>8965</v>
      </c>
      <c r="I58" s="20">
        <v>24019</v>
      </c>
      <c r="J58" s="20">
        <v>13516</v>
      </c>
      <c r="K58" s="20">
        <v>36007</v>
      </c>
      <c r="L58" s="20">
        <v>8364</v>
      </c>
      <c r="M58" s="20">
        <v>25010</v>
      </c>
    </row>
    <row r="59" spans="1:13">
      <c r="A59" s="14">
        <v>57</v>
      </c>
      <c r="B59" s="17" t="s">
        <v>33</v>
      </c>
      <c r="C59" s="17">
        <v>2016</v>
      </c>
      <c r="D59" s="22"/>
      <c r="E59" s="20">
        <v>195329</v>
      </c>
      <c r="F59" s="22"/>
      <c r="G59" s="20">
        <v>176792</v>
      </c>
      <c r="H59" s="23"/>
      <c r="I59" s="20">
        <v>64316</v>
      </c>
      <c r="J59" s="22"/>
      <c r="K59" s="20">
        <v>83807</v>
      </c>
      <c r="L59" s="22"/>
      <c r="M59" s="20">
        <v>60070</v>
      </c>
    </row>
    <row r="60" spans="1:13">
      <c r="A60" s="14">
        <v>58</v>
      </c>
      <c r="B60" s="17" t="s">
        <v>36</v>
      </c>
      <c r="C60" s="17">
        <v>2016</v>
      </c>
      <c r="D60" s="20">
        <v>16040</v>
      </c>
      <c r="E60" s="20">
        <v>16261</v>
      </c>
      <c r="F60" s="20">
        <v>16040</v>
      </c>
      <c r="G60" s="20">
        <v>16179</v>
      </c>
      <c r="H60" s="23">
        <v>5600</v>
      </c>
      <c r="I60" s="23">
        <v>6487</v>
      </c>
      <c r="J60" s="23">
        <v>3240</v>
      </c>
      <c r="K60" s="23">
        <v>4496</v>
      </c>
      <c r="L60" s="23">
        <v>3240</v>
      </c>
      <c r="M60" s="23">
        <v>3391</v>
      </c>
    </row>
    <row r="61" spans="1:13">
      <c r="A61" s="14">
        <v>59</v>
      </c>
      <c r="B61" s="17" t="s">
        <v>38</v>
      </c>
      <c r="C61" s="17">
        <v>2016</v>
      </c>
      <c r="D61" s="22">
        <v>2400</v>
      </c>
      <c r="E61" s="20">
        <v>3325</v>
      </c>
      <c r="F61" s="22">
        <v>2400</v>
      </c>
      <c r="G61" s="20">
        <v>3325</v>
      </c>
      <c r="H61" s="26">
        <v>2400</v>
      </c>
      <c r="I61" s="26">
        <v>3325</v>
      </c>
      <c r="J61" s="26"/>
      <c r="K61" s="26"/>
      <c r="L61" s="26"/>
      <c r="M61" s="26"/>
    </row>
    <row r="62" spans="1:13">
      <c r="A62" s="14">
        <v>60</v>
      </c>
      <c r="B62" s="17" t="s">
        <v>40</v>
      </c>
      <c r="C62" s="17">
        <v>2016</v>
      </c>
      <c r="D62" s="20">
        <v>11800</v>
      </c>
      <c r="E62" s="20">
        <v>11265</v>
      </c>
      <c r="F62" s="20">
        <v>11800</v>
      </c>
      <c r="G62" s="20">
        <v>11183</v>
      </c>
      <c r="H62" s="20">
        <v>3000</v>
      </c>
      <c r="I62" s="20">
        <v>3162</v>
      </c>
      <c r="J62" s="20">
        <v>1600</v>
      </c>
      <c r="K62" s="20">
        <v>2825</v>
      </c>
      <c r="L62" s="20">
        <v>1600</v>
      </c>
      <c r="M62" s="20">
        <v>1720</v>
      </c>
    </row>
    <row r="63" spans="1:13">
      <c r="A63" s="14">
        <v>61</v>
      </c>
      <c r="B63" s="17" t="s">
        <v>42</v>
      </c>
      <c r="C63" s="17">
        <v>2016</v>
      </c>
      <c r="D63" s="22"/>
      <c r="E63" s="22"/>
      <c r="F63" s="22"/>
      <c r="G63" s="22"/>
      <c r="H63" s="26"/>
      <c r="I63" s="26"/>
      <c r="J63" s="26"/>
      <c r="K63" s="26"/>
      <c r="L63" s="26"/>
      <c r="M63" s="26"/>
    </row>
    <row r="64" spans="1:13">
      <c r="A64" s="14">
        <v>62</v>
      </c>
      <c r="B64" s="17" t="s">
        <v>45</v>
      </c>
      <c r="C64" s="17">
        <v>2016</v>
      </c>
      <c r="D64" s="20">
        <v>1840</v>
      </c>
      <c r="E64" s="20">
        <v>1671</v>
      </c>
      <c r="F64" s="20">
        <v>1840</v>
      </c>
      <c r="G64" s="20">
        <v>1671</v>
      </c>
      <c r="H64" s="20">
        <v>200</v>
      </c>
      <c r="I64" s="20"/>
      <c r="J64" s="20">
        <v>1640</v>
      </c>
      <c r="K64" s="20">
        <v>1671</v>
      </c>
      <c r="L64" s="20">
        <v>1640</v>
      </c>
      <c r="M64" s="20">
        <v>1671</v>
      </c>
    </row>
    <row r="65" spans="1:13">
      <c r="A65" s="14">
        <v>63</v>
      </c>
      <c r="B65" s="17" t="s">
        <v>47</v>
      </c>
      <c r="C65" s="17">
        <v>2016</v>
      </c>
      <c r="D65" s="22"/>
      <c r="E65" s="22"/>
      <c r="F65" s="22"/>
      <c r="G65" s="22"/>
      <c r="H65" s="26">
        <v>30712</v>
      </c>
      <c r="I65" s="26">
        <v>57829</v>
      </c>
      <c r="J65" s="26">
        <v>46019</v>
      </c>
      <c r="K65" s="26">
        <v>79311</v>
      </c>
      <c r="L65" s="26">
        <v>34585</v>
      </c>
      <c r="M65" s="26">
        <v>56679</v>
      </c>
    </row>
    <row r="66" spans="1:13">
      <c r="A66" s="14">
        <v>64</v>
      </c>
      <c r="B66" s="17" t="s">
        <v>49</v>
      </c>
      <c r="C66" s="17">
        <v>2016</v>
      </c>
      <c r="D66" s="20">
        <v>101578</v>
      </c>
      <c r="E66" s="20">
        <v>179068</v>
      </c>
      <c r="F66" s="20">
        <v>91054</v>
      </c>
      <c r="G66" s="20">
        <v>160613</v>
      </c>
      <c r="H66" s="27">
        <v>30712</v>
      </c>
      <c r="I66" s="27">
        <v>57829</v>
      </c>
      <c r="J66" s="27">
        <v>46019</v>
      </c>
      <c r="K66" s="27">
        <v>79311</v>
      </c>
      <c r="L66" s="27">
        <v>34585</v>
      </c>
      <c r="M66" s="27">
        <v>56679</v>
      </c>
    </row>
    <row r="67" spans="1:13">
      <c r="A67" s="14">
        <v>65</v>
      </c>
      <c r="B67" s="17" t="s">
        <v>51</v>
      </c>
      <c r="C67" s="17">
        <v>2016</v>
      </c>
      <c r="D67" s="20">
        <v>7800</v>
      </c>
      <c r="E67" s="20">
        <v>7968</v>
      </c>
      <c r="F67" s="20">
        <v>7800</v>
      </c>
      <c r="G67" s="20">
        <v>7067</v>
      </c>
      <c r="H67" s="20">
        <v>1500</v>
      </c>
      <c r="I67" s="20">
        <v>761</v>
      </c>
      <c r="J67" s="20">
        <v>5100</v>
      </c>
      <c r="K67" s="20">
        <v>4252</v>
      </c>
      <c r="L67" s="20">
        <v>5100</v>
      </c>
      <c r="M67" s="20">
        <v>4252</v>
      </c>
    </row>
    <row r="68" spans="1:13">
      <c r="A68" s="14">
        <v>66</v>
      </c>
      <c r="B68" s="17" t="s">
        <v>53</v>
      </c>
      <c r="C68" s="17">
        <v>2016</v>
      </c>
      <c r="D68" s="20">
        <v>7080</v>
      </c>
      <c r="E68" s="20">
        <v>5905</v>
      </c>
      <c r="F68" s="20">
        <v>7080</v>
      </c>
      <c r="G68" s="20">
        <v>5905</v>
      </c>
      <c r="H68" s="20">
        <v>2340</v>
      </c>
      <c r="I68" s="20">
        <v>2059</v>
      </c>
      <c r="J68" s="20">
        <v>2910</v>
      </c>
      <c r="K68" s="20">
        <v>2486</v>
      </c>
      <c r="L68" s="20">
        <v>1860</v>
      </c>
      <c r="M68" s="20">
        <v>1813</v>
      </c>
    </row>
    <row r="69" spans="1:13">
      <c r="A69" s="14">
        <v>67</v>
      </c>
      <c r="B69" s="17" t="s">
        <v>55</v>
      </c>
      <c r="C69" s="17">
        <v>2016</v>
      </c>
      <c r="D69" s="20">
        <v>26885</v>
      </c>
      <c r="E69" s="20">
        <v>27075</v>
      </c>
      <c r="F69" s="20">
        <v>24224</v>
      </c>
      <c r="G69" s="20">
        <v>26085</v>
      </c>
      <c r="H69" s="20">
        <v>9565</v>
      </c>
      <c r="I69" s="20">
        <v>9357</v>
      </c>
      <c r="J69" s="20">
        <v>10380</v>
      </c>
      <c r="K69" s="20">
        <v>9737</v>
      </c>
      <c r="L69" s="20">
        <v>7715</v>
      </c>
      <c r="M69" s="20">
        <v>6931</v>
      </c>
    </row>
    <row r="70" spans="1:13">
      <c r="A70" s="14">
        <v>68</v>
      </c>
      <c r="B70" s="17" t="s">
        <v>57</v>
      </c>
      <c r="C70" s="17">
        <v>2016</v>
      </c>
      <c r="D70" s="20">
        <v>1707</v>
      </c>
      <c r="E70" s="20">
        <v>5498</v>
      </c>
      <c r="F70" s="20">
        <v>1707</v>
      </c>
      <c r="G70" s="20">
        <v>5495</v>
      </c>
      <c r="H70" s="20">
        <v>588</v>
      </c>
      <c r="I70" s="20">
        <v>2165</v>
      </c>
      <c r="J70" s="20">
        <v>480</v>
      </c>
      <c r="K70" s="20">
        <v>1525</v>
      </c>
      <c r="L70" s="20">
        <v>480</v>
      </c>
      <c r="M70" s="20">
        <v>1525</v>
      </c>
    </row>
    <row r="71" spans="1:13">
      <c r="A71" s="14">
        <v>69</v>
      </c>
      <c r="B71" s="17" t="s">
        <v>58</v>
      </c>
      <c r="C71" s="17">
        <v>2016</v>
      </c>
      <c r="D71" s="20">
        <v>32076</v>
      </c>
      <c r="E71" s="20">
        <v>64086</v>
      </c>
      <c r="F71" s="20">
        <v>27454</v>
      </c>
      <c r="G71" s="20">
        <v>55592</v>
      </c>
      <c r="H71" s="20">
        <v>8856</v>
      </c>
      <c r="I71" s="20">
        <v>20962</v>
      </c>
      <c r="J71" s="20">
        <v>14011</v>
      </c>
      <c r="K71" s="20">
        <v>26271</v>
      </c>
      <c r="L71" s="20">
        <v>9239</v>
      </c>
      <c r="M71" s="20">
        <v>17088</v>
      </c>
    </row>
    <row r="72" spans="1:13">
      <c r="A72" s="14">
        <v>70</v>
      </c>
      <c r="B72" s="17" t="s">
        <v>59</v>
      </c>
      <c r="C72" s="17">
        <v>2016</v>
      </c>
      <c r="D72" s="20">
        <v>26030</v>
      </c>
      <c r="E72" s="20">
        <v>68536</v>
      </c>
      <c r="F72" s="20">
        <v>22789</v>
      </c>
      <c r="G72" s="20">
        <v>60469</v>
      </c>
      <c r="H72" s="20">
        <v>7863</v>
      </c>
      <c r="I72" s="20">
        <v>22525</v>
      </c>
      <c r="J72" s="20">
        <v>13139</v>
      </c>
      <c r="K72" s="20">
        <v>35040</v>
      </c>
      <c r="L72" s="20">
        <v>10191</v>
      </c>
      <c r="M72" s="20">
        <v>25070</v>
      </c>
    </row>
    <row r="73" spans="1:13">
      <c r="A73" s="14">
        <v>71</v>
      </c>
      <c r="B73" s="17" t="s">
        <v>33</v>
      </c>
      <c r="C73" s="17">
        <v>2015</v>
      </c>
      <c r="D73" s="22"/>
      <c r="E73" s="20">
        <v>187449</v>
      </c>
      <c r="F73" s="22"/>
      <c r="G73" s="20">
        <v>163720</v>
      </c>
      <c r="H73" s="23"/>
      <c r="I73" s="20">
        <v>68582</v>
      </c>
      <c r="J73" s="22"/>
      <c r="K73" s="20">
        <v>86189</v>
      </c>
      <c r="L73" s="22"/>
      <c r="M73" s="20">
        <v>57110</v>
      </c>
    </row>
    <row r="74" spans="1:13">
      <c r="A74" s="14">
        <v>72</v>
      </c>
      <c r="B74" s="17" t="s">
        <v>36</v>
      </c>
      <c r="C74" s="17">
        <v>2015</v>
      </c>
      <c r="D74" s="20">
        <v>12320</v>
      </c>
      <c r="E74" s="20">
        <v>12652</v>
      </c>
      <c r="F74" s="20">
        <v>9040</v>
      </c>
      <c r="G74" s="20">
        <v>8144</v>
      </c>
      <c r="H74" s="23">
        <v>6800</v>
      </c>
      <c r="I74" s="23">
        <v>5285</v>
      </c>
      <c r="J74" s="23">
        <v>2280</v>
      </c>
      <c r="K74" s="23">
        <v>4963</v>
      </c>
      <c r="L74" s="23">
        <v>250</v>
      </c>
      <c r="M74" s="23"/>
    </row>
    <row r="75" spans="1:13">
      <c r="A75" s="14">
        <v>73</v>
      </c>
      <c r="B75" s="17" t="s">
        <v>40</v>
      </c>
      <c r="C75" s="17">
        <v>2015</v>
      </c>
      <c r="D75" s="22">
        <v>10000</v>
      </c>
      <c r="E75" s="20">
        <v>9031</v>
      </c>
      <c r="F75" s="22">
        <v>8000</v>
      </c>
      <c r="G75" s="20">
        <v>6968</v>
      </c>
      <c r="H75" s="26">
        <v>6400</v>
      </c>
      <c r="I75" s="26">
        <v>5248</v>
      </c>
      <c r="J75" s="26">
        <v>1000</v>
      </c>
      <c r="K75" s="26">
        <v>2518</v>
      </c>
      <c r="L75" s="26">
        <v>250</v>
      </c>
      <c r="M75" s="26"/>
    </row>
    <row r="76" spans="1:13">
      <c r="A76" s="14">
        <v>74</v>
      </c>
      <c r="B76" s="17" t="s">
        <v>42</v>
      </c>
      <c r="C76" s="17">
        <v>2015</v>
      </c>
      <c r="D76" s="20"/>
      <c r="E76" s="20"/>
      <c r="F76" s="20"/>
      <c r="G76" s="20"/>
      <c r="H76" s="20"/>
      <c r="I76" s="20"/>
      <c r="J76" s="20"/>
      <c r="K76" s="20"/>
      <c r="L76" s="20"/>
      <c r="M76" s="20"/>
    </row>
    <row r="77" spans="1:13">
      <c r="A77" s="14">
        <v>75</v>
      </c>
      <c r="B77" s="17" t="s">
        <v>45</v>
      </c>
      <c r="C77" s="17">
        <v>2015</v>
      </c>
      <c r="D77" s="22">
        <v>2320</v>
      </c>
      <c r="E77" s="22">
        <v>3621</v>
      </c>
      <c r="F77" s="22">
        <v>1040</v>
      </c>
      <c r="G77" s="22">
        <v>1176</v>
      </c>
      <c r="H77" s="26">
        <v>400</v>
      </c>
      <c r="I77" s="26">
        <v>37</v>
      </c>
      <c r="J77" s="26">
        <v>1280</v>
      </c>
      <c r="K77" s="26">
        <v>2445</v>
      </c>
      <c r="L77" s="26"/>
      <c r="M77" s="26"/>
    </row>
    <row r="78" spans="1:13">
      <c r="A78" s="14">
        <v>76</v>
      </c>
      <c r="B78" s="17" t="s">
        <v>47</v>
      </c>
      <c r="C78" s="17">
        <v>2015</v>
      </c>
      <c r="D78" s="20"/>
      <c r="E78" s="20"/>
      <c r="F78" s="20"/>
      <c r="G78" s="20"/>
      <c r="H78" s="20"/>
      <c r="I78" s="20"/>
      <c r="J78" s="20"/>
      <c r="K78" s="20"/>
      <c r="L78" s="20"/>
      <c r="M78" s="20"/>
    </row>
    <row r="79" spans="1:13">
      <c r="A79" s="14">
        <v>77</v>
      </c>
      <c r="B79" s="17" t="s">
        <v>49</v>
      </c>
      <c r="C79" s="17">
        <v>2015</v>
      </c>
      <c r="D79" s="22">
        <v>104752</v>
      </c>
      <c r="E79" s="22">
        <v>174797</v>
      </c>
      <c r="F79" s="22">
        <v>87614</v>
      </c>
      <c r="G79" s="22">
        <v>155576</v>
      </c>
      <c r="H79" s="26">
        <v>34436</v>
      </c>
      <c r="I79" s="26">
        <v>63297</v>
      </c>
      <c r="J79" s="26">
        <v>43326</v>
      </c>
      <c r="K79" s="26">
        <v>81226</v>
      </c>
      <c r="L79" s="26">
        <v>29432</v>
      </c>
      <c r="M79" s="26">
        <v>57110</v>
      </c>
    </row>
    <row r="80" spans="1:13">
      <c r="A80" s="14">
        <v>78</v>
      </c>
      <c r="B80" s="17" t="s">
        <v>51</v>
      </c>
      <c r="C80" s="17">
        <v>2015</v>
      </c>
      <c r="D80" s="20">
        <v>6600</v>
      </c>
      <c r="E80" s="20">
        <v>6357</v>
      </c>
      <c r="F80" s="20">
        <v>6300</v>
      </c>
      <c r="G80" s="20">
        <v>6351</v>
      </c>
      <c r="H80" s="27">
        <v>3900</v>
      </c>
      <c r="I80" s="27">
        <v>3329</v>
      </c>
      <c r="J80" s="27"/>
      <c r="K80" s="27">
        <v>5</v>
      </c>
      <c r="L80" s="27"/>
      <c r="M80" s="27">
        <v>5</v>
      </c>
    </row>
    <row r="81" spans="1:13">
      <c r="A81" s="14">
        <v>79</v>
      </c>
      <c r="B81" s="17" t="s">
        <v>53</v>
      </c>
      <c r="C81" s="17">
        <v>2015</v>
      </c>
      <c r="D81" s="20">
        <v>6630</v>
      </c>
      <c r="E81" s="20">
        <v>5197</v>
      </c>
      <c r="F81" s="20">
        <v>6630</v>
      </c>
      <c r="G81" s="20">
        <v>5197</v>
      </c>
      <c r="H81" s="20">
        <v>2790</v>
      </c>
      <c r="I81" s="20">
        <v>2544</v>
      </c>
      <c r="J81" s="20">
        <v>3970</v>
      </c>
      <c r="K81" s="20">
        <v>1865</v>
      </c>
      <c r="L81" s="20">
        <v>3570</v>
      </c>
      <c r="M81" s="20">
        <v>1639</v>
      </c>
    </row>
    <row r="82" spans="1:13">
      <c r="A82" s="14">
        <v>80</v>
      </c>
      <c r="B82" s="17" t="s">
        <v>55</v>
      </c>
      <c r="C82" s="17">
        <v>2015</v>
      </c>
      <c r="D82" s="20">
        <v>27725</v>
      </c>
      <c r="E82" s="20">
        <v>26562</v>
      </c>
      <c r="F82" s="20">
        <v>26200</v>
      </c>
      <c r="G82" s="20">
        <v>23839</v>
      </c>
      <c r="H82" s="20">
        <v>7830</v>
      </c>
      <c r="I82" s="20">
        <v>8556</v>
      </c>
      <c r="J82" s="20">
        <v>11970</v>
      </c>
      <c r="K82" s="20">
        <v>9777</v>
      </c>
      <c r="L82" s="20">
        <v>8880</v>
      </c>
      <c r="M82" s="20">
        <v>7389</v>
      </c>
    </row>
    <row r="83" spans="1:13">
      <c r="A83" s="14">
        <v>81</v>
      </c>
      <c r="B83" s="17" t="s">
        <v>57</v>
      </c>
      <c r="C83" s="17">
        <v>2015</v>
      </c>
      <c r="D83" s="20">
        <v>1722</v>
      </c>
      <c r="E83" s="20">
        <v>4732</v>
      </c>
      <c r="F83" s="20">
        <v>1650</v>
      </c>
      <c r="G83" s="20">
        <v>4494</v>
      </c>
      <c r="H83" s="20">
        <v>711</v>
      </c>
      <c r="I83" s="20">
        <v>2370</v>
      </c>
      <c r="J83" s="20">
        <v>642</v>
      </c>
      <c r="K83" s="20">
        <v>2162</v>
      </c>
      <c r="L83" s="20">
        <v>642</v>
      </c>
      <c r="M83" s="20">
        <v>2162</v>
      </c>
    </row>
    <row r="84" spans="1:13">
      <c r="A84" s="14">
        <v>82</v>
      </c>
      <c r="B84" s="17" t="s">
        <v>58</v>
      </c>
      <c r="C84" s="17">
        <v>2015</v>
      </c>
      <c r="D84" s="20">
        <v>34571</v>
      </c>
      <c r="E84" s="20">
        <v>63980</v>
      </c>
      <c r="F84" s="20">
        <v>25546</v>
      </c>
      <c r="G84" s="20">
        <v>56248</v>
      </c>
      <c r="H84" s="20">
        <v>9061</v>
      </c>
      <c r="I84" s="20">
        <v>19468</v>
      </c>
      <c r="J84" s="20">
        <v>15227</v>
      </c>
      <c r="K84" s="20">
        <v>32521</v>
      </c>
      <c r="L84" s="20">
        <v>8810</v>
      </c>
      <c r="M84" s="20">
        <v>22054</v>
      </c>
    </row>
    <row r="85" spans="1:13">
      <c r="A85" s="14">
        <v>83</v>
      </c>
      <c r="B85" s="17" t="s">
        <v>59</v>
      </c>
      <c r="C85" s="17">
        <v>2015</v>
      </c>
      <c r="D85" s="20">
        <v>27504</v>
      </c>
      <c r="E85" s="20">
        <v>67969</v>
      </c>
      <c r="F85" s="20">
        <v>21288</v>
      </c>
      <c r="G85" s="20">
        <v>59447</v>
      </c>
      <c r="H85" s="20">
        <v>10144</v>
      </c>
      <c r="I85" s="20">
        <v>27030</v>
      </c>
      <c r="J85" s="20">
        <v>11517</v>
      </c>
      <c r="K85" s="20">
        <v>34896</v>
      </c>
      <c r="L85" s="20">
        <v>7530</v>
      </c>
      <c r="M85" s="20">
        <v>23862</v>
      </c>
    </row>
    <row r="86" spans="1:13">
      <c r="A86" s="14">
        <v>84</v>
      </c>
      <c r="B86" s="17" t="s">
        <v>33</v>
      </c>
      <c r="C86" s="17">
        <v>2021</v>
      </c>
      <c r="E86" s="14">
        <v>154506</v>
      </c>
      <c r="G86" s="14">
        <v>140776</v>
      </c>
      <c r="I86" s="14">
        <v>48647</v>
      </c>
      <c r="K86" s="14">
        <v>60620</v>
      </c>
      <c r="M86" s="14">
        <v>54824</v>
      </c>
    </row>
    <row r="87" spans="1:13">
      <c r="A87" s="14">
        <v>85</v>
      </c>
      <c r="B87" s="17" t="s">
        <v>36</v>
      </c>
      <c r="C87" s="17">
        <v>2021</v>
      </c>
      <c r="D87" s="14">
        <v>10600</v>
      </c>
      <c r="E87" s="14">
        <v>15660</v>
      </c>
      <c r="F87" s="14">
        <v>9800</v>
      </c>
      <c r="G87" s="14">
        <v>14208</v>
      </c>
      <c r="H87" s="14">
        <v>1800</v>
      </c>
      <c r="I87" s="14">
        <v>2285</v>
      </c>
      <c r="J87" s="14">
        <v>4000</v>
      </c>
      <c r="K87" s="14">
        <v>4292</v>
      </c>
      <c r="L87" s="14">
        <v>3200</v>
      </c>
      <c r="M87" s="14">
        <v>2840</v>
      </c>
    </row>
    <row r="88" spans="1:13">
      <c r="A88" s="14">
        <v>86</v>
      </c>
      <c r="B88" s="31" t="s">
        <v>41</v>
      </c>
      <c r="C88" s="17">
        <v>2021</v>
      </c>
      <c r="E88" s="14">
        <v>1768</v>
      </c>
      <c r="G88" s="14">
        <v>1768</v>
      </c>
    </row>
    <row r="89" spans="1:13">
      <c r="A89" s="14">
        <v>87</v>
      </c>
      <c r="B89" s="17" t="s">
        <v>40</v>
      </c>
      <c r="C89" s="17">
        <v>2021</v>
      </c>
      <c r="D89" s="14">
        <v>10400</v>
      </c>
      <c r="E89" s="14">
        <v>13747</v>
      </c>
      <c r="F89" s="14">
        <v>9600</v>
      </c>
      <c r="G89" s="14">
        <v>12295</v>
      </c>
      <c r="H89" s="14">
        <v>1600</v>
      </c>
      <c r="I89" s="14">
        <v>2140</v>
      </c>
      <c r="J89" s="14">
        <v>4000</v>
      </c>
      <c r="K89" s="14">
        <v>4292</v>
      </c>
      <c r="L89" s="14">
        <v>3200</v>
      </c>
      <c r="M89" s="14">
        <v>2840</v>
      </c>
    </row>
    <row r="90" spans="1:13">
      <c r="A90" s="14">
        <v>88</v>
      </c>
      <c r="B90" s="17" t="s">
        <v>42</v>
      </c>
      <c r="C90" s="17">
        <v>2021</v>
      </c>
    </row>
    <row r="91" spans="1:13">
      <c r="A91" s="14">
        <v>89</v>
      </c>
      <c r="B91" s="17" t="s">
        <v>45</v>
      </c>
      <c r="C91" s="17">
        <v>2021</v>
      </c>
      <c r="D91" s="14">
        <v>200</v>
      </c>
      <c r="E91" s="14">
        <v>145</v>
      </c>
      <c r="F91" s="14">
        <v>200</v>
      </c>
      <c r="G91" s="14">
        <v>145</v>
      </c>
      <c r="H91" s="14">
        <v>200</v>
      </c>
      <c r="I91" s="14">
        <v>145</v>
      </c>
    </row>
    <row r="92" spans="1:13">
      <c r="A92" s="14">
        <v>90</v>
      </c>
      <c r="B92" s="17" t="s">
        <v>47</v>
      </c>
      <c r="C92" s="17">
        <v>2021</v>
      </c>
    </row>
    <row r="93" spans="1:13">
      <c r="A93" s="14">
        <v>91</v>
      </c>
      <c r="B93" s="17" t="s">
        <v>49</v>
      </c>
      <c r="C93" s="17">
        <v>2021</v>
      </c>
      <c r="D93" s="14">
        <v>93857</v>
      </c>
      <c r="E93" s="14">
        <v>138846</v>
      </c>
      <c r="F93" s="14">
        <v>85759</v>
      </c>
      <c r="G93" s="14">
        <v>126568</v>
      </c>
      <c r="H93" s="14">
        <v>28953</v>
      </c>
      <c r="I93" s="14">
        <v>46362</v>
      </c>
      <c r="J93" s="14">
        <v>37679</v>
      </c>
      <c r="K93" s="14">
        <v>56328</v>
      </c>
      <c r="L93" s="14">
        <v>33686</v>
      </c>
      <c r="M93" s="14">
        <v>51984</v>
      </c>
    </row>
    <row r="94" spans="1:13">
      <c r="A94" s="14">
        <v>92</v>
      </c>
      <c r="B94" s="17" t="s">
        <v>51</v>
      </c>
      <c r="C94" s="17">
        <v>2021</v>
      </c>
      <c r="D94" s="14">
        <v>4200</v>
      </c>
      <c r="E94" s="14">
        <v>2212</v>
      </c>
      <c r="F94" s="14">
        <v>4200</v>
      </c>
      <c r="G94" s="14">
        <v>2212</v>
      </c>
      <c r="H94" s="14">
        <v>600</v>
      </c>
      <c r="I94" s="14">
        <v>1522</v>
      </c>
      <c r="J94" s="14">
        <v>1800</v>
      </c>
      <c r="K94" s="14">
        <v>690</v>
      </c>
      <c r="L94" s="14">
        <v>1800</v>
      </c>
      <c r="M94" s="14">
        <v>690</v>
      </c>
    </row>
    <row r="95" spans="1:13">
      <c r="A95" s="14">
        <v>93</v>
      </c>
      <c r="B95" s="17" t="s">
        <v>53</v>
      </c>
      <c r="C95" s="17">
        <v>2021</v>
      </c>
      <c r="D95" s="14">
        <v>5040</v>
      </c>
      <c r="E95" s="14">
        <v>4908</v>
      </c>
      <c r="F95" s="14">
        <v>5040</v>
      </c>
      <c r="G95" s="14">
        <v>4908</v>
      </c>
      <c r="H95" s="14">
        <v>1200</v>
      </c>
      <c r="I95" s="14">
        <v>702</v>
      </c>
      <c r="J95" s="14">
        <v>1800</v>
      </c>
      <c r="K95" s="14">
        <v>2235</v>
      </c>
      <c r="L95" s="14">
        <v>1800</v>
      </c>
      <c r="M95" s="14">
        <v>2235</v>
      </c>
    </row>
    <row r="96" spans="1:13">
      <c r="A96" s="14">
        <v>94</v>
      </c>
      <c r="B96" s="17" t="s">
        <v>55</v>
      </c>
      <c r="C96" s="17">
        <v>2021</v>
      </c>
      <c r="D96" s="14">
        <v>26546</v>
      </c>
      <c r="E96" s="14">
        <v>22246</v>
      </c>
      <c r="F96" s="14">
        <v>23918</v>
      </c>
      <c r="G96" s="14">
        <v>21063</v>
      </c>
      <c r="H96" s="14">
        <v>7435</v>
      </c>
      <c r="I96" s="14">
        <v>6657</v>
      </c>
      <c r="J96" s="14">
        <v>10998</v>
      </c>
      <c r="K96" s="14">
        <v>8820</v>
      </c>
      <c r="L96" s="14">
        <v>10348</v>
      </c>
      <c r="M96" s="14">
        <v>8144</v>
      </c>
    </row>
    <row r="97" spans="1:13">
      <c r="A97" s="14">
        <v>95</v>
      </c>
      <c r="B97" s="17" t="s">
        <v>57</v>
      </c>
      <c r="C97" s="17">
        <v>2021</v>
      </c>
      <c r="D97" s="14">
        <v>2158</v>
      </c>
      <c r="E97" s="14">
        <v>3063</v>
      </c>
      <c r="F97" s="14">
        <v>2086</v>
      </c>
      <c r="G97" s="14">
        <v>3020</v>
      </c>
      <c r="H97" s="14">
        <v>672</v>
      </c>
      <c r="I97" s="14">
        <v>537</v>
      </c>
      <c r="J97" s="14">
        <v>576</v>
      </c>
      <c r="K97" s="14">
        <v>823</v>
      </c>
      <c r="L97" s="14">
        <v>576</v>
      </c>
      <c r="M97" s="14">
        <v>823</v>
      </c>
    </row>
    <row r="98" spans="1:13">
      <c r="A98" s="14">
        <v>96</v>
      </c>
      <c r="B98" s="17" t="s">
        <v>58</v>
      </c>
      <c r="C98" s="17">
        <v>2021</v>
      </c>
      <c r="D98" s="14">
        <v>30863</v>
      </c>
      <c r="E98" s="14">
        <v>51277</v>
      </c>
      <c r="F98" s="14">
        <v>27411</v>
      </c>
      <c r="G98" s="14">
        <v>44885</v>
      </c>
      <c r="H98" s="14">
        <v>10371</v>
      </c>
      <c r="I98" s="14">
        <v>16942</v>
      </c>
      <c r="J98" s="14">
        <v>12178</v>
      </c>
      <c r="K98" s="14">
        <v>20026</v>
      </c>
      <c r="L98" s="14">
        <v>9774</v>
      </c>
      <c r="M98" s="14">
        <v>17420</v>
      </c>
    </row>
    <row r="99" spans="1:13">
      <c r="A99" s="14">
        <v>97</v>
      </c>
      <c r="B99" s="17" t="s">
        <v>59</v>
      </c>
      <c r="C99" s="17">
        <v>2021</v>
      </c>
      <c r="D99" s="14">
        <v>25050</v>
      </c>
      <c r="E99" s="14">
        <v>55141</v>
      </c>
      <c r="F99" s="14">
        <v>23104</v>
      </c>
      <c r="G99" s="14">
        <v>50480</v>
      </c>
      <c r="H99" s="14">
        <v>8675</v>
      </c>
      <c r="I99" s="14">
        <v>20002</v>
      </c>
      <c r="J99" s="14">
        <v>10327</v>
      </c>
      <c r="K99" s="14">
        <v>23735</v>
      </c>
      <c r="L99" s="14">
        <v>9388</v>
      </c>
      <c r="M99" s="14">
        <v>22671</v>
      </c>
    </row>
  </sheetData>
  <autoFilter xmlns:etc="http://www.wps.cn/officeDocument/2017/etCustomData" ref="O1:AB14" etc:filterBottomFollowUsedRange="0">
    <extLst/>
  </autoFilter>
  <mergeCells count="17">
    <mergeCell ref="D1:E1"/>
    <mergeCell ref="F1:G1"/>
    <mergeCell ref="H1:I1"/>
    <mergeCell ref="J1:K1"/>
    <mergeCell ref="L1:M1"/>
    <mergeCell ref="S1:T1"/>
    <mergeCell ref="U1:V1"/>
    <mergeCell ref="W1:X1"/>
    <mergeCell ref="Y1:Z1"/>
    <mergeCell ref="AA1:AB1"/>
    <mergeCell ref="A1:A2"/>
    <mergeCell ref="B1:B2"/>
    <mergeCell ref="C1:C2"/>
    <mergeCell ref="O1:O2"/>
    <mergeCell ref="P1:P2"/>
    <mergeCell ref="Q1:Q2"/>
    <mergeCell ref="R1:R2"/>
  </mergeCells>
  <conditionalFormatting sqref="D3:M1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7:M3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1:M4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5:M58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9:M7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3:M8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886"/>
  <sheetViews>
    <sheetView workbookViewId="0">
      <selection activeCell="K38" sqref="A35:K38"/>
    </sheetView>
  </sheetViews>
  <sheetFormatPr defaultColWidth="9" defaultRowHeight="13.5"/>
  <cols>
    <col min="1" max="2" width="9" style="12"/>
    <col min="3" max="3" width="15.1238938053097" style="12" customWidth="1"/>
    <col min="4" max="7" width="9" style="12"/>
    <col min="8" max="8" width="20.3716814159292" style="12" customWidth="1"/>
    <col min="9" max="9" width="15.5044247787611" style="12" customWidth="1"/>
    <col min="10" max="20" width="10" style="12" customWidth="1"/>
    <col min="21" max="21" width="5" style="12" customWidth="1"/>
    <col min="22" max="23" width="11" style="12" customWidth="1"/>
    <col min="24" max="16384" width="9" style="12"/>
  </cols>
  <sheetData>
    <row r="1" spans="1:22">
      <c r="B1" s="12" t="s">
        <v>60</v>
      </c>
      <c r="C1" s="12" t="s">
        <v>61</v>
      </c>
      <c r="D1" s="12" t="s">
        <v>62</v>
      </c>
      <c r="E1" s="12" t="s">
        <v>63</v>
      </c>
      <c r="H1" s="12" t="s">
        <v>61</v>
      </c>
      <c r="I1" s="12" t="s">
        <v>64</v>
      </c>
    </row>
    <row r="2" spans="1:22">
      <c r="A2" s="12" t="s">
        <v>65</v>
      </c>
      <c r="B2" s="12">
        <v>2010</v>
      </c>
      <c r="C2" s="12" t="s">
        <v>66</v>
      </c>
      <c r="D2" s="12" t="s">
        <v>67</v>
      </c>
      <c r="E2" s="12">
        <v>61</v>
      </c>
    </row>
    <row r="3" spans="1:22">
      <c r="A3" s="12" t="s">
        <v>68</v>
      </c>
      <c r="B3" s="12">
        <v>2010</v>
      </c>
      <c r="C3" s="12" t="s">
        <v>69</v>
      </c>
      <c r="D3" s="12" t="s">
        <v>70</v>
      </c>
      <c r="E3" s="12">
        <v>139</v>
      </c>
      <c r="H3" s="12" t="s">
        <v>71</v>
      </c>
      <c r="I3" s="12" t="s">
        <v>72</v>
      </c>
    </row>
    <row r="4" spans="1:22">
      <c r="A4" s="12" t="s">
        <v>73</v>
      </c>
      <c r="B4" s="12">
        <v>2010</v>
      </c>
      <c r="C4" s="12" t="s">
        <v>74</v>
      </c>
      <c r="D4" s="12" t="s">
        <v>67</v>
      </c>
      <c r="E4" s="12">
        <v>600</v>
      </c>
      <c r="H4" s="12" t="s">
        <v>75</v>
      </c>
      <c r="I4" s="12">
        <v>2010</v>
      </c>
      <c r="J4" s="12">
        <v>2011</v>
      </c>
      <c r="K4" s="12">
        <v>2012</v>
      </c>
      <c r="L4" s="12">
        <v>2013</v>
      </c>
      <c r="M4" s="12">
        <v>2014</v>
      </c>
      <c r="N4" s="12">
        <v>2015</v>
      </c>
      <c r="O4" s="12">
        <v>2016</v>
      </c>
      <c r="P4" s="12">
        <v>2017</v>
      </c>
      <c r="Q4" s="12">
        <v>2018</v>
      </c>
      <c r="R4" s="12">
        <v>2019</v>
      </c>
      <c r="S4" s="12">
        <v>2020</v>
      </c>
      <c r="T4" s="12">
        <v>2021</v>
      </c>
      <c r="U4" s="12">
        <v>2022</v>
      </c>
      <c r="V4" s="12" t="s">
        <v>76</v>
      </c>
    </row>
    <row r="5" spans="1:22">
      <c r="A5" s="12" t="s">
        <v>77</v>
      </c>
      <c r="B5" s="12">
        <v>2010</v>
      </c>
      <c r="C5" s="12" t="s">
        <v>78</v>
      </c>
      <c r="D5" s="12" t="s">
        <v>67</v>
      </c>
      <c r="E5" s="12">
        <v>600</v>
      </c>
      <c r="H5" s="13" t="s">
        <v>41</v>
      </c>
      <c r="O5" s="12">
        <v>320467</v>
      </c>
      <c r="P5" s="12">
        <v>1209686</v>
      </c>
      <c r="Q5" s="12">
        <v>1133628</v>
      </c>
      <c r="V5" s="12">
        <v>2663781</v>
      </c>
    </row>
    <row r="6" spans="1:22">
      <c r="A6" s="12" t="s">
        <v>79</v>
      </c>
      <c r="B6" s="12">
        <v>2010</v>
      </c>
      <c r="C6" s="12" t="s">
        <v>66</v>
      </c>
      <c r="D6" s="12" t="s">
        <v>54</v>
      </c>
      <c r="E6" s="12">
        <v>1076</v>
      </c>
      <c r="H6" s="13" t="s">
        <v>34</v>
      </c>
      <c r="I6" s="12">
        <v>146229</v>
      </c>
      <c r="J6" s="12">
        <v>471993</v>
      </c>
      <c r="R6" s="12">
        <v>10000</v>
      </c>
      <c r="V6" s="12">
        <v>628222</v>
      </c>
    </row>
    <row r="7" spans="1:22">
      <c r="A7" s="12" t="s">
        <v>80</v>
      </c>
      <c r="B7" s="12">
        <v>2010</v>
      </c>
      <c r="C7" s="12" t="s">
        <v>64</v>
      </c>
      <c r="D7" s="12" t="s">
        <v>67</v>
      </c>
      <c r="E7" s="12">
        <v>1261</v>
      </c>
      <c r="H7" s="13" t="s">
        <v>37</v>
      </c>
      <c r="I7" s="12">
        <v>814627</v>
      </c>
      <c r="J7" s="12">
        <v>464780</v>
      </c>
      <c r="K7" s="12">
        <v>508508</v>
      </c>
      <c r="L7" s="12">
        <v>450100</v>
      </c>
      <c r="M7" s="12">
        <v>419762</v>
      </c>
      <c r="N7" s="12">
        <v>674846</v>
      </c>
      <c r="O7" s="12">
        <v>224890</v>
      </c>
      <c r="P7" s="12">
        <v>92607</v>
      </c>
      <c r="Q7" s="12">
        <v>975208</v>
      </c>
      <c r="R7" s="12">
        <v>292105</v>
      </c>
      <c r="S7" s="12">
        <v>331380</v>
      </c>
      <c r="T7" s="12">
        <v>42202</v>
      </c>
      <c r="V7" s="12">
        <v>5291015</v>
      </c>
    </row>
    <row r="8" spans="1:22">
      <c r="A8" s="12" t="s">
        <v>81</v>
      </c>
      <c r="B8" s="12">
        <v>2010</v>
      </c>
      <c r="C8" s="12" t="s">
        <v>78</v>
      </c>
      <c r="D8" s="12" t="s">
        <v>34</v>
      </c>
      <c r="E8" s="12">
        <v>1646</v>
      </c>
      <c r="H8" s="13" t="s">
        <v>82</v>
      </c>
      <c r="I8" s="12">
        <v>713955</v>
      </c>
      <c r="J8" s="12">
        <v>210334</v>
      </c>
      <c r="V8" s="12">
        <v>924289</v>
      </c>
    </row>
    <row r="9" spans="1:22">
      <c r="A9" s="12" t="s">
        <v>83</v>
      </c>
      <c r="B9" s="12">
        <v>2010</v>
      </c>
      <c r="C9" s="12" t="s">
        <v>78</v>
      </c>
      <c r="D9" s="12" t="s">
        <v>70</v>
      </c>
      <c r="E9" s="12">
        <v>2275</v>
      </c>
      <c r="H9" s="13" t="s">
        <v>39</v>
      </c>
      <c r="I9" s="12">
        <v>1160549</v>
      </c>
      <c r="J9" s="12">
        <v>1073559</v>
      </c>
      <c r="K9" s="12">
        <v>2263016</v>
      </c>
      <c r="L9" s="12">
        <v>3094331</v>
      </c>
      <c r="M9" s="12">
        <v>1257639</v>
      </c>
      <c r="N9" s="12">
        <v>1487310</v>
      </c>
      <c r="O9" s="12">
        <v>4402192</v>
      </c>
      <c r="P9" s="12">
        <v>7287037</v>
      </c>
      <c r="Q9" s="12">
        <v>3095849</v>
      </c>
      <c r="R9" s="12">
        <v>2192823</v>
      </c>
      <c r="S9" s="12">
        <v>4991902</v>
      </c>
      <c r="T9" s="12">
        <v>3759669</v>
      </c>
      <c r="V9" s="12">
        <v>36065876</v>
      </c>
    </row>
    <row r="10" spans="1:22">
      <c r="A10" s="12" t="s">
        <v>84</v>
      </c>
      <c r="B10" s="12">
        <v>2010</v>
      </c>
      <c r="C10" s="12" t="s">
        <v>64</v>
      </c>
      <c r="D10" s="12" t="s">
        <v>70</v>
      </c>
      <c r="E10" s="12">
        <v>2414</v>
      </c>
      <c r="H10" s="13" t="s">
        <v>85</v>
      </c>
      <c r="I10" s="12">
        <v>2835360</v>
      </c>
      <c r="J10" s="12">
        <v>2220666</v>
      </c>
      <c r="K10" s="12">
        <v>2776524</v>
      </c>
      <c r="L10" s="12">
        <v>3544431</v>
      </c>
      <c r="M10" s="12">
        <v>1677401</v>
      </c>
      <c r="N10" s="12">
        <v>2162156</v>
      </c>
      <c r="O10" s="12">
        <v>4947549</v>
      </c>
      <c r="P10" s="12">
        <v>8589331</v>
      </c>
      <c r="Q10" s="12">
        <v>5204685</v>
      </c>
      <c r="R10" s="12">
        <v>2494928</v>
      </c>
      <c r="S10" s="12">
        <v>5323282</v>
      </c>
      <c r="T10" s="12">
        <v>3801871</v>
      </c>
      <c r="V10" s="12">
        <v>45578184</v>
      </c>
    </row>
    <row r="11" spans="1:22">
      <c r="A11" s="12" t="s">
        <v>86</v>
      </c>
      <c r="B11" s="12">
        <v>2010</v>
      </c>
      <c r="C11" s="12" t="s">
        <v>74</v>
      </c>
      <c r="D11" s="12" t="s">
        <v>87</v>
      </c>
      <c r="E11" s="12">
        <v>13469</v>
      </c>
      <c r="H11" s="13" t="s">
        <v>54</v>
      </c>
      <c r="I11" s="12">
        <v>19700</v>
      </c>
      <c r="J11" s="12">
        <v>534551</v>
      </c>
      <c r="K11" s="12">
        <v>600237</v>
      </c>
      <c r="L11" s="12">
        <v>1598466</v>
      </c>
      <c r="M11" s="12">
        <v>2150971</v>
      </c>
      <c r="N11" s="12">
        <v>3153489</v>
      </c>
      <c r="O11" s="12">
        <v>3980497</v>
      </c>
      <c r="P11" s="12">
        <v>1675549</v>
      </c>
      <c r="Q11" s="12">
        <v>1837307</v>
      </c>
      <c r="R11" s="12">
        <v>1599741</v>
      </c>
      <c r="S11" s="12">
        <v>897924</v>
      </c>
      <c r="T11" s="12">
        <v>1515392</v>
      </c>
      <c r="V11" s="12">
        <v>19563824</v>
      </c>
    </row>
    <row r="12" spans="1:22">
      <c r="A12" s="12" t="s">
        <v>88</v>
      </c>
      <c r="B12" s="12">
        <v>2010</v>
      </c>
      <c r="C12" s="12" t="s">
        <v>69</v>
      </c>
      <c r="D12" s="12" t="s">
        <v>37</v>
      </c>
      <c r="E12" s="12">
        <v>16157</v>
      </c>
      <c r="H12" s="13" t="s">
        <v>89</v>
      </c>
      <c r="I12" s="12">
        <v>6120373</v>
      </c>
      <c r="J12" s="12">
        <v>7900261</v>
      </c>
      <c r="K12" s="12">
        <v>8044052</v>
      </c>
      <c r="L12" s="12">
        <v>7114356</v>
      </c>
      <c r="M12" s="12">
        <v>6961974</v>
      </c>
      <c r="N12" s="12">
        <v>7137732</v>
      </c>
      <c r="O12" s="12">
        <v>7969259</v>
      </c>
      <c r="P12" s="12">
        <v>6476099</v>
      </c>
      <c r="Q12" s="12">
        <v>6494009</v>
      </c>
      <c r="R12" s="12">
        <v>6464522</v>
      </c>
      <c r="S12" s="12">
        <v>6228067</v>
      </c>
      <c r="T12" s="12">
        <v>7339507</v>
      </c>
      <c r="V12" s="12">
        <v>84250211</v>
      </c>
    </row>
    <row r="13" spans="1:22">
      <c r="A13" s="12" t="s">
        <v>90</v>
      </c>
      <c r="B13" s="12">
        <v>2010</v>
      </c>
      <c r="C13" s="12" t="s">
        <v>69</v>
      </c>
      <c r="D13" s="12" t="s">
        <v>34</v>
      </c>
      <c r="E13" s="12">
        <v>16506</v>
      </c>
      <c r="H13" s="13" t="s">
        <v>91</v>
      </c>
      <c r="I13" s="12">
        <v>30549189</v>
      </c>
      <c r="J13" s="12">
        <v>32754506</v>
      </c>
      <c r="K13" s="12">
        <v>31803134</v>
      </c>
      <c r="L13" s="12">
        <v>34131122</v>
      </c>
      <c r="M13" s="12">
        <v>38252240</v>
      </c>
      <c r="N13" s="12">
        <v>42975798</v>
      </c>
      <c r="O13" s="12">
        <v>47867543</v>
      </c>
      <c r="P13" s="12">
        <v>42762421</v>
      </c>
      <c r="Q13" s="12">
        <v>46127730</v>
      </c>
      <c r="R13" s="12">
        <v>45298308</v>
      </c>
      <c r="S13" s="12">
        <v>41883339</v>
      </c>
      <c r="T13" s="12">
        <v>43834772</v>
      </c>
      <c r="V13" s="12">
        <v>478240102</v>
      </c>
    </row>
    <row r="14" spans="1:22">
      <c r="A14" s="12" t="s">
        <v>92</v>
      </c>
      <c r="B14" s="12">
        <v>2010</v>
      </c>
      <c r="C14" s="12" t="s">
        <v>74</v>
      </c>
      <c r="D14" s="12" t="s">
        <v>93</v>
      </c>
      <c r="E14" s="12">
        <v>16741</v>
      </c>
      <c r="H14" s="13" t="s">
        <v>46</v>
      </c>
      <c r="I14" s="12">
        <v>10831615</v>
      </c>
      <c r="J14" s="12">
        <v>10858299</v>
      </c>
      <c r="K14" s="12">
        <v>8766223</v>
      </c>
      <c r="L14" s="12">
        <v>7921906</v>
      </c>
      <c r="M14" s="12">
        <v>9239712</v>
      </c>
      <c r="N14" s="12">
        <v>8873227</v>
      </c>
      <c r="O14" s="12">
        <v>6629426</v>
      </c>
      <c r="P14" s="12">
        <v>6275211</v>
      </c>
      <c r="Q14" s="12">
        <v>6612618</v>
      </c>
      <c r="R14" s="12">
        <v>6200893</v>
      </c>
      <c r="S14" s="12">
        <v>6380481</v>
      </c>
      <c r="T14" s="12">
        <v>7428260</v>
      </c>
      <c r="V14" s="12">
        <v>96017871</v>
      </c>
    </row>
    <row r="15" spans="1:22">
      <c r="A15" s="12" t="s">
        <v>94</v>
      </c>
      <c r="B15" s="12">
        <v>2010</v>
      </c>
      <c r="C15" s="12" t="s">
        <v>69</v>
      </c>
      <c r="D15" s="12" t="s">
        <v>82</v>
      </c>
      <c r="E15" s="12">
        <v>17255</v>
      </c>
      <c r="H15" s="13" t="s">
        <v>48</v>
      </c>
      <c r="I15" s="12">
        <v>372515</v>
      </c>
      <c r="J15" s="12">
        <v>195155</v>
      </c>
      <c r="K15" s="12">
        <v>288121</v>
      </c>
      <c r="L15" s="12">
        <v>427820</v>
      </c>
      <c r="M15" s="12">
        <v>498628</v>
      </c>
      <c r="N15" s="12">
        <v>553664</v>
      </c>
      <c r="O15" s="12">
        <v>522861</v>
      </c>
      <c r="P15" s="12">
        <v>413040</v>
      </c>
      <c r="Q15" s="12">
        <v>419812</v>
      </c>
      <c r="R15" s="12">
        <v>353628</v>
      </c>
      <c r="S15" s="12">
        <v>455553</v>
      </c>
      <c r="T15" s="12">
        <v>486926</v>
      </c>
      <c r="V15" s="12">
        <v>4987723</v>
      </c>
    </row>
    <row r="16" spans="1:22">
      <c r="A16" s="12" t="s">
        <v>95</v>
      </c>
      <c r="B16" s="12">
        <v>2010</v>
      </c>
      <c r="C16" s="12" t="s">
        <v>66</v>
      </c>
      <c r="D16" s="12" t="s">
        <v>96</v>
      </c>
      <c r="E16" s="12">
        <v>18462</v>
      </c>
      <c r="H16" s="13" t="s">
        <v>50</v>
      </c>
      <c r="I16" s="12">
        <v>4441326</v>
      </c>
      <c r="J16" s="12">
        <v>3637078</v>
      </c>
      <c r="K16" s="12">
        <v>2632474</v>
      </c>
      <c r="L16" s="12">
        <v>4028707</v>
      </c>
      <c r="M16" s="12">
        <v>4559539</v>
      </c>
      <c r="N16" s="12">
        <v>4629443</v>
      </c>
      <c r="O16" s="12">
        <v>4277281</v>
      </c>
      <c r="P16" s="12">
        <v>4848558</v>
      </c>
      <c r="Q16" s="12">
        <v>4852910</v>
      </c>
      <c r="R16" s="12">
        <v>3596383</v>
      </c>
      <c r="S16" s="12">
        <v>4736655</v>
      </c>
      <c r="T16" s="12">
        <v>4960172</v>
      </c>
      <c r="V16" s="12">
        <v>51200526</v>
      </c>
    </row>
    <row r="17" spans="1:22">
      <c r="A17" s="12" t="s">
        <v>97</v>
      </c>
      <c r="B17" s="12">
        <v>2010</v>
      </c>
      <c r="C17" s="12" t="s">
        <v>78</v>
      </c>
      <c r="D17" s="12" t="s">
        <v>54</v>
      </c>
      <c r="E17" s="12">
        <v>18624</v>
      </c>
      <c r="H17" s="13" t="s">
        <v>98</v>
      </c>
      <c r="I17" s="12">
        <v>1738513</v>
      </c>
      <c r="J17" s="12">
        <v>809047</v>
      </c>
      <c r="K17" s="12">
        <v>590970</v>
      </c>
      <c r="L17" s="12">
        <v>1200399</v>
      </c>
      <c r="M17" s="12">
        <v>900030</v>
      </c>
      <c r="N17" s="12">
        <v>1355619</v>
      </c>
      <c r="O17" s="12">
        <v>967071</v>
      </c>
      <c r="P17" s="12">
        <v>931099</v>
      </c>
      <c r="Q17" s="12">
        <v>927776</v>
      </c>
      <c r="R17" s="12">
        <v>981154</v>
      </c>
      <c r="S17" s="12">
        <v>999720</v>
      </c>
      <c r="T17" s="12">
        <v>895250</v>
      </c>
      <c r="V17" s="12">
        <v>12296648</v>
      </c>
    </row>
    <row r="18" spans="1:22">
      <c r="A18" s="12" t="s">
        <v>99</v>
      </c>
      <c r="B18" s="12">
        <v>2010</v>
      </c>
      <c r="C18" s="12" t="s">
        <v>64</v>
      </c>
      <c r="D18" s="12" t="s">
        <v>54</v>
      </c>
      <c r="E18" s="12">
        <v>19700</v>
      </c>
      <c r="H18" s="13" t="s">
        <v>100</v>
      </c>
      <c r="I18" s="12">
        <v>34481024</v>
      </c>
      <c r="J18" s="12">
        <v>36865661</v>
      </c>
      <c r="K18" s="12">
        <v>36611324</v>
      </c>
      <c r="L18" s="12">
        <v>38562130</v>
      </c>
      <c r="M18" s="12">
        <v>41193217</v>
      </c>
      <c r="N18" s="12">
        <v>46398109</v>
      </c>
      <c r="O18" s="12">
        <v>54314885</v>
      </c>
      <c r="P18" s="12">
        <v>53388841</v>
      </c>
      <c r="Q18" s="12">
        <v>53738169</v>
      </c>
      <c r="R18" s="12">
        <v>50117312</v>
      </c>
      <c r="S18" s="12">
        <v>48963113</v>
      </c>
      <c r="T18" s="12">
        <v>49162538</v>
      </c>
      <c r="V18" s="12">
        <v>543796323</v>
      </c>
    </row>
    <row r="19" spans="1:22">
      <c r="A19" s="12" t="s">
        <v>101</v>
      </c>
      <c r="B19" s="12">
        <v>2010</v>
      </c>
      <c r="C19" s="12" t="s">
        <v>69</v>
      </c>
      <c r="D19" s="12" t="s">
        <v>39</v>
      </c>
      <c r="E19" s="12">
        <v>20215</v>
      </c>
      <c r="H19" s="13" t="s">
        <v>102</v>
      </c>
      <c r="I19" s="12">
        <v>39693629</v>
      </c>
      <c r="J19" s="12">
        <v>39274019</v>
      </c>
      <c r="K19" s="12">
        <v>37318220</v>
      </c>
      <c r="L19" s="12">
        <v>38719325</v>
      </c>
      <c r="M19" s="12">
        <v>36861339</v>
      </c>
      <c r="N19" s="12">
        <v>39362341</v>
      </c>
      <c r="O19" s="12">
        <v>34083732</v>
      </c>
      <c r="P19" s="12">
        <v>28998394</v>
      </c>
      <c r="Q19" s="12">
        <v>27871417</v>
      </c>
      <c r="R19" s="12">
        <v>32832718</v>
      </c>
      <c r="S19" s="12">
        <v>52924357</v>
      </c>
      <c r="T19" s="12">
        <v>58700921</v>
      </c>
      <c r="V19" s="12">
        <v>466640412</v>
      </c>
    </row>
    <row r="20" spans="1:22">
      <c r="A20" s="12" t="s">
        <v>103</v>
      </c>
      <c r="B20" s="12">
        <v>2010</v>
      </c>
      <c r="C20" s="12" t="s">
        <v>74</v>
      </c>
      <c r="D20" s="12" t="s">
        <v>104</v>
      </c>
      <c r="E20" s="12">
        <v>21059</v>
      </c>
      <c r="H20" s="13" t="s">
        <v>105</v>
      </c>
      <c r="I20" s="12">
        <v>10375540</v>
      </c>
      <c r="J20" s="12">
        <v>9024369</v>
      </c>
      <c r="K20" s="12">
        <v>6073750</v>
      </c>
      <c r="L20" s="12">
        <v>6496073</v>
      </c>
      <c r="M20" s="12">
        <v>9154985</v>
      </c>
      <c r="N20" s="12">
        <v>12002448</v>
      </c>
      <c r="O20" s="12">
        <v>9266583</v>
      </c>
      <c r="P20" s="12">
        <v>6810730</v>
      </c>
      <c r="Q20" s="12">
        <v>6461876</v>
      </c>
      <c r="R20" s="12">
        <v>12443671</v>
      </c>
      <c r="S20" s="12">
        <v>26531184</v>
      </c>
      <c r="T20" s="12">
        <v>25894681</v>
      </c>
      <c r="V20" s="12">
        <v>140535890</v>
      </c>
    </row>
    <row r="21" spans="1:22">
      <c r="A21" s="12" t="s">
        <v>106</v>
      </c>
      <c r="B21" s="12">
        <v>2010</v>
      </c>
      <c r="C21" s="12" t="s">
        <v>66</v>
      </c>
      <c r="D21" s="12" t="s">
        <v>87</v>
      </c>
      <c r="E21" s="12">
        <v>26052</v>
      </c>
      <c r="H21" s="13" t="s">
        <v>107</v>
      </c>
      <c r="I21" s="12">
        <v>74174653</v>
      </c>
      <c r="J21" s="12">
        <v>76139680</v>
      </c>
      <c r="K21" s="12">
        <v>73929544</v>
      </c>
      <c r="L21" s="12">
        <v>77281456</v>
      </c>
      <c r="M21" s="12">
        <v>78054556</v>
      </c>
      <c r="N21" s="12">
        <v>85760450</v>
      </c>
      <c r="O21" s="12">
        <v>88398617</v>
      </c>
      <c r="P21" s="12">
        <v>82387235</v>
      </c>
      <c r="Q21" s="12">
        <v>81609586</v>
      </c>
      <c r="R21" s="12">
        <v>82950030</v>
      </c>
      <c r="S21" s="12">
        <v>101887470</v>
      </c>
      <c r="T21" s="12">
        <v>107863459</v>
      </c>
      <c r="V21" s="12">
        <v>1010436736</v>
      </c>
    </row>
    <row r="22" spans="1:22">
      <c r="A22" s="12" t="s">
        <v>108</v>
      </c>
      <c r="B22" s="12">
        <v>2010</v>
      </c>
      <c r="C22" s="12" t="s">
        <v>69</v>
      </c>
      <c r="D22" s="12" t="s">
        <v>48</v>
      </c>
      <c r="E22" s="12">
        <v>29004</v>
      </c>
      <c r="H22" s="13" t="s">
        <v>109</v>
      </c>
      <c r="I22" s="12">
        <v>6475656</v>
      </c>
      <c r="J22" s="12">
        <v>7639639</v>
      </c>
      <c r="K22" s="12">
        <v>7844842</v>
      </c>
      <c r="L22" s="12">
        <v>6601906</v>
      </c>
      <c r="M22" s="12">
        <v>5327242</v>
      </c>
      <c r="N22" s="12">
        <v>5650803</v>
      </c>
      <c r="O22" s="12">
        <v>5040673</v>
      </c>
      <c r="P22" s="12">
        <v>4542153</v>
      </c>
      <c r="Q22" s="12">
        <v>4471618</v>
      </c>
      <c r="R22" s="12">
        <v>3823984</v>
      </c>
      <c r="S22" s="12">
        <v>3794978</v>
      </c>
      <c r="T22" s="12">
        <v>5388598</v>
      </c>
      <c r="V22" s="12">
        <v>66602092</v>
      </c>
    </row>
    <row r="23" spans="1:22">
      <c r="A23" s="12" t="s">
        <v>110</v>
      </c>
      <c r="B23" s="12">
        <v>2010</v>
      </c>
      <c r="C23" s="12" t="s">
        <v>74</v>
      </c>
      <c r="D23" s="12" t="s">
        <v>96</v>
      </c>
      <c r="E23" s="12">
        <v>30170</v>
      </c>
      <c r="H23" s="13" t="s">
        <v>111</v>
      </c>
      <c r="I23" s="12">
        <v>14261423</v>
      </c>
      <c r="J23" s="12">
        <v>11333218</v>
      </c>
      <c r="K23" s="12">
        <v>10024752</v>
      </c>
      <c r="L23" s="12">
        <v>10161773</v>
      </c>
      <c r="M23" s="12">
        <v>11448956</v>
      </c>
      <c r="N23" s="12">
        <v>11633342</v>
      </c>
      <c r="O23" s="12">
        <v>11192772</v>
      </c>
      <c r="P23" s="12">
        <v>8577120</v>
      </c>
      <c r="Q23" s="12">
        <v>7864177</v>
      </c>
      <c r="R23" s="12">
        <v>6337501</v>
      </c>
      <c r="S23" s="12">
        <v>5676658</v>
      </c>
      <c r="T23" s="12">
        <v>7076797</v>
      </c>
      <c r="V23" s="12">
        <v>115588489</v>
      </c>
    </row>
    <row r="24" spans="1:22">
      <c r="A24" s="12" t="s">
        <v>112</v>
      </c>
      <c r="B24" s="12">
        <v>2010</v>
      </c>
      <c r="C24" s="12" t="s">
        <v>66</v>
      </c>
      <c r="D24" s="12" t="s">
        <v>93</v>
      </c>
      <c r="E24" s="12">
        <v>33290</v>
      </c>
      <c r="H24" s="13" t="s">
        <v>113</v>
      </c>
      <c r="I24" s="12">
        <v>1096475</v>
      </c>
      <c r="J24" s="12">
        <v>1890489</v>
      </c>
      <c r="K24" s="12">
        <v>2031666</v>
      </c>
      <c r="L24" s="12">
        <v>886578</v>
      </c>
      <c r="M24" s="12">
        <v>1263574</v>
      </c>
      <c r="N24" s="12">
        <v>1260154</v>
      </c>
      <c r="O24" s="12">
        <v>1499792</v>
      </c>
      <c r="P24" s="12">
        <v>2037090</v>
      </c>
      <c r="Q24" s="12">
        <v>2405754</v>
      </c>
      <c r="R24" s="12">
        <v>2324077</v>
      </c>
      <c r="S24" s="12">
        <v>1756491</v>
      </c>
      <c r="T24" s="12">
        <v>1525894</v>
      </c>
      <c r="V24" s="12">
        <v>19978034</v>
      </c>
    </row>
    <row r="25" spans="1:22">
      <c r="A25" s="12" t="s">
        <v>114</v>
      </c>
      <c r="B25" s="12">
        <v>2010</v>
      </c>
      <c r="C25" s="12" t="s">
        <v>69</v>
      </c>
      <c r="D25" s="12" t="s">
        <v>96</v>
      </c>
      <c r="E25" s="12">
        <v>35254</v>
      </c>
      <c r="H25" s="13" t="s">
        <v>67</v>
      </c>
      <c r="I25" s="12">
        <v>1261</v>
      </c>
      <c r="J25" s="12">
        <v>24847</v>
      </c>
      <c r="T25" s="12">
        <v>7659</v>
      </c>
      <c r="V25" s="12">
        <v>33767</v>
      </c>
    </row>
    <row r="26" spans="1:22">
      <c r="A26" s="12" t="s">
        <v>115</v>
      </c>
      <c r="B26" s="12">
        <v>2010</v>
      </c>
      <c r="C26" s="12" t="s">
        <v>66</v>
      </c>
      <c r="D26" s="12" t="s">
        <v>82</v>
      </c>
      <c r="E26" s="12">
        <v>36289</v>
      </c>
      <c r="H26" s="13" t="s">
        <v>87</v>
      </c>
      <c r="I26" s="12">
        <v>146270</v>
      </c>
      <c r="J26" s="12">
        <v>491750</v>
      </c>
      <c r="K26" s="12">
        <v>93803</v>
      </c>
      <c r="L26" s="12">
        <v>49821</v>
      </c>
      <c r="M26" s="12">
        <v>6215</v>
      </c>
      <c r="N26" s="12">
        <v>2324</v>
      </c>
      <c r="O26" s="12">
        <v>4484</v>
      </c>
      <c r="P26" s="12">
        <v>71336</v>
      </c>
      <c r="Q26" s="12">
        <v>5094</v>
      </c>
      <c r="R26" s="12">
        <v>232325</v>
      </c>
      <c r="S26" s="12">
        <v>416868</v>
      </c>
      <c r="T26" s="12">
        <v>397853</v>
      </c>
      <c r="V26" s="12">
        <v>1918143</v>
      </c>
    </row>
    <row r="27" spans="1:22">
      <c r="A27" s="12" t="s">
        <v>116</v>
      </c>
      <c r="B27" s="12">
        <v>2010</v>
      </c>
      <c r="C27" s="12" t="s">
        <v>69</v>
      </c>
      <c r="D27" s="12" t="s">
        <v>93</v>
      </c>
      <c r="E27" s="12">
        <v>37158</v>
      </c>
      <c r="H27" s="13" t="s">
        <v>104</v>
      </c>
      <c r="I27" s="12">
        <v>533713</v>
      </c>
      <c r="J27" s="12">
        <v>651550</v>
      </c>
      <c r="K27" s="12">
        <v>675223</v>
      </c>
      <c r="L27" s="12">
        <v>829034</v>
      </c>
      <c r="M27" s="12">
        <v>902442</v>
      </c>
      <c r="N27" s="12">
        <v>1078834</v>
      </c>
      <c r="O27" s="12">
        <v>842336</v>
      </c>
      <c r="P27" s="12">
        <v>1419891</v>
      </c>
      <c r="Q27" s="12">
        <v>1624779</v>
      </c>
      <c r="R27" s="12">
        <v>1720815</v>
      </c>
      <c r="S27" s="12">
        <v>2380584</v>
      </c>
      <c r="T27" s="12">
        <v>2930658</v>
      </c>
      <c r="V27" s="12">
        <v>15589859</v>
      </c>
    </row>
    <row r="28" spans="1:22">
      <c r="A28" s="12" t="s">
        <v>117</v>
      </c>
      <c r="B28" s="12">
        <v>2010</v>
      </c>
      <c r="C28" s="12" t="s">
        <v>69</v>
      </c>
      <c r="D28" s="12" t="s">
        <v>87</v>
      </c>
      <c r="E28" s="12">
        <v>43763</v>
      </c>
      <c r="H28" s="13" t="s">
        <v>118</v>
      </c>
      <c r="I28" s="12">
        <v>13814964</v>
      </c>
      <c r="J28" s="12">
        <v>9803615</v>
      </c>
      <c r="K28" s="12">
        <v>8291699</v>
      </c>
      <c r="L28" s="12">
        <v>8049324</v>
      </c>
      <c r="M28" s="12">
        <v>9583471</v>
      </c>
      <c r="N28" s="12">
        <v>10614335</v>
      </c>
      <c r="O28" s="12">
        <v>9731986</v>
      </c>
      <c r="P28" s="12">
        <v>7062506</v>
      </c>
      <c r="Q28" s="12">
        <v>6443114</v>
      </c>
      <c r="R28" s="12">
        <v>5062824</v>
      </c>
      <c r="S28" s="12">
        <v>4003760</v>
      </c>
      <c r="T28" s="12">
        <v>5524354</v>
      </c>
      <c r="V28" s="12">
        <v>97985952</v>
      </c>
    </row>
    <row r="29" spans="1:22">
      <c r="A29" s="12" t="s">
        <v>119</v>
      </c>
      <c r="B29" s="12">
        <v>2010</v>
      </c>
      <c r="C29" s="12" t="s">
        <v>66</v>
      </c>
      <c r="D29" s="12" t="s">
        <v>34</v>
      </c>
      <c r="E29" s="12">
        <v>47446</v>
      </c>
      <c r="H29" s="13" t="s">
        <v>93</v>
      </c>
      <c r="I29" s="12">
        <v>297775</v>
      </c>
      <c r="J29" s="12">
        <v>728775</v>
      </c>
      <c r="K29" s="12">
        <v>1639250</v>
      </c>
      <c r="L29" s="12">
        <v>2062628</v>
      </c>
      <c r="M29" s="12">
        <v>1859270</v>
      </c>
      <c r="N29" s="12">
        <v>1016683</v>
      </c>
      <c r="O29" s="12">
        <v>1456302</v>
      </c>
      <c r="P29" s="12">
        <v>1443278</v>
      </c>
      <c r="Q29" s="12">
        <v>1415968</v>
      </c>
      <c r="R29" s="12">
        <v>1042352</v>
      </c>
      <c r="S29" s="12">
        <v>1153936</v>
      </c>
      <c r="T29" s="12">
        <v>1154590</v>
      </c>
      <c r="V29" s="12">
        <v>15270807</v>
      </c>
    </row>
    <row r="30" spans="1:22">
      <c r="A30" s="12" t="s">
        <v>120</v>
      </c>
      <c r="B30" s="12">
        <v>2010</v>
      </c>
      <c r="C30" s="12" t="s">
        <v>66</v>
      </c>
      <c r="D30" s="12" t="s">
        <v>48</v>
      </c>
      <c r="E30" s="12">
        <v>58875</v>
      </c>
      <c r="H30" s="13" t="s">
        <v>70</v>
      </c>
      <c r="I30" s="12">
        <v>2414</v>
      </c>
      <c r="J30" s="12">
        <v>802138</v>
      </c>
      <c r="V30" s="12">
        <v>804552</v>
      </c>
    </row>
    <row r="31" spans="1:22">
      <c r="A31" s="12" t="s">
        <v>121</v>
      </c>
      <c r="B31" s="12">
        <v>2010</v>
      </c>
      <c r="C31" s="12" t="s">
        <v>78</v>
      </c>
      <c r="D31" s="12" t="s">
        <v>87</v>
      </c>
      <c r="E31" s="12">
        <v>62987</v>
      </c>
      <c r="H31" s="13" t="s">
        <v>122</v>
      </c>
      <c r="I31" s="12">
        <v>8191792</v>
      </c>
      <c r="J31" s="12">
        <v>9705297</v>
      </c>
      <c r="K31" s="12">
        <v>12387838</v>
      </c>
      <c r="L31" s="12">
        <v>12229379</v>
      </c>
      <c r="M31" s="12">
        <v>9425799</v>
      </c>
      <c r="N31" s="12">
        <v>7891269</v>
      </c>
      <c r="O31" s="12">
        <v>6171433</v>
      </c>
      <c r="P31" s="12">
        <v>6216184</v>
      </c>
      <c r="Q31" s="12">
        <v>7002561</v>
      </c>
      <c r="R31" s="12">
        <v>8387272</v>
      </c>
      <c r="S31" s="12">
        <v>10670182</v>
      </c>
      <c r="T31" s="12">
        <v>11726064</v>
      </c>
      <c r="V31" s="12">
        <v>110005070</v>
      </c>
    </row>
    <row r="32" spans="1:22">
      <c r="A32" s="12" t="s">
        <v>123</v>
      </c>
      <c r="B32" s="12">
        <v>2010</v>
      </c>
      <c r="C32" s="12" t="s">
        <v>69</v>
      </c>
      <c r="D32" s="12" t="s">
        <v>85</v>
      </c>
      <c r="E32" s="12">
        <v>70133</v>
      </c>
      <c r="H32" s="13" t="s">
        <v>124</v>
      </c>
      <c r="I32" s="12">
        <v>33384549</v>
      </c>
      <c r="J32" s="12">
        <v>34975172</v>
      </c>
      <c r="K32" s="12">
        <v>34579658</v>
      </c>
      <c r="L32" s="12">
        <v>37675553</v>
      </c>
      <c r="M32" s="12">
        <v>39929642</v>
      </c>
      <c r="N32" s="12">
        <v>45137954</v>
      </c>
      <c r="O32" s="12">
        <v>52815092</v>
      </c>
      <c r="P32" s="12">
        <v>51351751</v>
      </c>
      <c r="Q32" s="12">
        <v>51332415</v>
      </c>
      <c r="R32" s="12">
        <v>47793236</v>
      </c>
      <c r="S32" s="12">
        <v>47206622</v>
      </c>
      <c r="T32" s="12">
        <v>47636644</v>
      </c>
      <c r="V32" s="12">
        <v>523818288</v>
      </c>
    </row>
    <row r="33" spans="1:22">
      <c r="A33" s="12" t="s">
        <v>125</v>
      </c>
      <c r="B33" s="12">
        <v>2010</v>
      </c>
      <c r="C33" s="12" t="s">
        <v>74</v>
      </c>
      <c r="D33" s="12" t="s">
        <v>34</v>
      </c>
      <c r="E33" s="12">
        <v>80631</v>
      </c>
      <c r="H33" s="13" t="s">
        <v>96</v>
      </c>
      <c r="I33" s="12">
        <v>275997</v>
      </c>
      <c r="J33" s="12">
        <v>1546649</v>
      </c>
      <c r="K33" s="12">
        <v>987037</v>
      </c>
      <c r="L33" s="12">
        <v>3230193</v>
      </c>
      <c r="M33" s="12">
        <v>1504358</v>
      </c>
      <c r="N33" s="12">
        <v>2184479</v>
      </c>
      <c r="O33" s="12">
        <v>2412271</v>
      </c>
      <c r="P33" s="12">
        <v>2852208</v>
      </c>
      <c r="Q33" s="12">
        <v>2071185</v>
      </c>
      <c r="R33" s="12">
        <v>1840289</v>
      </c>
      <c r="S33" s="12">
        <v>6251356</v>
      </c>
      <c r="T33" s="12">
        <v>8607122</v>
      </c>
      <c r="V33" s="12">
        <v>33763144</v>
      </c>
    </row>
    <row r="34" spans="1:22">
      <c r="A34" s="12" t="s">
        <v>126</v>
      </c>
      <c r="B34" s="12">
        <v>2010</v>
      </c>
      <c r="C34" s="12" t="s">
        <v>74</v>
      </c>
      <c r="D34" s="12" t="s">
        <v>113</v>
      </c>
      <c r="E34" s="12">
        <v>100080</v>
      </c>
      <c r="H34" s="13" t="s">
        <v>76</v>
      </c>
      <c r="I34" s="12">
        <v>296951086</v>
      </c>
      <c r="J34" s="12">
        <v>302027097</v>
      </c>
      <c r="K34" s="12">
        <v>290761865</v>
      </c>
      <c r="L34" s="12">
        <v>306346811</v>
      </c>
      <c r="M34" s="12">
        <v>312432962</v>
      </c>
      <c r="N34" s="12">
        <v>342996809</v>
      </c>
      <c r="O34" s="12">
        <v>359339994</v>
      </c>
      <c r="P34" s="12">
        <v>337719355</v>
      </c>
      <c r="Q34" s="12">
        <v>331999245</v>
      </c>
      <c r="R34" s="12">
        <v>326392891</v>
      </c>
      <c r="S34" s="12">
        <v>385845862</v>
      </c>
      <c r="T34" s="12">
        <v>407661853</v>
      </c>
      <c r="V34" s="12">
        <v>4000475830</v>
      </c>
    </row>
    <row r="35" spans="1:22">
      <c r="A35" s="12" t="s">
        <v>127</v>
      </c>
      <c r="B35" s="12">
        <v>2010</v>
      </c>
      <c r="C35" s="12" t="s">
        <v>66</v>
      </c>
      <c r="D35" s="12" t="s">
        <v>37</v>
      </c>
      <c r="E35" s="12">
        <v>111204</v>
      </c>
    </row>
    <row r="36" spans="1:22">
      <c r="A36" s="12" t="s">
        <v>128</v>
      </c>
      <c r="B36" s="12">
        <v>2010</v>
      </c>
      <c r="C36" s="12" t="s">
        <v>74</v>
      </c>
      <c r="D36" s="12" t="s">
        <v>48</v>
      </c>
      <c r="E36" s="12">
        <v>115076</v>
      </c>
    </row>
    <row r="37" spans="1:22">
      <c r="A37" s="12" t="s">
        <v>129</v>
      </c>
      <c r="B37" s="12">
        <v>2010</v>
      </c>
      <c r="C37" s="12" t="s">
        <v>64</v>
      </c>
      <c r="D37" s="12" t="s">
        <v>34</v>
      </c>
      <c r="E37" s="12">
        <v>146229</v>
      </c>
    </row>
    <row r="38" spans="1:22">
      <c r="A38" s="12" t="s">
        <v>130</v>
      </c>
      <c r="B38" s="12">
        <v>2010</v>
      </c>
      <c r="C38" s="12" t="s">
        <v>64</v>
      </c>
      <c r="D38" s="12" t="s">
        <v>87</v>
      </c>
      <c r="E38" s="12">
        <v>146270</v>
      </c>
    </row>
    <row r="39" spans="1:22">
      <c r="A39" s="12" t="s">
        <v>131</v>
      </c>
      <c r="B39" s="12">
        <v>2010</v>
      </c>
      <c r="C39" s="12" t="s">
        <v>66</v>
      </c>
      <c r="D39" s="12" t="s">
        <v>113</v>
      </c>
      <c r="E39" s="12">
        <v>148200</v>
      </c>
    </row>
    <row r="40" spans="1:22">
      <c r="A40" s="12" t="s">
        <v>132</v>
      </c>
      <c r="B40" s="12">
        <v>2010</v>
      </c>
      <c r="C40" s="12" t="s">
        <v>78</v>
      </c>
      <c r="D40" s="12" t="s">
        <v>104</v>
      </c>
      <c r="E40" s="12">
        <v>154731</v>
      </c>
    </row>
    <row r="41" spans="1:22">
      <c r="A41" s="12" t="s">
        <v>133</v>
      </c>
      <c r="B41" s="12">
        <v>2010</v>
      </c>
      <c r="C41" s="12" t="s">
        <v>78</v>
      </c>
      <c r="D41" s="12" t="s">
        <v>48</v>
      </c>
      <c r="E41" s="12">
        <v>169560</v>
      </c>
    </row>
    <row r="42" spans="1:22">
      <c r="A42" s="12" t="s">
        <v>134</v>
      </c>
      <c r="B42" s="12">
        <v>2010</v>
      </c>
      <c r="C42" s="12" t="s">
        <v>66</v>
      </c>
      <c r="D42" s="12" t="s">
        <v>104</v>
      </c>
      <c r="E42" s="12">
        <v>172575</v>
      </c>
    </row>
    <row r="43" spans="1:22">
      <c r="A43" s="12" t="s">
        <v>135</v>
      </c>
      <c r="B43" s="12">
        <v>2010</v>
      </c>
      <c r="C43" s="12" t="s">
        <v>69</v>
      </c>
      <c r="D43" s="12" t="s">
        <v>104</v>
      </c>
      <c r="E43" s="12">
        <v>185350</v>
      </c>
    </row>
    <row r="44" spans="1:22">
      <c r="A44" s="12" t="s">
        <v>136</v>
      </c>
      <c r="B44" s="12">
        <v>2010</v>
      </c>
      <c r="C44" s="12" t="s">
        <v>74</v>
      </c>
      <c r="D44" s="12" t="s">
        <v>37</v>
      </c>
      <c r="E44" s="12">
        <v>187989</v>
      </c>
    </row>
    <row r="45" spans="1:22">
      <c r="A45" s="12" t="s">
        <v>137</v>
      </c>
      <c r="B45" s="12">
        <v>2010</v>
      </c>
      <c r="C45" s="12" t="s">
        <v>78</v>
      </c>
      <c r="D45" s="12" t="s">
        <v>96</v>
      </c>
      <c r="E45" s="12">
        <v>192115</v>
      </c>
    </row>
    <row r="46" spans="1:22">
      <c r="A46" s="12" t="s">
        <v>138</v>
      </c>
      <c r="B46" s="12">
        <v>2010</v>
      </c>
      <c r="C46" s="12" t="s">
        <v>78</v>
      </c>
      <c r="D46" s="12" t="s">
        <v>93</v>
      </c>
      <c r="E46" s="12">
        <v>210586</v>
      </c>
    </row>
    <row r="47" spans="1:22">
      <c r="A47" s="12" t="s">
        <v>139</v>
      </c>
      <c r="B47" s="12">
        <v>2010</v>
      </c>
      <c r="C47" s="12" t="s">
        <v>74</v>
      </c>
      <c r="D47" s="12" t="s">
        <v>82</v>
      </c>
      <c r="E47" s="12">
        <v>212086</v>
      </c>
    </row>
    <row r="48" spans="1:22">
      <c r="A48" s="12" t="s">
        <v>140</v>
      </c>
      <c r="B48" s="12">
        <v>2010</v>
      </c>
      <c r="C48" s="12" t="s">
        <v>69</v>
      </c>
      <c r="D48" s="12" t="s">
        <v>98</v>
      </c>
      <c r="E48" s="12">
        <v>222214</v>
      </c>
    </row>
    <row r="49" spans="1:5">
      <c r="A49" s="12" t="s">
        <v>141</v>
      </c>
      <c r="B49" s="12">
        <v>2010</v>
      </c>
      <c r="C49" s="12" t="s">
        <v>66</v>
      </c>
      <c r="D49" s="12" t="s">
        <v>39</v>
      </c>
      <c r="E49" s="12">
        <v>222759</v>
      </c>
    </row>
    <row r="50" spans="1:5">
      <c r="A50" s="12" t="s">
        <v>142</v>
      </c>
      <c r="B50" s="12">
        <v>2010</v>
      </c>
      <c r="C50" s="12" t="s">
        <v>74</v>
      </c>
      <c r="D50" s="12" t="s">
        <v>122</v>
      </c>
      <c r="E50" s="12">
        <v>242065</v>
      </c>
    </row>
    <row r="51" spans="1:5">
      <c r="A51" s="12" t="s">
        <v>143</v>
      </c>
      <c r="B51" s="12">
        <v>2010</v>
      </c>
      <c r="C51" s="12" t="s">
        <v>66</v>
      </c>
      <c r="D51" s="12" t="s">
        <v>98</v>
      </c>
      <c r="E51" s="12">
        <v>251749</v>
      </c>
    </row>
    <row r="52" spans="1:5">
      <c r="A52" s="12" t="s">
        <v>144</v>
      </c>
      <c r="B52" s="12">
        <v>2010</v>
      </c>
      <c r="C52" s="12" t="s">
        <v>74</v>
      </c>
      <c r="D52" s="12" t="s">
        <v>109</v>
      </c>
      <c r="E52" s="12">
        <v>254426</v>
      </c>
    </row>
    <row r="53" spans="1:5">
      <c r="A53" s="12" t="s">
        <v>145</v>
      </c>
      <c r="B53" s="12">
        <v>2010</v>
      </c>
      <c r="C53" s="12" t="s">
        <v>78</v>
      </c>
      <c r="D53" s="12" t="s">
        <v>113</v>
      </c>
      <c r="E53" s="12">
        <v>262542</v>
      </c>
    </row>
    <row r="54" spans="1:5">
      <c r="A54" s="12" t="s">
        <v>146</v>
      </c>
      <c r="B54" s="12">
        <v>2010</v>
      </c>
      <c r="C54" s="12" t="s">
        <v>74</v>
      </c>
      <c r="D54" s="12" t="s">
        <v>39</v>
      </c>
      <c r="E54" s="12">
        <v>275352</v>
      </c>
    </row>
    <row r="55" spans="1:5">
      <c r="A55" s="12" t="s">
        <v>147</v>
      </c>
      <c r="B55" s="12">
        <v>2010</v>
      </c>
      <c r="C55" s="12" t="s">
        <v>64</v>
      </c>
      <c r="D55" s="12" t="s">
        <v>96</v>
      </c>
      <c r="E55" s="12">
        <v>275997</v>
      </c>
    </row>
    <row r="56" spans="1:5">
      <c r="A56" s="12" t="s">
        <v>148</v>
      </c>
      <c r="B56" s="12">
        <v>2010</v>
      </c>
      <c r="C56" s="12" t="s">
        <v>64</v>
      </c>
      <c r="D56" s="12" t="s">
        <v>93</v>
      </c>
      <c r="E56" s="12">
        <v>297775</v>
      </c>
    </row>
    <row r="57" spans="1:5">
      <c r="A57" s="12" t="s">
        <v>149</v>
      </c>
      <c r="B57" s="12">
        <v>2010</v>
      </c>
      <c r="C57" s="12" t="s">
        <v>64</v>
      </c>
      <c r="D57" s="12" t="s">
        <v>48</v>
      </c>
      <c r="E57" s="12">
        <v>372515</v>
      </c>
    </row>
    <row r="58" spans="1:5">
      <c r="A58" s="12" t="s">
        <v>150</v>
      </c>
      <c r="B58" s="12">
        <v>2010</v>
      </c>
      <c r="C58" s="12" t="s">
        <v>66</v>
      </c>
      <c r="D58" s="12" t="s">
        <v>85</v>
      </c>
      <c r="E58" s="12">
        <v>417698</v>
      </c>
    </row>
    <row r="59" spans="1:5">
      <c r="A59" s="12" t="s">
        <v>151</v>
      </c>
      <c r="B59" s="12">
        <v>2010</v>
      </c>
      <c r="C59" s="12" t="s">
        <v>78</v>
      </c>
      <c r="D59" s="12" t="s">
        <v>82</v>
      </c>
      <c r="E59" s="12">
        <v>448326</v>
      </c>
    </row>
    <row r="60" spans="1:5">
      <c r="A60" s="12" t="s">
        <v>152</v>
      </c>
      <c r="B60" s="12">
        <v>2010</v>
      </c>
      <c r="C60" s="12" t="s">
        <v>78</v>
      </c>
      <c r="D60" s="12" t="s">
        <v>37</v>
      </c>
      <c r="E60" s="12">
        <v>499278</v>
      </c>
    </row>
    <row r="61" spans="1:5">
      <c r="A61" s="12" t="s">
        <v>153</v>
      </c>
      <c r="B61" s="12">
        <v>2010</v>
      </c>
      <c r="C61" s="12" t="s">
        <v>64</v>
      </c>
      <c r="D61" s="12" t="s">
        <v>104</v>
      </c>
      <c r="E61" s="12">
        <v>533713</v>
      </c>
    </row>
    <row r="62" spans="1:5">
      <c r="A62" s="12" t="s">
        <v>154</v>
      </c>
      <c r="B62" s="12">
        <v>2010</v>
      </c>
      <c r="C62" s="12" t="s">
        <v>74</v>
      </c>
      <c r="D62" s="12" t="s">
        <v>105</v>
      </c>
      <c r="E62" s="12">
        <v>558363</v>
      </c>
    </row>
    <row r="63" spans="1:5">
      <c r="A63" s="12" t="s">
        <v>155</v>
      </c>
      <c r="B63" s="12">
        <v>2010</v>
      </c>
      <c r="C63" s="12" t="s">
        <v>69</v>
      </c>
      <c r="D63" s="12" t="s">
        <v>113</v>
      </c>
      <c r="E63" s="12">
        <v>585653</v>
      </c>
    </row>
    <row r="64" spans="1:5">
      <c r="A64" s="12" t="s">
        <v>156</v>
      </c>
      <c r="B64" s="12">
        <v>2010</v>
      </c>
      <c r="C64" s="12" t="s">
        <v>74</v>
      </c>
      <c r="D64" s="12" t="s">
        <v>98</v>
      </c>
      <c r="E64" s="12">
        <v>600293</v>
      </c>
    </row>
    <row r="65" spans="1:5">
      <c r="A65" s="12" t="s">
        <v>157</v>
      </c>
      <c r="B65" s="12">
        <v>2010</v>
      </c>
      <c r="C65" s="12" t="s">
        <v>78</v>
      </c>
      <c r="D65" s="12" t="s">
        <v>39</v>
      </c>
      <c r="E65" s="12">
        <v>642222</v>
      </c>
    </row>
    <row r="66" spans="1:5">
      <c r="A66" s="12" t="s">
        <v>158</v>
      </c>
      <c r="B66" s="12">
        <v>2010</v>
      </c>
      <c r="C66" s="12" t="s">
        <v>78</v>
      </c>
      <c r="D66" s="12" t="s">
        <v>98</v>
      </c>
      <c r="E66" s="12">
        <v>664256</v>
      </c>
    </row>
    <row r="67" spans="1:5">
      <c r="A67" s="12" t="s">
        <v>159</v>
      </c>
      <c r="B67" s="12">
        <v>2010</v>
      </c>
      <c r="C67" s="12" t="s">
        <v>66</v>
      </c>
      <c r="D67" s="12" t="s">
        <v>105</v>
      </c>
      <c r="E67" s="12">
        <v>691230</v>
      </c>
    </row>
    <row r="68" spans="1:5">
      <c r="A68" s="12" t="s">
        <v>160</v>
      </c>
      <c r="B68" s="12">
        <v>2010</v>
      </c>
      <c r="C68" s="12" t="s">
        <v>64</v>
      </c>
      <c r="D68" s="12" t="s">
        <v>82</v>
      </c>
      <c r="E68" s="12">
        <v>713955</v>
      </c>
    </row>
    <row r="69" spans="1:5">
      <c r="A69" s="12" t="s">
        <v>161</v>
      </c>
      <c r="B69" s="12">
        <v>2010</v>
      </c>
      <c r="C69" s="12" t="s">
        <v>74</v>
      </c>
      <c r="D69" s="12" t="s">
        <v>85</v>
      </c>
      <c r="E69" s="12">
        <v>756058</v>
      </c>
    </row>
    <row r="70" spans="1:5">
      <c r="A70" s="12" t="s">
        <v>162</v>
      </c>
      <c r="B70" s="12">
        <v>2010</v>
      </c>
      <c r="C70" s="12" t="s">
        <v>64</v>
      </c>
      <c r="D70" s="12" t="s">
        <v>37</v>
      </c>
      <c r="E70" s="12">
        <v>814627</v>
      </c>
    </row>
    <row r="71" spans="1:5">
      <c r="A71" s="12" t="s">
        <v>163</v>
      </c>
      <c r="B71" s="12">
        <v>2010</v>
      </c>
      <c r="C71" s="12" t="s">
        <v>69</v>
      </c>
      <c r="D71" s="12" t="s">
        <v>50</v>
      </c>
      <c r="E71" s="12">
        <v>888786</v>
      </c>
    </row>
    <row r="72" spans="1:5">
      <c r="A72" s="12" t="s">
        <v>164</v>
      </c>
      <c r="B72" s="12">
        <v>2010</v>
      </c>
      <c r="C72" s="12" t="s">
        <v>66</v>
      </c>
      <c r="D72" s="12" t="s">
        <v>89</v>
      </c>
      <c r="E72" s="12">
        <v>991059</v>
      </c>
    </row>
    <row r="73" spans="1:5">
      <c r="A73" s="12" t="s">
        <v>165</v>
      </c>
      <c r="B73" s="12">
        <v>2010</v>
      </c>
      <c r="C73" s="12" t="s">
        <v>69</v>
      </c>
      <c r="D73" s="12" t="s">
        <v>105</v>
      </c>
      <c r="E73" s="12">
        <v>1058633</v>
      </c>
    </row>
    <row r="74" spans="1:5">
      <c r="A74" s="12" t="s">
        <v>166</v>
      </c>
      <c r="B74" s="12">
        <v>2010</v>
      </c>
      <c r="C74" s="12" t="s">
        <v>69</v>
      </c>
      <c r="D74" s="12" t="s">
        <v>89</v>
      </c>
      <c r="E74" s="12">
        <v>1069435</v>
      </c>
    </row>
    <row r="75" spans="1:5">
      <c r="A75" s="12" t="s">
        <v>167</v>
      </c>
      <c r="B75" s="12">
        <v>2010</v>
      </c>
      <c r="C75" s="12" t="s">
        <v>64</v>
      </c>
      <c r="D75" s="12" t="s">
        <v>113</v>
      </c>
      <c r="E75" s="12">
        <v>1096475</v>
      </c>
    </row>
    <row r="76" spans="1:5">
      <c r="A76" s="12" t="s">
        <v>168</v>
      </c>
      <c r="B76" s="12">
        <v>2010</v>
      </c>
      <c r="C76" s="12" t="s">
        <v>78</v>
      </c>
      <c r="D76" s="12" t="s">
        <v>122</v>
      </c>
      <c r="E76" s="12">
        <v>1107258</v>
      </c>
    </row>
    <row r="77" spans="1:5">
      <c r="A77" s="12" t="s">
        <v>169</v>
      </c>
      <c r="B77" s="12">
        <v>2010</v>
      </c>
      <c r="C77" s="12" t="s">
        <v>66</v>
      </c>
      <c r="D77" s="12" t="s">
        <v>50</v>
      </c>
      <c r="E77" s="12">
        <v>1146671</v>
      </c>
    </row>
    <row r="78" spans="1:5">
      <c r="A78" s="12" t="s">
        <v>170</v>
      </c>
      <c r="B78" s="12">
        <v>2010</v>
      </c>
      <c r="C78" s="12" t="s">
        <v>64</v>
      </c>
      <c r="D78" s="12" t="s">
        <v>39</v>
      </c>
      <c r="E78" s="12">
        <v>1160549</v>
      </c>
    </row>
    <row r="79" spans="1:5">
      <c r="A79" s="12" t="s">
        <v>171</v>
      </c>
      <c r="B79" s="12">
        <v>2010</v>
      </c>
      <c r="C79" s="12" t="s">
        <v>78</v>
      </c>
      <c r="D79" s="12" t="s">
        <v>50</v>
      </c>
      <c r="E79" s="12">
        <v>1178976</v>
      </c>
    </row>
    <row r="80" spans="1:5">
      <c r="A80" s="12" t="s">
        <v>172</v>
      </c>
      <c r="B80" s="12">
        <v>2010</v>
      </c>
      <c r="C80" s="12" t="s">
        <v>74</v>
      </c>
      <c r="D80" s="12" t="s">
        <v>50</v>
      </c>
      <c r="E80" s="12">
        <v>1226892</v>
      </c>
    </row>
    <row r="81" spans="1:5">
      <c r="A81" s="12" t="s">
        <v>173</v>
      </c>
      <c r="B81" s="12">
        <v>2010</v>
      </c>
      <c r="C81" s="12" t="s">
        <v>69</v>
      </c>
      <c r="D81" s="12" t="s">
        <v>109</v>
      </c>
      <c r="E81" s="12">
        <v>1293803</v>
      </c>
    </row>
    <row r="82" spans="1:5">
      <c r="A82" s="12" t="s">
        <v>174</v>
      </c>
      <c r="B82" s="12">
        <v>2010</v>
      </c>
      <c r="C82" s="12" t="s">
        <v>66</v>
      </c>
      <c r="D82" s="12" t="s">
        <v>109</v>
      </c>
      <c r="E82" s="12">
        <v>1550346</v>
      </c>
    </row>
    <row r="83" spans="1:5">
      <c r="A83" s="12" t="s">
        <v>175</v>
      </c>
      <c r="B83" s="12">
        <v>2010</v>
      </c>
      <c r="C83" s="12" t="s">
        <v>78</v>
      </c>
      <c r="D83" s="12" t="s">
        <v>85</v>
      </c>
      <c r="E83" s="12">
        <v>1591472</v>
      </c>
    </row>
    <row r="84" spans="1:5">
      <c r="A84" s="12" t="s">
        <v>176</v>
      </c>
      <c r="B84" s="12">
        <v>2010</v>
      </c>
      <c r="C84" s="12" t="s">
        <v>64</v>
      </c>
      <c r="D84" s="12" t="s">
        <v>98</v>
      </c>
      <c r="E84" s="12">
        <v>1738513</v>
      </c>
    </row>
    <row r="85" spans="1:5">
      <c r="A85" s="12" t="s">
        <v>177</v>
      </c>
      <c r="B85" s="12">
        <v>2010</v>
      </c>
      <c r="C85" s="12" t="s">
        <v>74</v>
      </c>
      <c r="D85" s="12" t="s">
        <v>89</v>
      </c>
      <c r="E85" s="12">
        <v>1751563</v>
      </c>
    </row>
    <row r="86" spans="1:5">
      <c r="A86" s="12" t="s">
        <v>178</v>
      </c>
      <c r="B86" s="12">
        <v>2010</v>
      </c>
      <c r="C86" s="12" t="s">
        <v>66</v>
      </c>
      <c r="D86" s="12" t="s">
        <v>46</v>
      </c>
      <c r="E86" s="12">
        <v>1962406</v>
      </c>
    </row>
    <row r="87" spans="1:5">
      <c r="A87" s="12" t="s">
        <v>179</v>
      </c>
      <c r="B87" s="12">
        <v>2010</v>
      </c>
      <c r="C87" s="12" t="s">
        <v>69</v>
      </c>
      <c r="D87" s="12" t="s">
        <v>46</v>
      </c>
      <c r="E87" s="12">
        <v>2123222</v>
      </c>
    </row>
    <row r="88" spans="1:5">
      <c r="A88" s="12" t="s">
        <v>180</v>
      </c>
      <c r="B88" s="12">
        <v>2010</v>
      </c>
      <c r="C88" s="12" t="s">
        <v>74</v>
      </c>
      <c r="D88" s="12" t="s">
        <v>118</v>
      </c>
      <c r="E88" s="12">
        <v>2253767</v>
      </c>
    </row>
    <row r="89" spans="1:5">
      <c r="A89" s="12" t="s">
        <v>181</v>
      </c>
      <c r="B89" s="12">
        <v>2010</v>
      </c>
      <c r="C89" s="12" t="s">
        <v>74</v>
      </c>
      <c r="D89" s="12" t="s">
        <v>111</v>
      </c>
      <c r="E89" s="12">
        <v>2283977</v>
      </c>
    </row>
    <row r="90" spans="1:5">
      <c r="A90" s="12" t="s">
        <v>182</v>
      </c>
      <c r="B90" s="12">
        <v>2010</v>
      </c>
      <c r="C90" s="12" t="s">
        <v>78</v>
      </c>
      <c r="D90" s="12" t="s">
        <v>89</v>
      </c>
      <c r="E90" s="12">
        <v>2308316</v>
      </c>
    </row>
    <row r="91" spans="1:5">
      <c r="A91" s="12" t="s">
        <v>183</v>
      </c>
      <c r="B91" s="12">
        <v>2010</v>
      </c>
      <c r="C91" s="12" t="s">
        <v>66</v>
      </c>
      <c r="D91" s="12" t="s">
        <v>118</v>
      </c>
      <c r="E91" s="12">
        <v>2415744</v>
      </c>
    </row>
    <row r="92" spans="1:5">
      <c r="A92" s="12" t="s">
        <v>184</v>
      </c>
      <c r="B92" s="12">
        <v>2010</v>
      </c>
      <c r="C92" s="12" t="s">
        <v>66</v>
      </c>
      <c r="D92" s="12" t="s">
        <v>111</v>
      </c>
      <c r="E92" s="12">
        <v>2475086</v>
      </c>
    </row>
    <row r="93" spans="1:5">
      <c r="A93" s="12" t="s">
        <v>185</v>
      </c>
      <c r="B93" s="12">
        <v>2010</v>
      </c>
      <c r="C93" s="12" t="s">
        <v>69</v>
      </c>
      <c r="D93" s="12" t="s">
        <v>118</v>
      </c>
      <c r="E93" s="12">
        <v>2773304</v>
      </c>
    </row>
    <row r="94" spans="1:5">
      <c r="A94" s="12" t="s">
        <v>186</v>
      </c>
      <c r="B94" s="12">
        <v>2010</v>
      </c>
      <c r="C94" s="12" t="s">
        <v>64</v>
      </c>
      <c r="D94" s="12" t="s">
        <v>85</v>
      </c>
      <c r="E94" s="12">
        <v>2835360</v>
      </c>
    </row>
    <row r="95" spans="1:5">
      <c r="A95" s="12" t="s">
        <v>187</v>
      </c>
      <c r="B95" s="12">
        <v>2010</v>
      </c>
      <c r="C95" s="12" t="s">
        <v>69</v>
      </c>
      <c r="D95" s="12" t="s">
        <v>111</v>
      </c>
      <c r="E95" s="12">
        <v>2854364</v>
      </c>
    </row>
    <row r="96" spans="1:5">
      <c r="A96" s="12" t="s">
        <v>188</v>
      </c>
      <c r="B96" s="12">
        <v>2010</v>
      </c>
      <c r="C96" s="12" t="s">
        <v>74</v>
      </c>
      <c r="D96" s="12" t="s">
        <v>46</v>
      </c>
      <c r="E96" s="12">
        <v>2926064</v>
      </c>
    </row>
    <row r="97" spans="1:5">
      <c r="A97" s="12" t="s">
        <v>189</v>
      </c>
      <c r="B97" s="12">
        <v>2010</v>
      </c>
      <c r="C97" s="12" t="s">
        <v>69</v>
      </c>
      <c r="D97" s="12" t="s">
        <v>122</v>
      </c>
      <c r="E97" s="12">
        <v>3351433</v>
      </c>
    </row>
    <row r="98" spans="1:5">
      <c r="A98" s="12" t="s">
        <v>190</v>
      </c>
      <c r="B98" s="12">
        <v>2010</v>
      </c>
      <c r="C98" s="12" t="s">
        <v>78</v>
      </c>
      <c r="D98" s="12" t="s">
        <v>109</v>
      </c>
      <c r="E98" s="12">
        <v>3377081</v>
      </c>
    </row>
    <row r="99" spans="1:5">
      <c r="A99" s="12" t="s">
        <v>191</v>
      </c>
      <c r="B99" s="12">
        <v>2010</v>
      </c>
      <c r="C99" s="12" t="s">
        <v>74</v>
      </c>
      <c r="D99" s="12" t="s">
        <v>102</v>
      </c>
      <c r="E99" s="12">
        <v>3390098</v>
      </c>
    </row>
    <row r="100" spans="1:5">
      <c r="A100" s="12" t="s">
        <v>192</v>
      </c>
      <c r="B100" s="12">
        <v>2010</v>
      </c>
      <c r="C100" s="12" t="s">
        <v>66</v>
      </c>
      <c r="D100" s="12" t="s">
        <v>122</v>
      </c>
      <c r="E100" s="12">
        <v>3491041</v>
      </c>
    </row>
    <row r="101" spans="1:5">
      <c r="A101" s="12" t="s">
        <v>193</v>
      </c>
      <c r="B101" s="12">
        <v>2010</v>
      </c>
      <c r="C101" s="12" t="s">
        <v>78</v>
      </c>
      <c r="D101" s="12" t="s">
        <v>46</v>
      </c>
      <c r="E101" s="12">
        <v>3711523</v>
      </c>
    </row>
    <row r="102" spans="1:5">
      <c r="A102" s="12" t="s">
        <v>194</v>
      </c>
      <c r="B102" s="12">
        <v>2010</v>
      </c>
      <c r="C102" s="12" t="s">
        <v>64</v>
      </c>
      <c r="D102" s="12" t="s">
        <v>50</v>
      </c>
      <c r="E102" s="12">
        <v>4441326</v>
      </c>
    </row>
    <row r="103" spans="1:5">
      <c r="A103" s="12" t="s">
        <v>195</v>
      </c>
      <c r="B103" s="12">
        <v>2010</v>
      </c>
      <c r="C103" s="12" t="s">
        <v>69</v>
      </c>
      <c r="D103" s="12" t="s">
        <v>91</v>
      </c>
      <c r="E103" s="12">
        <v>4978801</v>
      </c>
    </row>
    <row r="104" spans="1:5">
      <c r="A104" s="12" t="s">
        <v>196</v>
      </c>
      <c r="B104" s="12">
        <v>2010</v>
      </c>
      <c r="C104" s="12" t="s">
        <v>69</v>
      </c>
      <c r="D104" s="12" t="s">
        <v>124</v>
      </c>
      <c r="E104" s="12">
        <v>5048934</v>
      </c>
    </row>
    <row r="105" spans="1:5">
      <c r="A105" s="12" t="s">
        <v>197</v>
      </c>
      <c r="B105" s="12">
        <v>2010</v>
      </c>
      <c r="C105" s="12" t="s">
        <v>66</v>
      </c>
      <c r="D105" s="12" t="s">
        <v>91</v>
      </c>
      <c r="E105" s="12">
        <v>5240387</v>
      </c>
    </row>
    <row r="106" spans="1:5">
      <c r="A106" s="12" t="s">
        <v>198</v>
      </c>
      <c r="B106" s="12">
        <v>2010</v>
      </c>
      <c r="C106" s="12" t="s">
        <v>69</v>
      </c>
      <c r="D106" s="12" t="s">
        <v>100</v>
      </c>
      <c r="E106" s="12">
        <v>5634587</v>
      </c>
    </row>
    <row r="107" spans="1:5">
      <c r="A107" s="12" t="s">
        <v>199</v>
      </c>
      <c r="B107" s="12">
        <v>2010</v>
      </c>
      <c r="C107" s="12" t="s">
        <v>66</v>
      </c>
      <c r="D107" s="12" t="s">
        <v>124</v>
      </c>
      <c r="E107" s="12">
        <v>5658085</v>
      </c>
    </row>
    <row r="108" spans="1:5">
      <c r="A108" s="12" t="s">
        <v>200</v>
      </c>
      <c r="B108" s="12">
        <v>2010</v>
      </c>
      <c r="C108" s="12" t="s">
        <v>66</v>
      </c>
      <c r="D108" s="12" t="s">
        <v>100</v>
      </c>
      <c r="E108" s="12">
        <v>5806286</v>
      </c>
    </row>
    <row r="109" spans="1:5">
      <c r="A109" s="12" t="s">
        <v>201</v>
      </c>
      <c r="B109" s="12">
        <v>2010</v>
      </c>
      <c r="C109" s="12" t="s">
        <v>64</v>
      </c>
      <c r="D109" s="12" t="s">
        <v>89</v>
      </c>
      <c r="E109" s="12">
        <v>6120373</v>
      </c>
    </row>
    <row r="110" spans="1:5">
      <c r="A110" s="12" t="s">
        <v>202</v>
      </c>
      <c r="B110" s="12">
        <v>2010</v>
      </c>
      <c r="C110" s="12" t="s">
        <v>78</v>
      </c>
      <c r="D110" s="12" t="s">
        <v>118</v>
      </c>
      <c r="E110" s="12">
        <v>6372153</v>
      </c>
    </row>
    <row r="111" spans="1:5">
      <c r="A111" s="12" t="s">
        <v>203</v>
      </c>
      <c r="B111" s="12">
        <v>2010</v>
      </c>
      <c r="C111" s="12" t="s">
        <v>64</v>
      </c>
      <c r="D111" s="12" t="s">
        <v>109</v>
      </c>
      <c r="E111" s="12">
        <v>6475656</v>
      </c>
    </row>
    <row r="112" spans="1:5">
      <c r="A112" s="12" t="s">
        <v>204</v>
      </c>
      <c r="B112" s="12">
        <v>2010</v>
      </c>
      <c r="C112" s="12" t="s">
        <v>78</v>
      </c>
      <c r="D112" s="12" t="s">
        <v>111</v>
      </c>
      <c r="E112" s="12">
        <v>6648001</v>
      </c>
    </row>
    <row r="113" spans="1:5">
      <c r="A113" s="12" t="s">
        <v>205</v>
      </c>
      <c r="B113" s="12">
        <v>2010</v>
      </c>
      <c r="C113" s="12" t="s">
        <v>78</v>
      </c>
      <c r="D113" s="12" t="s">
        <v>105</v>
      </c>
      <c r="E113" s="12">
        <v>8067327</v>
      </c>
    </row>
    <row r="114" spans="1:5">
      <c r="A114" s="12" t="s">
        <v>206</v>
      </c>
      <c r="B114" s="12">
        <v>2010</v>
      </c>
      <c r="C114" s="12" t="s">
        <v>64</v>
      </c>
      <c r="D114" s="12" t="s">
        <v>122</v>
      </c>
      <c r="E114" s="12">
        <v>8191792</v>
      </c>
    </row>
    <row r="115" spans="1:5">
      <c r="A115" s="12" t="s">
        <v>207</v>
      </c>
      <c r="B115" s="12">
        <v>2010</v>
      </c>
      <c r="C115" s="12" t="s">
        <v>66</v>
      </c>
      <c r="D115" s="12" t="s">
        <v>102</v>
      </c>
      <c r="E115" s="12">
        <v>8292379</v>
      </c>
    </row>
    <row r="116" spans="1:5">
      <c r="A116" s="12" t="s">
        <v>208</v>
      </c>
      <c r="B116" s="12">
        <v>2010</v>
      </c>
      <c r="C116" s="12" t="s">
        <v>69</v>
      </c>
      <c r="D116" s="12" t="s">
        <v>102</v>
      </c>
      <c r="E116" s="12">
        <v>8607728</v>
      </c>
    </row>
    <row r="117" spans="1:5">
      <c r="A117" s="12" t="s">
        <v>209</v>
      </c>
      <c r="B117" s="12">
        <v>2010</v>
      </c>
      <c r="C117" s="12" t="s">
        <v>74</v>
      </c>
      <c r="D117" s="12" t="s">
        <v>91</v>
      </c>
      <c r="E117" s="12">
        <v>9377455</v>
      </c>
    </row>
    <row r="118" spans="1:5">
      <c r="A118" s="12" t="s">
        <v>210</v>
      </c>
      <c r="B118" s="12">
        <v>2010</v>
      </c>
      <c r="C118" s="12" t="s">
        <v>74</v>
      </c>
      <c r="D118" s="12" t="s">
        <v>124</v>
      </c>
      <c r="E118" s="12">
        <v>10133513</v>
      </c>
    </row>
    <row r="119" spans="1:5">
      <c r="A119" s="12" t="s">
        <v>211</v>
      </c>
      <c r="B119" s="12">
        <v>2010</v>
      </c>
      <c r="C119" s="12" t="s">
        <v>74</v>
      </c>
      <c r="D119" s="12" t="s">
        <v>100</v>
      </c>
      <c r="E119" s="12">
        <v>10233593</v>
      </c>
    </row>
    <row r="120" spans="1:5">
      <c r="A120" s="12" t="s">
        <v>212</v>
      </c>
      <c r="B120" s="12">
        <v>2010</v>
      </c>
      <c r="C120" s="12" t="s">
        <v>64</v>
      </c>
      <c r="D120" s="12" t="s">
        <v>105</v>
      </c>
      <c r="E120" s="12">
        <v>10375540</v>
      </c>
    </row>
    <row r="121" spans="1:5">
      <c r="A121" s="12" t="s">
        <v>213</v>
      </c>
      <c r="B121" s="12">
        <v>2010</v>
      </c>
      <c r="C121" s="12" t="s">
        <v>64</v>
      </c>
      <c r="D121" s="12" t="s">
        <v>46</v>
      </c>
      <c r="E121" s="12">
        <v>10831615</v>
      </c>
    </row>
    <row r="122" spans="1:5">
      <c r="A122" s="12" t="s">
        <v>214</v>
      </c>
      <c r="B122" s="12">
        <v>2010</v>
      </c>
      <c r="C122" s="12" t="s">
        <v>78</v>
      </c>
      <c r="D122" s="12" t="s">
        <v>91</v>
      </c>
      <c r="E122" s="12">
        <v>10952845</v>
      </c>
    </row>
    <row r="123" spans="1:5">
      <c r="A123" s="12" t="s">
        <v>215</v>
      </c>
      <c r="B123" s="12">
        <v>2010</v>
      </c>
      <c r="C123" s="12" t="s">
        <v>78</v>
      </c>
      <c r="D123" s="12" t="s">
        <v>124</v>
      </c>
      <c r="E123" s="12">
        <v>12544317</v>
      </c>
    </row>
    <row r="124" spans="1:5">
      <c r="A124" s="12" t="s">
        <v>216</v>
      </c>
      <c r="B124" s="12">
        <v>2010</v>
      </c>
      <c r="C124" s="12" t="s">
        <v>78</v>
      </c>
      <c r="D124" s="12" t="s">
        <v>100</v>
      </c>
      <c r="E124" s="12">
        <v>12806859</v>
      </c>
    </row>
    <row r="125" spans="1:5">
      <c r="A125" s="12" t="s">
        <v>217</v>
      </c>
      <c r="B125" s="12">
        <v>2010</v>
      </c>
      <c r="C125" s="12" t="s">
        <v>74</v>
      </c>
      <c r="D125" s="12" t="s">
        <v>107</v>
      </c>
      <c r="E125" s="12">
        <v>13623691</v>
      </c>
    </row>
    <row r="126" spans="1:5">
      <c r="A126" s="12" t="s">
        <v>218</v>
      </c>
      <c r="B126" s="12">
        <v>2010</v>
      </c>
      <c r="C126" s="12" t="s">
        <v>64</v>
      </c>
      <c r="D126" s="12" t="s">
        <v>118</v>
      </c>
      <c r="E126" s="12">
        <v>13814964</v>
      </c>
    </row>
    <row r="127" spans="1:5">
      <c r="A127" s="12" t="s">
        <v>219</v>
      </c>
      <c r="B127" s="12">
        <v>2010</v>
      </c>
      <c r="C127" s="12" t="s">
        <v>66</v>
      </c>
      <c r="D127" s="12" t="s">
        <v>107</v>
      </c>
      <c r="E127" s="12">
        <v>14098665</v>
      </c>
    </row>
    <row r="128" spans="1:5">
      <c r="A128" s="12" t="s">
        <v>220</v>
      </c>
      <c r="B128" s="12">
        <v>2010</v>
      </c>
      <c r="C128" s="12" t="s">
        <v>69</v>
      </c>
      <c r="D128" s="12" t="s">
        <v>107</v>
      </c>
      <c r="E128" s="12">
        <v>14242315</v>
      </c>
    </row>
    <row r="129" spans="1:5">
      <c r="A129" s="12" t="s">
        <v>221</v>
      </c>
      <c r="B129" s="12">
        <v>2010</v>
      </c>
      <c r="C129" s="12" t="s">
        <v>64</v>
      </c>
      <c r="D129" s="12" t="s">
        <v>111</v>
      </c>
      <c r="E129" s="12">
        <v>14261423</v>
      </c>
    </row>
    <row r="130" spans="1:5">
      <c r="A130" s="12" t="s">
        <v>222</v>
      </c>
      <c r="B130" s="12">
        <v>2010</v>
      </c>
      <c r="C130" s="12" t="s">
        <v>78</v>
      </c>
      <c r="D130" s="12" t="s">
        <v>102</v>
      </c>
      <c r="E130" s="12">
        <v>19403452</v>
      </c>
    </row>
    <row r="131" spans="1:5">
      <c r="A131" s="12" t="s">
        <v>223</v>
      </c>
      <c r="B131" s="12">
        <v>2010</v>
      </c>
      <c r="C131" s="12" t="s">
        <v>64</v>
      </c>
      <c r="D131" s="12" t="s">
        <v>91</v>
      </c>
      <c r="E131" s="12">
        <v>30549189</v>
      </c>
    </row>
    <row r="132" spans="1:5">
      <c r="A132" s="12" t="s">
        <v>224</v>
      </c>
      <c r="B132" s="12">
        <v>2010</v>
      </c>
      <c r="C132" s="12" t="s">
        <v>78</v>
      </c>
      <c r="D132" s="12" t="s">
        <v>107</v>
      </c>
      <c r="E132" s="12">
        <v>32210311</v>
      </c>
    </row>
    <row r="133" spans="1:5">
      <c r="A133" s="12" t="s">
        <v>225</v>
      </c>
      <c r="B133" s="12">
        <v>2010</v>
      </c>
      <c r="C133" s="12" t="s">
        <v>64</v>
      </c>
      <c r="D133" s="12" t="s">
        <v>124</v>
      </c>
      <c r="E133" s="12">
        <v>33384549</v>
      </c>
    </row>
    <row r="134" spans="1:5">
      <c r="A134" s="12" t="s">
        <v>226</v>
      </c>
      <c r="B134" s="12">
        <v>2010</v>
      </c>
      <c r="C134" s="12" t="s">
        <v>64</v>
      </c>
      <c r="D134" s="12" t="s">
        <v>100</v>
      </c>
      <c r="E134" s="12">
        <v>34481024</v>
      </c>
    </row>
    <row r="135" spans="1:5">
      <c r="A135" s="12" t="s">
        <v>227</v>
      </c>
      <c r="B135" s="12">
        <v>2010</v>
      </c>
      <c r="C135" s="12" t="s">
        <v>64</v>
      </c>
      <c r="D135" s="12" t="s">
        <v>102</v>
      </c>
      <c r="E135" s="12">
        <v>39693629</v>
      </c>
    </row>
    <row r="136" spans="1:5">
      <c r="A136" s="12" t="s">
        <v>228</v>
      </c>
      <c r="B136" s="12">
        <v>2010</v>
      </c>
      <c r="C136" s="12" t="s">
        <v>64</v>
      </c>
      <c r="D136" s="12" t="s">
        <v>107</v>
      </c>
      <c r="E136" s="12">
        <v>74174653</v>
      </c>
    </row>
    <row r="137" spans="1:5">
      <c r="A137" s="12" t="s">
        <v>229</v>
      </c>
      <c r="B137" s="12">
        <v>2010</v>
      </c>
      <c r="C137" s="12" t="s">
        <v>74</v>
      </c>
      <c r="D137" s="12" t="s">
        <v>70</v>
      </c>
    </row>
    <row r="138" spans="1:5">
      <c r="A138" s="12" t="s">
        <v>230</v>
      </c>
      <c r="B138" s="12">
        <v>2010</v>
      </c>
      <c r="C138" s="12" t="s">
        <v>66</v>
      </c>
      <c r="D138" s="12" t="s">
        <v>70</v>
      </c>
    </row>
    <row r="139" spans="1:5">
      <c r="A139" s="12" t="s">
        <v>231</v>
      </c>
      <c r="B139" s="12">
        <v>2010</v>
      </c>
      <c r="C139" s="12" t="s">
        <v>69</v>
      </c>
      <c r="D139" s="12" t="s">
        <v>67</v>
      </c>
    </row>
    <row r="140" spans="1:5">
      <c r="A140" s="12" t="s">
        <v>232</v>
      </c>
      <c r="B140" s="12">
        <v>2010</v>
      </c>
      <c r="C140" s="12" t="s">
        <v>64</v>
      </c>
      <c r="D140" s="12" t="s">
        <v>41</v>
      </c>
    </row>
    <row r="141" spans="1:5">
      <c r="A141" s="12" t="s">
        <v>233</v>
      </c>
      <c r="B141" s="12">
        <v>2010</v>
      </c>
      <c r="C141" s="12" t="s">
        <v>69</v>
      </c>
      <c r="D141" s="12" t="s">
        <v>41</v>
      </c>
    </row>
    <row r="142" spans="1:5">
      <c r="A142" s="12" t="s">
        <v>234</v>
      </c>
      <c r="B142" s="12">
        <v>2010</v>
      </c>
      <c r="C142" s="12" t="s">
        <v>74</v>
      </c>
      <c r="D142" s="12" t="s">
        <v>41</v>
      </c>
    </row>
    <row r="143" spans="1:5">
      <c r="A143" s="12" t="s">
        <v>235</v>
      </c>
      <c r="B143" s="12">
        <v>2010</v>
      </c>
      <c r="C143" s="12" t="s">
        <v>78</v>
      </c>
      <c r="D143" s="12" t="s">
        <v>41</v>
      </c>
    </row>
    <row r="144" spans="1:5">
      <c r="A144" s="12" t="s">
        <v>236</v>
      </c>
      <c r="B144" s="12">
        <v>2010</v>
      </c>
      <c r="C144" s="12" t="s">
        <v>66</v>
      </c>
      <c r="D144" s="12" t="s">
        <v>41</v>
      </c>
    </row>
    <row r="145" spans="1:5">
      <c r="A145" s="12" t="s">
        <v>237</v>
      </c>
      <c r="B145" s="12">
        <v>2010</v>
      </c>
      <c r="C145" s="12" t="s">
        <v>69</v>
      </c>
      <c r="D145" s="12" t="s">
        <v>54</v>
      </c>
    </row>
    <row r="146" spans="1:5">
      <c r="A146" s="12" t="s">
        <v>238</v>
      </c>
      <c r="B146" s="12">
        <v>2010</v>
      </c>
      <c r="C146" s="12" t="s">
        <v>74</v>
      </c>
      <c r="D146" s="12" t="s">
        <v>54</v>
      </c>
    </row>
    <row r="147" spans="1:5">
      <c r="A147" s="12" t="s">
        <v>239</v>
      </c>
      <c r="B147" s="12">
        <v>2011</v>
      </c>
      <c r="C147" s="12" t="s">
        <v>66</v>
      </c>
      <c r="D147" s="12" t="s">
        <v>67</v>
      </c>
      <c r="E147" s="12">
        <v>794</v>
      </c>
    </row>
    <row r="148" spans="1:5">
      <c r="A148" s="12" t="s">
        <v>240</v>
      </c>
      <c r="B148" s="12">
        <v>2011</v>
      </c>
      <c r="C148" s="12" t="s">
        <v>69</v>
      </c>
      <c r="D148" s="12" t="s">
        <v>82</v>
      </c>
      <c r="E148" s="12">
        <v>1719</v>
      </c>
    </row>
    <row r="149" spans="1:5">
      <c r="A149" s="12" t="s">
        <v>241</v>
      </c>
      <c r="B149" s="12">
        <v>2011</v>
      </c>
      <c r="C149" s="12" t="s">
        <v>74</v>
      </c>
      <c r="D149" s="12" t="s">
        <v>67</v>
      </c>
      <c r="E149" s="12">
        <v>3561</v>
      </c>
    </row>
    <row r="150" spans="1:5">
      <c r="A150" s="12" t="s">
        <v>242</v>
      </c>
      <c r="B150" s="12">
        <v>2011</v>
      </c>
      <c r="C150" s="12" t="s">
        <v>69</v>
      </c>
      <c r="D150" s="12" t="s">
        <v>67</v>
      </c>
      <c r="E150" s="12">
        <v>3616</v>
      </c>
    </row>
    <row r="151" spans="1:5">
      <c r="A151" s="12" t="s">
        <v>243</v>
      </c>
      <c r="B151" s="12">
        <v>2011</v>
      </c>
      <c r="C151" s="12" t="s">
        <v>74</v>
      </c>
      <c r="D151" s="12" t="s">
        <v>104</v>
      </c>
      <c r="E151" s="12">
        <v>13053</v>
      </c>
    </row>
    <row r="152" spans="1:5">
      <c r="A152" s="12" t="s">
        <v>244</v>
      </c>
      <c r="B152" s="12">
        <v>2011</v>
      </c>
      <c r="C152" s="12" t="s">
        <v>69</v>
      </c>
      <c r="D152" s="12" t="s">
        <v>37</v>
      </c>
      <c r="E152" s="12">
        <v>15276</v>
      </c>
    </row>
    <row r="153" spans="1:5">
      <c r="A153" s="12" t="s">
        <v>245</v>
      </c>
      <c r="B153" s="12">
        <v>2011</v>
      </c>
      <c r="C153" s="12" t="s">
        <v>78</v>
      </c>
      <c r="D153" s="12" t="s">
        <v>67</v>
      </c>
      <c r="E153" s="12">
        <v>16876</v>
      </c>
    </row>
    <row r="154" spans="1:5">
      <c r="A154" s="12" t="s">
        <v>246</v>
      </c>
      <c r="B154" s="12">
        <v>2011</v>
      </c>
      <c r="C154" s="12" t="s">
        <v>66</v>
      </c>
      <c r="D154" s="12" t="s">
        <v>48</v>
      </c>
      <c r="E154" s="12">
        <v>22016</v>
      </c>
    </row>
    <row r="155" spans="1:5">
      <c r="A155" s="12" t="s">
        <v>247</v>
      </c>
      <c r="B155" s="12">
        <v>2011</v>
      </c>
      <c r="C155" s="12" t="s">
        <v>74</v>
      </c>
      <c r="D155" s="12" t="s">
        <v>54</v>
      </c>
      <c r="E155" s="12">
        <v>24069</v>
      </c>
    </row>
    <row r="156" spans="1:5">
      <c r="A156" s="12" t="s">
        <v>248</v>
      </c>
      <c r="B156" s="12">
        <v>2011</v>
      </c>
      <c r="C156" s="12" t="s">
        <v>69</v>
      </c>
      <c r="D156" s="12" t="s">
        <v>54</v>
      </c>
      <c r="E156" s="12">
        <v>24285</v>
      </c>
    </row>
    <row r="157" spans="1:5">
      <c r="A157" s="12" t="s">
        <v>249</v>
      </c>
      <c r="B157" s="12">
        <v>2011</v>
      </c>
      <c r="C157" s="12" t="s">
        <v>64</v>
      </c>
      <c r="D157" s="12" t="s">
        <v>67</v>
      </c>
      <c r="E157" s="12">
        <v>24847</v>
      </c>
    </row>
    <row r="158" spans="1:5">
      <c r="A158" s="12" t="s">
        <v>250</v>
      </c>
      <c r="B158" s="12">
        <v>2011</v>
      </c>
      <c r="C158" s="12" t="s">
        <v>69</v>
      </c>
      <c r="D158" s="12" t="s">
        <v>34</v>
      </c>
      <c r="E158" s="12">
        <v>28320</v>
      </c>
    </row>
    <row r="159" spans="1:5">
      <c r="A159" s="12" t="s">
        <v>251</v>
      </c>
      <c r="B159" s="12">
        <v>2011</v>
      </c>
      <c r="C159" s="12" t="s">
        <v>69</v>
      </c>
      <c r="D159" s="12" t="s">
        <v>48</v>
      </c>
      <c r="E159" s="12">
        <v>28562</v>
      </c>
    </row>
    <row r="160" spans="1:5">
      <c r="A160" s="12" t="s">
        <v>252</v>
      </c>
      <c r="B160" s="12">
        <v>2011</v>
      </c>
      <c r="C160" s="12" t="s">
        <v>66</v>
      </c>
      <c r="D160" s="12" t="s">
        <v>82</v>
      </c>
      <c r="E160" s="12">
        <v>29397</v>
      </c>
    </row>
    <row r="161" spans="1:5">
      <c r="A161" s="12" t="s">
        <v>253</v>
      </c>
      <c r="B161" s="12">
        <v>2011</v>
      </c>
      <c r="C161" s="12" t="s">
        <v>74</v>
      </c>
      <c r="D161" s="12" t="s">
        <v>37</v>
      </c>
      <c r="E161" s="12">
        <v>32604</v>
      </c>
    </row>
    <row r="162" spans="1:5">
      <c r="A162" s="12" t="s">
        <v>254</v>
      </c>
      <c r="B162" s="12">
        <v>2011</v>
      </c>
      <c r="C162" s="12" t="s">
        <v>69</v>
      </c>
      <c r="D162" s="12" t="s">
        <v>39</v>
      </c>
      <c r="E162" s="12">
        <v>34995</v>
      </c>
    </row>
    <row r="163" spans="1:5">
      <c r="A163" s="12" t="s">
        <v>255</v>
      </c>
      <c r="B163" s="12">
        <v>2011</v>
      </c>
      <c r="C163" s="12" t="s">
        <v>69</v>
      </c>
      <c r="D163" s="12" t="s">
        <v>98</v>
      </c>
      <c r="E163" s="12">
        <v>40618</v>
      </c>
    </row>
    <row r="164" spans="1:5">
      <c r="A164" s="12" t="s">
        <v>256</v>
      </c>
      <c r="B164" s="12">
        <v>2011</v>
      </c>
      <c r="C164" s="12" t="s">
        <v>74</v>
      </c>
      <c r="D164" s="12" t="s">
        <v>48</v>
      </c>
      <c r="E164" s="12">
        <v>52473</v>
      </c>
    </row>
    <row r="165" spans="1:5">
      <c r="A165" s="12" t="s">
        <v>257</v>
      </c>
      <c r="B165" s="12">
        <v>2011</v>
      </c>
      <c r="C165" s="12" t="s">
        <v>74</v>
      </c>
      <c r="D165" s="12" t="s">
        <v>93</v>
      </c>
      <c r="E165" s="12">
        <v>60019</v>
      </c>
    </row>
    <row r="166" spans="1:5">
      <c r="A166" s="12" t="s">
        <v>258</v>
      </c>
      <c r="B166" s="12">
        <v>2011</v>
      </c>
      <c r="C166" s="12" t="s">
        <v>74</v>
      </c>
      <c r="D166" s="12" t="s">
        <v>82</v>
      </c>
      <c r="E166" s="12">
        <v>68492</v>
      </c>
    </row>
    <row r="167" spans="1:5">
      <c r="A167" s="12" t="s">
        <v>259</v>
      </c>
      <c r="B167" s="12">
        <v>2011</v>
      </c>
      <c r="C167" s="12" t="s">
        <v>66</v>
      </c>
      <c r="D167" s="12" t="s">
        <v>37</v>
      </c>
      <c r="E167" s="12">
        <v>69265</v>
      </c>
    </row>
    <row r="168" spans="1:5">
      <c r="A168" s="12" t="s">
        <v>260</v>
      </c>
      <c r="B168" s="12">
        <v>2011</v>
      </c>
      <c r="C168" s="12" t="s">
        <v>66</v>
      </c>
      <c r="D168" s="12" t="s">
        <v>96</v>
      </c>
      <c r="E168" s="12">
        <v>71162</v>
      </c>
    </row>
    <row r="169" spans="1:5">
      <c r="A169" s="12" t="s">
        <v>261</v>
      </c>
      <c r="B169" s="12">
        <v>2011</v>
      </c>
      <c r="C169" s="12" t="s">
        <v>74</v>
      </c>
      <c r="D169" s="12" t="s">
        <v>96</v>
      </c>
      <c r="E169" s="12">
        <v>75622</v>
      </c>
    </row>
    <row r="170" spans="1:5">
      <c r="A170" s="12" t="s">
        <v>262</v>
      </c>
      <c r="B170" s="12">
        <v>2011</v>
      </c>
      <c r="C170" s="12" t="s">
        <v>69</v>
      </c>
      <c r="D170" s="12" t="s">
        <v>85</v>
      </c>
      <c r="E170" s="12">
        <v>80310</v>
      </c>
    </row>
    <row r="171" spans="1:5">
      <c r="A171" s="12" t="s">
        <v>263</v>
      </c>
      <c r="B171" s="12">
        <v>2011</v>
      </c>
      <c r="C171" s="12" t="s">
        <v>69</v>
      </c>
      <c r="D171" s="12" t="s">
        <v>93</v>
      </c>
      <c r="E171" s="12">
        <v>81129</v>
      </c>
    </row>
    <row r="172" spans="1:5">
      <c r="A172" s="12" t="s">
        <v>264</v>
      </c>
      <c r="B172" s="12">
        <v>2011</v>
      </c>
      <c r="C172" s="12" t="s">
        <v>69</v>
      </c>
      <c r="D172" s="12" t="s">
        <v>87</v>
      </c>
      <c r="E172" s="12">
        <v>84628</v>
      </c>
    </row>
    <row r="173" spans="1:5">
      <c r="A173" s="12" t="s">
        <v>265</v>
      </c>
      <c r="B173" s="12">
        <v>2011</v>
      </c>
      <c r="C173" s="12" t="s">
        <v>66</v>
      </c>
      <c r="D173" s="12" t="s">
        <v>93</v>
      </c>
      <c r="E173" s="12">
        <v>87044</v>
      </c>
    </row>
    <row r="174" spans="1:5">
      <c r="A174" s="12" t="s">
        <v>266</v>
      </c>
      <c r="B174" s="12">
        <v>2011</v>
      </c>
      <c r="C174" s="12" t="s">
        <v>78</v>
      </c>
      <c r="D174" s="12" t="s">
        <v>48</v>
      </c>
      <c r="E174" s="12">
        <v>92103</v>
      </c>
    </row>
    <row r="175" spans="1:5">
      <c r="A175" s="12" t="s">
        <v>267</v>
      </c>
      <c r="B175" s="12">
        <v>2011</v>
      </c>
      <c r="C175" s="12" t="s">
        <v>74</v>
      </c>
      <c r="D175" s="12" t="s">
        <v>87</v>
      </c>
      <c r="E175" s="12">
        <v>103248</v>
      </c>
    </row>
    <row r="176" spans="1:5">
      <c r="A176" s="12" t="s">
        <v>268</v>
      </c>
      <c r="B176" s="12">
        <v>2011</v>
      </c>
      <c r="C176" s="12" t="s">
        <v>66</v>
      </c>
      <c r="D176" s="12" t="s">
        <v>39</v>
      </c>
      <c r="E176" s="12">
        <v>105319</v>
      </c>
    </row>
    <row r="177" spans="1:5">
      <c r="A177" s="12" t="s">
        <v>269</v>
      </c>
      <c r="B177" s="12">
        <v>2011</v>
      </c>
      <c r="C177" s="12" t="s">
        <v>66</v>
      </c>
      <c r="D177" s="12" t="s">
        <v>87</v>
      </c>
      <c r="E177" s="12">
        <v>110358</v>
      </c>
    </row>
    <row r="178" spans="1:5">
      <c r="A178" s="12" t="s">
        <v>270</v>
      </c>
      <c r="B178" s="12">
        <v>2011</v>
      </c>
      <c r="C178" s="12" t="s">
        <v>78</v>
      </c>
      <c r="D178" s="12" t="s">
        <v>82</v>
      </c>
      <c r="E178" s="12">
        <v>110726</v>
      </c>
    </row>
    <row r="179" spans="1:5">
      <c r="A179" s="12" t="s">
        <v>271</v>
      </c>
      <c r="B179" s="12">
        <v>2011</v>
      </c>
      <c r="C179" s="12" t="s">
        <v>66</v>
      </c>
      <c r="D179" s="12" t="s">
        <v>98</v>
      </c>
      <c r="E179" s="12">
        <v>113745</v>
      </c>
    </row>
    <row r="180" spans="1:5">
      <c r="A180" s="12" t="s">
        <v>272</v>
      </c>
      <c r="B180" s="12">
        <v>2011</v>
      </c>
      <c r="C180" s="12" t="s">
        <v>78</v>
      </c>
      <c r="D180" s="12" t="s">
        <v>104</v>
      </c>
      <c r="E180" s="12">
        <v>123462</v>
      </c>
    </row>
    <row r="181" spans="1:5">
      <c r="A181" s="12" t="s">
        <v>273</v>
      </c>
      <c r="B181" s="12">
        <v>2011</v>
      </c>
      <c r="C181" s="12" t="s">
        <v>66</v>
      </c>
      <c r="D181" s="12" t="s">
        <v>34</v>
      </c>
      <c r="E181" s="12">
        <v>132671</v>
      </c>
    </row>
    <row r="182" spans="1:5">
      <c r="A182" s="12" t="s">
        <v>274</v>
      </c>
      <c r="B182" s="12">
        <v>2011</v>
      </c>
      <c r="C182" s="12" t="s">
        <v>74</v>
      </c>
      <c r="D182" s="12" t="s">
        <v>70</v>
      </c>
      <c r="E182" s="12">
        <v>139381</v>
      </c>
    </row>
    <row r="183" spans="1:5">
      <c r="A183" s="12" t="s">
        <v>275</v>
      </c>
      <c r="B183" s="12">
        <v>2011</v>
      </c>
      <c r="C183" s="12" t="s">
        <v>78</v>
      </c>
      <c r="D183" s="12" t="s">
        <v>34</v>
      </c>
      <c r="E183" s="12">
        <v>139443</v>
      </c>
    </row>
    <row r="184" spans="1:5">
      <c r="A184" s="12" t="s">
        <v>276</v>
      </c>
      <c r="B184" s="12">
        <v>2011</v>
      </c>
      <c r="C184" s="12" t="s">
        <v>69</v>
      </c>
      <c r="D184" s="12" t="s">
        <v>96</v>
      </c>
      <c r="E184" s="12">
        <v>147425</v>
      </c>
    </row>
    <row r="185" spans="1:5">
      <c r="A185" s="12" t="s">
        <v>277</v>
      </c>
      <c r="B185" s="12">
        <v>2011</v>
      </c>
      <c r="C185" s="12" t="s">
        <v>74</v>
      </c>
      <c r="D185" s="12" t="s">
        <v>122</v>
      </c>
      <c r="E185" s="12">
        <v>161246</v>
      </c>
    </row>
    <row r="186" spans="1:5">
      <c r="A186" s="12" t="s">
        <v>278</v>
      </c>
      <c r="B186" s="12">
        <v>2011</v>
      </c>
      <c r="C186" s="12" t="s">
        <v>69</v>
      </c>
      <c r="D186" s="12" t="s">
        <v>70</v>
      </c>
      <c r="E186" s="12">
        <v>164286</v>
      </c>
    </row>
    <row r="187" spans="1:5">
      <c r="A187" s="12" t="s">
        <v>279</v>
      </c>
      <c r="B187" s="12">
        <v>2011</v>
      </c>
      <c r="C187" s="12" t="s">
        <v>74</v>
      </c>
      <c r="D187" s="12" t="s">
        <v>34</v>
      </c>
      <c r="E187" s="12">
        <v>171560</v>
      </c>
    </row>
    <row r="188" spans="1:5">
      <c r="A188" s="12" t="s">
        <v>280</v>
      </c>
      <c r="B188" s="12">
        <v>2011</v>
      </c>
      <c r="C188" s="12" t="s">
        <v>66</v>
      </c>
      <c r="D188" s="12" t="s">
        <v>70</v>
      </c>
      <c r="E188" s="12">
        <v>174114</v>
      </c>
    </row>
    <row r="189" spans="1:5">
      <c r="A189" s="12" t="s">
        <v>281</v>
      </c>
      <c r="B189" s="12">
        <v>2011</v>
      </c>
      <c r="C189" s="12" t="s">
        <v>78</v>
      </c>
      <c r="D189" s="12" t="s">
        <v>87</v>
      </c>
      <c r="E189" s="12">
        <v>193516</v>
      </c>
    </row>
    <row r="190" spans="1:5">
      <c r="A190" s="12" t="s">
        <v>282</v>
      </c>
      <c r="B190" s="12">
        <v>2011</v>
      </c>
      <c r="C190" s="12" t="s">
        <v>64</v>
      </c>
      <c r="D190" s="12" t="s">
        <v>48</v>
      </c>
      <c r="E190" s="12">
        <v>195155</v>
      </c>
    </row>
    <row r="191" spans="1:5">
      <c r="A191" s="12" t="s">
        <v>283</v>
      </c>
      <c r="B191" s="12">
        <v>2011</v>
      </c>
      <c r="C191" s="12" t="s">
        <v>64</v>
      </c>
      <c r="D191" s="12" t="s">
        <v>82</v>
      </c>
      <c r="E191" s="12">
        <v>210334</v>
      </c>
    </row>
    <row r="192" spans="1:5">
      <c r="A192" s="12" t="s">
        <v>284</v>
      </c>
      <c r="B192" s="12">
        <v>2011</v>
      </c>
      <c r="C192" s="12" t="s">
        <v>78</v>
      </c>
      <c r="D192" s="12" t="s">
        <v>98</v>
      </c>
      <c r="E192" s="12">
        <v>213148</v>
      </c>
    </row>
    <row r="193" spans="1:5">
      <c r="A193" s="12" t="s">
        <v>285</v>
      </c>
      <c r="B193" s="12">
        <v>2011</v>
      </c>
      <c r="C193" s="12" t="s">
        <v>66</v>
      </c>
      <c r="D193" s="12" t="s">
        <v>54</v>
      </c>
      <c r="E193" s="12">
        <v>220667</v>
      </c>
    </row>
    <row r="194" spans="1:5">
      <c r="A194" s="12" t="s">
        <v>286</v>
      </c>
      <c r="B194" s="12">
        <v>2011</v>
      </c>
      <c r="C194" s="12" t="s">
        <v>66</v>
      </c>
      <c r="D194" s="12" t="s">
        <v>104</v>
      </c>
      <c r="E194" s="12">
        <v>239846</v>
      </c>
    </row>
    <row r="195" spans="1:5">
      <c r="A195" s="12" t="s">
        <v>287</v>
      </c>
      <c r="B195" s="12">
        <v>2011</v>
      </c>
      <c r="C195" s="12" t="s">
        <v>78</v>
      </c>
      <c r="D195" s="12" t="s">
        <v>54</v>
      </c>
      <c r="E195" s="12">
        <v>265530</v>
      </c>
    </row>
    <row r="196" spans="1:5">
      <c r="A196" s="12" t="s">
        <v>288</v>
      </c>
      <c r="B196" s="12">
        <v>2011</v>
      </c>
      <c r="C196" s="12" t="s">
        <v>69</v>
      </c>
      <c r="D196" s="12" t="s">
        <v>104</v>
      </c>
      <c r="E196" s="12">
        <v>275189</v>
      </c>
    </row>
    <row r="197" spans="1:5">
      <c r="A197" s="12" t="s">
        <v>289</v>
      </c>
      <c r="B197" s="12">
        <v>2011</v>
      </c>
      <c r="C197" s="12" t="s">
        <v>66</v>
      </c>
      <c r="D197" s="12" t="s">
        <v>113</v>
      </c>
      <c r="E197" s="12">
        <v>322428</v>
      </c>
    </row>
    <row r="198" spans="1:5">
      <c r="A198" s="12" t="s">
        <v>290</v>
      </c>
      <c r="B198" s="12">
        <v>2011</v>
      </c>
      <c r="C198" s="12" t="s">
        <v>78</v>
      </c>
      <c r="D198" s="12" t="s">
        <v>70</v>
      </c>
      <c r="E198" s="12">
        <v>324357</v>
      </c>
    </row>
    <row r="199" spans="1:5">
      <c r="A199" s="12" t="s">
        <v>291</v>
      </c>
      <c r="B199" s="12">
        <v>2011</v>
      </c>
      <c r="C199" s="12" t="s">
        <v>66</v>
      </c>
      <c r="D199" s="12" t="s">
        <v>85</v>
      </c>
      <c r="E199" s="12">
        <v>336652</v>
      </c>
    </row>
    <row r="200" spans="1:5">
      <c r="A200" s="12" t="s">
        <v>292</v>
      </c>
      <c r="B200" s="12">
        <v>2011</v>
      </c>
      <c r="C200" s="12" t="s">
        <v>74</v>
      </c>
      <c r="D200" s="12" t="s">
        <v>113</v>
      </c>
      <c r="E200" s="12">
        <v>345088</v>
      </c>
    </row>
    <row r="201" spans="1:5">
      <c r="A201" s="12" t="s">
        <v>293</v>
      </c>
      <c r="B201" s="12">
        <v>2011</v>
      </c>
      <c r="C201" s="12" t="s">
        <v>78</v>
      </c>
      <c r="D201" s="12" t="s">
        <v>37</v>
      </c>
      <c r="E201" s="12">
        <v>347636</v>
      </c>
    </row>
    <row r="202" spans="1:5">
      <c r="A202" s="12" t="s">
        <v>294</v>
      </c>
      <c r="B202" s="12">
        <v>2011</v>
      </c>
      <c r="C202" s="12" t="s">
        <v>78</v>
      </c>
      <c r="D202" s="12" t="s">
        <v>39</v>
      </c>
      <c r="E202" s="12">
        <v>416070</v>
      </c>
    </row>
    <row r="203" spans="1:5">
      <c r="A203" s="12" t="s">
        <v>295</v>
      </c>
      <c r="B203" s="12">
        <v>2011</v>
      </c>
      <c r="C203" s="12" t="s">
        <v>74</v>
      </c>
      <c r="D203" s="12" t="s">
        <v>98</v>
      </c>
      <c r="E203" s="12">
        <v>441536</v>
      </c>
    </row>
    <row r="204" spans="1:5">
      <c r="A204" s="12" t="s">
        <v>296</v>
      </c>
      <c r="B204" s="12">
        <v>2011</v>
      </c>
      <c r="C204" s="12" t="s">
        <v>64</v>
      </c>
      <c r="D204" s="12" t="s">
        <v>37</v>
      </c>
      <c r="E204" s="12">
        <v>464780</v>
      </c>
    </row>
    <row r="205" spans="1:5">
      <c r="A205" s="12" t="s">
        <v>297</v>
      </c>
      <c r="B205" s="12">
        <v>2011</v>
      </c>
      <c r="C205" s="12" t="s">
        <v>64</v>
      </c>
      <c r="D205" s="12" t="s">
        <v>34</v>
      </c>
      <c r="E205" s="12">
        <v>471993</v>
      </c>
    </row>
    <row r="206" spans="1:5">
      <c r="A206" s="12" t="s">
        <v>298</v>
      </c>
      <c r="B206" s="12">
        <v>2011</v>
      </c>
      <c r="C206" s="12" t="s">
        <v>64</v>
      </c>
      <c r="D206" s="12" t="s">
        <v>87</v>
      </c>
      <c r="E206" s="12">
        <v>491750</v>
      </c>
    </row>
    <row r="207" spans="1:5">
      <c r="A207" s="12" t="s">
        <v>299</v>
      </c>
      <c r="B207" s="12">
        <v>2011</v>
      </c>
      <c r="C207" s="12" t="s">
        <v>78</v>
      </c>
      <c r="D207" s="12" t="s">
        <v>93</v>
      </c>
      <c r="E207" s="12">
        <v>500583</v>
      </c>
    </row>
    <row r="208" spans="1:5">
      <c r="A208" s="12" t="s">
        <v>300</v>
      </c>
      <c r="B208" s="12">
        <v>2011</v>
      </c>
      <c r="C208" s="12" t="s">
        <v>74</v>
      </c>
      <c r="D208" s="12" t="s">
        <v>109</v>
      </c>
      <c r="E208" s="12">
        <v>509728</v>
      </c>
    </row>
    <row r="209" spans="1:5">
      <c r="A209" s="12" t="s">
        <v>301</v>
      </c>
      <c r="B209" s="12">
        <v>2011</v>
      </c>
      <c r="C209" s="12" t="s">
        <v>74</v>
      </c>
      <c r="D209" s="12" t="s">
        <v>39</v>
      </c>
      <c r="E209" s="12">
        <v>517175</v>
      </c>
    </row>
    <row r="210" spans="1:5">
      <c r="A210" s="12" t="s">
        <v>302</v>
      </c>
      <c r="B210" s="12">
        <v>2011</v>
      </c>
      <c r="C210" s="12" t="s">
        <v>64</v>
      </c>
      <c r="D210" s="12" t="s">
        <v>54</v>
      </c>
      <c r="E210" s="12">
        <v>534551</v>
      </c>
    </row>
    <row r="211" spans="1:5">
      <c r="A211" s="12" t="s">
        <v>303</v>
      </c>
      <c r="B211" s="12">
        <v>2011</v>
      </c>
      <c r="C211" s="12" t="s">
        <v>74</v>
      </c>
      <c r="D211" s="12" t="s">
        <v>105</v>
      </c>
      <c r="E211" s="12">
        <v>551394</v>
      </c>
    </row>
    <row r="212" spans="1:5">
      <c r="A212" s="12" t="s">
        <v>304</v>
      </c>
      <c r="B212" s="12">
        <v>2011</v>
      </c>
      <c r="C212" s="12" t="s">
        <v>78</v>
      </c>
      <c r="D212" s="12" t="s">
        <v>113</v>
      </c>
      <c r="E212" s="12">
        <v>597521</v>
      </c>
    </row>
    <row r="213" spans="1:5">
      <c r="A213" s="12" t="s">
        <v>305</v>
      </c>
      <c r="B213" s="12">
        <v>2011</v>
      </c>
      <c r="C213" s="12" t="s">
        <v>69</v>
      </c>
      <c r="D213" s="12" t="s">
        <v>113</v>
      </c>
      <c r="E213" s="12">
        <v>625452</v>
      </c>
    </row>
    <row r="214" spans="1:5">
      <c r="A214" s="12" t="s">
        <v>306</v>
      </c>
      <c r="B214" s="12">
        <v>2011</v>
      </c>
      <c r="C214" s="12" t="s">
        <v>64</v>
      </c>
      <c r="D214" s="12" t="s">
        <v>104</v>
      </c>
      <c r="E214" s="12">
        <v>651550</v>
      </c>
    </row>
    <row r="215" spans="1:5">
      <c r="A215" s="12" t="s">
        <v>307</v>
      </c>
      <c r="B215" s="12">
        <v>2011</v>
      </c>
      <c r="C215" s="12" t="s">
        <v>64</v>
      </c>
      <c r="D215" s="12" t="s">
        <v>93</v>
      </c>
      <c r="E215" s="12">
        <v>728775</v>
      </c>
    </row>
    <row r="216" spans="1:5">
      <c r="A216" s="12" t="s">
        <v>308</v>
      </c>
      <c r="B216" s="12">
        <v>2011</v>
      </c>
      <c r="C216" s="12" t="s">
        <v>69</v>
      </c>
      <c r="D216" s="12" t="s">
        <v>50</v>
      </c>
      <c r="E216" s="12">
        <v>784639</v>
      </c>
    </row>
    <row r="217" spans="1:5">
      <c r="A217" s="12" t="s">
        <v>309</v>
      </c>
      <c r="B217" s="12">
        <v>2011</v>
      </c>
      <c r="C217" s="12" t="s">
        <v>74</v>
      </c>
      <c r="D217" s="12" t="s">
        <v>85</v>
      </c>
      <c r="E217" s="12">
        <v>789831</v>
      </c>
    </row>
    <row r="218" spans="1:5">
      <c r="A218" s="12" t="s">
        <v>310</v>
      </c>
      <c r="B218" s="12">
        <v>2011</v>
      </c>
      <c r="C218" s="12" t="s">
        <v>64</v>
      </c>
      <c r="D218" s="12" t="s">
        <v>70</v>
      </c>
      <c r="E218" s="12">
        <v>802138</v>
      </c>
    </row>
    <row r="219" spans="1:5">
      <c r="A219" s="12" t="s">
        <v>311</v>
      </c>
      <c r="B219" s="12">
        <v>2011</v>
      </c>
      <c r="C219" s="12" t="s">
        <v>64</v>
      </c>
      <c r="D219" s="12" t="s">
        <v>98</v>
      </c>
      <c r="E219" s="12">
        <v>809047</v>
      </c>
    </row>
    <row r="220" spans="1:5">
      <c r="A220" s="12" t="s">
        <v>312</v>
      </c>
      <c r="B220" s="12">
        <v>2011</v>
      </c>
      <c r="C220" s="12" t="s">
        <v>78</v>
      </c>
      <c r="D220" s="12" t="s">
        <v>50</v>
      </c>
      <c r="E220" s="12">
        <v>859181</v>
      </c>
    </row>
    <row r="221" spans="1:5">
      <c r="A221" s="12" t="s">
        <v>313</v>
      </c>
      <c r="B221" s="12">
        <v>2011</v>
      </c>
      <c r="C221" s="12" t="s">
        <v>66</v>
      </c>
      <c r="D221" s="12" t="s">
        <v>50</v>
      </c>
      <c r="E221" s="12">
        <v>873770</v>
      </c>
    </row>
    <row r="222" spans="1:5">
      <c r="A222" s="12" t="s">
        <v>314</v>
      </c>
      <c r="B222" s="12">
        <v>2011</v>
      </c>
      <c r="C222" s="12" t="s">
        <v>66</v>
      </c>
      <c r="D222" s="12" t="s">
        <v>105</v>
      </c>
      <c r="E222" s="12">
        <v>913082</v>
      </c>
    </row>
    <row r="223" spans="1:5">
      <c r="A223" s="12" t="s">
        <v>315</v>
      </c>
      <c r="B223" s="12">
        <v>2011</v>
      </c>
      <c r="C223" s="12" t="s">
        <v>78</v>
      </c>
      <c r="D223" s="12" t="s">
        <v>85</v>
      </c>
      <c r="E223" s="12">
        <v>1013875</v>
      </c>
    </row>
    <row r="224" spans="1:5">
      <c r="A224" s="12" t="s">
        <v>316</v>
      </c>
      <c r="B224" s="12">
        <v>2011</v>
      </c>
      <c r="C224" s="12" t="s">
        <v>64</v>
      </c>
      <c r="D224" s="12" t="s">
        <v>39</v>
      </c>
      <c r="E224" s="12">
        <v>1073559</v>
      </c>
    </row>
    <row r="225" spans="1:5">
      <c r="A225" s="12" t="s">
        <v>317</v>
      </c>
      <c r="B225" s="12">
        <v>2011</v>
      </c>
      <c r="C225" s="12" t="s">
        <v>74</v>
      </c>
      <c r="D225" s="12" t="s">
        <v>50</v>
      </c>
      <c r="E225" s="12">
        <v>1119487</v>
      </c>
    </row>
    <row r="226" spans="1:5">
      <c r="A226" s="12" t="s">
        <v>318</v>
      </c>
      <c r="B226" s="12">
        <v>2011</v>
      </c>
      <c r="C226" s="12" t="s">
        <v>69</v>
      </c>
      <c r="D226" s="12" t="s">
        <v>105</v>
      </c>
      <c r="E226" s="12">
        <v>1144990</v>
      </c>
    </row>
    <row r="227" spans="1:5">
      <c r="A227" s="12" t="s">
        <v>319</v>
      </c>
      <c r="B227" s="12">
        <v>2011</v>
      </c>
      <c r="C227" s="12" t="s">
        <v>66</v>
      </c>
      <c r="D227" s="12" t="s">
        <v>89</v>
      </c>
      <c r="E227" s="12">
        <v>1190896</v>
      </c>
    </row>
    <row r="228" spans="1:5">
      <c r="A228" s="12" t="s">
        <v>320</v>
      </c>
      <c r="B228" s="12">
        <v>2011</v>
      </c>
      <c r="C228" s="12" t="s">
        <v>78</v>
      </c>
      <c r="D228" s="12" t="s">
        <v>122</v>
      </c>
      <c r="E228" s="12">
        <v>1204663</v>
      </c>
    </row>
    <row r="229" spans="1:5">
      <c r="A229" s="12" t="s">
        <v>321</v>
      </c>
      <c r="B229" s="12">
        <v>2011</v>
      </c>
      <c r="C229" s="12" t="s">
        <v>78</v>
      </c>
      <c r="D229" s="12" t="s">
        <v>96</v>
      </c>
      <c r="E229" s="12">
        <v>1252440</v>
      </c>
    </row>
    <row r="230" spans="1:5">
      <c r="A230" s="12" t="s">
        <v>322</v>
      </c>
      <c r="B230" s="12">
        <v>2011</v>
      </c>
      <c r="C230" s="12" t="s">
        <v>69</v>
      </c>
      <c r="D230" s="12" t="s">
        <v>89</v>
      </c>
      <c r="E230" s="12">
        <v>1261649</v>
      </c>
    </row>
    <row r="231" spans="1:5">
      <c r="A231" s="12" t="s">
        <v>323</v>
      </c>
      <c r="B231" s="12">
        <v>2011</v>
      </c>
      <c r="C231" s="12" t="s">
        <v>69</v>
      </c>
      <c r="D231" s="12" t="s">
        <v>109</v>
      </c>
      <c r="E231" s="12">
        <v>1492256</v>
      </c>
    </row>
    <row r="232" spans="1:5">
      <c r="A232" s="12" t="s">
        <v>324</v>
      </c>
      <c r="B232" s="12">
        <v>2011</v>
      </c>
      <c r="C232" s="12" t="s">
        <v>64</v>
      </c>
      <c r="D232" s="12" t="s">
        <v>96</v>
      </c>
      <c r="E232" s="12">
        <v>1546649</v>
      </c>
    </row>
    <row r="233" spans="1:5">
      <c r="A233" s="12" t="s">
        <v>325</v>
      </c>
      <c r="B233" s="12">
        <v>2011</v>
      </c>
      <c r="C233" s="12" t="s">
        <v>66</v>
      </c>
      <c r="D233" s="12" t="s">
        <v>109</v>
      </c>
      <c r="E233" s="12">
        <v>1734578</v>
      </c>
    </row>
    <row r="234" spans="1:5">
      <c r="A234" s="12" t="s">
        <v>326</v>
      </c>
      <c r="B234" s="12">
        <v>2011</v>
      </c>
      <c r="C234" s="12" t="s">
        <v>74</v>
      </c>
      <c r="D234" s="12" t="s">
        <v>118</v>
      </c>
      <c r="E234" s="12">
        <v>1774024</v>
      </c>
    </row>
    <row r="235" spans="1:5">
      <c r="A235" s="12" t="s">
        <v>327</v>
      </c>
      <c r="B235" s="12">
        <v>2011</v>
      </c>
      <c r="C235" s="12" t="s">
        <v>64</v>
      </c>
      <c r="D235" s="12" t="s">
        <v>113</v>
      </c>
      <c r="E235" s="12">
        <v>1890489</v>
      </c>
    </row>
    <row r="236" spans="1:5">
      <c r="A236" s="12" t="s">
        <v>328</v>
      </c>
      <c r="B236" s="12">
        <v>2011</v>
      </c>
      <c r="C236" s="12" t="s">
        <v>69</v>
      </c>
      <c r="D236" s="12" t="s">
        <v>118</v>
      </c>
      <c r="E236" s="12">
        <v>1963451</v>
      </c>
    </row>
    <row r="237" spans="1:5">
      <c r="A237" s="12" t="s">
        <v>329</v>
      </c>
      <c r="B237" s="12">
        <v>2011</v>
      </c>
      <c r="C237" s="12" t="s">
        <v>74</v>
      </c>
      <c r="D237" s="12" t="s">
        <v>111</v>
      </c>
      <c r="E237" s="12">
        <v>1972114</v>
      </c>
    </row>
    <row r="238" spans="1:5">
      <c r="A238" s="12" t="s">
        <v>330</v>
      </c>
      <c r="B238" s="12">
        <v>2011</v>
      </c>
      <c r="C238" s="12" t="s">
        <v>66</v>
      </c>
      <c r="D238" s="12" t="s">
        <v>118</v>
      </c>
      <c r="E238" s="12">
        <v>1984053</v>
      </c>
    </row>
    <row r="239" spans="1:5">
      <c r="A239" s="12" t="s">
        <v>331</v>
      </c>
      <c r="B239" s="12">
        <v>2011</v>
      </c>
      <c r="C239" s="12" t="s">
        <v>66</v>
      </c>
      <c r="D239" s="12" t="s">
        <v>46</v>
      </c>
      <c r="E239" s="12">
        <v>2033949</v>
      </c>
    </row>
    <row r="240" spans="1:5">
      <c r="A240" s="12" t="s">
        <v>332</v>
      </c>
      <c r="B240" s="12">
        <v>2011</v>
      </c>
      <c r="C240" s="12" t="s">
        <v>69</v>
      </c>
      <c r="D240" s="12" t="s">
        <v>111</v>
      </c>
      <c r="E240" s="12">
        <v>2208866</v>
      </c>
    </row>
    <row r="241" spans="1:5">
      <c r="A241" s="12" t="s">
        <v>333</v>
      </c>
      <c r="B241" s="12">
        <v>2011</v>
      </c>
      <c r="C241" s="12" t="s">
        <v>64</v>
      </c>
      <c r="D241" s="12" t="s">
        <v>85</v>
      </c>
      <c r="E241" s="12">
        <v>2220666</v>
      </c>
    </row>
    <row r="242" spans="1:5">
      <c r="A242" s="12" t="s">
        <v>334</v>
      </c>
      <c r="B242" s="12">
        <v>2011</v>
      </c>
      <c r="C242" s="12" t="s">
        <v>66</v>
      </c>
      <c r="D242" s="12" t="s">
        <v>111</v>
      </c>
      <c r="E242" s="12">
        <v>2245211</v>
      </c>
    </row>
    <row r="243" spans="1:5">
      <c r="A243" s="12" t="s">
        <v>335</v>
      </c>
      <c r="B243" s="12">
        <v>2011</v>
      </c>
      <c r="C243" s="12" t="s">
        <v>69</v>
      </c>
      <c r="D243" s="12" t="s">
        <v>46</v>
      </c>
      <c r="E243" s="12">
        <v>2327084</v>
      </c>
    </row>
    <row r="244" spans="1:5">
      <c r="A244" s="12" t="s">
        <v>336</v>
      </c>
      <c r="B244" s="12">
        <v>2011</v>
      </c>
      <c r="C244" s="12" t="s">
        <v>74</v>
      </c>
      <c r="D244" s="12" t="s">
        <v>89</v>
      </c>
      <c r="E244" s="12">
        <v>2410493</v>
      </c>
    </row>
    <row r="245" spans="1:5">
      <c r="A245" s="12" t="s">
        <v>337</v>
      </c>
      <c r="B245" s="12">
        <v>2011</v>
      </c>
      <c r="C245" s="12" t="s">
        <v>74</v>
      </c>
      <c r="D245" s="12" t="s">
        <v>46</v>
      </c>
      <c r="E245" s="12">
        <v>2969873</v>
      </c>
    </row>
    <row r="246" spans="1:5">
      <c r="A246" s="12" t="s">
        <v>338</v>
      </c>
      <c r="B246" s="12">
        <v>2011</v>
      </c>
      <c r="C246" s="12" t="s">
        <v>78</v>
      </c>
      <c r="D246" s="12" t="s">
        <v>89</v>
      </c>
      <c r="E246" s="12">
        <v>3037222</v>
      </c>
    </row>
    <row r="247" spans="1:5">
      <c r="A247" s="12" t="s">
        <v>339</v>
      </c>
      <c r="B247" s="12">
        <v>2011</v>
      </c>
      <c r="C247" s="12" t="s">
        <v>74</v>
      </c>
      <c r="D247" s="12" t="s">
        <v>102</v>
      </c>
      <c r="E247" s="12">
        <v>3273665</v>
      </c>
    </row>
    <row r="248" spans="1:5">
      <c r="A248" s="12" t="s">
        <v>340</v>
      </c>
      <c r="B248" s="12">
        <v>2011</v>
      </c>
      <c r="C248" s="12" t="s">
        <v>78</v>
      </c>
      <c r="D248" s="12" t="s">
        <v>46</v>
      </c>
      <c r="E248" s="12">
        <v>3527393</v>
      </c>
    </row>
    <row r="249" spans="1:5">
      <c r="A249" s="12" t="s">
        <v>341</v>
      </c>
      <c r="B249" s="12">
        <v>2011</v>
      </c>
      <c r="C249" s="12" t="s">
        <v>64</v>
      </c>
      <c r="D249" s="12" t="s">
        <v>50</v>
      </c>
      <c r="E249" s="12">
        <v>3637078</v>
      </c>
    </row>
    <row r="250" spans="1:5">
      <c r="A250" s="12" t="s">
        <v>342</v>
      </c>
      <c r="B250" s="12">
        <v>2011</v>
      </c>
      <c r="C250" s="12" t="s">
        <v>78</v>
      </c>
      <c r="D250" s="12" t="s">
        <v>109</v>
      </c>
      <c r="E250" s="12">
        <v>3903077</v>
      </c>
    </row>
    <row r="251" spans="1:5">
      <c r="A251" s="12" t="s">
        <v>343</v>
      </c>
      <c r="B251" s="12">
        <v>2011</v>
      </c>
      <c r="C251" s="12" t="s">
        <v>69</v>
      </c>
      <c r="D251" s="12" t="s">
        <v>122</v>
      </c>
      <c r="E251" s="12">
        <v>3978217</v>
      </c>
    </row>
    <row r="252" spans="1:5">
      <c r="A252" s="12" t="s">
        <v>344</v>
      </c>
      <c r="B252" s="12">
        <v>2011</v>
      </c>
      <c r="C252" s="12" t="s">
        <v>78</v>
      </c>
      <c r="D252" s="12" t="s">
        <v>118</v>
      </c>
      <c r="E252" s="12">
        <v>4082087</v>
      </c>
    </row>
    <row r="253" spans="1:5">
      <c r="A253" s="12" t="s">
        <v>345</v>
      </c>
      <c r="B253" s="12">
        <v>2011</v>
      </c>
      <c r="C253" s="12" t="s">
        <v>66</v>
      </c>
      <c r="D253" s="12" t="s">
        <v>122</v>
      </c>
      <c r="E253" s="12">
        <v>4361171</v>
      </c>
    </row>
    <row r="254" spans="1:5">
      <c r="A254" s="12" t="s">
        <v>346</v>
      </c>
      <c r="B254" s="12">
        <v>2011</v>
      </c>
      <c r="C254" s="12" t="s">
        <v>78</v>
      </c>
      <c r="D254" s="12" t="s">
        <v>111</v>
      </c>
      <c r="E254" s="12">
        <v>4907027</v>
      </c>
    </row>
    <row r="255" spans="1:5">
      <c r="A255" s="12" t="s">
        <v>347</v>
      </c>
      <c r="B255" s="12">
        <v>2011</v>
      </c>
      <c r="C255" s="12" t="s">
        <v>69</v>
      </c>
      <c r="D255" s="12" t="s">
        <v>91</v>
      </c>
      <c r="E255" s="12">
        <v>5288526</v>
      </c>
    </row>
    <row r="256" spans="1:5">
      <c r="A256" s="12" t="s">
        <v>348</v>
      </c>
      <c r="B256" s="12">
        <v>2011</v>
      </c>
      <c r="C256" s="12" t="s">
        <v>66</v>
      </c>
      <c r="D256" s="12" t="s">
        <v>91</v>
      </c>
      <c r="E256" s="12">
        <v>5317548</v>
      </c>
    </row>
    <row r="257" spans="1:5">
      <c r="A257" s="12" t="s">
        <v>349</v>
      </c>
      <c r="B257" s="12">
        <v>2011</v>
      </c>
      <c r="C257" s="12" t="s">
        <v>69</v>
      </c>
      <c r="D257" s="12" t="s">
        <v>124</v>
      </c>
      <c r="E257" s="12">
        <v>5368836</v>
      </c>
    </row>
    <row r="258" spans="1:5">
      <c r="A258" s="12" t="s">
        <v>350</v>
      </c>
      <c r="B258" s="12">
        <v>2011</v>
      </c>
      <c r="C258" s="12" t="s">
        <v>66</v>
      </c>
      <c r="D258" s="12" t="s">
        <v>124</v>
      </c>
      <c r="E258" s="12">
        <v>5654200</v>
      </c>
    </row>
    <row r="259" spans="1:5">
      <c r="A259" s="12" t="s">
        <v>351</v>
      </c>
      <c r="B259" s="12">
        <v>2011</v>
      </c>
      <c r="C259" s="12" t="s">
        <v>66</v>
      </c>
      <c r="D259" s="12" t="s">
        <v>100</v>
      </c>
      <c r="E259" s="12">
        <v>5976628</v>
      </c>
    </row>
    <row r="260" spans="1:5">
      <c r="A260" s="12" t="s">
        <v>352</v>
      </c>
      <c r="B260" s="12">
        <v>2011</v>
      </c>
      <c r="C260" s="12" t="s">
        <v>69</v>
      </c>
      <c r="D260" s="12" t="s">
        <v>100</v>
      </c>
      <c r="E260" s="12">
        <v>5994289</v>
      </c>
    </row>
    <row r="261" spans="1:5">
      <c r="A261" s="12" t="s">
        <v>353</v>
      </c>
      <c r="B261" s="12">
        <v>2011</v>
      </c>
      <c r="C261" s="12" t="s">
        <v>78</v>
      </c>
      <c r="D261" s="12" t="s">
        <v>105</v>
      </c>
      <c r="E261" s="12">
        <v>6414903</v>
      </c>
    </row>
    <row r="262" spans="1:5">
      <c r="A262" s="12" t="s">
        <v>354</v>
      </c>
      <c r="B262" s="12">
        <v>2011</v>
      </c>
      <c r="C262" s="12" t="s">
        <v>64</v>
      </c>
      <c r="D262" s="12" t="s">
        <v>109</v>
      </c>
      <c r="E262" s="12">
        <v>7639639</v>
      </c>
    </row>
    <row r="263" spans="1:5">
      <c r="A263" s="12" t="s">
        <v>355</v>
      </c>
      <c r="B263" s="12">
        <v>2011</v>
      </c>
      <c r="C263" s="12" t="s">
        <v>64</v>
      </c>
      <c r="D263" s="12" t="s">
        <v>89</v>
      </c>
      <c r="E263" s="12">
        <v>7900261</v>
      </c>
    </row>
    <row r="264" spans="1:5">
      <c r="A264" s="12" t="s">
        <v>356</v>
      </c>
      <c r="B264" s="12">
        <v>2011</v>
      </c>
      <c r="C264" s="12" t="s">
        <v>69</v>
      </c>
      <c r="D264" s="12" t="s">
        <v>102</v>
      </c>
      <c r="E264" s="12">
        <v>8975370</v>
      </c>
    </row>
    <row r="265" spans="1:5">
      <c r="A265" s="12" t="s">
        <v>357</v>
      </c>
      <c r="B265" s="12">
        <v>2011</v>
      </c>
      <c r="C265" s="12" t="s">
        <v>64</v>
      </c>
      <c r="D265" s="12" t="s">
        <v>105</v>
      </c>
      <c r="E265" s="12">
        <v>9024369</v>
      </c>
    </row>
    <row r="266" spans="1:5">
      <c r="A266" s="12" t="s">
        <v>358</v>
      </c>
      <c r="B266" s="12">
        <v>2011</v>
      </c>
      <c r="C266" s="12" t="s">
        <v>66</v>
      </c>
      <c r="D266" s="12" t="s">
        <v>102</v>
      </c>
      <c r="E266" s="12">
        <v>9325998</v>
      </c>
    </row>
    <row r="267" spans="1:5">
      <c r="A267" s="12" t="s">
        <v>359</v>
      </c>
      <c r="B267" s="12">
        <v>2011</v>
      </c>
      <c r="C267" s="12" t="s">
        <v>64</v>
      </c>
      <c r="D267" s="12" t="s">
        <v>122</v>
      </c>
      <c r="E267" s="12">
        <v>9705297</v>
      </c>
    </row>
    <row r="268" spans="1:5">
      <c r="A268" s="12" t="s">
        <v>360</v>
      </c>
      <c r="B268" s="12">
        <v>2011</v>
      </c>
      <c r="C268" s="12" t="s">
        <v>64</v>
      </c>
      <c r="D268" s="12" t="s">
        <v>118</v>
      </c>
      <c r="E268" s="12">
        <v>9803615</v>
      </c>
    </row>
    <row r="269" spans="1:5">
      <c r="A269" s="12" t="s">
        <v>361</v>
      </c>
      <c r="B269" s="12">
        <v>2011</v>
      </c>
      <c r="C269" s="12" t="s">
        <v>74</v>
      </c>
      <c r="D269" s="12" t="s">
        <v>91</v>
      </c>
      <c r="E269" s="12">
        <v>10148879</v>
      </c>
    </row>
    <row r="270" spans="1:5">
      <c r="A270" s="12" t="s">
        <v>362</v>
      </c>
      <c r="B270" s="12">
        <v>2011</v>
      </c>
      <c r="C270" s="12" t="s">
        <v>64</v>
      </c>
      <c r="D270" s="12" t="s">
        <v>46</v>
      </c>
      <c r="E270" s="12">
        <v>10858299</v>
      </c>
    </row>
    <row r="271" spans="1:5">
      <c r="A271" s="12" t="s">
        <v>363</v>
      </c>
      <c r="B271" s="12">
        <v>2011</v>
      </c>
      <c r="C271" s="12" t="s">
        <v>74</v>
      </c>
      <c r="D271" s="12" t="s">
        <v>124</v>
      </c>
      <c r="E271" s="12">
        <v>10938710</v>
      </c>
    </row>
    <row r="272" spans="1:5">
      <c r="A272" s="12" t="s">
        <v>364</v>
      </c>
      <c r="B272" s="12">
        <v>2011</v>
      </c>
      <c r="C272" s="12" t="s">
        <v>74</v>
      </c>
      <c r="D272" s="12" t="s">
        <v>100</v>
      </c>
      <c r="E272" s="12">
        <v>11283797</v>
      </c>
    </row>
    <row r="273" spans="1:5">
      <c r="A273" s="12" t="s">
        <v>365</v>
      </c>
      <c r="B273" s="12">
        <v>2011</v>
      </c>
      <c r="C273" s="12" t="s">
        <v>64</v>
      </c>
      <c r="D273" s="12" t="s">
        <v>111</v>
      </c>
      <c r="E273" s="12">
        <v>11333218</v>
      </c>
    </row>
    <row r="274" spans="1:5">
      <c r="A274" s="12" t="s">
        <v>366</v>
      </c>
      <c r="B274" s="12">
        <v>2011</v>
      </c>
      <c r="C274" s="12" t="s">
        <v>78</v>
      </c>
      <c r="D274" s="12" t="s">
        <v>91</v>
      </c>
      <c r="E274" s="12">
        <v>11999550</v>
      </c>
    </row>
    <row r="275" spans="1:5">
      <c r="A275" s="12" t="s">
        <v>367</v>
      </c>
      <c r="B275" s="12">
        <v>2011</v>
      </c>
      <c r="C275" s="12" t="s">
        <v>78</v>
      </c>
      <c r="D275" s="12" t="s">
        <v>124</v>
      </c>
      <c r="E275" s="12">
        <v>13013425</v>
      </c>
    </row>
    <row r="276" spans="1:5">
      <c r="A276" s="12" t="s">
        <v>368</v>
      </c>
      <c r="B276" s="12">
        <v>2011</v>
      </c>
      <c r="C276" s="12" t="s">
        <v>78</v>
      </c>
      <c r="D276" s="12" t="s">
        <v>100</v>
      </c>
      <c r="E276" s="12">
        <v>13610946</v>
      </c>
    </row>
    <row r="277" spans="1:5">
      <c r="A277" s="12" t="s">
        <v>369</v>
      </c>
      <c r="B277" s="12">
        <v>2011</v>
      </c>
      <c r="C277" s="12" t="s">
        <v>74</v>
      </c>
      <c r="D277" s="12" t="s">
        <v>107</v>
      </c>
      <c r="E277" s="12">
        <v>14557462</v>
      </c>
    </row>
    <row r="278" spans="1:5">
      <c r="A278" s="12" t="s">
        <v>370</v>
      </c>
      <c r="B278" s="12">
        <v>2011</v>
      </c>
      <c r="C278" s="12" t="s">
        <v>69</v>
      </c>
      <c r="D278" s="12" t="s">
        <v>107</v>
      </c>
      <c r="E278" s="12">
        <v>14969659</v>
      </c>
    </row>
    <row r="279" spans="1:5">
      <c r="A279" s="12" t="s">
        <v>371</v>
      </c>
      <c r="B279" s="12">
        <v>2011</v>
      </c>
      <c r="C279" s="12" t="s">
        <v>66</v>
      </c>
      <c r="D279" s="12" t="s">
        <v>107</v>
      </c>
      <c r="E279" s="12">
        <v>15302626</v>
      </c>
    </row>
    <row r="280" spans="1:5">
      <c r="A280" s="12" t="s">
        <v>372</v>
      </c>
      <c r="B280" s="12">
        <v>2011</v>
      </c>
      <c r="C280" s="12" t="s">
        <v>78</v>
      </c>
      <c r="D280" s="12" t="s">
        <v>102</v>
      </c>
      <c r="E280" s="12">
        <v>17698986</v>
      </c>
    </row>
    <row r="281" spans="1:5">
      <c r="A281" s="12" t="s">
        <v>373</v>
      </c>
      <c r="B281" s="12">
        <v>2011</v>
      </c>
      <c r="C281" s="12" t="s">
        <v>78</v>
      </c>
      <c r="D281" s="12" t="s">
        <v>107</v>
      </c>
      <c r="E281" s="12">
        <v>31309932</v>
      </c>
    </row>
    <row r="282" spans="1:5">
      <c r="A282" s="12" t="s">
        <v>374</v>
      </c>
      <c r="B282" s="12">
        <v>2011</v>
      </c>
      <c r="C282" s="12" t="s">
        <v>64</v>
      </c>
      <c r="D282" s="12" t="s">
        <v>91</v>
      </c>
      <c r="E282" s="12">
        <v>32754506</v>
      </c>
    </row>
    <row r="283" spans="1:5">
      <c r="A283" s="12" t="s">
        <v>375</v>
      </c>
      <c r="B283" s="12">
        <v>2011</v>
      </c>
      <c r="C283" s="12" t="s">
        <v>64</v>
      </c>
      <c r="D283" s="12" t="s">
        <v>124</v>
      </c>
      <c r="E283" s="12">
        <v>34975172</v>
      </c>
    </row>
    <row r="284" spans="1:5">
      <c r="A284" s="12" t="s">
        <v>376</v>
      </c>
      <c r="B284" s="12">
        <v>2011</v>
      </c>
      <c r="C284" s="12" t="s">
        <v>64</v>
      </c>
      <c r="D284" s="12" t="s">
        <v>100</v>
      </c>
      <c r="E284" s="12">
        <v>36865661</v>
      </c>
    </row>
    <row r="285" spans="1:5">
      <c r="A285" s="12" t="s">
        <v>377</v>
      </c>
      <c r="B285" s="12">
        <v>2011</v>
      </c>
      <c r="C285" s="12" t="s">
        <v>64</v>
      </c>
      <c r="D285" s="12" t="s">
        <v>102</v>
      </c>
      <c r="E285" s="12">
        <v>39274019</v>
      </c>
    </row>
    <row r="286" spans="1:5">
      <c r="A286" s="12" t="s">
        <v>378</v>
      </c>
      <c r="B286" s="12">
        <v>2011</v>
      </c>
      <c r="C286" s="12" t="s">
        <v>64</v>
      </c>
      <c r="D286" s="12" t="s">
        <v>107</v>
      </c>
      <c r="E286" s="12">
        <v>76139680</v>
      </c>
    </row>
    <row r="287" spans="1:5">
      <c r="A287" s="12" t="s">
        <v>379</v>
      </c>
      <c r="B287" s="12">
        <v>2011</v>
      </c>
      <c r="C287" s="12" t="s">
        <v>64</v>
      </c>
      <c r="D287" s="12" t="s">
        <v>41</v>
      </c>
    </row>
    <row r="288" spans="1:5">
      <c r="A288" s="12" t="s">
        <v>380</v>
      </c>
      <c r="B288" s="12">
        <v>2011</v>
      </c>
      <c r="C288" s="12" t="s">
        <v>69</v>
      </c>
      <c r="D288" s="12" t="s">
        <v>41</v>
      </c>
    </row>
    <row r="289" spans="1:5">
      <c r="A289" s="12" t="s">
        <v>381</v>
      </c>
      <c r="B289" s="12">
        <v>2011</v>
      </c>
      <c r="C289" s="12" t="s">
        <v>74</v>
      </c>
      <c r="D289" s="12" t="s">
        <v>41</v>
      </c>
    </row>
    <row r="290" spans="1:5">
      <c r="A290" s="12" t="s">
        <v>382</v>
      </c>
      <c r="B290" s="12">
        <v>2011</v>
      </c>
      <c r="C290" s="12" t="s">
        <v>78</v>
      </c>
      <c r="D290" s="12" t="s">
        <v>41</v>
      </c>
    </row>
    <row r="291" spans="1:5">
      <c r="A291" s="12" t="s">
        <v>383</v>
      </c>
      <c r="B291" s="12">
        <v>2011</v>
      </c>
      <c r="C291" s="12" t="s">
        <v>66</v>
      </c>
      <c r="D291" s="12" t="s">
        <v>41</v>
      </c>
    </row>
    <row r="292" spans="1:5">
      <c r="A292" s="12" t="s">
        <v>384</v>
      </c>
      <c r="B292" s="12">
        <v>2012</v>
      </c>
      <c r="C292" s="12" t="s">
        <v>74</v>
      </c>
      <c r="D292" s="12" t="s">
        <v>87</v>
      </c>
      <c r="E292" s="12">
        <v>11308</v>
      </c>
    </row>
    <row r="293" spans="1:5">
      <c r="A293" s="12" t="s">
        <v>385</v>
      </c>
      <c r="B293" s="12">
        <v>2012</v>
      </c>
      <c r="C293" s="12" t="s">
        <v>66</v>
      </c>
      <c r="D293" s="12" t="s">
        <v>37</v>
      </c>
      <c r="E293" s="12">
        <v>20792</v>
      </c>
    </row>
    <row r="294" spans="1:5">
      <c r="A294" s="12" t="s">
        <v>386</v>
      </c>
      <c r="B294" s="12">
        <v>2012</v>
      </c>
      <c r="C294" s="12" t="s">
        <v>74</v>
      </c>
      <c r="D294" s="12" t="s">
        <v>104</v>
      </c>
      <c r="E294" s="12">
        <v>21275</v>
      </c>
    </row>
    <row r="295" spans="1:5">
      <c r="A295" s="12" t="s">
        <v>387</v>
      </c>
      <c r="B295" s="12">
        <v>2012</v>
      </c>
      <c r="C295" s="12" t="s">
        <v>69</v>
      </c>
      <c r="D295" s="12" t="s">
        <v>48</v>
      </c>
      <c r="E295" s="12">
        <v>23142</v>
      </c>
    </row>
    <row r="296" spans="1:5">
      <c r="A296" s="12" t="s">
        <v>388</v>
      </c>
      <c r="B296" s="12">
        <v>2012</v>
      </c>
      <c r="C296" s="12" t="s">
        <v>69</v>
      </c>
      <c r="D296" s="12" t="s">
        <v>87</v>
      </c>
      <c r="E296" s="12">
        <v>24717</v>
      </c>
    </row>
    <row r="297" spans="1:5">
      <c r="A297" s="12" t="s">
        <v>389</v>
      </c>
      <c r="B297" s="12">
        <v>2012</v>
      </c>
      <c r="C297" s="12" t="s">
        <v>66</v>
      </c>
      <c r="D297" s="12" t="s">
        <v>87</v>
      </c>
      <c r="E297" s="12">
        <v>27070</v>
      </c>
    </row>
    <row r="298" spans="1:5">
      <c r="A298" s="12" t="s">
        <v>390</v>
      </c>
      <c r="B298" s="12">
        <v>2012</v>
      </c>
      <c r="C298" s="12" t="s">
        <v>69</v>
      </c>
      <c r="D298" s="12" t="s">
        <v>54</v>
      </c>
      <c r="E298" s="12">
        <v>28518</v>
      </c>
    </row>
    <row r="299" spans="1:5">
      <c r="A299" s="12" t="s">
        <v>391</v>
      </c>
      <c r="B299" s="12">
        <v>2012</v>
      </c>
      <c r="C299" s="12" t="s">
        <v>78</v>
      </c>
      <c r="D299" s="12" t="s">
        <v>87</v>
      </c>
      <c r="E299" s="12">
        <v>30709</v>
      </c>
    </row>
    <row r="300" spans="1:5">
      <c r="A300" s="12" t="s">
        <v>392</v>
      </c>
      <c r="B300" s="12">
        <v>2012</v>
      </c>
      <c r="C300" s="12" t="s">
        <v>69</v>
      </c>
      <c r="D300" s="12" t="s">
        <v>37</v>
      </c>
      <c r="E300" s="12">
        <v>38583</v>
      </c>
    </row>
    <row r="301" spans="1:5">
      <c r="A301" s="12" t="s">
        <v>393</v>
      </c>
      <c r="B301" s="12">
        <v>2012</v>
      </c>
      <c r="C301" s="12" t="s">
        <v>66</v>
      </c>
      <c r="D301" s="12" t="s">
        <v>48</v>
      </c>
      <c r="E301" s="12">
        <v>50688</v>
      </c>
    </row>
    <row r="302" spans="1:5">
      <c r="A302" s="12" t="s">
        <v>394</v>
      </c>
      <c r="B302" s="12">
        <v>2012</v>
      </c>
      <c r="C302" s="12" t="s">
        <v>66</v>
      </c>
      <c r="D302" s="12" t="s">
        <v>96</v>
      </c>
      <c r="E302" s="12">
        <v>56708</v>
      </c>
    </row>
    <row r="303" spans="1:5">
      <c r="A303" s="12" t="s">
        <v>395</v>
      </c>
      <c r="B303" s="12">
        <v>2012</v>
      </c>
      <c r="C303" s="12" t="s">
        <v>74</v>
      </c>
      <c r="D303" s="12" t="s">
        <v>96</v>
      </c>
      <c r="E303" s="12">
        <v>61192</v>
      </c>
    </row>
    <row r="304" spans="1:5">
      <c r="A304" s="12" t="s">
        <v>396</v>
      </c>
      <c r="B304" s="12">
        <v>2012</v>
      </c>
      <c r="C304" s="12" t="s">
        <v>66</v>
      </c>
      <c r="D304" s="12" t="s">
        <v>98</v>
      </c>
      <c r="E304" s="12">
        <v>61331</v>
      </c>
    </row>
    <row r="305" spans="1:5">
      <c r="A305" s="12" t="s">
        <v>397</v>
      </c>
      <c r="B305" s="12">
        <v>2012</v>
      </c>
      <c r="C305" s="12" t="s">
        <v>78</v>
      </c>
      <c r="D305" s="12" t="s">
        <v>98</v>
      </c>
      <c r="E305" s="12">
        <v>70629</v>
      </c>
    </row>
    <row r="306" spans="1:5">
      <c r="A306" s="12" t="s">
        <v>398</v>
      </c>
      <c r="B306" s="12">
        <v>2012</v>
      </c>
      <c r="C306" s="12" t="s">
        <v>69</v>
      </c>
      <c r="D306" s="12" t="s">
        <v>98</v>
      </c>
      <c r="E306" s="12">
        <v>74434</v>
      </c>
    </row>
    <row r="307" spans="1:5">
      <c r="A307" s="12" t="s">
        <v>399</v>
      </c>
      <c r="B307" s="12">
        <v>2012</v>
      </c>
      <c r="C307" s="12" t="s">
        <v>64</v>
      </c>
      <c r="D307" s="12" t="s">
        <v>87</v>
      </c>
      <c r="E307" s="12">
        <v>93803</v>
      </c>
    </row>
    <row r="308" spans="1:5">
      <c r="A308" s="12" t="s">
        <v>400</v>
      </c>
      <c r="B308" s="12">
        <v>2012</v>
      </c>
      <c r="C308" s="12" t="s">
        <v>78</v>
      </c>
      <c r="D308" s="12" t="s">
        <v>48</v>
      </c>
      <c r="E308" s="12">
        <v>96705</v>
      </c>
    </row>
    <row r="309" spans="1:5">
      <c r="A309" s="12" t="s">
        <v>401</v>
      </c>
      <c r="B309" s="12">
        <v>2012</v>
      </c>
      <c r="C309" s="12" t="s">
        <v>74</v>
      </c>
      <c r="D309" s="12" t="s">
        <v>93</v>
      </c>
      <c r="E309" s="12">
        <v>107019</v>
      </c>
    </row>
    <row r="310" spans="1:5">
      <c r="A310" s="12" t="s">
        <v>402</v>
      </c>
      <c r="B310" s="12">
        <v>2012</v>
      </c>
      <c r="C310" s="12" t="s">
        <v>78</v>
      </c>
      <c r="D310" s="12" t="s">
        <v>54</v>
      </c>
      <c r="E310" s="12">
        <v>113275</v>
      </c>
    </row>
    <row r="311" spans="1:5">
      <c r="A311" s="12" t="s">
        <v>403</v>
      </c>
      <c r="B311" s="12">
        <v>2012</v>
      </c>
      <c r="C311" s="12" t="s">
        <v>69</v>
      </c>
      <c r="D311" s="12" t="s">
        <v>96</v>
      </c>
      <c r="E311" s="12">
        <v>114782</v>
      </c>
    </row>
    <row r="312" spans="1:5">
      <c r="A312" s="12" t="s">
        <v>404</v>
      </c>
      <c r="B312" s="12">
        <v>2012</v>
      </c>
      <c r="C312" s="12" t="s">
        <v>74</v>
      </c>
      <c r="D312" s="12" t="s">
        <v>48</v>
      </c>
      <c r="E312" s="12">
        <v>117586</v>
      </c>
    </row>
    <row r="313" spans="1:5">
      <c r="A313" s="12" t="s">
        <v>405</v>
      </c>
      <c r="B313" s="12">
        <v>2012</v>
      </c>
      <c r="C313" s="12" t="s">
        <v>74</v>
      </c>
      <c r="D313" s="12" t="s">
        <v>37</v>
      </c>
      <c r="E313" s="12">
        <v>143734</v>
      </c>
    </row>
    <row r="314" spans="1:5">
      <c r="A314" s="12" t="s">
        <v>406</v>
      </c>
      <c r="B314" s="12">
        <v>2012</v>
      </c>
      <c r="C314" s="12" t="s">
        <v>78</v>
      </c>
      <c r="D314" s="12" t="s">
        <v>104</v>
      </c>
      <c r="E314" s="12">
        <v>154776</v>
      </c>
    </row>
    <row r="315" spans="1:5">
      <c r="A315" s="12" t="s">
        <v>407</v>
      </c>
      <c r="B315" s="12">
        <v>2012</v>
      </c>
      <c r="C315" s="12" t="s">
        <v>66</v>
      </c>
      <c r="D315" s="12" t="s">
        <v>54</v>
      </c>
      <c r="E315" s="12">
        <v>168918</v>
      </c>
    </row>
    <row r="316" spans="1:5">
      <c r="A316" s="12" t="s">
        <v>408</v>
      </c>
      <c r="B316" s="12">
        <v>2012</v>
      </c>
      <c r="C316" s="12" t="s">
        <v>74</v>
      </c>
      <c r="D316" s="12" t="s">
        <v>122</v>
      </c>
      <c r="E316" s="12">
        <v>171802</v>
      </c>
    </row>
    <row r="317" spans="1:5">
      <c r="A317" s="12" t="s">
        <v>409</v>
      </c>
      <c r="B317" s="12">
        <v>2012</v>
      </c>
      <c r="C317" s="12" t="s">
        <v>69</v>
      </c>
      <c r="D317" s="12" t="s">
        <v>93</v>
      </c>
      <c r="E317" s="12">
        <v>201989</v>
      </c>
    </row>
    <row r="318" spans="1:5">
      <c r="A318" s="12" t="s">
        <v>410</v>
      </c>
      <c r="B318" s="12">
        <v>2012</v>
      </c>
      <c r="C318" s="12" t="s">
        <v>66</v>
      </c>
      <c r="D318" s="12" t="s">
        <v>104</v>
      </c>
      <c r="E318" s="12">
        <v>213126</v>
      </c>
    </row>
    <row r="319" spans="1:5">
      <c r="A319" s="12" t="s">
        <v>411</v>
      </c>
      <c r="B319" s="12">
        <v>2012</v>
      </c>
      <c r="C319" s="12" t="s">
        <v>66</v>
      </c>
      <c r="D319" s="12" t="s">
        <v>93</v>
      </c>
      <c r="E319" s="12">
        <v>245514</v>
      </c>
    </row>
    <row r="320" spans="1:5">
      <c r="A320" s="12" t="s">
        <v>412</v>
      </c>
      <c r="B320" s="12">
        <v>2012</v>
      </c>
      <c r="C320" s="12" t="s">
        <v>69</v>
      </c>
      <c r="D320" s="12" t="s">
        <v>104</v>
      </c>
      <c r="E320" s="12">
        <v>286047</v>
      </c>
    </row>
    <row r="321" spans="1:5">
      <c r="A321" s="12" t="s">
        <v>413</v>
      </c>
      <c r="B321" s="12">
        <v>2012</v>
      </c>
      <c r="C321" s="12" t="s">
        <v>64</v>
      </c>
      <c r="D321" s="12" t="s">
        <v>48</v>
      </c>
      <c r="E321" s="12">
        <v>288121</v>
      </c>
    </row>
    <row r="322" spans="1:5">
      <c r="A322" s="12" t="s">
        <v>414</v>
      </c>
      <c r="B322" s="12">
        <v>2012</v>
      </c>
      <c r="C322" s="12" t="s">
        <v>74</v>
      </c>
      <c r="D322" s="12" t="s">
        <v>54</v>
      </c>
      <c r="E322" s="12">
        <v>289526</v>
      </c>
    </row>
    <row r="323" spans="1:5">
      <c r="A323" s="12" t="s">
        <v>415</v>
      </c>
      <c r="B323" s="12">
        <v>2012</v>
      </c>
      <c r="C323" s="12" t="s">
        <v>78</v>
      </c>
      <c r="D323" s="12" t="s">
        <v>37</v>
      </c>
      <c r="E323" s="12">
        <v>305399</v>
      </c>
    </row>
    <row r="324" spans="1:5">
      <c r="A324" s="12" t="s">
        <v>416</v>
      </c>
      <c r="B324" s="12">
        <v>2012</v>
      </c>
      <c r="C324" s="12" t="s">
        <v>74</v>
      </c>
      <c r="D324" s="12" t="s">
        <v>113</v>
      </c>
      <c r="E324" s="12">
        <v>309898</v>
      </c>
    </row>
    <row r="325" spans="1:5">
      <c r="A325" s="12" t="s">
        <v>417</v>
      </c>
      <c r="B325" s="12">
        <v>2012</v>
      </c>
      <c r="C325" s="12" t="s">
        <v>69</v>
      </c>
      <c r="D325" s="12" t="s">
        <v>39</v>
      </c>
      <c r="E325" s="12">
        <v>354162</v>
      </c>
    </row>
    <row r="326" spans="1:5">
      <c r="A326" s="12" t="s">
        <v>418</v>
      </c>
      <c r="B326" s="12">
        <v>2012</v>
      </c>
      <c r="C326" s="12" t="s">
        <v>69</v>
      </c>
      <c r="D326" s="12" t="s">
        <v>50</v>
      </c>
      <c r="E326" s="12">
        <v>369735</v>
      </c>
    </row>
    <row r="327" spans="1:5">
      <c r="A327" s="12" t="s">
        <v>419</v>
      </c>
      <c r="B327" s="12">
        <v>2012</v>
      </c>
      <c r="C327" s="12" t="s">
        <v>66</v>
      </c>
      <c r="D327" s="12" t="s">
        <v>39</v>
      </c>
      <c r="E327" s="12">
        <v>379538</v>
      </c>
    </row>
    <row r="328" spans="1:5">
      <c r="A328" s="12" t="s">
        <v>420</v>
      </c>
      <c r="B328" s="12">
        <v>2012</v>
      </c>
      <c r="C328" s="12" t="s">
        <v>74</v>
      </c>
      <c r="D328" s="12" t="s">
        <v>98</v>
      </c>
      <c r="E328" s="12">
        <v>384576</v>
      </c>
    </row>
    <row r="329" spans="1:5">
      <c r="A329" s="12" t="s">
        <v>421</v>
      </c>
      <c r="B329" s="12">
        <v>2012</v>
      </c>
      <c r="C329" s="12" t="s">
        <v>69</v>
      </c>
      <c r="D329" s="12" t="s">
        <v>85</v>
      </c>
      <c r="E329" s="12">
        <v>392745</v>
      </c>
    </row>
    <row r="330" spans="1:5">
      <c r="A330" s="12" t="s">
        <v>422</v>
      </c>
      <c r="B330" s="12">
        <v>2012</v>
      </c>
      <c r="C330" s="12" t="s">
        <v>66</v>
      </c>
      <c r="D330" s="12" t="s">
        <v>113</v>
      </c>
      <c r="E330" s="12">
        <v>402739</v>
      </c>
    </row>
    <row r="331" spans="1:5">
      <c r="A331" s="12" t="s">
        <v>423</v>
      </c>
      <c r="B331" s="12">
        <v>2012</v>
      </c>
      <c r="C331" s="12" t="s">
        <v>66</v>
      </c>
      <c r="D331" s="12" t="s">
        <v>85</v>
      </c>
      <c r="E331" s="12">
        <v>405330</v>
      </c>
    </row>
    <row r="332" spans="1:5">
      <c r="A332" s="12" t="s">
        <v>424</v>
      </c>
      <c r="B332" s="12">
        <v>2012</v>
      </c>
      <c r="C332" s="12" t="s">
        <v>74</v>
      </c>
      <c r="D332" s="12" t="s">
        <v>105</v>
      </c>
      <c r="E332" s="12">
        <v>433964</v>
      </c>
    </row>
    <row r="333" spans="1:5">
      <c r="A333" s="12" t="s">
        <v>425</v>
      </c>
      <c r="B333" s="12">
        <v>2012</v>
      </c>
      <c r="C333" s="12" t="s">
        <v>74</v>
      </c>
      <c r="D333" s="12" t="s">
        <v>39</v>
      </c>
      <c r="E333" s="12">
        <v>479593</v>
      </c>
    </row>
    <row r="334" spans="1:5">
      <c r="A334" s="12" t="s">
        <v>426</v>
      </c>
      <c r="B334" s="12">
        <v>2012</v>
      </c>
      <c r="C334" s="12" t="s">
        <v>64</v>
      </c>
      <c r="D334" s="12" t="s">
        <v>37</v>
      </c>
      <c r="E334" s="12">
        <v>508508</v>
      </c>
    </row>
    <row r="335" spans="1:5">
      <c r="A335" s="12" t="s">
        <v>427</v>
      </c>
      <c r="B335" s="12">
        <v>2012</v>
      </c>
      <c r="C335" s="12" t="s">
        <v>78</v>
      </c>
      <c r="D335" s="12" t="s">
        <v>113</v>
      </c>
      <c r="E335" s="12">
        <v>517937</v>
      </c>
    </row>
    <row r="336" spans="1:5">
      <c r="A336" s="12" t="s">
        <v>428</v>
      </c>
      <c r="B336" s="12">
        <v>2012</v>
      </c>
      <c r="C336" s="12" t="s">
        <v>74</v>
      </c>
      <c r="D336" s="12" t="s">
        <v>109</v>
      </c>
      <c r="E336" s="12">
        <v>535970</v>
      </c>
    </row>
    <row r="337" spans="1:5">
      <c r="A337" s="12" t="s">
        <v>429</v>
      </c>
      <c r="B337" s="12">
        <v>2012</v>
      </c>
      <c r="C337" s="12" t="s">
        <v>64</v>
      </c>
      <c r="D337" s="12" t="s">
        <v>98</v>
      </c>
      <c r="E337" s="12">
        <v>590970</v>
      </c>
    </row>
    <row r="338" spans="1:5">
      <c r="A338" s="12" t="s">
        <v>430</v>
      </c>
      <c r="B338" s="12">
        <v>2012</v>
      </c>
      <c r="C338" s="12" t="s">
        <v>64</v>
      </c>
      <c r="D338" s="12" t="s">
        <v>54</v>
      </c>
      <c r="E338" s="12">
        <v>600237</v>
      </c>
    </row>
    <row r="339" spans="1:5">
      <c r="A339" s="12" t="s">
        <v>431</v>
      </c>
      <c r="B339" s="12">
        <v>2012</v>
      </c>
      <c r="C339" s="12" t="s">
        <v>74</v>
      </c>
      <c r="D339" s="12" t="s">
        <v>85</v>
      </c>
      <c r="E339" s="12">
        <v>623327</v>
      </c>
    </row>
    <row r="340" spans="1:5">
      <c r="A340" s="12" t="s">
        <v>432</v>
      </c>
      <c r="B340" s="12">
        <v>2012</v>
      </c>
      <c r="C340" s="12" t="s">
        <v>66</v>
      </c>
      <c r="D340" s="12" t="s">
        <v>50</v>
      </c>
      <c r="E340" s="12">
        <v>657332</v>
      </c>
    </row>
    <row r="341" spans="1:5">
      <c r="A341" s="12" t="s">
        <v>433</v>
      </c>
      <c r="B341" s="12">
        <v>2012</v>
      </c>
      <c r="C341" s="12" t="s">
        <v>64</v>
      </c>
      <c r="D341" s="12" t="s">
        <v>104</v>
      </c>
      <c r="E341" s="12">
        <v>675223</v>
      </c>
    </row>
    <row r="342" spans="1:5">
      <c r="A342" s="12" t="s">
        <v>434</v>
      </c>
      <c r="B342" s="12">
        <v>2012</v>
      </c>
      <c r="C342" s="12" t="s">
        <v>78</v>
      </c>
      <c r="D342" s="12" t="s">
        <v>50</v>
      </c>
      <c r="E342" s="12">
        <v>683246</v>
      </c>
    </row>
    <row r="343" spans="1:5">
      <c r="A343" s="12" t="s">
        <v>435</v>
      </c>
      <c r="B343" s="12">
        <v>2012</v>
      </c>
      <c r="C343" s="12" t="s">
        <v>78</v>
      </c>
      <c r="D343" s="12" t="s">
        <v>96</v>
      </c>
      <c r="E343" s="12">
        <v>754355</v>
      </c>
    </row>
    <row r="344" spans="1:5">
      <c r="A344" s="12" t="s">
        <v>436</v>
      </c>
      <c r="B344" s="12">
        <v>2012</v>
      </c>
      <c r="C344" s="12" t="s">
        <v>66</v>
      </c>
      <c r="D344" s="12" t="s">
        <v>105</v>
      </c>
      <c r="E344" s="12">
        <v>788627</v>
      </c>
    </row>
    <row r="345" spans="1:5">
      <c r="A345" s="12" t="s">
        <v>437</v>
      </c>
      <c r="B345" s="12">
        <v>2012</v>
      </c>
      <c r="C345" s="12" t="s">
        <v>69</v>
      </c>
      <c r="D345" s="12" t="s">
        <v>113</v>
      </c>
      <c r="E345" s="12">
        <v>801092</v>
      </c>
    </row>
    <row r="346" spans="1:5">
      <c r="A346" s="12" t="s">
        <v>438</v>
      </c>
      <c r="B346" s="12">
        <v>2012</v>
      </c>
      <c r="C346" s="12" t="s">
        <v>69</v>
      </c>
      <c r="D346" s="12" t="s">
        <v>105</v>
      </c>
      <c r="E346" s="12">
        <v>854165</v>
      </c>
    </row>
    <row r="347" spans="1:5">
      <c r="A347" s="12" t="s">
        <v>439</v>
      </c>
      <c r="B347" s="12">
        <v>2012</v>
      </c>
      <c r="C347" s="12" t="s">
        <v>74</v>
      </c>
      <c r="D347" s="12" t="s">
        <v>50</v>
      </c>
      <c r="E347" s="12">
        <v>922162</v>
      </c>
    </row>
    <row r="348" spans="1:5">
      <c r="A348" s="12" t="s">
        <v>440</v>
      </c>
      <c r="B348" s="12">
        <v>2012</v>
      </c>
      <c r="C348" s="12" t="s">
        <v>64</v>
      </c>
      <c r="D348" s="12" t="s">
        <v>96</v>
      </c>
      <c r="E348" s="12">
        <v>987037</v>
      </c>
    </row>
    <row r="349" spans="1:5">
      <c r="A349" s="12" t="s">
        <v>441</v>
      </c>
      <c r="B349" s="12">
        <v>2012</v>
      </c>
      <c r="C349" s="12" t="s">
        <v>78</v>
      </c>
      <c r="D349" s="12" t="s">
        <v>39</v>
      </c>
      <c r="E349" s="12">
        <v>1049723</v>
      </c>
    </row>
    <row r="350" spans="1:5">
      <c r="A350" s="12" t="s">
        <v>442</v>
      </c>
      <c r="B350" s="12">
        <v>2012</v>
      </c>
      <c r="C350" s="12" t="s">
        <v>78</v>
      </c>
      <c r="D350" s="12" t="s">
        <v>93</v>
      </c>
      <c r="E350" s="12">
        <v>1084727</v>
      </c>
    </row>
    <row r="351" spans="1:5">
      <c r="A351" s="12" t="s">
        <v>443</v>
      </c>
      <c r="B351" s="12">
        <v>2012</v>
      </c>
      <c r="C351" s="12" t="s">
        <v>74</v>
      </c>
      <c r="D351" s="12" t="s">
        <v>118</v>
      </c>
      <c r="E351" s="12">
        <v>1115686</v>
      </c>
    </row>
    <row r="352" spans="1:5">
      <c r="A352" s="12" t="s">
        <v>444</v>
      </c>
      <c r="B352" s="12">
        <v>2012</v>
      </c>
      <c r="C352" s="12" t="s">
        <v>69</v>
      </c>
      <c r="D352" s="12" t="s">
        <v>109</v>
      </c>
      <c r="E352" s="12">
        <v>1227323</v>
      </c>
    </row>
    <row r="353" spans="1:5">
      <c r="A353" s="12" t="s">
        <v>445</v>
      </c>
      <c r="B353" s="12">
        <v>2012</v>
      </c>
      <c r="C353" s="12" t="s">
        <v>66</v>
      </c>
      <c r="D353" s="12" t="s">
        <v>89</v>
      </c>
      <c r="E353" s="12">
        <v>1229478</v>
      </c>
    </row>
    <row r="354" spans="1:5">
      <c r="A354" s="12" t="s">
        <v>446</v>
      </c>
      <c r="B354" s="12">
        <v>2012</v>
      </c>
      <c r="C354" s="12" t="s">
        <v>74</v>
      </c>
      <c r="D354" s="12" t="s">
        <v>111</v>
      </c>
      <c r="E354" s="12">
        <v>1234013</v>
      </c>
    </row>
    <row r="355" spans="1:5">
      <c r="A355" s="12" t="s">
        <v>447</v>
      </c>
      <c r="B355" s="12">
        <v>2012</v>
      </c>
      <c r="C355" s="12" t="s">
        <v>78</v>
      </c>
      <c r="D355" s="12" t="s">
        <v>85</v>
      </c>
      <c r="E355" s="12">
        <v>1355122</v>
      </c>
    </row>
    <row r="356" spans="1:5">
      <c r="A356" s="12" t="s">
        <v>448</v>
      </c>
      <c r="B356" s="12">
        <v>2012</v>
      </c>
      <c r="C356" s="12" t="s">
        <v>78</v>
      </c>
      <c r="D356" s="12" t="s">
        <v>122</v>
      </c>
      <c r="E356" s="12">
        <v>1388366</v>
      </c>
    </row>
    <row r="357" spans="1:5">
      <c r="A357" s="12" t="s">
        <v>449</v>
      </c>
      <c r="B357" s="12">
        <v>2012</v>
      </c>
      <c r="C357" s="12" t="s">
        <v>69</v>
      </c>
      <c r="D357" s="12" t="s">
        <v>89</v>
      </c>
      <c r="E357" s="12">
        <v>1442583</v>
      </c>
    </row>
    <row r="358" spans="1:5">
      <c r="A358" s="12" t="s">
        <v>450</v>
      </c>
      <c r="B358" s="12">
        <v>2012</v>
      </c>
      <c r="C358" s="12" t="s">
        <v>69</v>
      </c>
      <c r="D358" s="12" t="s">
        <v>118</v>
      </c>
      <c r="E358" s="12">
        <v>1630853</v>
      </c>
    </row>
    <row r="359" spans="1:5">
      <c r="A359" s="12" t="s">
        <v>451</v>
      </c>
      <c r="B359" s="12">
        <v>2012</v>
      </c>
      <c r="C359" s="12" t="s">
        <v>66</v>
      </c>
      <c r="D359" s="12" t="s">
        <v>46</v>
      </c>
      <c r="E359" s="12">
        <v>1634398</v>
      </c>
    </row>
    <row r="360" spans="1:5">
      <c r="A360" s="12" t="s">
        <v>452</v>
      </c>
      <c r="B360" s="12">
        <v>2012</v>
      </c>
      <c r="C360" s="12" t="s">
        <v>64</v>
      </c>
      <c r="D360" s="12" t="s">
        <v>93</v>
      </c>
      <c r="E360" s="12">
        <v>1639250</v>
      </c>
    </row>
    <row r="361" spans="1:5">
      <c r="A361" s="12" t="s">
        <v>453</v>
      </c>
      <c r="B361" s="12">
        <v>2012</v>
      </c>
      <c r="C361" s="12" t="s">
        <v>69</v>
      </c>
      <c r="D361" s="12" t="s">
        <v>46</v>
      </c>
      <c r="E361" s="12">
        <v>1743336</v>
      </c>
    </row>
    <row r="362" spans="1:5">
      <c r="A362" s="12" t="s">
        <v>454</v>
      </c>
      <c r="B362" s="12">
        <v>2012</v>
      </c>
      <c r="C362" s="12" t="s">
        <v>66</v>
      </c>
      <c r="D362" s="12" t="s">
        <v>118</v>
      </c>
      <c r="E362" s="12">
        <v>1773977</v>
      </c>
    </row>
    <row r="363" spans="1:5">
      <c r="A363" s="12" t="s">
        <v>455</v>
      </c>
      <c r="B363" s="12">
        <v>2012</v>
      </c>
      <c r="C363" s="12" t="s">
        <v>69</v>
      </c>
      <c r="D363" s="12" t="s">
        <v>111</v>
      </c>
      <c r="E363" s="12">
        <v>1857560</v>
      </c>
    </row>
    <row r="364" spans="1:5">
      <c r="A364" s="12" t="s">
        <v>456</v>
      </c>
      <c r="B364" s="12">
        <v>2012</v>
      </c>
      <c r="C364" s="12" t="s">
        <v>64</v>
      </c>
      <c r="D364" s="12" t="s">
        <v>113</v>
      </c>
      <c r="E364" s="12">
        <v>2031666</v>
      </c>
    </row>
    <row r="365" spans="1:5">
      <c r="A365" s="12" t="s">
        <v>457</v>
      </c>
      <c r="B365" s="12">
        <v>2012</v>
      </c>
      <c r="C365" s="12" t="s">
        <v>66</v>
      </c>
      <c r="D365" s="12" t="s">
        <v>111</v>
      </c>
      <c r="E365" s="12">
        <v>2046562</v>
      </c>
    </row>
    <row r="366" spans="1:5">
      <c r="A366" s="12" t="s">
        <v>458</v>
      </c>
      <c r="B366" s="12">
        <v>2012</v>
      </c>
      <c r="C366" s="12" t="s">
        <v>64</v>
      </c>
      <c r="D366" s="12" t="s">
        <v>39</v>
      </c>
      <c r="E366" s="12">
        <v>2263016</v>
      </c>
    </row>
    <row r="367" spans="1:5">
      <c r="A367" s="12" t="s">
        <v>459</v>
      </c>
      <c r="B367" s="12">
        <v>2012</v>
      </c>
      <c r="C367" s="12" t="s">
        <v>74</v>
      </c>
      <c r="D367" s="12" t="s">
        <v>89</v>
      </c>
      <c r="E367" s="12">
        <v>2297690</v>
      </c>
    </row>
    <row r="368" spans="1:5">
      <c r="A368" s="12" t="s">
        <v>460</v>
      </c>
      <c r="B368" s="12">
        <v>2012</v>
      </c>
      <c r="C368" s="12" t="s">
        <v>74</v>
      </c>
      <c r="D368" s="12" t="s">
        <v>102</v>
      </c>
      <c r="E368" s="12">
        <v>2436941</v>
      </c>
    </row>
    <row r="369" spans="1:5">
      <c r="A369" s="12" t="s">
        <v>461</v>
      </c>
      <c r="B369" s="12">
        <v>2012</v>
      </c>
      <c r="C369" s="12" t="s">
        <v>74</v>
      </c>
      <c r="D369" s="12" t="s">
        <v>46</v>
      </c>
      <c r="E369" s="12">
        <v>2456696</v>
      </c>
    </row>
    <row r="370" spans="1:5">
      <c r="A370" s="12" t="s">
        <v>462</v>
      </c>
      <c r="B370" s="12">
        <v>2012</v>
      </c>
      <c r="C370" s="12" t="s">
        <v>66</v>
      </c>
      <c r="D370" s="12" t="s">
        <v>109</v>
      </c>
      <c r="E370" s="12">
        <v>2513909</v>
      </c>
    </row>
    <row r="371" spans="1:5">
      <c r="A371" s="12" t="s">
        <v>463</v>
      </c>
      <c r="B371" s="12">
        <v>2012</v>
      </c>
      <c r="C371" s="12" t="s">
        <v>64</v>
      </c>
      <c r="D371" s="12" t="s">
        <v>50</v>
      </c>
      <c r="E371" s="12">
        <v>2632474</v>
      </c>
    </row>
    <row r="372" spans="1:5">
      <c r="A372" s="12" t="s">
        <v>464</v>
      </c>
      <c r="B372" s="12">
        <v>2012</v>
      </c>
      <c r="C372" s="12" t="s">
        <v>64</v>
      </c>
      <c r="D372" s="12" t="s">
        <v>85</v>
      </c>
      <c r="E372" s="12">
        <v>2776524</v>
      </c>
    </row>
    <row r="373" spans="1:5">
      <c r="A373" s="12" t="s">
        <v>465</v>
      </c>
      <c r="B373" s="12">
        <v>2012</v>
      </c>
      <c r="C373" s="12" t="s">
        <v>78</v>
      </c>
      <c r="D373" s="12" t="s">
        <v>46</v>
      </c>
      <c r="E373" s="12">
        <v>2931793</v>
      </c>
    </row>
    <row r="374" spans="1:5">
      <c r="A374" s="12" t="s">
        <v>466</v>
      </c>
      <c r="B374" s="12">
        <v>2012</v>
      </c>
      <c r="C374" s="12" t="s">
        <v>78</v>
      </c>
      <c r="D374" s="12" t="s">
        <v>89</v>
      </c>
      <c r="E374" s="12">
        <v>3074302</v>
      </c>
    </row>
    <row r="375" spans="1:5">
      <c r="A375" s="12" t="s">
        <v>467</v>
      </c>
      <c r="B375" s="12">
        <v>2012</v>
      </c>
      <c r="C375" s="12" t="s">
        <v>78</v>
      </c>
      <c r="D375" s="12" t="s">
        <v>109</v>
      </c>
      <c r="E375" s="12">
        <v>3567640</v>
      </c>
    </row>
    <row r="376" spans="1:5">
      <c r="A376" s="12" t="s">
        <v>468</v>
      </c>
      <c r="B376" s="12">
        <v>2012</v>
      </c>
      <c r="C376" s="12" t="s">
        <v>78</v>
      </c>
      <c r="D376" s="12" t="s">
        <v>118</v>
      </c>
      <c r="E376" s="12">
        <v>3771183</v>
      </c>
    </row>
    <row r="377" spans="1:5">
      <c r="A377" s="12" t="s">
        <v>469</v>
      </c>
      <c r="B377" s="12">
        <v>2012</v>
      </c>
      <c r="C377" s="12" t="s">
        <v>78</v>
      </c>
      <c r="D377" s="12" t="s">
        <v>105</v>
      </c>
      <c r="E377" s="12">
        <v>3996993</v>
      </c>
    </row>
    <row r="378" spans="1:5">
      <c r="A378" s="12" t="s">
        <v>470</v>
      </c>
      <c r="B378" s="12">
        <v>2012</v>
      </c>
      <c r="C378" s="12" t="s">
        <v>69</v>
      </c>
      <c r="D378" s="12" t="s">
        <v>122</v>
      </c>
      <c r="E378" s="12">
        <v>4229321</v>
      </c>
    </row>
    <row r="379" spans="1:5">
      <c r="A379" s="12" t="s">
        <v>471</v>
      </c>
      <c r="B379" s="12">
        <v>2012</v>
      </c>
      <c r="C379" s="12" t="s">
        <v>69</v>
      </c>
      <c r="D379" s="12" t="s">
        <v>91</v>
      </c>
      <c r="E379" s="12">
        <v>4793470</v>
      </c>
    </row>
    <row r="380" spans="1:5">
      <c r="A380" s="12" t="s">
        <v>472</v>
      </c>
      <c r="B380" s="12">
        <v>2012</v>
      </c>
      <c r="C380" s="12" t="s">
        <v>78</v>
      </c>
      <c r="D380" s="12" t="s">
        <v>111</v>
      </c>
      <c r="E380" s="12">
        <v>4886618</v>
      </c>
    </row>
    <row r="381" spans="1:5">
      <c r="A381" s="12" t="s">
        <v>473</v>
      </c>
      <c r="B381" s="12">
        <v>2012</v>
      </c>
      <c r="C381" s="12" t="s">
        <v>69</v>
      </c>
      <c r="D381" s="12" t="s">
        <v>124</v>
      </c>
      <c r="E381" s="12">
        <v>5186215</v>
      </c>
    </row>
    <row r="382" spans="1:5">
      <c r="A382" s="12" t="s">
        <v>474</v>
      </c>
      <c r="B382" s="12">
        <v>2012</v>
      </c>
      <c r="C382" s="12" t="s">
        <v>66</v>
      </c>
      <c r="D382" s="12" t="s">
        <v>91</v>
      </c>
      <c r="E382" s="12">
        <v>5680118</v>
      </c>
    </row>
    <row r="383" spans="1:5">
      <c r="A383" s="12" t="s">
        <v>475</v>
      </c>
      <c r="B383" s="12">
        <v>2012</v>
      </c>
      <c r="C383" s="12" t="s">
        <v>69</v>
      </c>
      <c r="D383" s="12" t="s">
        <v>100</v>
      </c>
      <c r="E383" s="12">
        <v>5987307</v>
      </c>
    </row>
    <row r="384" spans="1:5">
      <c r="A384" s="12" t="s">
        <v>476</v>
      </c>
      <c r="B384" s="12">
        <v>2012</v>
      </c>
      <c r="C384" s="12" t="s">
        <v>64</v>
      </c>
      <c r="D384" s="12" t="s">
        <v>105</v>
      </c>
      <c r="E384" s="12">
        <v>6073750</v>
      </c>
    </row>
    <row r="385" spans="1:5">
      <c r="A385" s="12" t="s">
        <v>477</v>
      </c>
      <c r="B385" s="12">
        <v>2012</v>
      </c>
      <c r="C385" s="12" t="s">
        <v>66</v>
      </c>
      <c r="D385" s="12" t="s">
        <v>124</v>
      </c>
      <c r="E385" s="12">
        <v>6085447</v>
      </c>
    </row>
    <row r="386" spans="1:5">
      <c r="A386" s="12" t="s">
        <v>478</v>
      </c>
      <c r="B386" s="12">
        <v>2012</v>
      </c>
      <c r="C386" s="12" t="s">
        <v>66</v>
      </c>
      <c r="D386" s="12" t="s">
        <v>100</v>
      </c>
      <c r="E386" s="12">
        <v>6488187</v>
      </c>
    </row>
    <row r="387" spans="1:5">
      <c r="A387" s="12" t="s">
        <v>479</v>
      </c>
      <c r="B387" s="12">
        <v>2012</v>
      </c>
      <c r="C387" s="12" t="s">
        <v>66</v>
      </c>
      <c r="D387" s="12" t="s">
        <v>122</v>
      </c>
      <c r="E387" s="12">
        <v>6598350</v>
      </c>
    </row>
    <row r="388" spans="1:5">
      <c r="A388" s="12" t="s">
        <v>480</v>
      </c>
      <c r="B388" s="12">
        <v>2012</v>
      </c>
      <c r="C388" s="12" t="s">
        <v>64</v>
      </c>
      <c r="D388" s="12" t="s">
        <v>109</v>
      </c>
      <c r="E388" s="12">
        <v>7844842</v>
      </c>
    </row>
    <row r="389" spans="1:5">
      <c r="A389" s="12" t="s">
        <v>481</v>
      </c>
      <c r="B389" s="12">
        <v>2012</v>
      </c>
      <c r="C389" s="12" t="s">
        <v>64</v>
      </c>
      <c r="D389" s="12" t="s">
        <v>89</v>
      </c>
      <c r="E389" s="12">
        <v>8044052</v>
      </c>
    </row>
    <row r="390" spans="1:5">
      <c r="A390" s="12" t="s">
        <v>482</v>
      </c>
      <c r="B390" s="12">
        <v>2012</v>
      </c>
      <c r="C390" s="12" t="s">
        <v>69</v>
      </c>
      <c r="D390" s="12" t="s">
        <v>102</v>
      </c>
      <c r="E390" s="12">
        <v>8283151</v>
      </c>
    </row>
    <row r="391" spans="1:5">
      <c r="A391" s="12" t="s">
        <v>483</v>
      </c>
      <c r="B391" s="12">
        <v>2012</v>
      </c>
      <c r="C391" s="12" t="s">
        <v>64</v>
      </c>
      <c r="D391" s="12" t="s">
        <v>118</v>
      </c>
      <c r="E391" s="12">
        <v>8291699</v>
      </c>
    </row>
    <row r="392" spans="1:5">
      <c r="A392" s="12" t="s">
        <v>484</v>
      </c>
      <c r="B392" s="12">
        <v>2012</v>
      </c>
      <c r="C392" s="12" t="s">
        <v>64</v>
      </c>
      <c r="D392" s="12" t="s">
        <v>46</v>
      </c>
      <c r="E392" s="12">
        <v>8766223</v>
      </c>
    </row>
    <row r="393" spans="1:5">
      <c r="A393" s="12" t="s">
        <v>485</v>
      </c>
      <c r="B393" s="12">
        <v>2012</v>
      </c>
      <c r="C393" s="12" t="s">
        <v>74</v>
      </c>
      <c r="D393" s="12" t="s">
        <v>91</v>
      </c>
      <c r="E393" s="12">
        <v>9994141</v>
      </c>
    </row>
    <row r="394" spans="1:5">
      <c r="A394" s="12" t="s">
        <v>486</v>
      </c>
      <c r="B394" s="12">
        <v>2012</v>
      </c>
      <c r="C394" s="12" t="s">
        <v>64</v>
      </c>
      <c r="D394" s="12" t="s">
        <v>111</v>
      </c>
      <c r="E394" s="12">
        <v>10024752</v>
      </c>
    </row>
    <row r="395" spans="1:5">
      <c r="A395" s="12" t="s">
        <v>487</v>
      </c>
      <c r="B395" s="12">
        <v>2012</v>
      </c>
      <c r="C395" s="12" t="s">
        <v>74</v>
      </c>
      <c r="D395" s="12" t="s">
        <v>124</v>
      </c>
      <c r="E395" s="12">
        <v>10617468</v>
      </c>
    </row>
    <row r="396" spans="1:5">
      <c r="A396" s="12" t="s">
        <v>488</v>
      </c>
      <c r="B396" s="12">
        <v>2012</v>
      </c>
      <c r="C396" s="12" t="s">
        <v>74</v>
      </c>
      <c r="D396" s="12" t="s">
        <v>100</v>
      </c>
      <c r="E396" s="12">
        <v>10927366</v>
      </c>
    </row>
    <row r="397" spans="1:5">
      <c r="A397" s="12" t="s">
        <v>489</v>
      </c>
      <c r="B397" s="12">
        <v>2012</v>
      </c>
      <c r="C397" s="12" t="s">
        <v>78</v>
      </c>
      <c r="D397" s="12" t="s">
        <v>91</v>
      </c>
      <c r="E397" s="12">
        <v>11335406</v>
      </c>
    </row>
    <row r="398" spans="1:5">
      <c r="A398" s="12" t="s">
        <v>490</v>
      </c>
      <c r="B398" s="12">
        <v>2012</v>
      </c>
      <c r="C398" s="12" t="s">
        <v>66</v>
      </c>
      <c r="D398" s="12" t="s">
        <v>102</v>
      </c>
      <c r="E398" s="12">
        <v>12004155</v>
      </c>
    </row>
    <row r="399" spans="1:5">
      <c r="A399" s="12" t="s">
        <v>491</v>
      </c>
      <c r="B399" s="12">
        <v>2012</v>
      </c>
      <c r="C399" s="12" t="s">
        <v>64</v>
      </c>
      <c r="D399" s="12" t="s">
        <v>122</v>
      </c>
      <c r="E399" s="12">
        <v>12387838</v>
      </c>
    </row>
    <row r="400" spans="1:5">
      <c r="A400" s="12" t="s">
        <v>492</v>
      </c>
      <c r="B400" s="12">
        <v>2012</v>
      </c>
      <c r="C400" s="12" t="s">
        <v>78</v>
      </c>
      <c r="D400" s="12" t="s">
        <v>124</v>
      </c>
      <c r="E400" s="12">
        <v>12690528</v>
      </c>
    </row>
    <row r="401" spans="1:5">
      <c r="A401" s="12" t="s">
        <v>493</v>
      </c>
      <c r="B401" s="12">
        <v>2012</v>
      </c>
      <c r="C401" s="12" t="s">
        <v>78</v>
      </c>
      <c r="D401" s="12" t="s">
        <v>100</v>
      </c>
      <c r="E401" s="12">
        <v>13208465</v>
      </c>
    </row>
    <row r="402" spans="1:5">
      <c r="A402" s="12" t="s">
        <v>494</v>
      </c>
      <c r="B402" s="12">
        <v>2012</v>
      </c>
      <c r="C402" s="12" t="s">
        <v>74</v>
      </c>
      <c r="D402" s="12" t="s">
        <v>107</v>
      </c>
      <c r="E402" s="12">
        <v>13364307</v>
      </c>
    </row>
    <row r="403" spans="1:5">
      <c r="A403" s="12" t="s">
        <v>495</v>
      </c>
      <c r="B403" s="12">
        <v>2012</v>
      </c>
      <c r="C403" s="12" t="s">
        <v>69</v>
      </c>
      <c r="D403" s="12" t="s">
        <v>107</v>
      </c>
      <c r="E403" s="12">
        <v>14270457</v>
      </c>
    </row>
    <row r="404" spans="1:5">
      <c r="A404" s="12" t="s">
        <v>496</v>
      </c>
      <c r="B404" s="12">
        <v>2012</v>
      </c>
      <c r="C404" s="12" t="s">
        <v>78</v>
      </c>
      <c r="D404" s="12" t="s">
        <v>102</v>
      </c>
      <c r="E404" s="12">
        <v>14593973</v>
      </c>
    </row>
    <row r="405" spans="1:5">
      <c r="A405" s="12" t="s">
        <v>497</v>
      </c>
      <c r="B405" s="12">
        <v>2012</v>
      </c>
      <c r="C405" s="12" t="s">
        <v>66</v>
      </c>
      <c r="D405" s="12" t="s">
        <v>107</v>
      </c>
      <c r="E405" s="12">
        <v>18492342</v>
      </c>
    </row>
    <row r="406" spans="1:5">
      <c r="A406" s="12" t="s">
        <v>498</v>
      </c>
      <c r="B406" s="12">
        <v>2012</v>
      </c>
      <c r="C406" s="12" t="s">
        <v>78</v>
      </c>
      <c r="D406" s="12" t="s">
        <v>107</v>
      </c>
      <c r="E406" s="12">
        <v>27802438</v>
      </c>
    </row>
    <row r="407" spans="1:5">
      <c r="A407" s="12" t="s">
        <v>499</v>
      </c>
      <c r="B407" s="12">
        <v>2012</v>
      </c>
      <c r="C407" s="12" t="s">
        <v>64</v>
      </c>
      <c r="D407" s="12" t="s">
        <v>91</v>
      </c>
      <c r="E407" s="12">
        <v>31803134</v>
      </c>
    </row>
    <row r="408" spans="1:5">
      <c r="A408" s="12" t="s">
        <v>500</v>
      </c>
      <c r="B408" s="12">
        <v>2012</v>
      </c>
      <c r="C408" s="12" t="s">
        <v>64</v>
      </c>
      <c r="D408" s="12" t="s">
        <v>124</v>
      </c>
      <c r="E408" s="12">
        <v>34579658</v>
      </c>
    </row>
    <row r="409" spans="1:5">
      <c r="A409" s="12" t="s">
        <v>501</v>
      </c>
      <c r="B409" s="12">
        <v>2012</v>
      </c>
      <c r="C409" s="12" t="s">
        <v>64</v>
      </c>
      <c r="D409" s="12" t="s">
        <v>100</v>
      </c>
      <c r="E409" s="12">
        <v>36611324</v>
      </c>
    </row>
    <row r="410" spans="1:5">
      <c r="A410" s="12" t="s">
        <v>502</v>
      </c>
      <c r="B410" s="12">
        <v>2012</v>
      </c>
      <c r="C410" s="12" t="s">
        <v>64</v>
      </c>
      <c r="D410" s="12" t="s">
        <v>102</v>
      </c>
      <c r="E410" s="12">
        <v>37318220</v>
      </c>
    </row>
    <row r="411" spans="1:5">
      <c r="A411" s="12" t="s">
        <v>503</v>
      </c>
      <c r="B411" s="12">
        <v>2012</v>
      </c>
      <c r="C411" s="12" t="s">
        <v>64</v>
      </c>
      <c r="D411" s="12" t="s">
        <v>107</v>
      </c>
      <c r="E411" s="12">
        <v>73929544</v>
      </c>
    </row>
    <row r="412" spans="1:5">
      <c r="A412" s="12" t="s">
        <v>504</v>
      </c>
      <c r="B412" s="12">
        <v>2012</v>
      </c>
      <c r="C412" s="12" t="s">
        <v>64</v>
      </c>
      <c r="D412" s="12" t="s">
        <v>70</v>
      </c>
    </row>
    <row r="413" spans="1:5">
      <c r="A413" s="12" t="s">
        <v>505</v>
      </c>
      <c r="B413" s="12">
        <v>2012</v>
      </c>
      <c r="C413" s="12" t="s">
        <v>69</v>
      </c>
      <c r="D413" s="12" t="s">
        <v>70</v>
      </c>
    </row>
    <row r="414" spans="1:5">
      <c r="A414" s="12" t="s">
        <v>506</v>
      </c>
      <c r="B414" s="12">
        <v>2012</v>
      </c>
      <c r="C414" s="12" t="s">
        <v>74</v>
      </c>
      <c r="D414" s="12" t="s">
        <v>70</v>
      </c>
    </row>
    <row r="415" spans="1:5">
      <c r="A415" s="12" t="s">
        <v>507</v>
      </c>
      <c r="B415" s="12">
        <v>2012</v>
      </c>
      <c r="C415" s="12" t="s">
        <v>78</v>
      </c>
      <c r="D415" s="12" t="s">
        <v>70</v>
      </c>
    </row>
    <row r="416" spans="1:5">
      <c r="A416" s="12" t="s">
        <v>508</v>
      </c>
      <c r="B416" s="12">
        <v>2012</v>
      </c>
      <c r="C416" s="12" t="s">
        <v>66</v>
      </c>
      <c r="D416" s="12" t="s">
        <v>70</v>
      </c>
    </row>
    <row r="417" spans="1:4">
      <c r="A417" s="12" t="s">
        <v>509</v>
      </c>
      <c r="B417" s="12">
        <v>2012</v>
      </c>
      <c r="C417" s="12" t="s">
        <v>64</v>
      </c>
      <c r="D417" s="12" t="s">
        <v>67</v>
      </c>
    </row>
    <row r="418" spans="1:4">
      <c r="A418" s="12" t="s">
        <v>510</v>
      </c>
      <c r="B418" s="12">
        <v>2012</v>
      </c>
      <c r="C418" s="12" t="s">
        <v>69</v>
      </c>
      <c r="D418" s="12" t="s">
        <v>67</v>
      </c>
    </row>
    <row r="419" spans="1:4">
      <c r="A419" s="12" t="s">
        <v>511</v>
      </c>
      <c r="B419" s="12">
        <v>2012</v>
      </c>
      <c r="C419" s="12" t="s">
        <v>74</v>
      </c>
      <c r="D419" s="12" t="s">
        <v>67</v>
      </c>
    </row>
    <row r="420" spans="1:4">
      <c r="A420" s="12" t="s">
        <v>512</v>
      </c>
      <c r="B420" s="12">
        <v>2012</v>
      </c>
      <c r="C420" s="12" t="s">
        <v>78</v>
      </c>
      <c r="D420" s="12" t="s">
        <v>67</v>
      </c>
    </row>
    <row r="421" spans="1:4">
      <c r="A421" s="12" t="s">
        <v>513</v>
      </c>
      <c r="B421" s="12">
        <v>2012</v>
      </c>
      <c r="C421" s="12" t="s">
        <v>66</v>
      </c>
      <c r="D421" s="12" t="s">
        <v>67</v>
      </c>
    </row>
    <row r="422" spans="1:4">
      <c r="A422" s="12" t="s">
        <v>514</v>
      </c>
      <c r="B422" s="12">
        <v>2012</v>
      </c>
      <c r="C422" s="12" t="s">
        <v>64</v>
      </c>
      <c r="D422" s="12" t="s">
        <v>41</v>
      </c>
    </row>
    <row r="423" spans="1:4">
      <c r="A423" s="12" t="s">
        <v>515</v>
      </c>
      <c r="B423" s="12">
        <v>2012</v>
      </c>
      <c r="C423" s="12" t="s">
        <v>69</v>
      </c>
      <c r="D423" s="12" t="s">
        <v>41</v>
      </c>
    </row>
    <row r="424" spans="1:4">
      <c r="A424" s="12" t="s">
        <v>516</v>
      </c>
      <c r="B424" s="12">
        <v>2012</v>
      </c>
      <c r="C424" s="12" t="s">
        <v>74</v>
      </c>
      <c r="D424" s="12" t="s">
        <v>41</v>
      </c>
    </row>
    <row r="425" spans="1:4">
      <c r="A425" s="12" t="s">
        <v>517</v>
      </c>
      <c r="B425" s="12">
        <v>2012</v>
      </c>
      <c r="C425" s="12" t="s">
        <v>78</v>
      </c>
      <c r="D425" s="12" t="s">
        <v>41</v>
      </c>
    </row>
    <row r="426" spans="1:4">
      <c r="A426" s="12" t="s">
        <v>518</v>
      </c>
      <c r="B426" s="12">
        <v>2012</v>
      </c>
      <c r="C426" s="12" t="s">
        <v>66</v>
      </c>
      <c r="D426" s="12" t="s">
        <v>41</v>
      </c>
    </row>
    <row r="427" spans="1:4">
      <c r="A427" s="12" t="s">
        <v>519</v>
      </c>
      <c r="B427" s="12">
        <v>2012</v>
      </c>
      <c r="C427" s="12" t="s">
        <v>64</v>
      </c>
      <c r="D427" s="12" t="s">
        <v>82</v>
      </c>
    </row>
    <row r="428" spans="1:4">
      <c r="A428" s="12" t="s">
        <v>520</v>
      </c>
      <c r="B428" s="12">
        <v>2012</v>
      </c>
      <c r="C428" s="12" t="s">
        <v>69</v>
      </c>
      <c r="D428" s="12" t="s">
        <v>82</v>
      </c>
    </row>
    <row r="429" spans="1:4">
      <c r="A429" s="12" t="s">
        <v>521</v>
      </c>
      <c r="B429" s="12">
        <v>2012</v>
      </c>
      <c r="C429" s="12" t="s">
        <v>74</v>
      </c>
      <c r="D429" s="12" t="s">
        <v>82</v>
      </c>
    </row>
    <row r="430" spans="1:4">
      <c r="A430" s="12" t="s">
        <v>522</v>
      </c>
      <c r="B430" s="12">
        <v>2012</v>
      </c>
      <c r="C430" s="12" t="s">
        <v>78</v>
      </c>
      <c r="D430" s="12" t="s">
        <v>82</v>
      </c>
    </row>
    <row r="431" spans="1:4">
      <c r="A431" s="12" t="s">
        <v>523</v>
      </c>
      <c r="B431" s="12">
        <v>2012</v>
      </c>
      <c r="C431" s="12" t="s">
        <v>66</v>
      </c>
      <c r="D431" s="12" t="s">
        <v>82</v>
      </c>
    </row>
    <row r="432" spans="1:4">
      <c r="A432" s="12" t="s">
        <v>524</v>
      </c>
      <c r="B432" s="12">
        <v>2012</v>
      </c>
      <c r="C432" s="12" t="s">
        <v>64</v>
      </c>
      <c r="D432" s="12" t="s">
        <v>34</v>
      </c>
    </row>
    <row r="433" spans="1:5">
      <c r="A433" s="12" t="s">
        <v>525</v>
      </c>
      <c r="B433" s="12">
        <v>2012</v>
      </c>
      <c r="C433" s="12" t="s">
        <v>69</v>
      </c>
      <c r="D433" s="12" t="s">
        <v>34</v>
      </c>
    </row>
    <row r="434" spans="1:5">
      <c r="A434" s="12" t="s">
        <v>526</v>
      </c>
      <c r="B434" s="12">
        <v>2012</v>
      </c>
      <c r="C434" s="12" t="s">
        <v>74</v>
      </c>
      <c r="D434" s="12" t="s">
        <v>34</v>
      </c>
    </row>
    <row r="435" spans="1:5">
      <c r="A435" s="12" t="s">
        <v>527</v>
      </c>
      <c r="B435" s="12">
        <v>2012</v>
      </c>
      <c r="C435" s="12" t="s">
        <v>78</v>
      </c>
      <c r="D435" s="12" t="s">
        <v>34</v>
      </c>
    </row>
    <row r="436" spans="1:5">
      <c r="A436" s="12" t="s">
        <v>528</v>
      </c>
      <c r="B436" s="12">
        <v>2012</v>
      </c>
      <c r="C436" s="12" t="s">
        <v>66</v>
      </c>
      <c r="D436" s="12" t="s">
        <v>34</v>
      </c>
    </row>
    <row r="437" spans="1:5">
      <c r="A437" s="12" t="s">
        <v>529</v>
      </c>
      <c r="B437" s="12">
        <v>2013</v>
      </c>
      <c r="C437" s="12" t="s">
        <v>74</v>
      </c>
      <c r="D437" s="12" t="s">
        <v>87</v>
      </c>
      <c r="E437" s="12">
        <v>4349</v>
      </c>
    </row>
    <row r="438" spans="1:5">
      <c r="A438" s="12" t="s">
        <v>530</v>
      </c>
      <c r="B438" s="12">
        <v>2013</v>
      </c>
      <c r="C438" s="12" t="s">
        <v>66</v>
      </c>
      <c r="D438" s="12" t="s">
        <v>87</v>
      </c>
      <c r="E438" s="12">
        <v>10787</v>
      </c>
    </row>
    <row r="439" spans="1:5">
      <c r="A439" s="12" t="s">
        <v>531</v>
      </c>
      <c r="B439" s="12">
        <v>2013</v>
      </c>
      <c r="C439" s="12" t="s">
        <v>69</v>
      </c>
      <c r="D439" s="12" t="s">
        <v>87</v>
      </c>
      <c r="E439" s="12">
        <v>13301</v>
      </c>
    </row>
    <row r="440" spans="1:5">
      <c r="A440" s="12" t="s">
        <v>532</v>
      </c>
      <c r="B440" s="12">
        <v>2013</v>
      </c>
      <c r="C440" s="12" t="s">
        <v>78</v>
      </c>
      <c r="D440" s="12" t="s">
        <v>87</v>
      </c>
      <c r="E440" s="12">
        <v>21384</v>
      </c>
    </row>
    <row r="441" spans="1:5">
      <c r="A441" s="12" t="s">
        <v>533</v>
      </c>
      <c r="B441" s="12">
        <v>2013</v>
      </c>
      <c r="C441" s="12" t="s">
        <v>69</v>
      </c>
      <c r="D441" s="12" t="s">
        <v>37</v>
      </c>
      <c r="E441" s="12">
        <v>25000</v>
      </c>
    </row>
    <row r="442" spans="1:5">
      <c r="A442" s="12" t="s">
        <v>534</v>
      </c>
      <c r="B442" s="12">
        <v>2013</v>
      </c>
      <c r="C442" s="12" t="s">
        <v>69</v>
      </c>
      <c r="D442" s="12" t="s">
        <v>54</v>
      </c>
      <c r="E442" s="12">
        <v>28135</v>
      </c>
    </row>
    <row r="443" spans="1:5">
      <c r="A443" s="12" t="s">
        <v>535</v>
      </c>
      <c r="B443" s="12">
        <v>2013</v>
      </c>
      <c r="C443" s="12" t="s">
        <v>69</v>
      </c>
      <c r="D443" s="12" t="s">
        <v>48</v>
      </c>
      <c r="E443" s="12">
        <v>33923</v>
      </c>
    </row>
    <row r="444" spans="1:5">
      <c r="A444" s="12" t="s">
        <v>536</v>
      </c>
      <c r="B444" s="12">
        <v>2013</v>
      </c>
      <c r="C444" s="12" t="s">
        <v>74</v>
      </c>
      <c r="D444" s="12" t="s">
        <v>104</v>
      </c>
      <c r="E444" s="12">
        <v>43691</v>
      </c>
    </row>
    <row r="445" spans="1:5">
      <c r="A445" s="12" t="s">
        <v>537</v>
      </c>
      <c r="B445" s="12">
        <v>2013</v>
      </c>
      <c r="C445" s="12" t="s">
        <v>64</v>
      </c>
      <c r="D445" s="12" t="s">
        <v>87</v>
      </c>
      <c r="E445" s="12">
        <v>49821</v>
      </c>
    </row>
    <row r="446" spans="1:5">
      <c r="A446" s="12" t="s">
        <v>538</v>
      </c>
      <c r="B446" s="12">
        <v>2013</v>
      </c>
      <c r="C446" s="12" t="s">
        <v>66</v>
      </c>
      <c r="D446" s="12" t="s">
        <v>37</v>
      </c>
      <c r="E446" s="12">
        <v>63492</v>
      </c>
    </row>
    <row r="447" spans="1:5">
      <c r="A447" s="12" t="s">
        <v>539</v>
      </c>
      <c r="B447" s="12">
        <v>2013</v>
      </c>
      <c r="C447" s="12" t="s">
        <v>69</v>
      </c>
      <c r="D447" s="12" t="s">
        <v>98</v>
      </c>
      <c r="E447" s="12">
        <v>66287</v>
      </c>
    </row>
    <row r="448" spans="1:5">
      <c r="A448" s="12" t="s">
        <v>540</v>
      </c>
      <c r="B448" s="12">
        <v>2013</v>
      </c>
      <c r="C448" s="12" t="s">
        <v>66</v>
      </c>
      <c r="D448" s="12" t="s">
        <v>48</v>
      </c>
      <c r="E448" s="12">
        <v>81974</v>
      </c>
    </row>
    <row r="449" spans="1:5">
      <c r="A449" s="12" t="s">
        <v>541</v>
      </c>
      <c r="B449" s="12">
        <v>2013</v>
      </c>
      <c r="C449" s="12" t="s">
        <v>74</v>
      </c>
      <c r="D449" s="12" t="s">
        <v>113</v>
      </c>
      <c r="E449" s="12">
        <v>89277</v>
      </c>
    </row>
    <row r="450" spans="1:5">
      <c r="A450" s="12" t="s">
        <v>542</v>
      </c>
      <c r="B450" s="12">
        <v>2013</v>
      </c>
      <c r="C450" s="12" t="s">
        <v>78</v>
      </c>
      <c r="D450" s="12" t="s">
        <v>48</v>
      </c>
      <c r="E450" s="12">
        <v>89587</v>
      </c>
    </row>
    <row r="451" spans="1:5">
      <c r="A451" s="12" t="s">
        <v>543</v>
      </c>
      <c r="B451" s="12">
        <v>2013</v>
      </c>
      <c r="C451" s="12" t="s">
        <v>78</v>
      </c>
      <c r="D451" s="12" t="s">
        <v>113</v>
      </c>
      <c r="E451" s="12">
        <v>89904</v>
      </c>
    </row>
    <row r="452" spans="1:5">
      <c r="A452" s="12" t="s">
        <v>544</v>
      </c>
      <c r="B452" s="12">
        <v>2013</v>
      </c>
      <c r="C452" s="12" t="s">
        <v>74</v>
      </c>
      <c r="D452" s="12" t="s">
        <v>37</v>
      </c>
      <c r="E452" s="12">
        <v>114233</v>
      </c>
    </row>
    <row r="453" spans="1:5">
      <c r="A453" s="12" t="s">
        <v>545</v>
      </c>
      <c r="B453" s="12">
        <v>2013</v>
      </c>
      <c r="C453" s="12" t="s">
        <v>69</v>
      </c>
      <c r="D453" s="12" t="s">
        <v>39</v>
      </c>
      <c r="E453" s="12">
        <v>122064</v>
      </c>
    </row>
    <row r="454" spans="1:5">
      <c r="A454" s="12" t="s">
        <v>546</v>
      </c>
      <c r="B454" s="12">
        <v>2013</v>
      </c>
      <c r="C454" s="12" t="s">
        <v>69</v>
      </c>
      <c r="D454" s="12" t="s">
        <v>85</v>
      </c>
      <c r="E454" s="12">
        <v>147064</v>
      </c>
    </row>
    <row r="455" spans="1:5">
      <c r="A455" s="12" t="s">
        <v>547</v>
      </c>
      <c r="B455" s="12">
        <v>2013</v>
      </c>
      <c r="C455" s="12" t="s">
        <v>78</v>
      </c>
      <c r="D455" s="12" t="s">
        <v>104</v>
      </c>
      <c r="E455" s="12">
        <v>151687</v>
      </c>
    </row>
    <row r="456" spans="1:5">
      <c r="A456" s="12" t="s">
        <v>548</v>
      </c>
      <c r="B456" s="12">
        <v>2013</v>
      </c>
      <c r="C456" s="12" t="s">
        <v>74</v>
      </c>
      <c r="D456" s="12" t="s">
        <v>93</v>
      </c>
      <c r="E456" s="12">
        <v>187320</v>
      </c>
    </row>
    <row r="457" spans="1:5">
      <c r="A457" s="12" t="s">
        <v>549</v>
      </c>
      <c r="B457" s="12">
        <v>2013</v>
      </c>
      <c r="C457" s="12" t="s">
        <v>74</v>
      </c>
      <c r="D457" s="12" t="s">
        <v>122</v>
      </c>
      <c r="E457" s="12">
        <v>192343</v>
      </c>
    </row>
    <row r="458" spans="1:5">
      <c r="A458" s="12" t="s">
        <v>550</v>
      </c>
      <c r="B458" s="12">
        <v>2013</v>
      </c>
      <c r="C458" s="12" t="s">
        <v>66</v>
      </c>
      <c r="D458" s="12" t="s">
        <v>113</v>
      </c>
      <c r="E458" s="12">
        <v>202578</v>
      </c>
    </row>
    <row r="459" spans="1:5">
      <c r="A459" s="12" t="s">
        <v>551</v>
      </c>
      <c r="B459" s="12">
        <v>2013</v>
      </c>
      <c r="C459" s="12" t="s">
        <v>66</v>
      </c>
      <c r="D459" s="12" t="s">
        <v>98</v>
      </c>
      <c r="E459" s="12">
        <v>219877</v>
      </c>
    </row>
    <row r="460" spans="1:5">
      <c r="A460" s="12" t="s">
        <v>552</v>
      </c>
      <c r="B460" s="12">
        <v>2013</v>
      </c>
      <c r="C460" s="12" t="s">
        <v>74</v>
      </c>
      <c r="D460" s="12" t="s">
        <v>48</v>
      </c>
      <c r="E460" s="12">
        <v>222337</v>
      </c>
    </row>
    <row r="461" spans="1:5">
      <c r="A461" s="12" t="s">
        <v>553</v>
      </c>
      <c r="B461" s="12">
        <v>2013</v>
      </c>
      <c r="C461" s="12" t="s">
        <v>66</v>
      </c>
      <c r="D461" s="12" t="s">
        <v>96</v>
      </c>
      <c r="E461" s="12">
        <v>225371</v>
      </c>
    </row>
    <row r="462" spans="1:5">
      <c r="A462" s="12" t="s">
        <v>554</v>
      </c>
      <c r="B462" s="12">
        <v>2013</v>
      </c>
      <c r="C462" s="12" t="s">
        <v>74</v>
      </c>
      <c r="D462" s="12" t="s">
        <v>96</v>
      </c>
      <c r="E462" s="12">
        <v>247326</v>
      </c>
    </row>
    <row r="463" spans="1:5">
      <c r="A463" s="12" t="s">
        <v>555</v>
      </c>
      <c r="B463" s="12">
        <v>2013</v>
      </c>
      <c r="C463" s="12" t="s">
        <v>78</v>
      </c>
      <c r="D463" s="12" t="s">
        <v>37</v>
      </c>
      <c r="E463" s="12">
        <v>247374</v>
      </c>
    </row>
    <row r="464" spans="1:5">
      <c r="A464" s="12" t="s">
        <v>556</v>
      </c>
      <c r="B464" s="12">
        <v>2013</v>
      </c>
      <c r="C464" s="12" t="s">
        <v>78</v>
      </c>
      <c r="D464" s="12" t="s">
        <v>98</v>
      </c>
      <c r="E464" s="12">
        <v>264356</v>
      </c>
    </row>
    <row r="465" spans="1:5">
      <c r="A465" s="12" t="s">
        <v>557</v>
      </c>
      <c r="B465" s="12">
        <v>2013</v>
      </c>
      <c r="C465" s="12" t="s">
        <v>66</v>
      </c>
      <c r="D465" s="12" t="s">
        <v>104</v>
      </c>
      <c r="E465" s="12">
        <v>289446</v>
      </c>
    </row>
    <row r="466" spans="1:5">
      <c r="A466" s="12" t="s">
        <v>558</v>
      </c>
      <c r="B466" s="12">
        <v>2013</v>
      </c>
      <c r="C466" s="12" t="s">
        <v>69</v>
      </c>
      <c r="D466" s="12" t="s">
        <v>104</v>
      </c>
      <c r="E466" s="12">
        <v>344210</v>
      </c>
    </row>
    <row r="467" spans="1:5">
      <c r="A467" s="12" t="s">
        <v>559</v>
      </c>
      <c r="B467" s="12">
        <v>2013</v>
      </c>
      <c r="C467" s="12" t="s">
        <v>66</v>
      </c>
      <c r="D467" s="12" t="s">
        <v>93</v>
      </c>
      <c r="E467" s="12">
        <v>344890</v>
      </c>
    </row>
    <row r="468" spans="1:5">
      <c r="A468" s="12" t="s">
        <v>560</v>
      </c>
      <c r="B468" s="12">
        <v>2013</v>
      </c>
      <c r="C468" s="12" t="s">
        <v>66</v>
      </c>
      <c r="D468" s="12" t="s">
        <v>39</v>
      </c>
      <c r="E468" s="12">
        <v>352674</v>
      </c>
    </row>
    <row r="469" spans="1:5">
      <c r="A469" s="12" t="s">
        <v>561</v>
      </c>
      <c r="B469" s="12">
        <v>2013</v>
      </c>
      <c r="C469" s="12" t="s">
        <v>69</v>
      </c>
      <c r="D469" s="12" t="s">
        <v>93</v>
      </c>
      <c r="E469" s="12">
        <v>365737</v>
      </c>
    </row>
    <row r="470" spans="1:5">
      <c r="A470" s="12" t="s">
        <v>562</v>
      </c>
      <c r="B470" s="12">
        <v>2013</v>
      </c>
      <c r="C470" s="12" t="s">
        <v>66</v>
      </c>
      <c r="D470" s="12" t="s">
        <v>85</v>
      </c>
      <c r="E470" s="12">
        <v>416166</v>
      </c>
    </row>
    <row r="471" spans="1:5">
      <c r="A471" s="12" t="s">
        <v>563</v>
      </c>
      <c r="B471" s="12">
        <v>2013</v>
      </c>
      <c r="C471" s="12" t="s">
        <v>64</v>
      </c>
      <c r="D471" s="12" t="s">
        <v>48</v>
      </c>
      <c r="E471" s="12">
        <v>427820</v>
      </c>
    </row>
    <row r="472" spans="1:5">
      <c r="A472" s="12" t="s">
        <v>564</v>
      </c>
      <c r="B472" s="12">
        <v>2013</v>
      </c>
      <c r="C472" s="12" t="s">
        <v>66</v>
      </c>
      <c r="D472" s="12" t="s">
        <v>54</v>
      </c>
      <c r="E472" s="12">
        <v>439767</v>
      </c>
    </row>
    <row r="473" spans="1:5">
      <c r="A473" s="12" t="s">
        <v>565</v>
      </c>
      <c r="B473" s="12">
        <v>2013</v>
      </c>
      <c r="C473" s="12" t="s">
        <v>64</v>
      </c>
      <c r="D473" s="12" t="s">
        <v>37</v>
      </c>
      <c r="E473" s="12">
        <v>450100</v>
      </c>
    </row>
    <row r="474" spans="1:5">
      <c r="A474" s="12" t="s">
        <v>566</v>
      </c>
      <c r="B474" s="12">
        <v>2013</v>
      </c>
      <c r="C474" s="12" t="s">
        <v>78</v>
      </c>
      <c r="D474" s="12" t="s">
        <v>54</v>
      </c>
      <c r="E474" s="12">
        <v>471035</v>
      </c>
    </row>
    <row r="475" spans="1:5">
      <c r="A475" s="12" t="s">
        <v>567</v>
      </c>
      <c r="B475" s="12">
        <v>2013</v>
      </c>
      <c r="C475" s="12" t="s">
        <v>69</v>
      </c>
      <c r="D475" s="12" t="s">
        <v>96</v>
      </c>
      <c r="E475" s="12">
        <v>476965</v>
      </c>
    </row>
    <row r="476" spans="1:5">
      <c r="A476" s="12" t="s">
        <v>568</v>
      </c>
      <c r="B476" s="12">
        <v>2013</v>
      </c>
      <c r="C476" s="12" t="s">
        <v>74</v>
      </c>
      <c r="D476" s="12" t="s">
        <v>105</v>
      </c>
      <c r="E476" s="12">
        <v>500079</v>
      </c>
    </row>
    <row r="477" spans="1:5">
      <c r="A477" s="12" t="s">
        <v>569</v>
      </c>
      <c r="B477" s="12">
        <v>2013</v>
      </c>
      <c r="C477" s="12" t="s">
        <v>69</v>
      </c>
      <c r="D477" s="12" t="s">
        <v>113</v>
      </c>
      <c r="E477" s="12">
        <v>504819</v>
      </c>
    </row>
    <row r="478" spans="1:5">
      <c r="A478" s="12" t="s">
        <v>570</v>
      </c>
      <c r="B478" s="12">
        <v>2013</v>
      </c>
      <c r="C478" s="12" t="s">
        <v>66</v>
      </c>
      <c r="D478" s="12" t="s">
        <v>105</v>
      </c>
      <c r="E478" s="12">
        <v>600685</v>
      </c>
    </row>
    <row r="479" spans="1:5">
      <c r="A479" s="12" t="s">
        <v>571</v>
      </c>
      <c r="B479" s="12">
        <v>2013</v>
      </c>
      <c r="C479" s="12" t="s">
        <v>74</v>
      </c>
      <c r="D479" s="12" t="s">
        <v>109</v>
      </c>
      <c r="E479" s="12">
        <v>626901</v>
      </c>
    </row>
    <row r="480" spans="1:5">
      <c r="A480" s="12" t="s">
        <v>572</v>
      </c>
      <c r="B480" s="12">
        <v>2013</v>
      </c>
      <c r="C480" s="12" t="s">
        <v>74</v>
      </c>
      <c r="D480" s="12" t="s">
        <v>98</v>
      </c>
      <c r="E480" s="12">
        <v>649879</v>
      </c>
    </row>
    <row r="481" spans="1:5">
      <c r="A481" s="12" t="s">
        <v>573</v>
      </c>
      <c r="B481" s="12">
        <v>2013</v>
      </c>
      <c r="C481" s="12" t="s">
        <v>74</v>
      </c>
      <c r="D481" s="12" t="s">
        <v>54</v>
      </c>
      <c r="E481" s="12">
        <v>659529</v>
      </c>
    </row>
    <row r="482" spans="1:5">
      <c r="A482" s="12" t="s">
        <v>574</v>
      </c>
      <c r="B482" s="12">
        <v>2013</v>
      </c>
      <c r="C482" s="12" t="s">
        <v>78</v>
      </c>
      <c r="D482" s="12" t="s">
        <v>50</v>
      </c>
      <c r="E482" s="12">
        <v>716505</v>
      </c>
    </row>
    <row r="483" spans="1:5">
      <c r="A483" s="12" t="s">
        <v>575</v>
      </c>
      <c r="B483" s="12">
        <v>2013</v>
      </c>
      <c r="C483" s="12" t="s">
        <v>69</v>
      </c>
      <c r="D483" s="12" t="s">
        <v>109</v>
      </c>
      <c r="E483" s="12">
        <v>811509</v>
      </c>
    </row>
    <row r="484" spans="1:5">
      <c r="A484" s="12" t="s">
        <v>576</v>
      </c>
      <c r="B484" s="12">
        <v>2013</v>
      </c>
      <c r="C484" s="12" t="s">
        <v>64</v>
      </c>
      <c r="D484" s="12" t="s">
        <v>104</v>
      </c>
      <c r="E484" s="12">
        <v>829034</v>
      </c>
    </row>
    <row r="485" spans="1:5">
      <c r="A485" s="12" t="s">
        <v>577</v>
      </c>
      <c r="B485" s="12">
        <v>2013</v>
      </c>
      <c r="C485" s="12" t="s">
        <v>69</v>
      </c>
      <c r="D485" s="12" t="s">
        <v>105</v>
      </c>
      <c r="E485" s="12">
        <v>845990</v>
      </c>
    </row>
    <row r="486" spans="1:5">
      <c r="A486" s="12" t="s">
        <v>578</v>
      </c>
      <c r="B486" s="12">
        <v>2013</v>
      </c>
      <c r="C486" s="12" t="s">
        <v>64</v>
      </c>
      <c r="D486" s="12" t="s">
        <v>113</v>
      </c>
      <c r="E486" s="12">
        <v>886578</v>
      </c>
    </row>
    <row r="487" spans="1:5">
      <c r="A487" s="12" t="s">
        <v>579</v>
      </c>
      <c r="B487" s="12">
        <v>2013</v>
      </c>
      <c r="C487" s="12" t="s">
        <v>66</v>
      </c>
      <c r="D487" s="12" t="s">
        <v>50</v>
      </c>
      <c r="E487" s="12">
        <v>1019094</v>
      </c>
    </row>
    <row r="488" spans="1:5">
      <c r="A488" s="12" t="s">
        <v>580</v>
      </c>
      <c r="B488" s="12">
        <v>2013</v>
      </c>
      <c r="C488" s="12" t="s">
        <v>74</v>
      </c>
      <c r="D488" s="12" t="s">
        <v>118</v>
      </c>
      <c r="E488" s="12">
        <v>1113123</v>
      </c>
    </row>
    <row r="489" spans="1:5">
      <c r="A489" s="12" t="s">
        <v>581</v>
      </c>
      <c r="B489" s="12">
        <v>2013</v>
      </c>
      <c r="C489" s="12" t="s">
        <v>74</v>
      </c>
      <c r="D489" s="12" t="s">
        <v>50</v>
      </c>
      <c r="E489" s="12">
        <v>1133494</v>
      </c>
    </row>
    <row r="490" spans="1:5">
      <c r="A490" s="12" t="s">
        <v>582</v>
      </c>
      <c r="B490" s="12">
        <v>2013</v>
      </c>
      <c r="C490" s="12" t="s">
        <v>69</v>
      </c>
      <c r="D490" s="12" t="s">
        <v>50</v>
      </c>
      <c r="E490" s="12">
        <v>1159614</v>
      </c>
    </row>
    <row r="491" spans="1:5">
      <c r="A491" s="12" t="s">
        <v>583</v>
      </c>
      <c r="B491" s="12">
        <v>2013</v>
      </c>
      <c r="C491" s="12" t="s">
        <v>78</v>
      </c>
      <c r="D491" s="12" t="s">
        <v>93</v>
      </c>
      <c r="E491" s="12">
        <v>1164681</v>
      </c>
    </row>
    <row r="492" spans="1:5">
      <c r="A492" s="12" t="s">
        <v>584</v>
      </c>
      <c r="B492" s="12">
        <v>2013</v>
      </c>
      <c r="C492" s="12" t="s">
        <v>66</v>
      </c>
      <c r="D492" s="12" t="s">
        <v>89</v>
      </c>
      <c r="E492" s="12">
        <v>1175678</v>
      </c>
    </row>
    <row r="493" spans="1:5">
      <c r="A493" s="12" t="s">
        <v>585</v>
      </c>
      <c r="B493" s="12">
        <v>2013</v>
      </c>
      <c r="C493" s="12" t="s">
        <v>64</v>
      </c>
      <c r="D493" s="12" t="s">
        <v>98</v>
      </c>
      <c r="E493" s="12">
        <v>1200399</v>
      </c>
    </row>
    <row r="494" spans="1:5">
      <c r="A494" s="12" t="s">
        <v>586</v>
      </c>
      <c r="B494" s="12">
        <v>2013</v>
      </c>
      <c r="C494" s="12" t="s">
        <v>74</v>
      </c>
      <c r="D494" s="12" t="s">
        <v>39</v>
      </c>
      <c r="E494" s="12">
        <v>1226045</v>
      </c>
    </row>
    <row r="495" spans="1:5">
      <c r="A495" s="12" t="s">
        <v>587</v>
      </c>
      <c r="B495" s="12">
        <v>2013</v>
      </c>
      <c r="C495" s="12" t="s">
        <v>74</v>
      </c>
      <c r="D495" s="12" t="s">
        <v>111</v>
      </c>
      <c r="E495" s="12">
        <v>1304792</v>
      </c>
    </row>
    <row r="496" spans="1:5">
      <c r="A496" s="12" t="s">
        <v>588</v>
      </c>
      <c r="B496" s="12">
        <v>2013</v>
      </c>
      <c r="C496" s="12" t="s">
        <v>74</v>
      </c>
      <c r="D496" s="12" t="s">
        <v>85</v>
      </c>
      <c r="E496" s="12">
        <v>1340278</v>
      </c>
    </row>
    <row r="497" spans="1:5">
      <c r="A497" s="12" t="s">
        <v>589</v>
      </c>
      <c r="B497" s="12">
        <v>2013</v>
      </c>
      <c r="C497" s="12" t="s">
        <v>69</v>
      </c>
      <c r="D497" s="12" t="s">
        <v>89</v>
      </c>
      <c r="E497" s="12">
        <v>1342438</v>
      </c>
    </row>
    <row r="498" spans="1:5">
      <c r="A498" s="12" t="s">
        <v>590</v>
      </c>
      <c r="B498" s="12">
        <v>2013</v>
      </c>
      <c r="C498" s="12" t="s">
        <v>78</v>
      </c>
      <c r="D498" s="12" t="s">
        <v>122</v>
      </c>
      <c r="E498" s="12">
        <v>1362428</v>
      </c>
    </row>
    <row r="499" spans="1:5">
      <c r="A499" s="12" t="s">
        <v>591</v>
      </c>
      <c r="B499" s="12">
        <v>2013</v>
      </c>
      <c r="C499" s="12" t="s">
        <v>78</v>
      </c>
      <c r="D499" s="12" t="s">
        <v>39</v>
      </c>
      <c r="E499" s="12">
        <v>1393548</v>
      </c>
    </row>
    <row r="500" spans="1:5">
      <c r="A500" s="12" t="s">
        <v>592</v>
      </c>
      <c r="B500" s="12">
        <v>2013</v>
      </c>
      <c r="C500" s="12" t="s">
        <v>66</v>
      </c>
      <c r="D500" s="12" t="s">
        <v>118</v>
      </c>
      <c r="E500" s="12">
        <v>1429399</v>
      </c>
    </row>
    <row r="501" spans="1:5">
      <c r="A501" s="12" t="s">
        <v>593</v>
      </c>
      <c r="B501" s="12">
        <v>2013</v>
      </c>
      <c r="C501" s="12" t="s">
        <v>64</v>
      </c>
      <c r="D501" s="12" t="s">
        <v>54</v>
      </c>
      <c r="E501" s="12">
        <v>1598466</v>
      </c>
    </row>
    <row r="502" spans="1:5">
      <c r="A502" s="12" t="s">
        <v>594</v>
      </c>
      <c r="B502" s="12">
        <v>2013</v>
      </c>
      <c r="C502" s="12" t="s">
        <v>66</v>
      </c>
      <c r="D502" s="12" t="s">
        <v>46</v>
      </c>
      <c r="E502" s="12">
        <v>1603059</v>
      </c>
    </row>
    <row r="503" spans="1:5">
      <c r="A503" s="12" t="s">
        <v>595</v>
      </c>
      <c r="B503" s="12">
        <v>2013</v>
      </c>
      <c r="C503" s="12" t="s">
        <v>78</v>
      </c>
      <c r="D503" s="12" t="s">
        <v>85</v>
      </c>
      <c r="E503" s="12">
        <v>1640922</v>
      </c>
    </row>
    <row r="504" spans="1:5">
      <c r="A504" s="12" t="s">
        <v>596</v>
      </c>
      <c r="B504" s="12">
        <v>2013</v>
      </c>
      <c r="C504" s="12" t="s">
        <v>69</v>
      </c>
      <c r="D504" s="12" t="s">
        <v>118</v>
      </c>
      <c r="E504" s="12">
        <v>1715002</v>
      </c>
    </row>
    <row r="505" spans="1:5">
      <c r="A505" s="12" t="s">
        <v>597</v>
      </c>
      <c r="B505" s="12">
        <v>2013</v>
      </c>
      <c r="C505" s="12" t="s">
        <v>66</v>
      </c>
      <c r="D505" s="12" t="s">
        <v>111</v>
      </c>
      <c r="E505" s="12">
        <v>1785076</v>
      </c>
    </row>
    <row r="506" spans="1:5">
      <c r="A506" s="12" t="s">
        <v>598</v>
      </c>
      <c r="B506" s="12">
        <v>2013</v>
      </c>
      <c r="C506" s="12" t="s">
        <v>69</v>
      </c>
      <c r="D506" s="12" t="s">
        <v>46</v>
      </c>
      <c r="E506" s="12">
        <v>1844838</v>
      </c>
    </row>
    <row r="507" spans="1:5">
      <c r="A507" s="12" t="s">
        <v>599</v>
      </c>
      <c r="B507" s="12">
        <v>2013</v>
      </c>
      <c r="C507" s="12" t="s">
        <v>64</v>
      </c>
      <c r="D507" s="12" t="s">
        <v>93</v>
      </c>
      <c r="E507" s="12">
        <v>2062628</v>
      </c>
    </row>
    <row r="508" spans="1:5">
      <c r="A508" s="12" t="s">
        <v>600</v>
      </c>
      <c r="B508" s="12">
        <v>2013</v>
      </c>
      <c r="C508" s="12" t="s">
        <v>74</v>
      </c>
      <c r="D508" s="12" t="s">
        <v>46</v>
      </c>
      <c r="E508" s="12">
        <v>2065913</v>
      </c>
    </row>
    <row r="509" spans="1:5">
      <c r="A509" s="12" t="s">
        <v>601</v>
      </c>
      <c r="B509" s="12">
        <v>2013</v>
      </c>
      <c r="C509" s="12" t="s">
        <v>69</v>
      </c>
      <c r="D509" s="12" t="s">
        <v>111</v>
      </c>
      <c r="E509" s="12">
        <v>2094040</v>
      </c>
    </row>
    <row r="510" spans="1:5">
      <c r="A510" s="12" t="s">
        <v>602</v>
      </c>
      <c r="B510" s="12">
        <v>2013</v>
      </c>
      <c r="C510" s="12" t="s">
        <v>74</v>
      </c>
      <c r="D510" s="12" t="s">
        <v>89</v>
      </c>
      <c r="E510" s="12">
        <v>2194202</v>
      </c>
    </row>
    <row r="511" spans="1:5">
      <c r="A511" s="12" t="s">
        <v>603</v>
      </c>
      <c r="B511" s="12">
        <v>2013</v>
      </c>
      <c r="C511" s="12" t="s">
        <v>78</v>
      </c>
      <c r="D511" s="12" t="s">
        <v>96</v>
      </c>
      <c r="E511" s="12">
        <v>2280531</v>
      </c>
    </row>
    <row r="512" spans="1:5">
      <c r="A512" s="12" t="s">
        <v>604</v>
      </c>
      <c r="B512" s="12">
        <v>2013</v>
      </c>
      <c r="C512" s="12" t="s">
        <v>78</v>
      </c>
      <c r="D512" s="12" t="s">
        <v>89</v>
      </c>
      <c r="E512" s="12">
        <v>2402038</v>
      </c>
    </row>
    <row r="513" spans="1:5">
      <c r="A513" s="12" t="s">
        <v>605</v>
      </c>
      <c r="B513" s="12">
        <v>2013</v>
      </c>
      <c r="C513" s="12" t="s">
        <v>78</v>
      </c>
      <c r="D513" s="12" t="s">
        <v>46</v>
      </c>
      <c r="E513" s="12">
        <v>2408096</v>
      </c>
    </row>
    <row r="514" spans="1:5">
      <c r="A514" s="12" t="s">
        <v>606</v>
      </c>
      <c r="B514" s="12">
        <v>2013</v>
      </c>
      <c r="C514" s="12" t="s">
        <v>66</v>
      </c>
      <c r="D514" s="12" t="s">
        <v>109</v>
      </c>
      <c r="E514" s="12">
        <v>2453749</v>
      </c>
    </row>
    <row r="515" spans="1:5">
      <c r="A515" s="12" t="s">
        <v>607</v>
      </c>
      <c r="B515" s="12">
        <v>2013</v>
      </c>
      <c r="C515" s="12" t="s">
        <v>78</v>
      </c>
      <c r="D515" s="12" t="s">
        <v>109</v>
      </c>
      <c r="E515" s="12">
        <v>2709748</v>
      </c>
    </row>
    <row r="516" spans="1:5">
      <c r="A516" s="12" t="s">
        <v>608</v>
      </c>
      <c r="B516" s="12">
        <v>2013</v>
      </c>
      <c r="C516" s="12" t="s">
        <v>74</v>
      </c>
      <c r="D516" s="12" t="s">
        <v>102</v>
      </c>
      <c r="E516" s="12">
        <v>2871441</v>
      </c>
    </row>
    <row r="517" spans="1:5">
      <c r="A517" s="12" t="s">
        <v>609</v>
      </c>
      <c r="B517" s="12">
        <v>2013</v>
      </c>
      <c r="C517" s="12" t="s">
        <v>64</v>
      </c>
      <c r="D517" s="12" t="s">
        <v>39</v>
      </c>
      <c r="E517" s="12">
        <v>3094331</v>
      </c>
    </row>
    <row r="518" spans="1:5">
      <c r="A518" s="12" t="s">
        <v>610</v>
      </c>
      <c r="B518" s="12">
        <v>2013</v>
      </c>
      <c r="C518" s="12" t="s">
        <v>64</v>
      </c>
      <c r="D518" s="12" t="s">
        <v>96</v>
      </c>
      <c r="E518" s="12">
        <v>3230193</v>
      </c>
    </row>
    <row r="519" spans="1:5">
      <c r="A519" s="12" t="s">
        <v>611</v>
      </c>
      <c r="B519" s="12">
        <v>2013</v>
      </c>
      <c r="C519" s="12" t="s">
        <v>64</v>
      </c>
      <c r="D519" s="12" t="s">
        <v>85</v>
      </c>
      <c r="E519" s="12">
        <v>3544431</v>
      </c>
    </row>
    <row r="520" spans="1:5">
      <c r="A520" s="12" t="s">
        <v>612</v>
      </c>
      <c r="B520" s="12">
        <v>2013</v>
      </c>
      <c r="C520" s="12" t="s">
        <v>78</v>
      </c>
      <c r="D520" s="12" t="s">
        <v>118</v>
      </c>
      <c r="E520" s="12">
        <v>3791800</v>
      </c>
    </row>
    <row r="521" spans="1:5">
      <c r="A521" s="12" t="s">
        <v>613</v>
      </c>
      <c r="B521" s="12">
        <v>2013</v>
      </c>
      <c r="C521" s="12" t="s">
        <v>69</v>
      </c>
      <c r="D521" s="12" t="s">
        <v>122</v>
      </c>
      <c r="E521" s="12">
        <v>3984963</v>
      </c>
    </row>
    <row r="522" spans="1:5">
      <c r="A522" s="12" t="s">
        <v>614</v>
      </c>
      <c r="B522" s="12">
        <v>2013</v>
      </c>
      <c r="C522" s="12" t="s">
        <v>64</v>
      </c>
      <c r="D522" s="12" t="s">
        <v>50</v>
      </c>
      <c r="E522" s="12">
        <v>4028707</v>
      </c>
    </row>
    <row r="523" spans="1:5">
      <c r="A523" s="12" t="s">
        <v>615</v>
      </c>
      <c r="B523" s="12">
        <v>2013</v>
      </c>
      <c r="C523" s="12" t="s">
        <v>78</v>
      </c>
      <c r="D523" s="12" t="s">
        <v>105</v>
      </c>
      <c r="E523" s="12">
        <v>4549320</v>
      </c>
    </row>
    <row r="524" spans="1:5">
      <c r="A524" s="12" t="s">
        <v>616</v>
      </c>
      <c r="B524" s="12">
        <v>2013</v>
      </c>
      <c r="C524" s="12" t="s">
        <v>78</v>
      </c>
      <c r="D524" s="12" t="s">
        <v>111</v>
      </c>
      <c r="E524" s="12">
        <v>4977866</v>
      </c>
    </row>
    <row r="525" spans="1:5">
      <c r="A525" s="12" t="s">
        <v>617</v>
      </c>
      <c r="B525" s="12">
        <v>2013</v>
      </c>
      <c r="C525" s="12" t="s">
        <v>69</v>
      </c>
      <c r="D525" s="12" t="s">
        <v>91</v>
      </c>
      <c r="E525" s="12">
        <v>5843745</v>
      </c>
    </row>
    <row r="526" spans="1:5">
      <c r="A526" s="12" t="s">
        <v>618</v>
      </c>
      <c r="B526" s="12">
        <v>2013</v>
      </c>
      <c r="C526" s="12" t="s">
        <v>69</v>
      </c>
      <c r="D526" s="12" t="s">
        <v>124</v>
      </c>
      <c r="E526" s="12">
        <v>5990810</v>
      </c>
    </row>
    <row r="527" spans="1:5">
      <c r="A527" s="12" t="s">
        <v>619</v>
      </c>
      <c r="B527" s="12">
        <v>2013</v>
      </c>
      <c r="C527" s="12" t="s">
        <v>66</v>
      </c>
      <c r="D527" s="12" t="s">
        <v>91</v>
      </c>
      <c r="E527" s="12">
        <v>6373177</v>
      </c>
    </row>
    <row r="528" spans="1:5">
      <c r="A528" s="12" t="s">
        <v>620</v>
      </c>
      <c r="B528" s="12">
        <v>2013</v>
      </c>
      <c r="C528" s="12" t="s">
        <v>69</v>
      </c>
      <c r="D528" s="12" t="s">
        <v>100</v>
      </c>
      <c r="E528" s="12">
        <v>6495629</v>
      </c>
    </row>
    <row r="529" spans="1:5">
      <c r="A529" s="12" t="s">
        <v>621</v>
      </c>
      <c r="B529" s="12">
        <v>2013</v>
      </c>
      <c r="C529" s="12" t="s">
        <v>64</v>
      </c>
      <c r="D529" s="12" t="s">
        <v>105</v>
      </c>
      <c r="E529" s="12">
        <v>6496073</v>
      </c>
    </row>
    <row r="530" spans="1:5">
      <c r="A530" s="12" t="s">
        <v>622</v>
      </c>
      <c r="B530" s="12">
        <v>2013</v>
      </c>
      <c r="C530" s="12" t="s">
        <v>64</v>
      </c>
      <c r="D530" s="12" t="s">
        <v>109</v>
      </c>
      <c r="E530" s="12">
        <v>6601906</v>
      </c>
    </row>
    <row r="531" spans="1:5">
      <c r="A531" s="12" t="s">
        <v>623</v>
      </c>
      <c r="B531" s="12">
        <v>2013</v>
      </c>
      <c r="C531" s="12" t="s">
        <v>66</v>
      </c>
      <c r="D531" s="12" t="s">
        <v>122</v>
      </c>
      <c r="E531" s="12">
        <v>6689646</v>
      </c>
    </row>
    <row r="532" spans="1:5">
      <c r="A532" s="12" t="s">
        <v>624</v>
      </c>
      <c r="B532" s="12">
        <v>2013</v>
      </c>
      <c r="C532" s="12" t="s">
        <v>66</v>
      </c>
      <c r="D532" s="12" t="s">
        <v>124</v>
      </c>
      <c r="E532" s="12">
        <v>6789343</v>
      </c>
    </row>
    <row r="533" spans="1:5">
      <c r="A533" s="12" t="s">
        <v>625</v>
      </c>
      <c r="B533" s="12">
        <v>2013</v>
      </c>
      <c r="C533" s="12" t="s">
        <v>66</v>
      </c>
      <c r="D533" s="12" t="s">
        <v>100</v>
      </c>
      <c r="E533" s="12">
        <v>6991921</v>
      </c>
    </row>
    <row r="534" spans="1:5">
      <c r="A534" s="12" t="s">
        <v>626</v>
      </c>
      <c r="B534" s="12">
        <v>2013</v>
      </c>
      <c r="C534" s="12" t="s">
        <v>64</v>
      </c>
      <c r="D534" s="12" t="s">
        <v>89</v>
      </c>
      <c r="E534" s="12">
        <v>7114356</v>
      </c>
    </row>
    <row r="535" spans="1:5">
      <c r="A535" s="12" t="s">
        <v>627</v>
      </c>
      <c r="B535" s="12">
        <v>2013</v>
      </c>
      <c r="C535" s="12" t="s">
        <v>64</v>
      </c>
      <c r="D535" s="12" t="s">
        <v>46</v>
      </c>
      <c r="E535" s="12">
        <v>7921906</v>
      </c>
    </row>
    <row r="536" spans="1:5">
      <c r="A536" s="12" t="s">
        <v>628</v>
      </c>
      <c r="B536" s="12">
        <v>2013</v>
      </c>
      <c r="C536" s="12" t="s">
        <v>64</v>
      </c>
      <c r="D536" s="12" t="s">
        <v>118</v>
      </c>
      <c r="E536" s="12">
        <v>8049324</v>
      </c>
    </row>
    <row r="537" spans="1:5">
      <c r="A537" s="12" t="s">
        <v>629</v>
      </c>
      <c r="B537" s="12">
        <v>2013</v>
      </c>
      <c r="C537" s="12" t="s">
        <v>69</v>
      </c>
      <c r="D537" s="12" t="s">
        <v>102</v>
      </c>
      <c r="E537" s="12">
        <v>8213466</v>
      </c>
    </row>
    <row r="538" spans="1:5">
      <c r="A538" s="12" t="s">
        <v>630</v>
      </c>
      <c r="B538" s="12">
        <v>2013</v>
      </c>
      <c r="C538" s="12" t="s">
        <v>64</v>
      </c>
      <c r="D538" s="12" t="s">
        <v>111</v>
      </c>
      <c r="E538" s="12">
        <v>10161773</v>
      </c>
    </row>
    <row r="539" spans="1:5">
      <c r="A539" s="12" t="s">
        <v>631</v>
      </c>
      <c r="B539" s="12">
        <v>2013</v>
      </c>
      <c r="C539" s="12" t="s">
        <v>78</v>
      </c>
      <c r="D539" s="12" t="s">
        <v>91</v>
      </c>
      <c r="E539" s="12">
        <v>10614556</v>
      </c>
    </row>
    <row r="540" spans="1:5">
      <c r="A540" s="12" t="s">
        <v>632</v>
      </c>
      <c r="B540" s="12">
        <v>2013</v>
      </c>
      <c r="C540" s="12" t="s">
        <v>74</v>
      </c>
      <c r="D540" s="12" t="s">
        <v>91</v>
      </c>
      <c r="E540" s="12">
        <v>11299644</v>
      </c>
    </row>
    <row r="541" spans="1:5">
      <c r="A541" s="12" t="s">
        <v>633</v>
      </c>
      <c r="B541" s="12">
        <v>2013</v>
      </c>
      <c r="C541" s="12" t="s">
        <v>66</v>
      </c>
      <c r="D541" s="12" t="s">
        <v>102</v>
      </c>
      <c r="E541" s="12">
        <v>11754526</v>
      </c>
    </row>
    <row r="542" spans="1:5">
      <c r="A542" s="12" t="s">
        <v>634</v>
      </c>
      <c r="B542" s="12">
        <v>2013</v>
      </c>
      <c r="C542" s="12" t="s">
        <v>64</v>
      </c>
      <c r="D542" s="12" t="s">
        <v>122</v>
      </c>
      <c r="E542" s="12">
        <v>12229379</v>
      </c>
    </row>
    <row r="543" spans="1:5">
      <c r="A543" s="12" t="s">
        <v>635</v>
      </c>
      <c r="B543" s="12">
        <v>2013</v>
      </c>
      <c r="C543" s="12" t="s">
        <v>78</v>
      </c>
      <c r="D543" s="12" t="s">
        <v>124</v>
      </c>
      <c r="E543" s="12">
        <v>12255478</v>
      </c>
    </row>
    <row r="544" spans="1:5">
      <c r="A544" s="12" t="s">
        <v>636</v>
      </c>
      <c r="B544" s="12">
        <v>2013</v>
      </c>
      <c r="C544" s="12" t="s">
        <v>78</v>
      </c>
      <c r="D544" s="12" t="s">
        <v>100</v>
      </c>
      <c r="E544" s="12">
        <v>12345382</v>
      </c>
    </row>
    <row r="545" spans="1:5">
      <c r="A545" s="12" t="s">
        <v>637</v>
      </c>
      <c r="B545" s="12">
        <v>2013</v>
      </c>
      <c r="C545" s="12" t="s">
        <v>74</v>
      </c>
      <c r="D545" s="12" t="s">
        <v>124</v>
      </c>
      <c r="E545" s="12">
        <v>12639922</v>
      </c>
    </row>
    <row r="546" spans="1:5">
      <c r="A546" s="12" t="s">
        <v>638</v>
      </c>
      <c r="B546" s="12">
        <v>2013</v>
      </c>
      <c r="C546" s="12" t="s">
        <v>74</v>
      </c>
      <c r="D546" s="12" t="s">
        <v>100</v>
      </c>
      <c r="E546" s="12">
        <v>12729199</v>
      </c>
    </row>
    <row r="547" spans="1:5">
      <c r="A547" s="12" t="s">
        <v>639</v>
      </c>
      <c r="B547" s="12">
        <v>2013</v>
      </c>
      <c r="C547" s="12" t="s">
        <v>69</v>
      </c>
      <c r="D547" s="12" t="s">
        <v>107</v>
      </c>
      <c r="E547" s="12">
        <v>14709094</v>
      </c>
    </row>
    <row r="548" spans="1:5">
      <c r="A548" s="12" t="s">
        <v>640</v>
      </c>
      <c r="B548" s="12">
        <v>2013</v>
      </c>
      <c r="C548" s="12" t="s">
        <v>74</v>
      </c>
      <c r="D548" s="12" t="s">
        <v>107</v>
      </c>
      <c r="E548" s="12">
        <v>15600640</v>
      </c>
    </row>
    <row r="549" spans="1:5">
      <c r="A549" s="12" t="s">
        <v>641</v>
      </c>
      <c r="B549" s="12">
        <v>2013</v>
      </c>
      <c r="C549" s="12" t="s">
        <v>78</v>
      </c>
      <c r="D549" s="12" t="s">
        <v>102</v>
      </c>
      <c r="E549" s="12">
        <v>15879893</v>
      </c>
    </row>
    <row r="550" spans="1:5">
      <c r="A550" s="12" t="s">
        <v>642</v>
      </c>
      <c r="B550" s="12">
        <v>2013</v>
      </c>
      <c r="C550" s="12" t="s">
        <v>66</v>
      </c>
      <c r="D550" s="12" t="s">
        <v>107</v>
      </c>
      <c r="E550" s="12">
        <v>18746448</v>
      </c>
    </row>
    <row r="551" spans="1:5">
      <c r="A551" s="12" t="s">
        <v>643</v>
      </c>
      <c r="B551" s="12">
        <v>2013</v>
      </c>
      <c r="C551" s="12" t="s">
        <v>78</v>
      </c>
      <c r="D551" s="12" t="s">
        <v>107</v>
      </c>
      <c r="E551" s="12">
        <v>28225275</v>
      </c>
    </row>
    <row r="552" spans="1:5">
      <c r="A552" s="12" t="s">
        <v>644</v>
      </c>
      <c r="B552" s="12">
        <v>2013</v>
      </c>
      <c r="C552" s="12" t="s">
        <v>64</v>
      </c>
      <c r="D552" s="12" t="s">
        <v>91</v>
      </c>
      <c r="E552" s="12">
        <v>34131122</v>
      </c>
    </row>
    <row r="553" spans="1:5">
      <c r="A553" s="12" t="s">
        <v>645</v>
      </c>
      <c r="B553" s="12">
        <v>2013</v>
      </c>
      <c r="C553" s="12" t="s">
        <v>64</v>
      </c>
      <c r="D553" s="12" t="s">
        <v>124</v>
      </c>
      <c r="E553" s="12">
        <v>37675553</v>
      </c>
    </row>
    <row r="554" spans="1:5">
      <c r="A554" s="12" t="s">
        <v>646</v>
      </c>
      <c r="B554" s="12">
        <v>2013</v>
      </c>
      <c r="C554" s="12" t="s">
        <v>64</v>
      </c>
      <c r="D554" s="12" t="s">
        <v>100</v>
      </c>
      <c r="E554" s="12">
        <v>38562130</v>
      </c>
    </row>
    <row r="555" spans="1:5">
      <c r="A555" s="12" t="s">
        <v>647</v>
      </c>
      <c r="B555" s="12">
        <v>2013</v>
      </c>
      <c r="C555" s="12" t="s">
        <v>64</v>
      </c>
      <c r="D555" s="12" t="s">
        <v>102</v>
      </c>
      <c r="E555" s="12">
        <v>38719325</v>
      </c>
    </row>
    <row r="556" spans="1:5">
      <c r="A556" s="12" t="s">
        <v>648</v>
      </c>
      <c r="B556" s="12">
        <v>2013</v>
      </c>
      <c r="C556" s="12" t="s">
        <v>64</v>
      </c>
      <c r="D556" s="12" t="s">
        <v>107</v>
      </c>
      <c r="E556" s="12">
        <v>77281456</v>
      </c>
    </row>
    <row r="557" spans="1:5">
      <c r="A557" s="12" t="s">
        <v>649</v>
      </c>
      <c r="B557" s="12">
        <v>2013</v>
      </c>
      <c r="C557" s="12" t="s">
        <v>64</v>
      </c>
      <c r="D557" s="12" t="s">
        <v>70</v>
      </c>
    </row>
    <row r="558" spans="1:5">
      <c r="A558" s="12" t="s">
        <v>650</v>
      </c>
      <c r="B558" s="12">
        <v>2013</v>
      </c>
      <c r="C558" s="12" t="s">
        <v>69</v>
      </c>
      <c r="D558" s="12" t="s">
        <v>70</v>
      </c>
    </row>
    <row r="559" spans="1:5">
      <c r="A559" s="12" t="s">
        <v>651</v>
      </c>
      <c r="B559" s="12">
        <v>2013</v>
      </c>
      <c r="C559" s="12" t="s">
        <v>74</v>
      </c>
      <c r="D559" s="12" t="s">
        <v>70</v>
      </c>
    </row>
    <row r="560" spans="1:5">
      <c r="A560" s="12" t="s">
        <v>652</v>
      </c>
      <c r="B560" s="12">
        <v>2013</v>
      </c>
      <c r="C560" s="12" t="s">
        <v>78</v>
      </c>
      <c r="D560" s="12" t="s">
        <v>70</v>
      </c>
    </row>
    <row r="561" spans="1:4">
      <c r="A561" s="12" t="s">
        <v>653</v>
      </c>
      <c r="B561" s="12">
        <v>2013</v>
      </c>
      <c r="C561" s="12" t="s">
        <v>66</v>
      </c>
      <c r="D561" s="12" t="s">
        <v>70</v>
      </c>
    </row>
    <row r="562" spans="1:4">
      <c r="A562" s="12" t="s">
        <v>654</v>
      </c>
      <c r="B562" s="12">
        <v>2013</v>
      </c>
      <c r="C562" s="12" t="s">
        <v>64</v>
      </c>
      <c r="D562" s="12" t="s">
        <v>67</v>
      </c>
    </row>
    <row r="563" spans="1:4">
      <c r="A563" s="12" t="s">
        <v>655</v>
      </c>
      <c r="B563" s="12">
        <v>2013</v>
      </c>
      <c r="C563" s="12" t="s">
        <v>69</v>
      </c>
      <c r="D563" s="12" t="s">
        <v>67</v>
      </c>
    </row>
    <row r="564" spans="1:4">
      <c r="A564" s="12" t="s">
        <v>656</v>
      </c>
      <c r="B564" s="12">
        <v>2013</v>
      </c>
      <c r="C564" s="12" t="s">
        <v>74</v>
      </c>
      <c r="D564" s="12" t="s">
        <v>67</v>
      </c>
    </row>
    <row r="565" spans="1:4">
      <c r="A565" s="12" t="s">
        <v>657</v>
      </c>
      <c r="B565" s="12">
        <v>2013</v>
      </c>
      <c r="C565" s="12" t="s">
        <v>78</v>
      </c>
      <c r="D565" s="12" t="s">
        <v>67</v>
      </c>
    </row>
    <row r="566" spans="1:4">
      <c r="A566" s="12" t="s">
        <v>658</v>
      </c>
      <c r="B566" s="12">
        <v>2013</v>
      </c>
      <c r="C566" s="12" t="s">
        <v>66</v>
      </c>
      <c r="D566" s="12" t="s">
        <v>67</v>
      </c>
    </row>
    <row r="567" spans="1:4">
      <c r="A567" s="12" t="s">
        <v>659</v>
      </c>
      <c r="B567" s="12">
        <v>2013</v>
      </c>
      <c r="C567" s="12" t="s">
        <v>64</v>
      </c>
      <c r="D567" s="12" t="s">
        <v>41</v>
      </c>
    </row>
    <row r="568" spans="1:4">
      <c r="A568" s="12" t="s">
        <v>660</v>
      </c>
      <c r="B568" s="12">
        <v>2013</v>
      </c>
      <c r="C568" s="12" t="s">
        <v>69</v>
      </c>
      <c r="D568" s="12" t="s">
        <v>41</v>
      </c>
    </row>
    <row r="569" spans="1:4">
      <c r="A569" s="12" t="s">
        <v>661</v>
      </c>
      <c r="B569" s="12">
        <v>2013</v>
      </c>
      <c r="C569" s="12" t="s">
        <v>74</v>
      </c>
      <c r="D569" s="12" t="s">
        <v>41</v>
      </c>
    </row>
    <row r="570" spans="1:4">
      <c r="A570" s="12" t="s">
        <v>662</v>
      </c>
      <c r="B570" s="12">
        <v>2013</v>
      </c>
      <c r="C570" s="12" t="s">
        <v>78</v>
      </c>
      <c r="D570" s="12" t="s">
        <v>41</v>
      </c>
    </row>
    <row r="571" spans="1:4">
      <c r="A571" s="12" t="s">
        <v>663</v>
      </c>
      <c r="B571" s="12">
        <v>2013</v>
      </c>
      <c r="C571" s="12" t="s">
        <v>66</v>
      </c>
      <c r="D571" s="12" t="s">
        <v>41</v>
      </c>
    </row>
    <row r="572" spans="1:4">
      <c r="A572" s="12" t="s">
        <v>664</v>
      </c>
      <c r="B572" s="12">
        <v>2013</v>
      </c>
      <c r="C572" s="12" t="s">
        <v>64</v>
      </c>
      <c r="D572" s="12" t="s">
        <v>82</v>
      </c>
    </row>
    <row r="573" spans="1:4">
      <c r="A573" s="12" t="s">
        <v>665</v>
      </c>
      <c r="B573" s="12">
        <v>2013</v>
      </c>
      <c r="C573" s="12" t="s">
        <v>69</v>
      </c>
      <c r="D573" s="12" t="s">
        <v>82</v>
      </c>
    </row>
    <row r="574" spans="1:4">
      <c r="A574" s="12" t="s">
        <v>666</v>
      </c>
      <c r="B574" s="12">
        <v>2013</v>
      </c>
      <c r="C574" s="12" t="s">
        <v>74</v>
      </c>
      <c r="D574" s="12" t="s">
        <v>82</v>
      </c>
    </row>
    <row r="575" spans="1:4">
      <c r="A575" s="12" t="s">
        <v>667</v>
      </c>
      <c r="B575" s="12">
        <v>2013</v>
      </c>
      <c r="C575" s="12" t="s">
        <v>78</v>
      </c>
      <c r="D575" s="12" t="s">
        <v>82</v>
      </c>
    </row>
    <row r="576" spans="1:4">
      <c r="A576" s="12" t="s">
        <v>668</v>
      </c>
      <c r="B576" s="12">
        <v>2013</v>
      </c>
      <c r="C576" s="12" t="s">
        <v>66</v>
      </c>
      <c r="D576" s="12" t="s">
        <v>82</v>
      </c>
    </row>
    <row r="577" spans="1:5">
      <c r="A577" s="12" t="s">
        <v>669</v>
      </c>
      <c r="B577" s="12">
        <v>2013</v>
      </c>
      <c r="C577" s="12" t="s">
        <v>64</v>
      </c>
      <c r="D577" s="12" t="s">
        <v>34</v>
      </c>
    </row>
    <row r="578" spans="1:5">
      <c r="A578" s="12" t="s">
        <v>670</v>
      </c>
      <c r="B578" s="12">
        <v>2013</v>
      </c>
      <c r="C578" s="12" t="s">
        <v>69</v>
      </c>
      <c r="D578" s="12" t="s">
        <v>34</v>
      </c>
    </row>
    <row r="579" spans="1:5">
      <c r="A579" s="12" t="s">
        <v>671</v>
      </c>
      <c r="B579" s="12">
        <v>2013</v>
      </c>
      <c r="C579" s="12" t="s">
        <v>74</v>
      </c>
      <c r="D579" s="12" t="s">
        <v>34</v>
      </c>
    </row>
    <row r="580" spans="1:5">
      <c r="A580" s="12" t="s">
        <v>672</v>
      </c>
      <c r="B580" s="12">
        <v>2013</v>
      </c>
      <c r="C580" s="12" t="s">
        <v>78</v>
      </c>
      <c r="D580" s="12" t="s">
        <v>34</v>
      </c>
    </row>
    <row r="581" spans="1:5">
      <c r="A581" s="12" t="s">
        <v>673</v>
      </c>
      <c r="B581" s="12">
        <v>2013</v>
      </c>
      <c r="C581" s="12" t="s">
        <v>66</v>
      </c>
      <c r="D581" s="12" t="s">
        <v>34</v>
      </c>
    </row>
    <row r="582" spans="1:5">
      <c r="A582" s="12" t="s">
        <v>674</v>
      </c>
      <c r="B582" s="12">
        <v>2014</v>
      </c>
      <c r="C582" s="12" t="s">
        <v>66</v>
      </c>
      <c r="D582" s="12" t="s">
        <v>87</v>
      </c>
      <c r="E582" s="12">
        <v>753</v>
      </c>
    </row>
    <row r="583" spans="1:5">
      <c r="A583" s="12" t="s">
        <v>675</v>
      </c>
      <c r="B583" s="12">
        <v>2014</v>
      </c>
      <c r="C583" s="12" t="s">
        <v>74</v>
      </c>
      <c r="D583" s="12" t="s">
        <v>87</v>
      </c>
      <c r="E583" s="12">
        <v>769</v>
      </c>
    </row>
    <row r="584" spans="1:5">
      <c r="A584" s="12" t="s">
        <v>676</v>
      </c>
      <c r="B584" s="12">
        <v>2014</v>
      </c>
      <c r="C584" s="12" t="s">
        <v>69</v>
      </c>
      <c r="D584" s="12" t="s">
        <v>87</v>
      </c>
      <c r="E584" s="12">
        <v>4694</v>
      </c>
    </row>
    <row r="585" spans="1:5">
      <c r="A585" s="12" t="s">
        <v>677</v>
      </c>
      <c r="B585" s="12">
        <v>2014</v>
      </c>
      <c r="C585" s="12" t="s">
        <v>64</v>
      </c>
      <c r="D585" s="12" t="s">
        <v>87</v>
      </c>
      <c r="E585" s="12">
        <v>6215</v>
      </c>
    </row>
    <row r="586" spans="1:5">
      <c r="A586" s="12" t="s">
        <v>678</v>
      </c>
      <c r="B586" s="12">
        <v>2014</v>
      </c>
      <c r="C586" s="12" t="s">
        <v>66</v>
      </c>
      <c r="D586" s="12" t="s">
        <v>37</v>
      </c>
      <c r="E586" s="12">
        <v>26853</v>
      </c>
    </row>
    <row r="587" spans="1:5">
      <c r="A587" s="12" t="s">
        <v>679</v>
      </c>
      <c r="B587" s="12">
        <v>2014</v>
      </c>
      <c r="C587" s="12" t="s">
        <v>74</v>
      </c>
      <c r="D587" s="12" t="s">
        <v>122</v>
      </c>
      <c r="E587" s="12">
        <v>28109</v>
      </c>
    </row>
    <row r="588" spans="1:5">
      <c r="A588" s="12" t="s">
        <v>680</v>
      </c>
      <c r="B588" s="12">
        <v>2014</v>
      </c>
      <c r="C588" s="12" t="s">
        <v>69</v>
      </c>
      <c r="D588" s="12" t="s">
        <v>37</v>
      </c>
      <c r="E588" s="12">
        <v>29768</v>
      </c>
    </row>
    <row r="589" spans="1:5">
      <c r="A589" s="12" t="s">
        <v>681</v>
      </c>
      <c r="B589" s="12">
        <v>2014</v>
      </c>
      <c r="C589" s="12" t="s">
        <v>74</v>
      </c>
      <c r="D589" s="12" t="s">
        <v>104</v>
      </c>
      <c r="E589" s="12">
        <v>36333</v>
      </c>
    </row>
    <row r="590" spans="1:5">
      <c r="A590" s="12" t="s">
        <v>682</v>
      </c>
      <c r="B590" s="12">
        <v>2014</v>
      </c>
      <c r="C590" s="12" t="s">
        <v>69</v>
      </c>
      <c r="D590" s="12" t="s">
        <v>48</v>
      </c>
      <c r="E590" s="12">
        <v>39152</v>
      </c>
    </row>
    <row r="591" spans="1:5">
      <c r="A591" s="12" t="s">
        <v>683</v>
      </c>
      <c r="B591" s="12">
        <v>2014</v>
      </c>
      <c r="C591" s="12" t="s">
        <v>74</v>
      </c>
      <c r="D591" s="12" t="s">
        <v>37</v>
      </c>
      <c r="E591" s="12">
        <v>55751</v>
      </c>
    </row>
    <row r="592" spans="1:5">
      <c r="A592" s="12" t="s">
        <v>684</v>
      </c>
      <c r="B592" s="12">
        <v>2014</v>
      </c>
      <c r="C592" s="12" t="s">
        <v>74</v>
      </c>
      <c r="D592" s="12" t="s">
        <v>39</v>
      </c>
      <c r="E592" s="12">
        <v>59675</v>
      </c>
    </row>
    <row r="593" spans="1:5">
      <c r="A593" s="12" t="s">
        <v>685</v>
      </c>
      <c r="B593" s="12">
        <v>2014</v>
      </c>
      <c r="C593" s="12" t="s">
        <v>69</v>
      </c>
      <c r="D593" s="12" t="s">
        <v>98</v>
      </c>
      <c r="E593" s="12">
        <v>72196</v>
      </c>
    </row>
    <row r="594" spans="1:5">
      <c r="A594" s="12" t="s">
        <v>686</v>
      </c>
      <c r="B594" s="12">
        <v>2014</v>
      </c>
      <c r="C594" s="12" t="s">
        <v>66</v>
      </c>
      <c r="D594" s="12" t="s">
        <v>48</v>
      </c>
      <c r="E594" s="12">
        <v>81937</v>
      </c>
    </row>
    <row r="595" spans="1:5">
      <c r="A595" s="12" t="s">
        <v>687</v>
      </c>
      <c r="B595" s="12">
        <v>2014</v>
      </c>
      <c r="C595" s="12" t="s">
        <v>74</v>
      </c>
      <c r="D595" s="12" t="s">
        <v>85</v>
      </c>
      <c r="E595" s="12">
        <v>115426</v>
      </c>
    </row>
    <row r="596" spans="1:5">
      <c r="A596" s="12" t="s">
        <v>688</v>
      </c>
      <c r="B596" s="12">
        <v>2014</v>
      </c>
      <c r="C596" s="12" t="s">
        <v>66</v>
      </c>
      <c r="D596" s="12" t="s">
        <v>96</v>
      </c>
      <c r="E596" s="12">
        <v>123126</v>
      </c>
    </row>
    <row r="597" spans="1:5">
      <c r="A597" s="12" t="s">
        <v>689</v>
      </c>
      <c r="B597" s="12">
        <v>2014</v>
      </c>
      <c r="C597" s="12" t="s">
        <v>74</v>
      </c>
      <c r="D597" s="12" t="s">
        <v>96</v>
      </c>
      <c r="E597" s="12">
        <v>131328</v>
      </c>
    </row>
    <row r="598" spans="1:5">
      <c r="A598" s="12" t="s">
        <v>690</v>
      </c>
      <c r="B598" s="12">
        <v>2014</v>
      </c>
      <c r="C598" s="12" t="s">
        <v>69</v>
      </c>
      <c r="D598" s="12" t="s">
        <v>39</v>
      </c>
      <c r="E598" s="12">
        <v>135355</v>
      </c>
    </row>
    <row r="599" spans="1:5">
      <c r="A599" s="12" t="s">
        <v>691</v>
      </c>
      <c r="B599" s="12">
        <v>2014</v>
      </c>
      <c r="C599" s="12" t="s">
        <v>74</v>
      </c>
      <c r="D599" s="12" t="s">
        <v>113</v>
      </c>
      <c r="E599" s="12">
        <v>142863</v>
      </c>
    </row>
    <row r="600" spans="1:5">
      <c r="A600" s="12" t="s">
        <v>692</v>
      </c>
      <c r="B600" s="12">
        <v>2014</v>
      </c>
      <c r="C600" s="12" t="s">
        <v>74</v>
      </c>
      <c r="D600" s="12" t="s">
        <v>93</v>
      </c>
      <c r="E600" s="12">
        <v>159713</v>
      </c>
    </row>
    <row r="601" spans="1:5">
      <c r="A601" s="12" t="s">
        <v>693</v>
      </c>
      <c r="B601" s="12">
        <v>2014</v>
      </c>
      <c r="C601" s="12" t="s">
        <v>69</v>
      </c>
      <c r="D601" s="12" t="s">
        <v>85</v>
      </c>
      <c r="E601" s="12">
        <v>165123</v>
      </c>
    </row>
    <row r="602" spans="1:5">
      <c r="A602" s="12" t="s">
        <v>694</v>
      </c>
      <c r="B602" s="12">
        <v>2014</v>
      </c>
      <c r="C602" s="12" t="s">
        <v>74</v>
      </c>
      <c r="D602" s="12" t="s">
        <v>48</v>
      </c>
      <c r="E602" s="12">
        <v>168315</v>
      </c>
    </row>
    <row r="603" spans="1:5">
      <c r="A603" s="12" t="s">
        <v>695</v>
      </c>
      <c r="B603" s="12">
        <v>2014</v>
      </c>
      <c r="C603" s="12" t="s">
        <v>78</v>
      </c>
      <c r="D603" s="12" t="s">
        <v>104</v>
      </c>
      <c r="E603" s="12">
        <v>196171</v>
      </c>
    </row>
    <row r="604" spans="1:5">
      <c r="A604" s="12" t="s">
        <v>696</v>
      </c>
      <c r="B604" s="12">
        <v>2014</v>
      </c>
      <c r="C604" s="12" t="s">
        <v>66</v>
      </c>
      <c r="D604" s="12" t="s">
        <v>98</v>
      </c>
      <c r="E604" s="12">
        <v>197571</v>
      </c>
    </row>
    <row r="605" spans="1:5">
      <c r="A605" s="12" t="s">
        <v>697</v>
      </c>
      <c r="B605" s="12">
        <v>2014</v>
      </c>
      <c r="C605" s="12" t="s">
        <v>78</v>
      </c>
      <c r="D605" s="12" t="s">
        <v>48</v>
      </c>
      <c r="E605" s="12">
        <v>209224</v>
      </c>
    </row>
    <row r="606" spans="1:5">
      <c r="A606" s="12" t="s">
        <v>698</v>
      </c>
      <c r="B606" s="12">
        <v>2014</v>
      </c>
      <c r="C606" s="12" t="s">
        <v>69</v>
      </c>
      <c r="D606" s="12" t="s">
        <v>96</v>
      </c>
      <c r="E606" s="12">
        <v>209652</v>
      </c>
    </row>
    <row r="607" spans="1:5">
      <c r="A607" s="12" t="s">
        <v>699</v>
      </c>
      <c r="B607" s="12">
        <v>2014</v>
      </c>
      <c r="C607" s="12" t="s">
        <v>66</v>
      </c>
      <c r="D607" s="12" t="s">
        <v>39</v>
      </c>
      <c r="E607" s="12">
        <v>215685</v>
      </c>
    </row>
    <row r="608" spans="1:5">
      <c r="A608" s="12" t="s">
        <v>700</v>
      </c>
      <c r="B608" s="12">
        <v>2014</v>
      </c>
      <c r="C608" s="12" t="s">
        <v>78</v>
      </c>
      <c r="D608" s="12" t="s">
        <v>54</v>
      </c>
      <c r="E608" s="12">
        <v>242425</v>
      </c>
    </row>
    <row r="609" spans="1:5">
      <c r="A609" s="12" t="s">
        <v>701</v>
      </c>
      <c r="B609" s="12">
        <v>2014</v>
      </c>
      <c r="C609" s="12" t="s">
        <v>66</v>
      </c>
      <c r="D609" s="12" t="s">
        <v>85</v>
      </c>
      <c r="E609" s="12">
        <v>242538</v>
      </c>
    </row>
    <row r="610" spans="1:5">
      <c r="A610" s="12" t="s">
        <v>702</v>
      </c>
      <c r="B610" s="12">
        <v>2014</v>
      </c>
      <c r="C610" s="12" t="s">
        <v>66</v>
      </c>
      <c r="D610" s="12" t="s">
        <v>104</v>
      </c>
      <c r="E610" s="12">
        <v>248965</v>
      </c>
    </row>
    <row r="611" spans="1:5">
      <c r="A611" s="12" t="s">
        <v>703</v>
      </c>
      <c r="B611" s="12">
        <v>2014</v>
      </c>
      <c r="C611" s="12" t="s">
        <v>78</v>
      </c>
      <c r="D611" s="12" t="s">
        <v>113</v>
      </c>
      <c r="E611" s="12">
        <v>250530</v>
      </c>
    </row>
    <row r="612" spans="1:5">
      <c r="A612" s="12" t="s">
        <v>704</v>
      </c>
      <c r="B612" s="12">
        <v>2014</v>
      </c>
      <c r="C612" s="12" t="s">
        <v>69</v>
      </c>
      <c r="D612" s="12" t="s">
        <v>93</v>
      </c>
      <c r="E612" s="12">
        <v>263472</v>
      </c>
    </row>
    <row r="613" spans="1:5">
      <c r="A613" s="12" t="s">
        <v>705</v>
      </c>
      <c r="B613" s="12">
        <v>2014</v>
      </c>
      <c r="C613" s="12" t="s">
        <v>78</v>
      </c>
      <c r="D613" s="12" t="s">
        <v>37</v>
      </c>
      <c r="E613" s="12">
        <v>307391</v>
      </c>
    </row>
    <row r="614" spans="1:5">
      <c r="A614" s="12" t="s">
        <v>706</v>
      </c>
      <c r="B614" s="12">
        <v>2014</v>
      </c>
      <c r="C614" s="12" t="s">
        <v>74</v>
      </c>
      <c r="D614" s="12" t="s">
        <v>98</v>
      </c>
      <c r="E614" s="12">
        <v>313992</v>
      </c>
    </row>
    <row r="615" spans="1:5">
      <c r="A615" s="12" t="s">
        <v>707</v>
      </c>
      <c r="B615" s="12">
        <v>2014</v>
      </c>
      <c r="C615" s="12" t="s">
        <v>78</v>
      </c>
      <c r="D615" s="12" t="s">
        <v>98</v>
      </c>
      <c r="E615" s="12">
        <v>316271</v>
      </c>
    </row>
    <row r="616" spans="1:5">
      <c r="A616" s="12" t="s">
        <v>708</v>
      </c>
      <c r="B616" s="12">
        <v>2014</v>
      </c>
      <c r="C616" s="12" t="s">
        <v>66</v>
      </c>
      <c r="D616" s="12" t="s">
        <v>93</v>
      </c>
      <c r="E616" s="12">
        <v>352073</v>
      </c>
    </row>
    <row r="617" spans="1:5">
      <c r="A617" s="12" t="s">
        <v>709</v>
      </c>
      <c r="B617" s="12">
        <v>2014</v>
      </c>
      <c r="C617" s="12" t="s">
        <v>69</v>
      </c>
      <c r="D617" s="12" t="s">
        <v>54</v>
      </c>
      <c r="E617" s="12">
        <v>366522</v>
      </c>
    </row>
    <row r="618" spans="1:5">
      <c r="A618" s="12" t="s">
        <v>710</v>
      </c>
      <c r="B618" s="12">
        <v>2014</v>
      </c>
      <c r="C618" s="12" t="s">
        <v>66</v>
      </c>
      <c r="D618" s="12" t="s">
        <v>113</v>
      </c>
      <c r="E618" s="12">
        <v>372557</v>
      </c>
    </row>
    <row r="619" spans="1:5">
      <c r="A619" s="12" t="s">
        <v>711</v>
      </c>
      <c r="B619" s="12">
        <v>2014</v>
      </c>
      <c r="C619" s="12" t="s">
        <v>64</v>
      </c>
      <c r="D619" s="12" t="s">
        <v>37</v>
      </c>
      <c r="E619" s="12">
        <v>419762</v>
      </c>
    </row>
    <row r="620" spans="1:5">
      <c r="A620" s="12" t="s">
        <v>712</v>
      </c>
      <c r="B620" s="12">
        <v>2014</v>
      </c>
      <c r="C620" s="12" t="s">
        <v>69</v>
      </c>
      <c r="D620" s="12" t="s">
        <v>104</v>
      </c>
      <c r="E620" s="12">
        <v>420974</v>
      </c>
    </row>
    <row r="621" spans="1:5">
      <c r="A621" s="12" t="s">
        <v>713</v>
      </c>
      <c r="B621" s="12">
        <v>2014</v>
      </c>
      <c r="C621" s="12" t="s">
        <v>69</v>
      </c>
      <c r="D621" s="12" t="s">
        <v>113</v>
      </c>
      <c r="E621" s="12">
        <v>497625</v>
      </c>
    </row>
    <row r="622" spans="1:5">
      <c r="A622" s="12" t="s">
        <v>714</v>
      </c>
      <c r="B622" s="12">
        <v>2014</v>
      </c>
      <c r="C622" s="12" t="s">
        <v>64</v>
      </c>
      <c r="D622" s="12" t="s">
        <v>48</v>
      </c>
      <c r="E622" s="12">
        <v>498628</v>
      </c>
    </row>
    <row r="623" spans="1:5">
      <c r="A623" s="12" t="s">
        <v>715</v>
      </c>
      <c r="B623" s="12">
        <v>2014</v>
      </c>
      <c r="C623" s="12" t="s">
        <v>74</v>
      </c>
      <c r="D623" s="12" t="s">
        <v>109</v>
      </c>
      <c r="E623" s="12">
        <v>596083</v>
      </c>
    </row>
    <row r="624" spans="1:5">
      <c r="A624" s="12" t="s">
        <v>716</v>
      </c>
      <c r="B624" s="12">
        <v>2014</v>
      </c>
      <c r="C624" s="12" t="s">
        <v>66</v>
      </c>
      <c r="D624" s="12" t="s">
        <v>54</v>
      </c>
      <c r="E624" s="12">
        <v>601240</v>
      </c>
    </row>
    <row r="625" spans="1:5">
      <c r="A625" s="12" t="s">
        <v>717</v>
      </c>
      <c r="B625" s="12">
        <v>2014</v>
      </c>
      <c r="C625" s="12" t="s">
        <v>69</v>
      </c>
      <c r="D625" s="12" t="s">
        <v>109</v>
      </c>
      <c r="E625" s="12">
        <v>651766</v>
      </c>
    </row>
    <row r="626" spans="1:5">
      <c r="A626" s="12" t="s">
        <v>718</v>
      </c>
      <c r="B626" s="12">
        <v>2014</v>
      </c>
      <c r="C626" s="12" t="s">
        <v>74</v>
      </c>
      <c r="D626" s="12" t="s">
        <v>105</v>
      </c>
      <c r="E626" s="12">
        <v>757884</v>
      </c>
    </row>
    <row r="627" spans="1:5">
      <c r="A627" s="12" t="s">
        <v>719</v>
      </c>
      <c r="B627" s="12">
        <v>2014</v>
      </c>
      <c r="C627" s="12" t="s">
        <v>78</v>
      </c>
      <c r="D627" s="12" t="s">
        <v>39</v>
      </c>
      <c r="E627" s="12">
        <v>846922</v>
      </c>
    </row>
    <row r="628" spans="1:5">
      <c r="A628" s="12" t="s">
        <v>720</v>
      </c>
      <c r="B628" s="12">
        <v>2014</v>
      </c>
      <c r="C628" s="12" t="s">
        <v>64</v>
      </c>
      <c r="D628" s="12" t="s">
        <v>98</v>
      </c>
      <c r="E628" s="12">
        <v>900030</v>
      </c>
    </row>
    <row r="629" spans="1:5">
      <c r="A629" s="12" t="s">
        <v>721</v>
      </c>
      <c r="B629" s="12">
        <v>2014</v>
      </c>
      <c r="C629" s="12" t="s">
        <v>64</v>
      </c>
      <c r="D629" s="12" t="s">
        <v>104</v>
      </c>
      <c r="E629" s="12">
        <v>902442</v>
      </c>
    </row>
    <row r="630" spans="1:5">
      <c r="A630" s="12" t="s">
        <v>722</v>
      </c>
      <c r="B630" s="12">
        <v>2014</v>
      </c>
      <c r="C630" s="12" t="s">
        <v>78</v>
      </c>
      <c r="D630" s="12" t="s">
        <v>50</v>
      </c>
      <c r="E630" s="12">
        <v>918284</v>
      </c>
    </row>
    <row r="631" spans="1:5">
      <c r="A631" s="12" t="s">
        <v>723</v>
      </c>
      <c r="B631" s="12">
        <v>2014</v>
      </c>
      <c r="C631" s="12" t="s">
        <v>74</v>
      </c>
      <c r="D631" s="12" t="s">
        <v>54</v>
      </c>
      <c r="E631" s="12">
        <v>940784</v>
      </c>
    </row>
    <row r="632" spans="1:5">
      <c r="A632" s="12" t="s">
        <v>724</v>
      </c>
      <c r="B632" s="12">
        <v>2014</v>
      </c>
      <c r="C632" s="12" t="s">
        <v>66</v>
      </c>
      <c r="D632" s="12" t="s">
        <v>105</v>
      </c>
      <c r="E632" s="12">
        <v>970148</v>
      </c>
    </row>
    <row r="633" spans="1:5">
      <c r="A633" s="12" t="s">
        <v>725</v>
      </c>
      <c r="B633" s="12">
        <v>2014</v>
      </c>
      <c r="C633" s="12" t="s">
        <v>78</v>
      </c>
      <c r="D633" s="12" t="s">
        <v>96</v>
      </c>
      <c r="E633" s="12">
        <v>1040252</v>
      </c>
    </row>
    <row r="634" spans="1:5">
      <c r="A634" s="12" t="s">
        <v>726</v>
      </c>
      <c r="B634" s="12">
        <v>2014</v>
      </c>
      <c r="C634" s="12" t="s">
        <v>78</v>
      </c>
      <c r="D634" s="12" t="s">
        <v>93</v>
      </c>
      <c r="E634" s="12">
        <v>1084011</v>
      </c>
    </row>
    <row r="635" spans="1:5">
      <c r="A635" s="12" t="s">
        <v>727</v>
      </c>
      <c r="B635" s="12">
        <v>2014</v>
      </c>
      <c r="C635" s="12" t="s">
        <v>66</v>
      </c>
      <c r="D635" s="12" t="s">
        <v>50</v>
      </c>
      <c r="E635" s="12">
        <v>1108156</v>
      </c>
    </row>
    <row r="636" spans="1:5">
      <c r="A636" s="12" t="s">
        <v>728</v>
      </c>
      <c r="B636" s="12">
        <v>2014</v>
      </c>
      <c r="C636" s="12" t="s">
        <v>69</v>
      </c>
      <c r="D636" s="12" t="s">
        <v>50</v>
      </c>
      <c r="E636" s="12">
        <v>1126962</v>
      </c>
    </row>
    <row r="637" spans="1:5">
      <c r="A637" s="12" t="s">
        <v>729</v>
      </c>
      <c r="B637" s="12">
        <v>2014</v>
      </c>
      <c r="C637" s="12" t="s">
        <v>78</v>
      </c>
      <c r="D637" s="12" t="s">
        <v>85</v>
      </c>
      <c r="E637" s="12">
        <v>1154313</v>
      </c>
    </row>
    <row r="638" spans="1:5">
      <c r="A638" s="12" t="s">
        <v>730</v>
      </c>
      <c r="B638" s="12">
        <v>2014</v>
      </c>
      <c r="C638" s="12" t="s">
        <v>66</v>
      </c>
      <c r="D638" s="12" t="s">
        <v>89</v>
      </c>
      <c r="E638" s="12">
        <v>1162848</v>
      </c>
    </row>
    <row r="639" spans="1:5">
      <c r="A639" s="12" t="s">
        <v>731</v>
      </c>
      <c r="B639" s="12">
        <v>2014</v>
      </c>
      <c r="C639" s="12" t="s">
        <v>69</v>
      </c>
      <c r="D639" s="12" t="s">
        <v>89</v>
      </c>
      <c r="E639" s="12">
        <v>1189515</v>
      </c>
    </row>
    <row r="640" spans="1:5">
      <c r="A640" s="12" t="s">
        <v>732</v>
      </c>
      <c r="B640" s="12">
        <v>2014</v>
      </c>
      <c r="C640" s="12" t="s">
        <v>69</v>
      </c>
      <c r="D640" s="12" t="s">
        <v>105</v>
      </c>
      <c r="E640" s="12">
        <v>1251945</v>
      </c>
    </row>
    <row r="641" spans="1:5">
      <c r="A641" s="12" t="s">
        <v>733</v>
      </c>
      <c r="B641" s="12">
        <v>2014</v>
      </c>
      <c r="C641" s="12" t="s">
        <v>64</v>
      </c>
      <c r="D641" s="12" t="s">
        <v>39</v>
      </c>
      <c r="E641" s="12">
        <v>1257639</v>
      </c>
    </row>
    <row r="642" spans="1:5">
      <c r="A642" s="12" t="s">
        <v>734</v>
      </c>
      <c r="B642" s="12">
        <v>2014</v>
      </c>
      <c r="C642" s="12" t="s">
        <v>64</v>
      </c>
      <c r="D642" s="12" t="s">
        <v>113</v>
      </c>
      <c r="E642" s="12">
        <v>1263574</v>
      </c>
    </row>
    <row r="643" spans="1:5">
      <c r="A643" s="12" t="s">
        <v>735</v>
      </c>
      <c r="B643" s="12">
        <v>2014</v>
      </c>
      <c r="C643" s="12" t="s">
        <v>78</v>
      </c>
      <c r="D643" s="12" t="s">
        <v>122</v>
      </c>
      <c r="E643" s="12">
        <v>1368580</v>
      </c>
    </row>
    <row r="644" spans="1:5">
      <c r="A644" s="12" t="s">
        <v>736</v>
      </c>
      <c r="B644" s="12">
        <v>2014</v>
      </c>
      <c r="C644" s="12" t="s">
        <v>74</v>
      </c>
      <c r="D644" s="12" t="s">
        <v>118</v>
      </c>
      <c r="E644" s="12">
        <v>1405725</v>
      </c>
    </row>
    <row r="645" spans="1:5">
      <c r="A645" s="12" t="s">
        <v>737</v>
      </c>
      <c r="B645" s="12">
        <v>2014</v>
      </c>
      <c r="C645" s="12" t="s">
        <v>74</v>
      </c>
      <c r="D645" s="12" t="s">
        <v>50</v>
      </c>
      <c r="E645" s="12">
        <v>1406138</v>
      </c>
    </row>
    <row r="646" spans="1:5">
      <c r="A646" s="12" t="s">
        <v>738</v>
      </c>
      <c r="B646" s="12">
        <v>2014</v>
      </c>
      <c r="C646" s="12" t="s">
        <v>64</v>
      </c>
      <c r="D646" s="12" t="s">
        <v>96</v>
      </c>
      <c r="E646" s="12">
        <v>1504358</v>
      </c>
    </row>
    <row r="647" spans="1:5">
      <c r="A647" s="12" t="s">
        <v>739</v>
      </c>
      <c r="B647" s="12">
        <v>2014</v>
      </c>
      <c r="C647" s="12" t="s">
        <v>74</v>
      </c>
      <c r="D647" s="12" t="s">
        <v>111</v>
      </c>
      <c r="E647" s="12">
        <v>1566207</v>
      </c>
    </row>
    <row r="648" spans="1:5">
      <c r="A648" s="12" t="s">
        <v>740</v>
      </c>
      <c r="B648" s="12">
        <v>2014</v>
      </c>
      <c r="C648" s="12" t="s">
        <v>66</v>
      </c>
      <c r="D648" s="12" t="s">
        <v>118</v>
      </c>
      <c r="E648" s="12">
        <v>1620111</v>
      </c>
    </row>
    <row r="649" spans="1:5">
      <c r="A649" s="12" t="s">
        <v>741</v>
      </c>
      <c r="B649" s="12">
        <v>2014</v>
      </c>
      <c r="C649" s="12" t="s">
        <v>64</v>
      </c>
      <c r="D649" s="12" t="s">
        <v>85</v>
      </c>
      <c r="E649" s="12">
        <v>1677401</v>
      </c>
    </row>
    <row r="650" spans="1:5">
      <c r="A650" s="12" t="s">
        <v>742</v>
      </c>
      <c r="B650" s="12">
        <v>2014</v>
      </c>
      <c r="C650" s="12" t="s">
        <v>66</v>
      </c>
      <c r="D650" s="12" t="s">
        <v>46</v>
      </c>
      <c r="E650" s="12">
        <v>1744789</v>
      </c>
    </row>
    <row r="651" spans="1:5">
      <c r="A651" s="12" t="s">
        <v>743</v>
      </c>
      <c r="B651" s="12">
        <v>2014</v>
      </c>
      <c r="C651" s="12" t="s">
        <v>64</v>
      </c>
      <c r="D651" s="12" t="s">
        <v>93</v>
      </c>
      <c r="E651" s="12">
        <v>1859270</v>
      </c>
    </row>
    <row r="652" spans="1:5">
      <c r="A652" s="12" t="s">
        <v>744</v>
      </c>
      <c r="B652" s="12">
        <v>2014</v>
      </c>
      <c r="C652" s="12" t="s">
        <v>66</v>
      </c>
      <c r="D652" s="12" t="s">
        <v>111</v>
      </c>
      <c r="E652" s="12">
        <v>1972937</v>
      </c>
    </row>
    <row r="653" spans="1:5">
      <c r="A653" s="12" t="s">
        <v>745</v>
      </c>
      <c r="B653" s="12">
        <v>2014</v>
      </c>
      <c r="C653" s="12" t="s">
        <v>78</v>
      </c>
      <c r="D653" s="12" t="s">
        <v>109</v>
      </c>
      <c r="E653" s="12">
        <v>1987046</v>
      </c>
    </row>
    <row r="654" spans="1:5">
      <c r="A654" s="12" t="s">
        <v>746</v>
      </c>
      <c r="B654" s="12">
        <v>2014</v>
      </c>
      <c r="C654" s="12" t="s">
        <v>69</v>
      </c>
      <c r="D654" s="12" t="s">
        <v>46</v>
      </c>
      <c r="E654" s="12">
        <v>1996887</v>
      </c>
    </row>
    <row r="655" spans="1:5">
      <c r="A655" s="12" t="s">
        <v>747</v>
      </c>
      <c r="B655" s="12">
        <v>2014</v>
      </c>
      <c r="C655" s="12" t="s">
        <v>66</v>
      </c>
      <c r="D655" s="12" t="s">
        <v>109</v>
      </c>
      <c r="E655" s="12">
        <v>2092347</v>
      </c>
    </row>
    <row r="656" spans="1:5">
      <c r="A656" s="12" t="s">
        <v>748</v>
      </c>
      <c r="B656" s="12">
        <v>2014</v>
      </c>
      <c r="C656" s="12" t="s">
        <v>74</v>
      </c>
      <c r="D656" s="12" t="s">
        <v>89</v>
      </c>
      <c r="E656" s="12">
        <v>2100834</v>
      </c>
    </row>
    <row r="657" spans="1:5">
      <c r="A657" s="12" t="s">
        <v>749</v>
      </c>
      <c r="B657" s="12">
        <v>2014</v>
      </c>
      <c r="C657" s="12" t="s">
        <v>69</v>
      </c>
      <c r="D657" s="12" t="s">
        <v>118</v>
      </c>
      <c r="E657" s="12">
        <v>2114593</v>
      </c>
    </row>
    <row r="658" spans="1:5">
      <c r="A658" s="12" t="s">
        <v>750</v>
      </c>
      <c r="B658" s="12">
        <v>2014</v>
      </c>
      <c r="C658" s="12" t="s">
        <v>64</v>
      </c>
      <c r="D658" s="12" t="s">
        <v>54</v>
      </c>
      <c r="E658" s="12">
        <v>2150971</v>
      </c>
    </row>
    <row r="659" spans="1:5">
      <c r="A659" s="12" t="s">
        <v>751</v>
      </c>
      <c r="B659" s="12">
        <v>2014</v>
      </c>
      <c r="C659" s="12" t="s">
        <v>69</v>
      </c>
      <c r="D659" s="12" t="s">
        <v>111</v>
      </c>
      <c r="E659" s="12">
        <v>2382758</v>
      </c>
    </row>
    <row r="660" spans="1:5">
      <c r="A660" s="12" t="s">
        <v>752</v>
      </c>
      <c r="B660" s="12">
        <v>2014</v>
      </c>
      <c r="C660" s="12" t="s">
        <v>78</v>
      </c>
      <c r="D660" s="12" t="s">
        <v>89</v>
      </c>
      <c r="E660" s="12">
        <v>2508776</v>
      </c>
    </row>
    <row r="661" spans="1:5">
      <c r="A661" s="12" t="s">
        <v>753</v>
      </c>
      <c r="B661" s="12">
        <v>2014</v>
      </c>
      <c r="C661" s="12" t="s">
        <v>74</v>
      </c>
      <c r="D661" s="12" t="s">
        <v>46</v>
      </c>
      <c r="E661" s="12">
        <v>2622958</v>
      </c>
    </row>
    <row r="662" spans="1:5">
      <c r="A662" s="12" t="s">
        <v>754</v>
      </c>
      <c r="B662" s="12">
        <v>2014</v>
      </c>
      <c r="C662" s="12" t="s">
        <v>78</v>
      </c>
      <c r="D662" s="12" t="s">
        <v>46</v>
      </c>
      <c r="E662" s="12">
        <v>2875078</v>
      </c>
    </row>
    <row r="663" spans="1:5">
      <c r="A663" s="12" t="s">
        <v>755</v>
      </c>
      <c r="B663" s="12">
        <v>2014</v>
      </c>
      <c r="C663" s="12" t="s">
        <v>74</v>
      </c>
      <c r="D663" s="12" t="s">
        <v>102</v>
      </c>
      <c r="E663" s="12">
        <v>3079612</v>
      </c>
    </row>
    <row r="664" spans="1:5">
      <c r="A664" s="12" t="s">
        <v>756</v>
      </c>
      <c r="B664" s="12">
        <v>2014</v>
      </c>
      <c r="C664" s="12" t="s">
        <v>69</v>
      </c>
      <c r="D664" s="12" t="s">
        <v>122</v>
      </c>
      <c r="E664" s="12">
        <v>3778545</v>
      </c>
    </row>
    <row r="665" spans="1:5">
      <c r="A665" s="12" t="s">
        <v>757</v>
      </c>
      <c r="B665" s="12">
        <v>2014</v>
      </c>
      <c r="C665" s="12" t="s">
        <v>66</v>
      </c>
      <c r="D665" s="12" t="s">
        <v>122</v>
      </c>
      <c r="E665" s="12">
        <v>4250565</v>
      </c>
    </row>
    <row r="666" spans="1:5">
      <c r="A666" s="12" t="s">
        <v>758</v>
      </c>
      <c r="B666" s="12">
        <v>2014</v>
      </c>
      <c r="C666" s="12" t="s">
        <v>78</v>
      </c>
      <c r="D666" s="12" t="s">
        <v>118</v>
      </c>
      <c r="E666" s="12">
        <v>4443042</v>
      </c>
    </row>
    <row r="667" spans="1:5">
      <c r="A667" s="12" t="s">
        <v>759</v>
      </c>
      <c r="B667" s="12">
        <v>2014</v>
      </c>
      <c r="C667" s="12" t="s">
        <v>64</v>
      </c>
      <c r="D667" s="12" t="s">
        <v>50</v>
      </c>
      <c r="E667" s="12">
        <v>4559539</v>
      </c>
    </row>
    <row r="668" spans="1:5">
      <c r="A668" s="12" t="s">
        <v>760</v>
      </c>
      <c r="B668" s="12">
        <v>2014</v>
      </c>
      <c r="C668" s="12" t="s">
        <v>64</v>
      </c>
      <c r="D668" s="12" t="s">
        <v>109</v>
      </c>
      <c r="E668" s="12">
        <v>5327242</v>
      </c>
    </row>
    <row r="669" spans="1:5">
      <c r="A669" s="12" t="s">
        <v>761</v>
      </c>
      <c r="B669" s="12">
        <v>2014</v>
      </c>
      <c r="C669" s="12" t="s">
        <v>78</v>
      </c>
      <c r="D669" s="12" t="s">
        <v>111</v>
      </c>
      <c r="E669" s="12">
        <v>5527054</v>
      </c>
    </row>
    <row r="670" spans="1:5">
      <c r="A670" s="12" t="s">
        <v>762</v>
      </c>
      <c r="B670" s="12">
        <v>2014</v>
      </c>
      <c r="C670" s="12" t="s">
        <v>78</v>
      </c>
      <c r="D670" s="12" t="s">
        <v>105</v>
      </c>
      <c r="E670" s="12">
        <v>6175009</v>
      </c>
    </row>
    <row r="671" spans="1:5">
      <c r="A671" s="12" t="s">
        <v>763</v>
      </c>
      <c r="B671" s="12">
        <v>2014</v>
      </c>
      <c r="C671" s="12" t="s">
        <v>69</v>
      </c>
      <c r="D671" s="12" t="s">
        <v>91</v>
      </c>
      <c r="E671" s="12">
        <v>6275251</v>
      </c>
    </row>
    <row r="672" spans="1:5">
      <c r="A672" s="12" t="s">
        <v>764</v>
      </c>
      <c r="B672" s="12">
        <v>2014</v>
      </c>
      <c r="C672" s="12" t="s">
        <v>69</v>
      </c>
      <c r="D672" s="12" t="s">
        <v>124</v>
      </c>
      <c r="E672" s="12">
        <v>6440372</v>
      </c>
    </row>
    <row r="673" spans="1:5">
      <c r="A673" s="12" t="s">
        <v>765</v>
      </c>
      <c r="B673" s="12">
        <v>2014</v>
      </c>
      <c r="C673" s="12" t="s">
        <v>66</v>
      </c>
      <c r="D673" s="12" t="s">
        <v>91</v>
      </c>
      <c r="E673" s="12">
        <v>6827043</v>
      </c>
    </row>
    <row r="674" spans="1:5">
      <c r="A674" s="12" t="s">
        <v>766</v>
      </c>
      <c r="B674" s="12">
        <v>2014</v>
      </c>
      <c r="C674" s="12" t="s">
        <v>69</v>
      </c>
      <c r="D674" s="12" t="s">
        <v>100</v>
      </c>
      <c r="E674" s="12">
        <v>6937997</v>
      </c>
    </row>
    <row r="675" spans="1:5">
      <c r="A675" s="12" t="s">
        <v>767</v>
      </c>
      <c r="B675" s="12">
        <v>2014</v>
      </c>
      <c r="C675" s="12" t="s">
        <v>64</v>
      </c>
      <c r="D675" s="12" t="s">
        <v>89</v>
      </c>
      <c r="E675" s="12">
        <v>6961974</v>
      </c>
    </row>
    <row r="676" spans="1:5">
      <c r="A676" s="12" t="s">
        <v>768</v>
      </c>
      <c r="B676" s="12">
        <v>2014</v>
      </c>
      <c r="C676" s="12" t="s">
        <v>66</v>
      </c>
      <c r="D676" s="12" t="s">
        <v>124</v>
      </c>
      <c r="E676" s="12">
        <v>7069581</v>
      </c>
    </row>
    <row r="677" spans="1:5">
      <c r="A677" s="12" t="s">
        <v>769</v>
      </c>
      <c r="B677" s="12">
        <v>2014</v>
      </c>
      <c r="C677" s="12" t="s">
        <v>66</v>
      </c>
      <c r="D677" s="12" t="s">
        <v>100</v>
      </c>
      <c r="E677" s="12">
        <v>7442138</v>
      </c>
    </row>
    <row r="678" spans="1:5">
      <c r="A678" s="12" t="s">
        <v>770</v>
      </c>
      <c r="B678" s="12">
        <v>2014</v>
      </c>
      <c r="C678" s="12" t="s">
        <v>69</v>
      </c>
      <c r="D678" s="12" t="s">
        <v>102</v>
      </c>
      <c r="E678" s="12">
        <v>8274666</v>
      </c>
    </row>
    <row r="679" spans="1:5">
      <c r="A679" s="12" t="s">
        <v>771</v>
      </c>
      <c r="B679" s="12">
        <v>2014</v>
      </c>
      <c r="C679" s="12" t="s">
        <v>64</v>
      </c>
      <c r="D679" s="12" t="s">
        <v>105</v>
      </c>
      <c r="E679" s="12">
        <v>9154985</v>
      </c>
    </row>
    <row r="680" spans="1:5">
      <c r="A680" s="12" t="s">
        <v>772</v>
      </c>
      <c r="B680" s="12">
        <v>2014</v>
      </c>
      <c r="C680" s="12" t="s">
        <v>64</v>
      </c>
      <c r="D680" s="12" t="s">
        <v>46</v>
      </c>
      <c r="E680" s="12">
        <v>9239712</v>
      </c>
    </row>
    <row r="681" spans="1:5">
      <c r="A681" s="12" t="s">
        <v>773</v>
      </c>
      <c r="B681" s="12">
        <v>2014</v>
      </c>
      <c r="C681" s="12" t="s">
        <v>66</v>
      </c>
      <c r="D681" s="12" t="s">
        <v>102</v>
      </c>
      <c r="E681" s="12">
        <v>9409122</v>
      </c>
    </row>
    <row r="682" spans="1:5">
      <c r="A682" s="12" t="s">
        <v>774</v>
      </c>
      <c r="B682" s="12">
        <v>2014</v>
      </c>
      <c r="C682" s="12" t="s">
        <v>64</v>
      </c>
      <c r="D682" s="12" t="s">
        <v>122</v>
      </c>
      <c r="E682" s="12">
        <v>9425799</v>
      </c>
    </row>
    <row r="683" spans="1:5">
      <c r="A683" s="12" t="s">
        <v>775</v>
      </c>
      <c r="B683" s="12">
        <v>2014</v>
      </c>
      <c r="C683" s="12" t="s">
        <v>64</v>
      </c>
      <c r="D683" s="12" t="s">
        <v>118</v>
      </c>
      <c r="E683" s="12">
        <v>9583471</v>
      </c>
    </row>
    <row r="684" spans="1:5">
      <c r="A684" s="12" t="s">
        <v>776</v>
      </c>
      <c r="B684" s="12">
        <v>2014</v>
      </c>
      <c r="C684" s="12" t="s">
        <v>64</v>
      </c>
      <c r="D684" s="12" t="s">
        <v>111</v>
      </c>
      <c r="E684" s="12">
        <v>11448956</v>
      </c>
    </row>
    <row r="685" spans="1:5">
      <c r="A685" s="12" t="s">
        <v>777</v>
      </c>
      <c r="B685" s="12">
        <v>2014</v>
      </c>
      <c r="C685" s="12" t="s">
        <v>78</v>
      </c>
      <c r="D685" s="12" t="s">
        <v>91</v>
      </c>
      <c r="E685" s="12">
        <v>12394945</v>
      </c>
    </row>
    <row r="686" spans="1:5">
      <c r="A686" s="12" t="s">
        <v>778</v>
      </c>
      <c r="B686" s="12">
        <v>2014</v>
      </c>
      <c r="C686" s="12" t="s">
        <v>74</v>
      </c>
      <c r="D686" s="12" t="s">
        <v>91</v>
      </c>
      <c r="E686" s="12">
        <v>12755005</v>
      </c>
    </row>
    <row r="687" spans="1:5">
      <c r="A687" s="12" t="s">
        <v>779</v>
      </c>
      <c r="B687" s="12">
        <v>2014</v>
      </c>
      <c r="C687" s="12" t="s">
        <v>74</v>
      </c>
      <c r="D687" s="12" t="s">
        <v>124</v>
      </c>
      <c r="E687" s="12">
        <v>12870432</v>
      </c>
    </row>
    <row r="688" spans="1:5">
      <c r="A688" s="12" t="s">
        <v>780</v>
      </c>
      <c r="B688" s="12">
        <v>2014</v>
      </c>
      <c r="C688" s="12" t="s">
        <v>74</v>
      </c>
      <c r="D688" s="12" t="s">
        <v>100</v>
      </c>
      <c r="E688" s="12">
        <v>13013295</v>
      </c>
    </row>
    <row r="689" spans="1:5">
      <c r="A689" s="12" t="s">
        <v>781</v>
      </c>
      <c r="B689" s="12">
        <v>2014</v>
      </c>
      <c r="C689" s="12" t="s">
        <v>78</v>
      </c>
      <c r="D689" s="12" t="s">
        <v>124</v>
      </c>
      <c r="E689" s="12">
        <v>13549258</v>
      </c>
    </row>
    <row r="690" spans="1:5">
      <c r="A690" s="12" t="s">
        <v>782</v>
      </c>
      <c r="B690" s="12">
        <v>2014</v>
      </c>
      <c r="C690" s="12" t="s">
        <v>78</v>
      </c>
      <c r="D690" s="12" t="s">
        <v>100</v>
      </c>
      <c r="E690" s="12">
        <v>13799789</v>
      </c>
    </row>
    <row r="691" spans="1:5">
      <c r="A691" s="12" t="s">
        <v>783</v>
      </c>
      <c r="B691" s="12">
        <v>2014</v>
      </c>
      <c r="C691" s="12" t="s">
        <v>69</v>
      </c>
      <c r="D691" s="12" t="s">
        <v>107</v>
      </c>
      <c r="E691" s="12">
        <v>15212663</v>
      </c>
    </row>
    <row r="692" spans="1:5">
      <c r="A692" s="12" t="s">
        <v>784</v>
      </c>
      <c r="B692" s="12">
        <v>2014</v>
      </c>
      <c r="C692" s="12" t="s">
        <v>74</v>
      </c>
      <c r="D692" s="12" t="s">
        <v>107</v>
      </c>
      <c r="E692" s="12">
        <v>16092906</v>
      </c>
    </row>
    <row r="693" spans="1:5">
      <c r="A693" s="12" t="s">
        <v>785</v>
      </c>
      <c r="B693" s="12">
        <v>2014</v>
      </c>
      <c r="C693" s="12" t="s">
        <v>78</v>
      </c>
      <c r="D693" s="12" t="s">
        <v>102</v>
      </c>
      <c r="E693" s="12">
        <v>16097940</v>
      </c>
    </row>
    <row r="694" spans="1:5">
      <c r="A694" s="12" t="s">
        <v>786</v>
      </c>
      <c r="B694" s="12">
        <v>2014</v>
      </c>
      <c r="C694" s="12" t="s">
        <v>66</v>
      </c>
      <c r="D694" s="12" t="s">
        <v>107</v>
      </c>
      <c r="E694" s="12">
        <v>16851260</v>
      </c>
    </row>
    <row r="695" spans="1:5">
      <c r="A695" s="12" t="s">
        <v>787</v>
      </c>
      <c r="B695" s="12">
        <v>2014</v>
      </c>
      <c r="C695" s="12" t="s">
        <v>78</v>
      </c>
      <c r="D695" s="12" t="s">
        <v>107</v>
      </c>
      <c r="E695" s="12">
        <v>29897729</v>
      </c>
    </row>
    <row r="696" spans="1:5">
      <c r="A696" s="12" t="s">
        <v>788</v>
      </c>
      <c r="B696" s="12">
        <v>2014</v>
      </c>
      <c r="C696" s="12" t="s">
        <v>64</v>
      </c>
      <c r="D696" s="12" t="s">
        <v>102</v>
      </c>
      <c r="E696" s="12">
        <v>36861339</v>
      </c>
    </row>
    <row r="697" spans="1:5">
      <c r="A697" s="12" t="s">
        <v>789</v>
      </c>
      <c r="B697" s="12">
        <v>2014</v>
      </c>
      <c r="C697" s="12" t="s">
        <v>64</v>
      </c>
      <c r="D697" s="12" t="s">
        <v>91</v>
      </c>
      <c r="E697" s="12">
        <v>38252240</v>
      </c>
    </row>
    <row r="698" spans="1:5">
      <c r="A698" s="12" t="s">
        <v>790</v>
      </c>
      <c r="B698" s="12">
        <v>2014</v>
      </c>
      <c r="C698" s="12" t="s">
        <v>64</v>
      </c>
      <c r="D698" s="12" t="s">
        <v>124</v>
      </c>
      <c r="E698" s="12">
        <v>39929642</v>
      </c>
    </row>
    <row r="699" spans="1:5">
      <c r="A699" s="12" t="s">
        <v>791</v>
      </c>
      <c r="B699" s="12">
        <v>2014</v>
      </c>
      <c r="C699" s="12" t="s">
        <v>64</v>
      </c>
      <c r="D699" s="12" t="s">
        <v>100</v>
      </c>
      <c r="E699" s="12">
        <v>41193217</v>
      </c>
    </row>
    <row r="700" spans="1:5">
      <c r="A700" s="12" t="s">
        <v>792</v>
      </c>
      <c r="B700" s="12">
        <v>2014</v>
      </c>
      <c r="C700" s="12" t="s">
        <v>64</v>
      </c>
      <c r="D700" s="12" t="s">
        <v>107</v>
      </c>
      <c r="E700" s="12">
        <v>78054556</v>
      </c>
    </row>
    <row r="701" spans="1:5">
      <c r="A701" s="12" t="s">
        <v>793</v>
      </c>
      <c r="B701" s="12">
        <v>2014</v>
      </c>
      <c r="C701" s="12" t="s">
        <v>64</v>
      </c>
      <c r="D701" s="12" t="s">
        <v>70</v>
      </c>
    </row>
    <row r="702" spans="1:5">
      <c r="A702" s="12" t="s">
        <v>794</v>
      </c>
      <c r="B702" s="12">
        <v>2014</v>
      </c>
      <c r="C702" s="12" t="s">
        <v>69</v>
      </c>
      <c r="D702" s="12" t="s">
        <v>70</v>
      </c>
    </row>
    <row r="703" spans="1:5">
      <c r="A703" s="12" t="s">
        <v>795</v>
      </c>
      <c r="B703" s="12">
        <v>2014</v>
      </c>
      <c r="C703" s="12" t="s">
        <v>74</v>
      </c>
      <c r="D703" s="12" t="s">
        <v>70</v>
      </c>
    </row>
    <row r="704" spans="1:5">
      <c r="A704" s="12" t="s">
        <v>796</v>
      </c>
      <c r="B704" s="12">
        <v>2014</v>
      </c>
      <c r="C704" s="12" t="s">
        <v>78</v>
      </c>
      <c r="D704" s="12" t="s">
        <v>70</v>
      </c>
    </row>
    <row r="705" spans="1:4">
      <c r="A705" s="12" t="s">
        <v>797</v>
      </c>
      <c r="B705" s="12">
        <v>2014</v>
      </c>
      <c r="C705" s="12" t="s">
        <v>66</v>
      </c>
      <c r="D705" s="12" t="s">
        <v>70</v>
      </c>
    </row>
    <row r="706" spans="1:4">
      <c r="A706" s="12" t="s">
        <v>798</v>
      </c>
      <c r="B706" s="12">
        <v>2014</v>
      </c>
      <c r="C706" s="12" t="s">
        <v>78</v>
      </c>
      <c r="D706" s="12" t="s">
        <v>87</v>
      </c>
    </row>
    <row r="707" spans="1:4">
      <c r="A707" s="12" t="s">
        <v>799</v>
      </c>
      <c r="B707" s="12">
        <v>2014</v>
      </c>
      <c r="C707" s="12" t="s">
        <v>64</v>
      </c>
      <c r="D707" s="12" t="s">
        <v>67</v>
      </c>
    </row>
    <row r="708" spans="1:4">
      <c r="A708" s="12" t="s">
        <v>800</v>
      </c>
      <c r="B708" s="12">
        <v>2014</v>
      </c>
      <c r="C708" s="12" t="s">
        <v>69</v>
      </c>
      <c r="D708" s="12" t="s">
        <v>67</v>
      </c>
    </row>
    <row r="709" spans="1:4">
      <c r="A709" s="12" t="s">
        <v>801</v>
      </c>
      <c r="B709" s="12">
        <v>2014</v>
      </c>
      <c r="C709" s="12" t="s">
        <v>74</v>
      </c>
      <c r="D709" s="12" t="s">
        <v>67</v>
      </c>
    </row>
    <row r="710" spans="1:4">
      <c r="A710" s="12" t="s">
        <v>802</v>
      </c>
      <c r="B710" s="12">
        <v>2014</v>
      </c>
      <c r="C710" s="12" t="s">
        <v>78</v>
      </c>
      <c r="D710" s="12" t="s">
        <v>67</v>
      </c>
    </row>
    <row r="711" spans="1:4">
      <c r="A711" s="12" t="s">
        <v>803</v>
      </c>
      <c r="B711" s="12">
        <v>2014</v>
      </c>
      <c r="C711" s="12" t="s">
        <v>66</v>
      </c>
      <c r="D711" s="12" t="s">
        <v>67</v>
      </c>
    </row>
    <row r="712" spans="1:4">
      <c r="A712" s="12" t="s">
        <v>804</v>
      </c>
      <c r="B712" s="12">
        <v>2014</v>
      </c>
      <c r="C712" s="12" t="s">
        <v>64</v>
      </c>
      <c r="D712" s="12" t="s">
        <v>41</v>
      </c>
    </row>
    <row r="713" spans="1:4">
      <c r="A713" s="12" t="s">
        <v>805</v>
      </c>
      <c r="B713" s="12">
        <v>2014</v>
      </c>
      <c r="C713" s="12" t="s">
        <v>69</v>
      </c>
      <c r="D713" s="12" t="s">
        <v>41</v>
      </c>
    </row>
    <row r="714" spans="1:4">
      <c r="A714" s="12" t="s">
        <v>806</v>
      </c>
      <c r="B714" s="12">
        <v>2014</v>
      </c>
      <c r="C714" s="12" t="s">
        <v>74</v>
      </c>
      <c r="D714" s="12" t="s">
        <v>41</v>
      </c>
    </row>
    <row r="715" spans="1:4">
      <c r="A715" s="12" t="s">
        <v>807</v>
      </c>
      <c r="B715" s="12">
        <v>2014</v>
      </c>
      <c r="C715" s="12" t="s">
        <v>78</v>
      </c>
      <c r="D715" s="12" t="s">
        <v>41</v>
      </c>
    </row>
    <row r="716" spans="1:4">
      <c r="A716" s="12" t="s">
        <v>808</v>
      </c>
      <c r="B716" s="12">
        <v>2014</v>
      </c>
      <c r="C716" s="12" t="s">
        <v>66</v>
      </c>
      <c r="D716" s="12" t="s">
        <v>41</v>
      </c>
    </row>
    <row r="717" spans="1:4">
      <c r="A717" s="12" t="s">
        <v>809</v>
      </c>
      <c r="B717" s="12">
        <v>2014</v>
      </c>
      <c r="C717" s="12" t="s">
        <v>64</v>
      </c>
      <c r="D717" s="12" t="s">
        <v>82</v>
      </c>
    </row>
    <row r="718" spans="1:4">
      <c r="A718" s="12" t="s">
        <v>810</v>
      </c>
      <c r="B718" s="12">
        <v>2014</v>
      </c>
      <c r="C718" s="12" t="s">
        <v>69</v>
      </c>
      <c r="D718" s="12" t="s">
        <v>82</v>
      </c>
    </row>
    <row r="719" spans="1:4">
      <c r="A719" s="12" t="s">
        <v>811</v>
      </c>
      <c r="B719" s="12">
        <v>2014</v>
      </c>
      <c r="C719" s="12" t="s">
        <v>74</v>
      </c>
      <c r="D719" s="12" t="s">
        <v>82</v>
      </c>
    </row>
    <row r="720" spans="1:4">
      <c r="A720" s="12" t="s">
        <v>812</v>
      </c>
      <c r="B720" s="12">
        <v>2014</v>
      </c>
      <c r="C720" s="12" t="s">
        <v>78</v>
      </c>
      <c r="D720" s="12" t="s">
        <v>82</v>
      </c>
    </row>
    <row r="721" spans="1:5">
      <c r="A721" s="12" t="s">
        <v>813</v>
      </c>
      <c r="B721" s="12">
        <v>2014</v>
      </c>
      <c r="C721" s="12" t="s">
        <v>66</v>
      </c>
      <c r="D721" s="12" t="s">
        <v>82</v>
      </c>
    </row>
    <row r="722" spans="1:5">
      <c r="A722" s="12" t="s">
        <v>814</v>
      </c>
      <c r="B722" s="12">
        <v>2014</v>
      </c>
      <c r="C722" s="12" t="s">
        <v>64</v>
      </c>
      <c r="D722" s="12" t="s">
        <v>34</v>
      </c>
    </row>
    <row r="723" spans="1:5">
      <c r="A723" s="12" t="s">
        <v>815</v>
      </c>
      <c r="B723" s="12">
        <v>2014</v>
      </c>
      <c r="C723" s="12" t="s">
        <v>69</v>
      </c>
      <c r="D723" s="12" t="s">
        <v>34</v>
      </c>
    </row>
    <row r="724" spans="1:5">
      <c r="A724" s="12" t="s">
        <v>816</v>
      </c>
      <c r="B724" s="12">
        <v>2014</v>
      </c>
      <c r="C724" s="12" t="s">
        <v>74</v>
      </c>
      <c r="D724" s="12" t="s">
        <v>34</v>
      </c>
    </row>
    <row r="725" spans="1:5">
      <c r="A725" s="12" t="s">
        <v>817</v>
      </c>
      <c r="B725" s="12">
        <v>2014</v>
      </c>
      <c r="C725" s="12" t="s">
        <v>78</v>
      </c>
      <c r="D725" s="12" t="s">
        <v>34</v>
      </c>
    </row>
    <row r="726" spans="1:5">
      <c r="A726" s="12" t="s">
        <v>818</v>
      </c>
      <c r="B726" s="12">
        <v>2014</v>
      </c>
      <c r="C726" s="12" t="s">
        <v>66</v>
      </c>
      <c r="D726" s="12" t="s">
        <v>34</v>
      </c>
    </row>
    <row r="727" spans="1:5">
      <c r="A727" s="12" t="s">
        <v>819</v>
      </c>
      <c r="B727" s="12">
        <v>2015</v>
      </c>
      <c r="C727" s="12" t="s">
        <v>66</v>
      </c>
      <c r="D727" s="12" t="s">
        <v>87</v>
      </c>
      <c r="E727" s="12">
        <v>-1272</v>
      </c>
    </row>
    <row r="728" spans="1:5">
      <c r="A728" s="12" t="s">
        <v>820</v>
      </c>
      <c r="B728" s="12">
        <v>2015</v>
      </c>
      <c r="C728" s="12" t="s">
        <v>74</v>
      </c>
      <c r="D728" s="12" t="s">
        <v>87</v>
      </c>
      <c r="E728" s="12">
        <v>-303</v>
      </c>
    </row>
    <row r="729" spans="1:5">
      <c r="A729" s="12" t="s">
        <v>821</v>
      </c>
      <c r="B729" s="12">
        <v>2015</v>
      </c>
      <c r="C729" s="12" t="s">
        <v>78</v>
      </c>
      <c r="D729" s="12" t="s">
        <v>87</v>
      </c>
      <c r="E729" s="12">
        <v>536</v>
      </c>
    </row>
    <row r="730" spans="1:5">
      <c r="A730" s="12" t="s">
        <v>822</v>
      </c>
      <c r="B730" s="12">
        <v>2015</v>
      </c>
      <c r="C730" s="12" t="s">
        <v>64</v>
      </c>
      <c r="D730" s="12" t="s">
        <v>87</v>
      </c>
      <c r="E730" s="12">
        <v>2324</v>
      </c>
    </row>
    <row r="731" spans="1:5">
      <c r="A731" s="12" t="s">
        <v>823</v>
      </c>
      <c r="B731" s="12">
        <v>2015</v>
      </c>
      <c r="C731" s="12" t="s">
        <v>69</v>
      </c>
      <c r="D731" s="12" t="s">
        <v>87</v>
      </c>
      <c r="E731" s="12">
        <v>3362</v>
      </c>
    </row>
    <row r="732" spans="1:5">
      <c r="A732" s="12" t="s">
        <v>824</v>
      </c>
      <c r="B732" s="12">
        <v>2015</v>
      </c>
      <c r="C732" s="12" t="s">
        <v>78</v>
      </c>
      <c r="D732" s="12" t="s">
        <v>113</v>
      </c>
      <c r="E732" s="12">
        <v>25301</v>
      </c>
    </row>
    <row r="733" spans="1:5">
      <c r="A733" s="12" t="s">
        <v>825</v>
      </c>
      <c r="B733" s="12">
        <v>2015</v>
      </c>
      <c r="C733" s="12" t="s">
        <v>74</v>
      </c>
      <c r="D733" s="12" t="s">
        <v>104</v>
      </c>
      <c r="E733" s="12">
        <v>45062</v>
      </c>
    </row>
    <row r="734" spans="1:5">
      <c r="A734" s="12" t="s">
        <v>826</v>
      </c>
      <c r="B734" s="12">
        <v>2015</v>
      </c>
      <c r="C734" s="12" t="s">
        <v>66</v>
      </c>
      <c r="D734" s="12" t="s">
        <v>37</v>
      </c>
      <c r="E734" s="12">
        <v>46895</v>
      </c>
    </row>
    <row r="735" spans="1:5">
      <c r="A735" s="12" t="s">
        <v>827</v>
      </c>
      <c r="B735" s="12">
        <v>2015</v>
      </c>
      <c r="C735" s="12" t="s">
        <v>74</v>
      </c>
      <c r="D735" s="12" t="s">
        <v>113</v>
      </c>
      <c r="E735" s="12">
        <v>48116</v>
      </c>
    </row>
    <row r="736" spans="1:5">
      <c r="A736" s="12" t="s">
        <v>828</v>
      </c>
      <c r="B736" s="12">
        <v>2015</v>
      </c>
      <c r="C736" s="12" t="s">
        <v>69</v>
      </c>
      <c r="D736" s="12" t="s">
        <v>48</v>
      </c>
      <c r="E736" s="12">
        <v>49859</v>
      </c>
    </row>
    <row r="737" spans="1:5">
      <c r="A737" s="12" t="s">
        <v>829</v>
      </c>
      <c r="B737" s="12">
        <v>2015</v>
      </c>
      <c r="C737" s="12" t="s">
        <v>69</v>
      </c>
      <c r="D737" s="12" t="s">
        <v>37</v>
      </c>
      <c r="E737" s="12">
        <v>63421</v>
      </c>
    </row>
    <row r="738" spans="1:5">
      <c r="A738" s="12" t="s">
        <v>830</v>
      </c>
      <c r="B738" s="12">
        <v>2015</v>
      </c>
      <c r="C738" s="12" t="s">
        <v>69</v>
      </c>
      <c r="D738" s="12" t="s">
        <v>98</v>
      </c>
      <c r="E738" s="12">
        <v>95886</v>
      </c>
    </row>
    <row r="739" spans="1:5">
      <c r="A739" s="12" t="s">
        <v>831</v>
      </c>
      <c r="B739" s="12">
        <v>2015</v>
      </c>
      <c r="C739" s="12" t="s">
        <v>66</v>
      </c>
      <c r="D739" s="12" t="s">
        <v>48</v>
      </c>
      <c r="E739" s="12">
        <v>116265</v>
      </c>
    </row>
    <row r="740" spans="1:5">
      <c r="A740" s="12" t="s">
        <v>832</v>
      </c>
      <c r="B740" s="12">
        <v>2015</v>
      </c>
      <c r="C740" s="12" t="s">
        <v>74</v>
      </c>
      <c r="D740" s="12" t="s">
        <v>93</v>
      </c>
      <c r="E740" s="12">
        <v>135068</v>
      </c>
    </row>
    <row r="741" spans="1:5">
      <c r="A741" s="12" t="s">
        <v>833</v>
      </c>
      <c r="B741" s="12">
        <v>2015</v>
      </c>
      <c r="C741" s="12" t="s">
        <v>74</v>
      </c>
      <c r="D741" s="12" t="s">
        <v>37</v>
      </c>
      <c r="E741" s="12">
        <v>135752</v>
      </c>
    </row>
    <row r="742" spans="1:5">
      <c r="A742" s="12" t="s">
        <v>834</v>
      </c>
      <c r="B742" s="12">
        <v>2015</v>
      </c>
      <c r="C742" s="12" t="s">
        <v>74</v>
      </c>
      <c r="D742" s="12" t="s">
        <v>96</v>
      </c>
      <c r="E742" s="12">
        <v>143549</v>
      </c>
    </row>
    <row r="743" spans="1:5">
      <c r="A743" s="12" t="s">
        <v>835</v>
      </c>
      <c r="B743" s="12">
        <v>2015</v>
      </c>
      <c r="C743" s="12" t="s">
        <v>66</v>
      </c>
      <c r="D743" s="12" t="s">
        <v>96</v>
      </c>
      <c r="E743" s="12">
        <v>145582</v>
      </c>
    </row>
    <row r="744" spans="1:5">
      <c r="A744" s="12" t="s">
        <v>836</v>
      </c>
      <c r="B744" s="12">
        <v>2015</v>
      </c>
      <c r="C744" s="12" t="s">
        <v>69</v>
      </c>
      <c r="D744" s="12" t="s">
        <v>39</v>
      </c>
      <c r="E744" s="12">
        <v>147652</v>
      </c>
    </row>
    <row r="745" spans="1:5">
      <c r="A745" s="12" t="s">
        <v>837</v>
      </c>
      <c r="B745" s="12">
        <v>2015</v>
      </c>
      <c r="C745" s="12" t="s">
        <v>69</v>
      </c>
      <c r="D745" s="12" t="s">
        <v>93</v>
      </c>
      <c r="E745" s="12">
        <v>157432</v>
      </c>
    </row>
    <row r="746" spans="1:5">
      <c r="A746" s="12" t="s">
        <v>838</v>
      </c>
      <c r="B746" s="12">
        <v>2015</v>
      </c>
      <c r="C746" s="12" t="s">
        <v>74</v>
      </c>
      <c r="D746" s="12" t="s">
        <v>122</v>
      </c>
      <c r="E746" s="12">
        <v>158277</v>
      </c>
    </row>
    <row r="747" spans="1:5">
      <c r="A747" s="12" t="s">
        <v>839</v>
      </c>
      <c r="B747" s="12">
        <v>2015</v>
      </c>
      <c r="C747" s="12" t="s">
        <v>78</v>
      </c>
      <c r="D747" s="12" t="s">
        <v>48</v>
      </c>
      <c r="E747" s="12">
        <v>182010</v>
      </c>
    </row>
    <row r="748" spans="1:5">
      <c r="A748" s="12" t="s">
        <v>840</v>
      </c>
      <c r="B748" s="12">
        <v>2015</v>
      </c>
      <c r="C748" s="12" t="s">
        <v>66</v>
      </c>
      <c r="D748" s="12" t="s">
        <v>98</v>
      </c>
      <c r="E748" s="12">
        <v>185604</v>
      </c>
    </row>
    <row r="749" spans="1:5">
      <c r="A749" s="12" t="s">
        <v>841</v>
      </c>
      <c r="B749" s="12">
        <v>2015</v>
      </c>
      <c r="C749" s="12" t="s">
        <v>74</v>
      </c>
      <c r="D749" s="12" t="s">
        <v>48</v>
      </c>
      <c r="E749" s="12">
        <v>205530</v>
      </c>
    </row>
    <row r="750" spans="1:5">
      <c r="A750" s="12" t="s">
        <v>842</v>
      </c>
      <c r="B750" s="12">
        <v>2015</v>
      </c>
      <c r="C750" s="12" t="s">
        <v>69</v>
      </c>
      <c r="D750" s="12" t="s">
        <v>85</v>
      </c>
      <c r="E750" s="12">
        <v>211073</v>
      </c>
    </row>
    <row r="751" spans="1:5">
      <c r="A751" s="12" t="s">
        <v>843</v>
      </c>
      <c r="B751" s="12">
        <v>2015</v>
      </c>
      <c r="C751" s="12" t="s">
        <v>66</v>
      </c>
      <c r="D751" s="12" t="s">
        <v>93</v>
      </c>
      <c r="E751" s="12">
        <v>220748</v>
      </c>
    </row>
    <row r="752" spans="1:5">
      <c r="A752" s="12" t="s">
        <v>844</v>
      </c>
      <c r="B752" s="12">
        <v>2015</v>
      </c>
      <c r="C752" s="12" t="s">
        <v>78</v>
      </c>
      <c r="D752" s="12" t="s">
        <v>104</v>
      </c>
      <c r="E752" s="12">
        <v>227257</v>
      </c>
    </row>
    <row r="753" spans="1:5">
      <c r="A753" s="12" t="s">
        <v>845</v>
      </c>
      <c r="B753" s="12">
        <v>2015</v>
      </c>
      <c r="C753" s="12" t="s">
        <v>69</v>
      </c>
      <c r="D753" s="12" t="s">
        <v>113</v>
      </c>
      <c r="E753" s="12">
        <v>316488</v>
      </c>
    </row>
    <row r="754" spans="1:5">
      <c r="A754" s="12" t="s">
        <v>846</v>
      </c>
      <c r="B754" s="12">
        <v>2015</v>
      </c>
      <c r="C754" s="12" t="s">
        <v>69</v>
      </c>
      <c r="D754" s="12" t="s">
        <v>104</v>
      </c>
      <c r="E754" s="12">
        <v>355124</v>
      </c>
    </row>
    <row r="755" spans="1:5">
      <c r="A755" s="12" t="s">
        <v>847</v>
      </c>
      <c r="B755" s="12">
        <v>2015</v>
      </c>
      <c r="C755" s="12" t="s">
        <v>66</v>
      </c>
      <c r="D755" s="12" t="s">
        <v>39</v>
      </c>
      <c r="E755" s="12">
        <v>379070</v>
      </c>
    </row>
    <row r="756" spans="1:5">
      <c r="A756" s="12" t="s">
        <v>848</v>
      </c>
      <c r="B756" s="12">
        <v>2015</v>
      </c>
      <c r="C756" s="12" t="s">
        <v>66</v>
      </c>
      <c r="D756" s="12" t="s">
        <v>85</v>
      </c>
      <c r="E756" s="12">
        <v>425965</v>
      </c>
    </row>
    <row r="757" spans="1:5">
      <c r="A757" s="12" t="s">
        <v>849</v>
      </c>
      <c r="B757" s="12">
        <v>2015</v>
      </c>
      <c r="C757" s="12" t="s">
        <v>78</v>
      </c>
      <c r="D757" s="12" t="s">
        <v>37</v>
      </c>
      <c r="E757" s="12">
        <v>428778</v>
      </c>
    </row>
    <row r="758" spans="1:5">
      <c r="A758" s="12" t="s">
        <v>850</v>
      </c>
      <c r="B758" s="12">
        <v>2015</v>
      </c>
      <c r="C758" s="12" t="s">
        <v>78</v>
      </c>
      <c r="D758" s="12" t="s">
        <v>98</v>
      </c>
      <c r="E758" s="12">
        <v>438246</v>
      </c>
    </row>
    <row r="759" spans="1:5">
      <c r="A759" s="12" t="s">
        <v>851</v>
      </c>
      <c r="B759" s="12">
        <v>2015</v>
      </c>
      <c r="C759" s="12" t="s">
        <v>66</v>
      </c>
      <c r="D759" s="12" t="s">
        <v>104</v>
      </c>
      <c r="E759" s="12">
        <v>451391</v>
      </c>
    </row>
    <row r="760" spans="1:5">
      <c r="A760" s="12" t="s">
        <v>852</v>
      </c>
      <c r="B760" s="12">
        <v>2015</v>
      </c>
      <c r="C760" s="12" t="s">
        <v>74</v>
      </c>
      <c r="D760" s="12" t="s">
        <v>39</v>
      </c>
      <c r="E760" s="12">
        <v>462415</v>
      </c>
    </row>
    <row r="761" spans="1:5">
      <c r="A761" s="12" t="s">
        <v>853</v>
      </c>
      <c r="B761" s="12">
        <v>2015</v>
      </c>
      <c r="C761" s="12" t="s">
        <v>78</v>
      </c>
      <c r="D761" s="12" t="s">
        <v>39</v>
      </c>
      <c r="E761" s="12">
        <v>498173</v>
      </c>
    </row>
    <row r="762" spans="1:5">
      <c r="A762" s="12" t="s">
        <v>854</v>
      </c>
      <c r="B762" s="12">
        <v>2015</v>
      </c>
      <c r="C762" s="12" t="s">
        <v>78</v>
      </c>
      <c r="D762" s="12" t="s">
        <v>93</v>
      </c>
      <c r="E762" s="12">
        <v>503436</v>
      </c>
    </row>
    <row r="763" spans="1:5">
      <c r="A763" s="12" t="s">
        <v>855</v>
      </c>
      <c r="B763" s="12">
        <v>2015</v>
      </c>
      <c r="C763" s="12" t="s">
        <v>64</v>
      </c>
      <c r="D763" s="12" t="s">
        <v>48</v>
      </c>
      <c r="E763" s="12">
        <v>553664</v>
      </c>
    </row>
    <row r="764" spans="1:5">
      <c r="A764" s="12" t="s">
        <v>856</v>
      </c>
      <c r="B764" s="12">
        <v>2015</v>
      </c>
      <c r="C764" s="12" t="s">
        <v>74</v>
      </c>
      <c r="D764" s="12" t="s">
        <v>109</v>
      </c>
      <c r="E764" s="12">
        <v>562421</v>
      </c>
    </row>
    <row r="765" spans="1:5">
      <c r="A765" s="12" t="s">
        <v>857</v>
      </c>
      <c r="B765" s="12">
        <v>2015</v>
      </c>
      <c r="C765" s="12" t="s">
        <v>69</v>
      </c>
      <c r="D765" s="12" t="s">
        <v>96</v>
      </c>
      <c r="E765" s="12">
        <v>573155</v>
      </c>
    </row>
    <row r="766" spans="1:5">
      <c r="A766" s="12" t="s">
        <v>858</v>
      </c>
      <c r="B766" s="12">
        <v>2015</v>
      </c>
      <c r="C766" s="12" t="s">
        <v>74</v>
      </c>
      <c r="D766" s="12" t="s">
        <v>85</v>
      </c>
      <c r="E766" s="12">
        <v>598167</v>
      </c>
    </row>
    <row r="767" spans="1:5">
      <c r="A767" s="12" t="s">
        <v>859</v>
      </c>
      <c r="B767" s="12">
        <v>2015</v>
      </c>
      <c r="C767" s="12" t="s">
        <v>69</v>
      </c>
      <c r="D767" s="12" t="s">
        <v>54</v>
      </c>
      <c r="E767" s="12">
        <v>619809</v>
      </c>
    </row>
    <row r="768" spans="1:5">
      <c r="A768" s="12" t="s">
        <v>860</v>
      </c>
      <c r="B768" s="12">
        <v>2015</v>
      </c>
      <c r="C768" s="12" t="s">
        <v>74</v>
      </c>
      <c r="D768" s="12" t="s">
        <v>98</v>
      </c>
      <c r="E768" s="12">
        <v>635883</v>
      </c>
    </row>
    <row r="769" spans="1:5">
      <c r="A769" s="12" t="s">
        <v>861</v>
      </c>
      <c r="B769" s="12">
        <v>2015</v>
      </c>
      <c r="C769" s="12" t="s">
        <v>66</v>
      </c>
      <c r="D769" s="12" t="s">
        <v>54</v>
      </c>
      <c r="E769" s="12">
        <v>652468</v>
      </c>
    </row>
    <row r="770" spans="1:5">
      <c r="A770" s="12" t="s">
        <v>862</v>
      </c>
      <c r="B770" s="12">
        <v>2015</v>
      </c>
      <c r="C770" s="12" t="s">
        <v>64</v>
      </c>
      <c r="D770" s="12" t="s">
        <v>37</v>
      </c>
      <c r="E770" s="12">
        <v>674846</v>
      </c>
    </row>
    <row r="771" spans="1:5">
      <c r="A771" s="12" t="s">
        <v>863</v>
      </c>
      <c r="B771" s="12">
        <v>2015</v>
      </c>
      <c r="C771" s="12" t="s">
        <v>69</v>
      </c>
      <c r="D771" s="12" t="s">
        <v>109</v>
      </c>
      <c r="E771" s="12">
        <v>704535</v>
      </c>
    </row>
    <row r="772" spans="1:5">
      <c r="A772" s="12" t="s">
        <v>864</v>
      </c>
      <c r="B772" s="12">
        <v>2015</v>
      </c>
      <c r="C772" s="12" t="s">
        <v>78</v>
      </c>
      <c r="D772" s="12" t="s">
        <v>54</v>
      </c>
      <c r="E772" s="12">
        <v>758408</v>
      </c>
    </row>
    <row r="773" spans="1:5">
      <c r="A773" s="12" t="s">
        <v>865</v>
      </c>
      <c r="B773" s="12">
        <v>2015</v>
      </c>
      <c r="C773" s="12" t="s">
        <v>69</v>
      </c>
      <c r="D773" s="12" t="s">
        <v>50</v>
      </c>
      <c r="E773" s="12">
        <v>845200</v>
      </c>
    </row>
    <row r="774" spans="1:5">
      <c r="A774" s="12" t="s">
        <v>866</v>
      </c>
      <c r="B774" s="12">
        <v>2015</v>
      </c>
      <c r="C774" s="12" t="s">
        <v>74</v>
      </c>
      <c r="D774" s="12" t="s">
        <v>105</v>
      </c>
      <c r="E774" s="12">
        <v>865291</v>
      </c>
    </row>
    <row r="775" spans="1:5">
      <c r="A775" s="12" t="s">
        <v>867</v>
      </c>
      <c r="B775" s="12">
        <v>2015</v>
      </c>
      <c r="C775" s="12" t="s">
        <v>66</v>
      </c>
      <c r="D775" s="12" t="s">
        <v>113</v>
      </c>
      <c r="E775" s="12">
        <v>870250</v>
      </c>
    </row>
    <row r="776" spans="1:5">
      <c r="A776" s="12" t="s">
        <v>868</v>
      </c>
      <c r="B776" s="12">
        <v>2015</v>
      </c>
      <c r="C776" s="12" t="s">
        <v>78</v>
      </c>
      <c r="D776" s="12" t="s">
        <v>85</v>
      </c>
      <c r="E776" s="12">
        <v>926951</v>
      </c>
    </row>
    <row r="777" spans="1:5">
      <c r="A777" s="12" t="s">
        <v>869</v>
      </c>
      <c r="B777" s="12">
        <v>2015</v>
      </c>
      <c r="C777" s="12" t="s">
        <v>78</v>
      </c>
      <c r="D777" s="12" t="s">
        <v>122</v>
      </c>
      <c r="E777" s="12">
        <v>994057</v>
      </c>
    </row>
    <row r="778" spans="1:5">
      <c r="A778" s="12" t="s">
        <v>870</v>
      </c>
      <c r="B778" s="12">
        <v>2015</v>
      </c>
      <c r="C778" s="12" t="s">
        <v>64</v>
      </c>
      <c r="D778" s="12" t="s">
        <v>93</v>
      </c>
      <c r="E778" s="12">
        <v>1016683</v>
      </c>
    </row>
    <row r="779" spans="1:5">
      <c r="A779" s="12" t="s">
        <v>871</v>
      </c>
      <c r="B779" s="12">
        <v>2015</v>
      </c>
      <c r="C779" s="12" t="s">
        <v>64</v>
      </c>
      <c r="D779" s="12" t="s">
        <v>104</v>
      </c>
      <c r="E779" s="12">
        <v>1078834</v>
      </c>
    </row>
    <row r="780" spans="1:5">
      <c r="A780" s="12" t="s">
        <v>872</v>
      </c>
      <c r="B780" s="12">
        <v>2015</v>
      </c>
      <c r="C780" s="12" t="s">
        <v>66</v>
      </c>
      <c r="D780" s="12" t="s">
        <v>105</v>
      </c>
      <c r="E780" s="12">
        <v>1090433</v>
      </c>
    </row>
    <row r="781" spans="1:5">
      <c r="A781" s="12" t="s">
        <v>873</v>
      </c>
      <c r="B781" s="12">
        <v>2015</v>
      </c>
      <c r="C781" s="12" t="s">
        <v>74</v>
      </c>
      <c r="D781" s="12" t="s">
        <v>54</v>
      </c>
      <c r="E781" s="12">
        <v>1122804</v>
      </c>
    </row>
    <row r="782" spans="1:5">
      <c r="A782" s="12" t="s">
        <v>874</v>
      </c>
      <c r="B782" s="12">
        <v>2015</v>
      </c>
      <c r="C782" s="12" t="s">
        <v>78</v>
      </c>
      <c r="D782" s="12" t="s">
        <v>50</v>
      </c>
      <c r="E782" s="12">
        <v>1136637</v>
      </c>
    </row>
    <row r="783" spans="1:5">
      <c r="A783" s="12" t="s">
        <v>875</v>
      </c>
      <c r="B783" s="12">
        <v>2015</v>
      </c>
      <c r="C783" s="12" t="s">
        <v>69</v>
      </c>
      <c r="D783" s="12" t="s">
        <v>89</v>
      </c>
      <c r="E783" s="12">
        <v>1241372</v>
      </c>
    </row>
    <row r="784" spans="1:5">
      <c r="A784" s="12" t="s">
        <v>876</v>
      </c>
      <c r="B784" s="12">
        <v>2015</v>
      </c>
      <c r="C784" s="12" t="s">
        <v>74</v>
      </c>
      <c r="D784" s="12" t="s">
        <v>50</v>
      </c>
      <c r="E784" s="12">
        <v>1255485</v>
      </c>
    </row>
    <row r="785" spans="1:5">
      <c r="A785" s="12" t="s">
        <v>877</v>
      </c>
      <c r="B785" s="12">
        <v>2015</v>
      </c>
      <c r="C785" s="12" t="s">
        <v>64</v>
      </c>
      <c r="D785" s="12" t="s">
        <v>113</v>
      </c>
      <c r="E785" s="12">
        <v>1260154</v>
      </c>
    </row>
    <row r="786" spans="1:5">
      <c r="A786" s="12" t="s">
        <v>878</v>
      </c>
      <c r="B786" s="12">
        <v>2015</v>
      </c>
      <c r="C786" s="12" t="s">
        <v>66</v>
      </c>
      <c r="D786" s="12" t="s">
        <v>89</v>
      </c>
      <c r="E786" s="12">
        <v>1311357</v>
      </c>
    </row>
    <row r="787" spans="1:5">
      <c r="A787" s="12" t="s">
        <v>879</v>
      </c>
      <c r="B787" s="12">
        <v>2015</v>
      </c>
      <c r="C787" s="12" t="s">
        <v>78</v>
      </c>
      <c r="D787" s="12" t="s">
        <v>96</v>
      </c>
      <c r="E787" s="12">
        <v>1322193</v>
      </c>
    </row>
    <row r="788" spans="1:5">
      <c r="A788" s="12" t="s">
        <v>880</v>
      </c>
      <c r="B788" s="12">
        <v>2015</v>
      </c>
      <c r="C788" s="12" t="s">
        <v>64</v>
      </c>
      <c r="D788" s="12" t="s">
        <v>98</v>
      </c>
      <c r="E788" s="12">
        <v>1355619</v>
      </c>
    </row>
    <row r="789" spans="1:5">
      <c r="A789" s="12" t="s">
        <v>881</v>
      </c>
      <c r="B789" s="12">
        <v>2015</v>
      </c>
      <c r="C789" s="12" t="s">
        <v>66</v>
      </c>
      <c r="D789" s="12" t="s">
        <v>50</v>
      </c>
      <c r="E789" s="12">
        <v>1392122</v>
      </c>
    </row>
    <row r="790" spans="1:5">
      <c r="A790" s="12" t="s">
        <v>882</v>
      </c>
      <c r="B790" s="12">
        <v>2015</v>
      </c>
      <c r="C790" s="12" t="s">
        <v>64</v>
      </c>
      <c r="D790" s="12" t="s">
        <v>39</v>
      </c>
      <c r="E790" s="12">
        <v>1487310</v>
      </c>
    </row>
    <row r="791" spans="1:5">
      <c r="A791" s="12" t="s">
        <v>883</v>
      </c>
      <c r="B791" s="12">
        <v>2015</v>
      </c>
      <c r="C791" s="12" t="s">
        <v>69</v>
      </c>
      <c r="D791" s="12" t="s">
        <v>46</v>
      </c>
      <c r="E791" s="12">
        <v>1588730</v>
      </c>
    </row>
    <row r="792" spans="1:5">
      <c r="A792" s="12" t="s">
        <v>884</v>
      </c>
      <c r="B792" s="12">
        <v>2015</v>
      </c>
      <c r="C792" s="12" t="s">
        <v>74</v>
      </c>
      <c r="D792" s="12" t="s">
        <v>118</v>
      </c>
      <c r="E792" s="12">
        <v>1656578</v>
      </c>
    </row>
    <row r="793" spans="1:5">
      <c r="A793" s="12" t="s">
        <v>885</v>
      </c>
      <c r="B793" s="12">
        <v>2015</v>
      </c>
      <c r="C793" s="12" t="s">
        <v>66</v>
      </c>
      <c r="D793" s="12" t="s">
        <v>46</v>
      </c>
      <c r="E793" s="12">
        <v>1763105</v>
      </c>
    </row>
    <row r="794" spans="1:5">
      <c r="A794" s="12" t="s">
        <v>886</v>
      </c>
      <c r="B794" s="12">
        <v>2015</v>
      </c>
      <c r="C794" s="12" t="s">
        <v>74</v>
      </c>
      <c r="D794" s="12" t="s">
        <v>111</v>
      </c>
      <c r="E794" s="12">
        <v>1791343</v>
      </c>
    </row>
    <row r="795" spans="1:5">
      <c r="A795" s="12" t="s">
        <v>887</v>
      </c>
      <c r="B795" s="12">
        <v>2015</v>
      </c>
      <c r="C795" s="12" t="s">
        <v>69</v>
      </c>
      <c r="D795" s="12" t="s">
        <v>105</v>
      </c>
      <c r="E795" s="12">
        <v>1823389</v>
      </c>
    </row>
    <row r="796" spans="1:5">
      <c r="A796" s="12" t="s">
        <v>888</v>
      </c>
      <c r="B796" s="12">
        <v>2015</v>
      </c>
      <c r="C796" s="12" t="s">
        <v>66</v>
      </c>
      <c r="D796" s="12" t="s">
        <v>118</v>
      </c>
      <c r="E796" s="12">
        <v>1946956</v>
      </c>
    </row>
    <row r="797" spans="1:5">
      <c r="A797" s="12" t="s">
        <v>889</v>
      </c>
      <c r="B797" s="12">
        <v>2015</v>
      </c>
      <c r="C797" s="12" t="s">
        <v>64</v>
      </c>
      <c r="D797" s="12" t="s">
        <v>85</v>
      </c>
      <c r="E797" s="12">
        <v>2162156</v>
      </c>
    </row>
    <row r="798" spans="1:5">
      <c r="A798" s="12" t="s">
        <v>890</v>
      </c>
      <c r="B798" s="12">
        <v>2015</v>
      </c>
      <c r="C798" s="12" t="s">
        <v>66</v>
      </c>
      <c r="D798" s="12" t="s">
        <v>111</v>
      </c>
      <c r="E798" s="12">
        <v>2166432</v>
      </c>
    </row>
    <row r="799" spans="1:5">
      <c r="A799" s="12" t="s">
        <v>891</v>
      </c>
      <c r="B799" s="12">
        <v>2015</v>
      </c>
      <c r="C799" s="12" t="s">
        <v>74</v>
      </c>
      <c r="D799" s="12" t="s">
        <v>89</v>
      </c>
      <c r="E799" s="12">
        <v>2166583</v>
      </c>
    </row>
    <row r="800" spans="1:5">
      <c r="A800" s="12" t="s">
        <v>892</v>
      </c>
      <c r="B800" s="12">
        <v>2015</v>
      </c>
      <c r="C800" s="12" t="s">
        <v>64</v>
      </c>
      <c r="D800" s="12" t="s">
        <v>96</v>
      </c>
      <c r="E800" s="12">
        <v>2184479</v>
      </c>
    </row>
    <row r="801" spans="1:5">
      <c r="A801" s="12" t="s">
        <v>893</v>
      </c>
      <c r="B801" s="12">
        <v>2015</v>
      </c>
      <c r="C801" s="12" t="s">
        <v>66</v>
      </c>
      <c r="D801" s="12" t="s">
        <v>109</v>
      </c>
      <c r="E801" s="12">
        <v>2188184</v>
      </c>
    </row>
    <row r="802" spans="1:5">
      <c r="A802" s="12" t="s">
        <v>894</v>
      </c>
      <c r="B802" s="12">
        <v>2015</v>
      </c>
      <c r="C802" s="12" t="s">
        <v>78</v>
      </c>
      <c r="D802" s="12" t="s">
        <v>109</v>
      </c>
      <c r="E802" s="12">
        <v>2195663</v>
      </c>
    </row>
    <row r="803" spans="1:5">
      <c r="A803" s="12" t="s">
        <v>895</v>
      </c>
      <c r="B803" s="12">
        <v>2015</v>
      </c>
      <c r="C803" s="12" t="s">
        <v>78</v>
      </c>
      <c r="D803" s="12" t="s">
        <v>89</v>
      </c>
      <c r="E803" s="12">
        <v>2418419</v>
      </c>
    </row>
    <row r="804" spans="1:5">
      <c r="A804" s="12" t="s">
        <v>896</v>
      </c>
      <c r="B804" s="12">
        <v>2015</v>
      </c>
      <c r="C804" s="12" t="s">
        <v>69</v>
      </c>
      <c r="D804" s="12" t="s">
        <v>118</v>
      </c>
      <c r="E804" s="12">
        <v>2442965</v>
      </c>
    </row>
    <row r="805" spans="1:5">
      <c r="A805" s="12" t="s">
        <v>897</v>
      </c>
      <c r="B805" s="12">
        <v>2015</v>
      </c>
      <c r="C805" s="12" t="s">
        <v>69</v>
      </c>
      <c r="D805" s="12" t="s">
        <v>111</v>
      </c>
      <c r="E805" s="12">
        <v>2603759</v>
      </c>
    </row>
    <row r="806" spans="1:5">
      <c r="A806" s="12" t="s">
        <v>898</v>
      </c>
      <c r="B806" s="12">
        <v>2015</v>
      </c>
      <c r="C806" s="12" t="s">
        <v>74</v>
      </c>
      <c r="D806" s="12" t="s">
        <v>46</v>
      </c>
      <c r="E806" s="12">
        <v>2730475</v>
      </c>
    </row>
    <row r="807" spans="1:5">
      <c r="A807" s="12" t="s">
        <v>899</v>
      </c>
      <c r="B807" s="12">
        <v>2015</v>
      </c>
      <c r="C807" s="12" t="s">
        <v>78</v>
      </c>
      <c r="D807" s="12" t="s">
        <v>46</v>
      </c>
      <c r="E807" s="12">
        <v>2790916</v>
      </c>
    </row>
    <row r="808" spans="1:5">
      <c r="A808" s="12" t="s">
        <v>900</v>
      </c>
      <c r="B808" s="12">
        <v>2015</v>
      </c>
      <c r="C808" s="12" t="s">
        <v>64</v>
      </c>
      <c r="D808" s="12" t="s">
        <v>54</v>
      </c>
      <c r="E808" s="12">
        <v>3153489</v>
      </c>
    </row>
    <row r="809" spans="1:5">
      <c r="A809" s="12" t="s">
        <v>901</v>
      </c>
      <c r="B809" s="12">
        <v>2015</v>
      </c>
      <c r="C809" s="12" t="s">
        <v>66</v>
      </c>
      <c r="D809" s="12" t="s">
        <v>122</v>
      </c>
      <c r="E809" s="12">
        <v>3332684</v>
      </c>
    </row>
    <row r="810" spans="1:5">
      <c r="A810" s="12" t="s">
        <v>902</v>
      </c>
      <c r="B810" s="12">
        <v>2015</v>
      </c>
      <c r="C810" s="12" t="s">
        <v>69</v>
      </c>
      <c r="D810" s="12" t="s">
        <v>122</v>
      </c>
      <c r="E810" s="12">
        <v>3406251</v>
      </c>
    </row>
    <row r="811" spans="1:5">
      <c r="A811" s="12" t="s">
        <v>903</v>
      </c>
      <c r="B811" s="12">
        <v>2015</v>
      </c>
      <c r="C811" s="12" t="s">
        <v>74</v>
      </c>
      <c r="D811" s="12" t="s">
        <v>102</v>
      </c>
      <c r="E811" s="12">
        <v>3520882</v>
      </c>
    </row>
    <row r="812" spans="1:5">
      <c r="A812" s="12" t="s">
        <v>904</v>
      </c>
      <c r="B812" s="12">
        <v>2015</v>
      </c>
      <c r="C812" s="12" t="s">
        <v>78</v>
      </c>
      <c r="D812" s="12" t="s">
        <v>118</v>
      </c>
      <c r="E812" s="12">
        <v>4567837</v>
      </c>
    </row>
    <row r="813" spans="1:5">
      <c r="A813" s="12" t="s">
        <v>905</v>
      </c>
      <c r="B813" s="12">
        <v>2015</v>
      </c>
      <c r="C813" s="12" t="s">
        <v>64</v>
      </c>
      <c r="D813" s="12" t="s">
        <v>50</v>
      </c>
      <c r="E813" s="12">
        <v>4629443</v>
      </c>
    </row>
    <row r="814" spans="1:5">
      <c r="A814" s="12" t="s">
        <v>906</v>
      </c>
      <c r="B814" s="12">
        <v>2015</v>
      </c>
      <c r="C814" s="12" t="s">
        <v>78</v>
      </c>
      <c r="D814" s="12" t="s">
        <v>111</v>
      </c>
      <c r="E814" s="12">
        <v>5071809</v>
      </c>
    </row>
    <row r="815" spans="1:5">
      <c r="A815" s="12" t="s">
        <v>907</v>
      </c>
      <c r="B815" s="12">
        <v>2015</v>
      </c>
      <c r="C815" s="12" t="s">
        <v>64</v>
      </c>
      <c r="D815" s="12" t="s">
        <v>109</v>
      </c>
      <c r="E815" s="12">
        <v>5650803</v>
      </c>
    </row>
    <row r="816" spans="1:5">
      <c r="A816" s="12" t="s">
        <v>908</v>
      </c>
      <c r="B816" s="12">
        <v>2015</v>
      </c>
      <c r="C816" s="12" t="s">
        <v>69</v>
      </c>
      <c r="D816" s="12" t="s">
        <v>91</v>
      </c>
      <c r="E816" s="12">
        <v>5776048</v>
      </c>
    </row>
    <row r="817" spans="1:5">
      <c r="A817" s="12" t="s">
        <v>909</v>
      </c>
      <c r="B817" s="12">
        <v>2015</v>
      </c>
      <c r="C817" s="12" t="s">
        <v>69</v>
      </c>
      <c r="D817" s="12" t="s">
        <v>124</v>
      </c>
      <c r="E817" s="12">
        <v>5987121</v>
      </c>
    </row>
    <row r="818" spans="1:5">
      <c r="A818" s="12" t="s">
        <v>910</v>
      </c>
      <c r="B818" s="12">
        <v>2015</v>
      </c>
      <c r="C818" s="12" t="s">
        <v>69</v>
      </c>
      <c r="D818" s="12" t="s">
        <v>100</v>
      </c>
      <c r="E818" s="12">
        <v>6303609</v>
      </c>
    </row>
    <row r="819" spans="1:5">
      <c r="A819" s="12" t="s">
        <v>911</v>
      </c>
      <c r="B819" s="12">
        <v>2015</v>
      </c>
      <c r="C819" s="12" t="s">
        <v>64</v>
      </c>
      <c r="D819" s="12" t="s">
        <v>89</v>
      </c>
      <c r="E819" s="12">
        <v>7137732</v>
      </c>
    </row>
    <row r="820" spans="1:5">
      <c r="A820" s="12" t="s">
        <v>912</v>
      </c>
      <c r="B820" s="12">
        <v>2015</v>
      </c>
      <c r="C820" s="12" t="s">
        <v>64</v>
      </c>
      <c r="D820" s="12" t="s">
        <v>122</v>
      </c>
      <c r="E820" s="12">
        <v>7891269</v>
      </c>
    </row>
    <row r="821" spans="1:5">
      <c r="A821" s="12" t="s">
        <v>913</v>
      </c>
      <c r="B821" s="12">
        <v>2015</v>
      </c>
      <c r="C821" s="12" t="s">
        <v>66</v>
      </c>
      <c r="D821" s="12" t="s">
        <v>91</v>
      </c>
      <c r="E821" s="12">
        <v>7901074</v>
      </c>
    </row>
    <row r="822" spans="1:5">
      <c r="A822" s="12" t="s">
        <v>914</v>
      </c>
      <c r="B822" s="12">
        <v>2015</v>
      </c>
      <c r="C822" s="12" t="s">
        <v>78</v>
      </c>
      <c r="D822" s="12" t="s">
        <v>105</v>
      </c>
      <c r="E822" s="12">
        <v>8223333</v>
      </c>
    </row>
    <row r="823" spans="1:5">
      <c r="A823" s="12" t="s">
        <v>915</v>
      </c>
      <c r="B823" s="12">
        <v>2015</v>
      </c>
      <c r="C823" s="12" t="s">
        <v>66</v>
      </c>
      <c r="D823" s="12" t="s">
        <v>124</v>
      </c>
      <c r="E823" s="12">
        <v>8327039</v>
      </c>
    </row>
    <row r="824" spans="1:5">
      <c r="A824" s="12" t="s">
        <v>916</v>
      </c>
      <c r="B824" s="12">
        <v>2015</v>
      </c>
      <c r="C824" s="12" t="s">
        <v>64</v>
      </c>
      <c r="D824" s="12" t="s">
        <v>46</v>
      </c>
      <c r="E824" s="12">
        <v>8873227</v>
      </c>
    </row>
    <row r="825" spans="1:5">
      <c r="A825" s="12" t="s">
        <v>917</v>
      </c>
      <c r="B825" s="12">
        <v>2015</v>
      </c>
      <c r="C825" s="12" t="s">
        <v>66</v>
      </c>
      <c r="D825" s="12" t="s">
        <v>102</v>
      </c>
      <c r="E825" s="12">
        <v>8923316</v>
      </c>
    </row>
    <row r="826" spans="1:5">
      <c r="A826" s="12" t="s">
        <v>918</v>
      </c>
      <c r="B826" s="12">
        <v>2015</v>
      </c>
      <c r="C826" s="12" t="s">
        <v>69</v>
      </c>
      <c r="D826" s="12" t="s">
        <v>102</v>
      </c>
      <c r="E826" s="12">
        <v>9111088</v>
      </c>
    </row>
    <row r="827" spans="1:5">
      <c r="A827" s="12" t="s">
        <v>919</v>
      </c>
      <c r="B827" s="12">
        <v>2015</v>
      </c>
      <c r="C827" s="12" t="s">
        <v>66</v>
      </c>
      <c r="D827" s="12" t="s">
        <v>100</v>
      </c>
      <c r="E827" s="12">
        <v>9197289</v>
      </c>
    </row>
    <row r="828" spans="1:5">
      <c r="A828" s="12" t="s">
        <v>920</v>
      </c>
      <c r="B828" s="12">
        <v>2015</v>
      </c>
      <c r="C828" s="12" t="s">
        <v>64</v>
      </c>
      <c r="D828" s="12" t="s">
        <v>118</v>
      </c>
      <c r="E828" s="12">
        <v>10614335</v>
      </c>
    </row>
    <row r="829" spans="1:5">
      <c r="A829" s="12" t="s">
        <v>921</v>
      </c>
      <c r="B829" s="12">
        <v>2015</v>
      </c>
      <c r="C829" s="12" t="s">
        <v>64</v>
      </c>
      <c r="D829" s="12" t="s">
        <v>111</v>
      </c>
      <c r="E829" s="12">
        <v>11633342</v>
      </c>
    </row>
    <row r="830" spans="1:5">
      <c r="A830" s="12" t="s">
        <v>922</v>
      </c>
      <c r="B830" s="12">
        <v>2015</v>
      </c>
      <c r="C830" s="12" t="s">
        <v>64</v>
      </c>
      <c r="D830" s="12" t="s">
        <v>105</v>
      </c>
      <c r="E830" s="12">
        <v>12002448</v>
      </c>
    </row>
    <row r="831" spans="1:5">
      <c r="A831" s="12" t="s">
        <v>923</v>
      </c>
      <c r="B831" s="12">
        <v>2015</v>
      </c>
      <c r="C831" s="12" t="s">
        <v>78</v>
      </c>
      <c r="D831" s="12" t="s">
        <v>91</v>
      </c>
      <c r="E831" s="12">
        <v>13883507</v>
      </c>
    </row>
    <row r="832" spans="1:5">
      <c r="A832" s="12" t="s">
        <v>924</v>
      </c>
      <c r="B832" s="12">
        <v>2015</v>
      </c>
      <c r="C832" s="12" t="s">
        <v>78</v>
      </c>
      <c r="D832" s="12" t="s">
        <v>124</v>
      </c>
      <c r="E832" s="12">
        <v>14810458</v>
      </c>
    </row>
    <row r="833" spans="1:5">
      <c r="A833" s="12" t="s">
        <v>925</v>
      </c>
      <c r="B833" s="12">
        <v>2015</v>
      </c>
      <c r="C833" s="12" t="s">
        <v>78</v>
      </c>
      <c r="D833" s="12" t="s">
        <v>100</v>
      </c>
      <c r="E833" s="12">
        <v>14835759</v>
      </c>
    </row>
    <row r="834" spans="1:5">
      <c r="A834" s="12" t="s">
        <v>926</v>
      </c>
      <c r="B834" s="12">
        <v>2015</v>
      </c>
      <c r="C834" s="12" t="s">
        <v>69</v>
      </c>
      <c r="D834" s="12" t="s">
        <v>107</v>
      </c>
      <c r="E834" s="12">
        <v>15414697</v>
      </c>
    </row>
    <row r="835" spans="1:5">
      <c r="A835" s="12" t="s">
        <v>927</v>
      </c>
      <c r="B835" s="12">
        <v>2015</v>
      </c>
      <c r="C835" s="12" t="s">
        <v>74</v>
      </c>
      <c r="D835" s="12" t="s">
        <v>91</v>
      </c>
      <c r="E835" s="12">
        <v>15415170</v>
      </c>
    </row>
    <row r="836" spans="1:5">
      <c r="A836" s="12" t="s">
        <v>928</v>
      </c>
      <c r="B836" s="12">
        <v>2015</v>
      </c>
      <c r="C836" s="12" t="s">
        <v>74</v>
      </c>
      <c r="D836" s="12" t="s">
        <v>124</v>
      </c>
      <c r="E836" s="12">
        <v>16013337</v>
      </c>
    </row>
    <row r="837" spans="1:5">
      <c r="A837" s="12" t="s">
        <v>929</v>
      </c>
      <c r="B837" s="12">
        <v>2015</v>
      </c>
      <c r="C837" s="12" t="s">
        <v>74</v>
      </c>
      <c r="D837" s="12" t="s">
        <v>100</v>
      </c>
      <c r="E837" s="12">
        <v>16061452</v>
      </c>
    </row>
    <row r="838" spans="1:5">
      <c r="A838" s="12" t="s">
        <v>930</v>
      </c>
      <c r="B838" s="12">
        <v>2015</v>
      </c>
      <c r="C838" s="12" t="s">
        <v>78</v>
      </c>
      <c r="D838" s="12" t="s">
        <v>102</v>
      </c>
      <c r="E838" s="12">
        <v>17807055</v>
      </c>
    </row>
    <row r="839" spans="1:5">
      <c r="A839" s="12" t="s">
        <v>931</v>
      </c>
      <c r="B839" s="12">
        <v>2015</v>
      </c>
      <c r="C839" s="12" t="s">
        <v>66</v>
      </c>
      <c r="D839" s="12" t="s">
        <v>107</v>
      </c>
      <c r="E839" s="12">
        <v>18120605</v>
      </c>
    </row>
    <row r="840" spans="1:5">
      <c r="A840" s="12" t="s">
        <v>932</v>
      </c>
      <c r="B840" s="12">
        <v>2015</v>
      </c>
      <c r="C840" s="12" t="s">
        <v>74</v>
      </c>
      <c r="D840" s="12" t="s">
        <v>107</v>
      </c>
      <c r="E840" s="12">
        <v>19582334</v>
      </c>
    </row>
    <row r="841" spans="1:5">
      <c r="A841" s="12" t="s">
        <v>933</v>
      </c>
      <c r="B841" s="12">
        <v>2015</v>
      </c>
      <c r="C841" s="12" t="s">
        <v>78</v>
      </c>
      <c r="D841" s="12" t="s">
        <v>107</v>
      </c>
      <c r="E841" s="12">
        <v>32642814</v>
      </c>
    </row>
    <row r="842" spans="1:5">
      <c r="A842" s="12" t="s">
        <v>934</v>
      </c>
      <c r="B842" s="12">
        <v>2015</v>
      </c>
      <c r="C842" s="12" t="s">
        <v>64</v>
      </c>
      <c r="D842" s="12" t="s">
        <v>102</v>
      </c>
      <c r="E842" s="12">
        <v>39362341</v>
      </c>
    </row>
    <row r="843" spans="1:5">
      <c r="A843" s="12" t="s">
        <v>935</v>
      </c>
      <c r="B843" s="12">
        <v>2015</v>
      </c>
      <c r="C843" s="12" t="s">
        <v>64</v>
      </c>
      <c r="D843" s="12" t="s">
        <v>91</v>
      </c>
      <c r="E843" s="12">
        <v>42975798</v>
      </c>
    </row>
    <row r="844" spans="1:5">
      <c r="A844" s="12" t="s">
        <v>936</v>
      </c>
      <c r="B844" s="12">
        <v>2015</v>
      </c>
      <c r="C844" s="12" t="s">
        <v>64</v>
      </c>
      <c r="D844" s="12" t="s">
        <v>124</v>
      </c>
      <c r="E844" s="12">
        <v>45137954</v>
      </c>
    </row>
    <row r="845" spans="1:5">
      <c r="A845" s="12" t="s">
        <v>937</v>
      </c>
      <c r="B845" s="12">
        <v>2015</v>
      </c>
      <c r="C845" s="12" t="s">
        <v>64</v>
      </c>
      <c r="D845" s="12" t="s">
        <v>100</v>
      </c>
      <c r="E845" s="12">
        <v>46398109</v>
      </c>
    </row>
    <row r="846" spans="1:5">
      <c r="A846" s="12" t="s">
        <v>938</v>
      </c>
      <c r="B846" s="12">
        <v>2015</v>
      </c>
      <c r="C846" s="12" t="s">
        <v>64</v>
      </c>
      <c r="D846" s="12" t="s">
        <v>107</v>
      </c>
      <c r="E846" s="12">
        <v>85760450</v>
      </c>
    </row>
    <row r="847" spans="1:5">
      <c r="A847" s="12" t="s">
        <v>939</v>
      </c>
      <c r="B847" s="12">
        <v>2015</v>
      </c>
      <c r="C847" s="12" t="s">
        <v>64</v>
      </c>
      <c r="D847" s="12" t="s">
        <v>70</v>
      </c>
    </row>
    <row r="848" spans="1:5">
      <c r="A848" s="12" t="s">
        <v>940</v>
      </c>
      <c r="B848" s="12">
        <v>2015</v>
      </c>
      <c r="C848" s="12" t="s">
        <v>69</v>
      </c>
      <c r="D848" s="12" t="s">
        <v>70</v>
      </c>
    </row>
    <row r="849" spans="1:4">
      <c r="A849" s="12" t="s">
        <v>941</v>
      </c>
      <c r="B849" s="12">
        <v>2015</v>
      </c>
      <c r="C849" s="12" t="s">
        <v>74</v>
      </c>
      <c r="D849" s="12" t="s">
        <v>70</v>
      </c>
    </row>
    <row r="850" spans="1:4">
      <c r="A850" s="12" t="s">
        <v>942</v>
      </c>
      <c r="B850" s="12">
        <v>2015</v>
      </c>
      <c r="C850" s="12" t="s">
        <v>78</v>
      </c>
      <c r="D850" s="12" t="s">
        <v>70</v>
      </c>
    </row>
    <row r="851" spans="1:4">
      <c r="A851" s="12" t="s">
        <v>943</v>
      </c>
      <c r="B851" s="12">
        <v>2015</v>
      </c>
      <c r="C851" s="12" t="s">
        <v>66</v>
      </c>
      <c r="D851" s="12" t="s">
        <v>70</v>
      </c>
    </row>
    <row r="852" spans="1:4">
      <c r="A852" s="12" t="s">
        <v>944</v>
      </c>
      <c r="B852" s="12">
        <v>2015</v>
      </c>
      <c r="C852" s="12" t="s">
        <v>64</v>
      </c>
      <c r="D852" s="12" t="s">
        <v>67</v>
      </c>
    </row>
    <row r="853" spans="1:4">
      <c r="A853" s="12" t="s">
        <v>945</v>
      </c>
      <c r="B853" s="12">
        <v>2015</v>
      </c>
      <c r="C853" s="12" t="s">
        <v>69</v>
      </c>
      <c r="D853" s="12" t="s">
        <v>67</v>
      </c>
    </row>
    <row r="854" spans="1:4">
      <c r="A854" s="12" t="s">
        <v>946</v>
      </c>
      <c r="B854" s="12">
        <v>2015</v>
      </c>
      <c r="C854" s="12" t="s">
        <v>74</v>
      </c>
      <c r="D854" s="12" t="s">
        <v>67</v>
      </c>
    </row>
    <row r="855" spans="1:4">
      <c r="A855" s="12" t="s">
        <v>947</v>
      </c>
      <c r="B855" s="12">
        <v>2015</v>
      </c>
      <c r="C855" s="12" t="s">
        <v>78</v>
      </c>
      <c r="D855" s="12" t="s">
        <v>67</v>
      </c>
    </row>
    <row r="856" spans="1:4">
      <c r="A856" s="12" t="s">
        <v>948</v>
      </c>
      <c r="B856" s="12">
        <v>2015</v>
      </c>
      <c r="C856" s="12" t="s">
        <v>66</v>
      </c>
      <c r="D856" s="12" t="s">
        <v>67</v>
      </c>
    </row>
    <row r="857" spans="1:4">
      <c r="A857" s="12" t="s">
        <v>949</v>
      </c>
      <c r="B857" s="12">
        <v>2015</v>
      </c>
      <c r="C857" s="12" t="s">
        <v>64</v>
      </c>
      <c r="D857" s="12" t="s">
        <v>41</v>
      </c>
    </row>
    <row r="858" spans="1:4">
      <c r="A858" s="12" t="s">
        <v>950</v>
      </c>
      <c r="B858" s="12">
        <v>2015</v>
      </c>
      <c r="C858" s="12" t="s">
        <v>69</v>
      </c>
      <c r="D858" s="12" t="s">
        <v>41</v>
      </c>
    </row>
    <row r="859" spans="1:4">
      <c r="A859" s="12" t="s">
        <v>951</v>
      </c>
      <c r="B859" s="12">
        <v>2015</v>
      </c>
      <c r="C859" s="12" t="s">
        <v>74</v>
      </c>
      <c r="D859" s="12" t="s">
        <v>41</v>
      </c>
    </row>
    <row r="860" spans="1:4">
      <c r="A860" s="12" t="s">
        <v>952</v>
      </c>
      <c r="B860" s="12">
        <v>2015</v>
      </c>
      <c r="C860" s="12" t="s">
        <v>78</v>
      </c>
      <c r="D860" s="12" t="s">
        <v>41</v>
      </c>
    </row>
    <row r="861" spans="1:4">
      <c r="A861" s="12" t="s">
        <v>953</v>
      </c>
      <c r="B861" s="12">
        <v>2015</v>
      </c>
      <c r="C861" s="12" t="s">
        <v>66</v>
      </c>
      <c r="D861" s="12" t="s">
        <v>41</v>
      </c>
    </row>
    <row r="862" spans="1:4">
      <c r="A862" s="12" t="s">
        <v>954</v>
      </c>
      <c r="B862" s="12">
        <v>2015</v>
      </c>
      <c r="C862" s="12" t="s">
        <v>64</v>
      </c>
      <c r="D862" s="12" t="s">
        <v>82</v>
      </c>
    </row>
    <row r="863" spans="1:4">
      <c r="A863" s="12" t="s">
        <v>955</v>
      </c>
      <c r="B863" s="12">
        <v>2015</v>
      </c>
      <c r="C863" s="12" t="s">
        <v>69</v>
      </c>
      <c r="D863" s="12" t="s">
        <v>82</v>
      </c>
    </row>
    <row r="864" spans="1:4">
      <c r="A864" s="12" t="s">
        <v>956</v>
      </c>
      <c r="B864" s="12">
        <v>2015</v>
      </c>
      <c r="C864" s="12" t="s">
        <v>74</v>
      </c>
      <c r="D864" s="12" t="s">
        <v>82</v>
      </c>
    </row>
    <row r="865" spans="1:5">
      <c r="A865" s="12" t="s">
        <v>957</v>
      </c>
      <c r="B865" s="12">
        <v>2015</v>
      </c>
      <c r="C865" s="12" t="s">
        <v>78</v>
      </c>
      <c r="D865" s="12" t="s">
        <v>82</v>
      </c>
    </row>
    <row r="866" spans="1:5">
      <c r="A866" s="12" t="s">
        <v>958</v>
      </c>
      <c r="B866" s="12">
        <v>2015</v>
      </c>
      <c r="C866" s="12" t="s">
        <v>66</v>
      </c>
      <c r="D866" s="12" t="s">
        <v>82</v>
      </c>
    </row>
    <row r="867" spans="1:5">
      <c r="A867" s="12" t="s">
        <v>959</v>
      </c>
      <c r="B867" s="12">
        <v>2015</v>
      </c>
      <c r="C867" s="12" t="s">
        <v>64</v>
      </c>
      <c r="D867" s="12" t="s">
        <v>34</v>
      </c>
    </row>
    <row r="868" spans="1:5">
      <c r="A868" s="12" t="s">
        <v>960</v>
      </c>
      <c r="B868" s="12">
        <v>2015</v>
      </c>
      <c r="C868" s="12" t="s">
        <v>69</v>
      </c>
      <c r="D868" s="12" t="s">
        <v>34</v>
      </c>
    </row>
    <row r="869" spans="1:5">
      <c r="A869" s="12" t="s">
        <v>961</v>
      </c>
      <c r="B869" s="12">
        <v>2015</v>
      </c>
      <c r="C869" s="12" t="s">
        <v>74</v>
      </c>
      <c r="D869" s="12" t="s">
        <v>34</v>
      </c>
    </row>
    <row r="870" spans="1:5">
      <c r="A870" s="12" t="s">
        <v>962</v>
      </c>
      <c r="B870" s="12">
        <v>2015</v>
      </c>
      <c r="C870" s="12" t="s">
        <v>78</v>
      </c>
      <c r="D870" s="12" t="s">
        <v>34</v>
      </c>
    </row>
    <row r="871" spans="1:5">
      <c r="A871" s="12" t="s">
        <v>963</v>
      </c>
      <c r="B871" s="12">
        <v>2015</v>
      </c>
      <c r="C871" s="12" t="s">
        <v>66</v>
      </c>
      <c r="D871" s="12" t="s">
        <v>34</v>
      </c>
    </row>
    <row r="872" spans="1:5">
      <c r="A872" s="12" t="s">
        <v>964</v>
      </c>
      <c r="B872" s="12">
        <v>2016</v>
      </c>
      <c r="C872" s="12" t="s">
        <v>74</v>
      </c>
      <c r="D872" s="12" t="s">
        <v>87</v>
      </c>
      <c r="E872" s="12">
        <v>32</v>
      </c>
    </row>
    <row r="873" spans="1:5">
      <c r="A873" s="12" t="s">
        <v>965</v>
      </c>
      <c r="B873" s="12">
        <v>2016</v>
      </c>
      <c r="C873" s="12" t="s">
        <v>66</v>
      </c>
      <c r="D873" s="12" t="s">
        <v>87</v>
      </c>
      <c r="E873" s="12">
        <v>808</v>
      </c>
    </row>
    <row r="874" spans="1:5">
      <c r="A874" s="12" t="s">
        <v>966</v>
      </c>
      <c r="B874" s="12">
        <v>2016</v>
      </c>
      <c r="C874" s="12" t="s">
        <v>78</v>
      </c>
      <c r="D874" s="12" t="s">
        <v>41</v>
      </c>
      <c r="E874" s="12">
        <v>1154</v>
      </c>
    </row>
    <row r="875" spans="1:5">
      <c r="A875" s="12" t="s">
        <v>967</v>
      </c>
      <c r="B875" s="12">
        <v>2016</v>
      </c>
      <c r="C875" s="12" t="s">
        <v>69</v>
      </c>
      <c r="D875" s="12" t="s">
        <v>87</v>
      </c>
      <c r="E875" s="12">
        <v>1493</v>
      </c>
    </row>
    <row r="876" spans="1:5">
      <c r="A876" s="12" t="s">
        <v>968</v>
      </c>
      <c r="B876" s="12">
        <v>2016</v>
      </c>
      <c r="C876" s="12" t="s">
        <v>78</v>
      </c>
      <c r="D876" s="12" t="s">
        <v>87</v>
      </c>
      <c r="E876" s="12">
        <v>2151</v>
      </c>
    </row>
    <row r="877" spans="1:5">
      <c r="A877" s="12" t="s">
        <v>969</v>
      </c>
      <c r="B877" s="12">
        <v>2016</v>
      </c>
      <c r="C877" s="12" t="s">
        <v>64</v>
      </c>
      <c r="D877" s="12" t="s">
        <v>87</v>
      </c>
      <c r="E877" s="12">
        <v>4484</v>
      </c>
    </row>
    <row r="878" spans="1:5">
      <c r="A878" s="12" t="s">
        <v>970</v>
      </c>
      <c r="B878" s="12">
        <v>2016</v>
      </c>
      <c r="C878" s="12" t="s">
        <v>78</v>
      </c>
      <c r="D878" s="12" t="s">
        <v>113</v>
      </c>
      <c r="E878" s="12">
        <v>26021</v>
      </c>
    </row>
    <row r="879" spans="1:5">
      <c r="A879" s="12" t="s">
        <v>971</v>
      </c>
      <c r="B879" s="12">
        <v>2016</v>
      </c>
      <c r="C879" s="12" t="s">
        <v>69</v>
      </c>
      <c r="D879" s="12" t="s">
        <v>37</v>
      </c>
      <c r="E879" s="12">
        <v>27814</v>
      </c>
    </row>
    <row r="880" spans="1:5">
      <c r="A880" s="12" t="s">
        <v>972</v>
      </c>
      <c r="B880" s="12">
        <v>2016</v>
      </c>
      <c r="C880" s="12" t="s">
        <v>74</v>
      </c>
      <c r="D880" s="12" t="s">
        <v>113</v>
      </c>
      <c r="E880" s="12">
        <v>38639</v>
      </c>
    </row>
    <row r="881" spans="1:5">
      <c r="A881" s="12" t="s">
        <v>973</v>
      </c>
      <c r="B881" s="12">
        <v>2016</v>
      </c>
      <c r="C881" s="12" t="s">
        <v>69</v>
      </c>
      <c r="D881" s="12" t="s">
        <v>48</v>
      </c>
      <c r="E881" s="12">
        <v>40741</v>
      </c>
    </row>
    <row r="882" spans="1:5">
      <c r="A882" s="12" t="s">
        <v>974</v>
      </c>
      <c r="B882" s="12">
        <v>2016</v>
      </c>
      <c r="C882" s="12" t="s">
        <v>74</v>
      </c>
      <c r="D882" s="12" t="s">
        <v>37</v>
      </c>
      <c r="E882" s="12">
        <v>41037</v>
      </c>
    </row>
    <row r="883" spans="1:5">
      <c r="A883" s="12" t="s">
        <v>975</v>
      </c>
      <c r="B883" s="12">
        <v>2016</v>
      </c>
      <c r="C883" s="12" t="s">
        <v>69</v>
      </c>
      <c r="D883" s="12" t="s">
        <v>41</v>
      </c>
      <c r="E883" s="12">
        <v>47632</v>
      </c>
    </row>
    <row r="884" spans="1:5">
      <c r="A884" s="12" t="s">
        <v>976</v>
      </c>
      <c r="B884" s="12">
        <v>2016</v>
      </c>
      <c r="C884" s="12" t="s">
        <v>74</v>
      </c>
      <c r="D884" s="12" t="s">
        <v>104</v>
      </c>
      <c r="E884" s="12">
        <v>47939</v>
      </c>
    </row>
    <row r="885" spans="1:5">
      <c r="A885" s="12" t="s">
        <v>977</v>
      </c>
      <c r="B885" s="12">
        <v>2016</v>
      </c>
      <c r="C885" s="12" t="s">
        <v>66</v>
      </c>
      <c r="D885" s="12" t="s">
        <v>41</v>
      </c>
      <c r="E885" s="12">
        <v>62082</v>
      </c>
    </row>
    <row r="886" spans="1:5">
      <c r="A886" s="12" t="s">
        <v>978</v>
      </c>
      <c r="B886" s="12">
        <v>2016</v>
      </c>
      <c r="C886" s="12" t="s">
        <v>78</v>
      </c>
      <c r="D886" s="12" t="s">
        <v>37</v>
      </c>
      <c r="E886" s="12">
        <v>74267</v>
      </c>
    </row>
    <row r="887" spans="1:5">
      <c r="A887" s="12" t="s">
        <v>979</v>
      </c>
      <c r="B887" s="12">
        <v>2016</v>
      </c>
      <c r="C887" s="12" t="s">
        <v>69</v>
      </c>
      <c r="D887" s="12" t="s">
        <v>98</v>
      </c>
      <c r="E887" s="12">
        <v>74331</v>
      </c>
    </row>
    <row r="888" spans="1:5">
      <c r="A888" s="12" t="s">
        <v>980</v>
      </c>
      <c r="B888" s="12">
        <v>2016</v>
      </c>
      <c r="C888" s="12" t="s">
        <v>66</v>
      </c>
      <c r="D888" s="12" t="s">
        <v>37</v>
      </c>
      <c r="E888" s="12">
        <v>81772</v>
      </c>
    </row>
    <row r="889" spans="1:5">
      <c r="A889" s="12" t="s">
        <v>981</v>
      </c>
      <c r="B889" s="12">
        <v>2016</v>
      </c>
      <c r="C889" s="12" t="s">
        <v>78</v>
      </c>
      <c r="D889" s="12" t="s">
        <v>104</v>
      </c>
      <c r="E889" s="12">
        <v>104252</v>
      </c>
    </row>
    <row r="890" spans="1:5">
      <c r="A890" s="12" t="s">
        <v>982</v>
      </c>
      <c r="B890" s="12">
        <v>2016</v>
      </c>
      <c r="C890" s="12" t="s">
        <v>74</v>
      </c>
      <c r="D890" s="12" t="s">
        <v>93</v>
      </c>
      <c r="E890" s="12">
        <v>108389</v>
      </c>
    </row>
    <row r="891" spans="1:5">
      <c r="A891" s="12" t="s">
        <v>983</v>
      </c>
      <c r="B891" s="12">
        <v>2016</v>
      </c>
      <c r="C891" s="12" t="s">
        <v>66</v>
      </c>
      <c r="D891" s="12" t="s">
        <v>48</v>
      </c>
      <c r="E891" s="12">
        <v>112493</v>
      </c>
    </row>
    <row r="892" spans="1:5">
      <c r="A892" s="12" t="s">
        <v>984</v>
      </c>
      <c r="B892" s="12">
        <v>2016</v>
      </c>
      <c r="C892" s="12" t="s">
        <v>78</v>
      </c>
      <c r="D892" s="12" t="s">
        <v>48</v>
      </c>
      <c r="E892" s="12">
        <v>142816</v>
      </c>
    </row>
    <row r="893" spans="1:5">
      <c r="A893" s="12" t="s">
        <v>985</v>
      </c>
      <c r="B893" s="12">
        <v>2016</v>
      </c>
      <c r="C893" s="12" t="s">
        <v>74</v>
      </c>
      <c r="D893" s="12" t="s">
        <v>122</v>
      </c>
      <c r="E893" s="12">
        <v>149750</v>
      </c>
    </row>
    <row r="894" spans="1:5">
      <c r="A894" s="12" t="s">
        <v>986</v>
      </c>
      <c r="B894" s="12">
        <v>2016</v>
      </c>
      <c r="C894" s="12" t="s">
        <v>66</v>
      </c>
      <c r="D894" s="12" t="s">
        <v>93</v>
      </c>
      <c r="E894" s="12">
        <v>153099</v>
      </c>
    </row>
    <row r="895" spans="1:5">
      <c r="A895" s="12" t="s">
        <v>987</v>
      </c>
      <c r="B895" s="12">
        <v>2016</v>
      </c>
      <c r="C895" s="12" t="s">
        <v>66</v>
      </c>
      <c r="D895" s="12" t="s">
        <v>98</v>
      </c>
      <c r="E895" s="12">
        <v>175357</v>
      </c>
    </row>
    <row r="896" spans="1:5">
      <c r="A896" s="12" t="s">
        <v>988</v>
      </c>
      <c r="B896" s="12">
        <v>2016</v>
      </c>
      <c r="C896" s="12" t="s">
        <v>74</v>
      </c>
      <c r="D896" s="12" t="s">
        <v>41</v>
      </c>
      <c r="E896" s="12">
        <v>209600</v>
      </c>
    </row>
    <row r="897" spans="1:5">
      <c r="A897" s="12" t="s">
        <v>989</v>
      </c>
      <c r="B897" s="12">
        <v>2016</v>
      </c>
      <c r="C897" s="12" t="s">
        <v>66</v>
      </c>
      <c r="D897" s="12" t="s">
        <v>96</v>
      </c>
      <c r="E897" s="12">
        <v>213500</v>
      </c>
    </row>
    <row r="898" spans="1:5">
      <c r="A898" s="12" t="s">
        <v>990</v>
      </c>
      <c r="B898" s="12">
        <v>2016</v>
      </c>
      <c r="C898" s="12" t="s">
        <v>74</v>
      </c>
      <c r="D898" s="12" t="s">
        <v>96</v>
      </c>
      <c r="E898" s="12">
        <v>219811</v>
      </c>
    </row>
    <row r="899" spans="1:5">
      <c r="A899" s="12" t="s">
        <v>991</v>
      </c>
      <c r="B899" s="12">
        <v>2016</v>
      </c>
      <c r="C899" s="12" t="s">
        <v>64</v>
      </c>
      <c r="D899" s="12" t="s">
        <v>37</v>
      </c>
      <c r="E899" s="12">
        <v>224890</v>
      </c>
    </row>
    <row r="900" spans="1:5">
      <c r="A900" s="12" t="s">
        <v>992</v>
      </c>
      <c r="B900" s="12">
        <v>2016</v>
      </c>
      <c r="C900" s="12" t="s">
        <v>74</v>
      </c>
      <c r="D900" s="12" t="s">
        <v>48</v>
      </c>
      <c r="E900" s="12">
        <v>226811</v>
      </c>
    </row>
    <row r="901" spans="1:5">
      <c r="A901" s="12" t="s">
        <v>993</v>
      </c>
      <c r="B901" s="12">
        <v>2016</v>
      </c>
      <c r="C901" s="12" t="s">
        <v>78</v>
      </c>
      <c r="D901" s="12" t="s">
        <v>98</v>
      </c>
      <c r="E901" s="12">
        <v>231319</v>
      </c>
    </row>
    <row r="902" spans="1:5">
      <c r="A902" s="12" t="s">
        <v>994</v>
      </c>
      <c r="B902" s="12">
        <v>2016</v>
      </c>
      <c r="C902" s="12" t="s">
        <v>69</v>
      </c>
      <c r="D902" s="12" t="s">
        <v>93</v>
      </c>
      <c r="E902" s="12">
        <v>246513</v>
      </c>
    </row>
    <row r="903" spans="1:5">
      <c r="A903" s="12" t="s">
        <v>995</v>
      </c>
      <c r="B903" s="12">
        <v>2016</v>
      </c>
      <c r="C903" s="12" t="s">
        <v>64</v>
      </c>
      <c r="D903" s="12" t="s">
        <v>41</v>
      </c>
      <c r="E903" s="12">
        <v>320467</v>
      </c>
    </row>
    <row r="904" spans="1:5">
      <c r="A904" s="12" t="s">
        <v>996</v>
      </c>
      <c r="B904" s="12">
        <v>2016</v>
      </c>
      <c r="C904" s="12" t="s">
        <v>66</v>
      </c>
      <c r="D904" s="12" t="s">
        <v>104</v>
      </c>
      <c r="E904" s="12">
        <v>322227</v>
      </c>
    </row>
    <row r="905" spans="1:5">
      <c r="A905" s="12" t="s">
        <v>997</v>
      </c>
      <c r="B905" s="12">
        <v>2016</v>
      </c>
      <c r="C905" s="12" t="s">
        <v>69</v>
      </c>
      <c r="D905" s="12" t="s">
        <v>104</v>
      </c>
      <c r="E905" s="12">
        <v>367918</v>
      </c>
    </row>
    <row r="906" spans="1:5">
      <c r="A906" s="12" t="s">
        <v>998</v>
      </c>
      <c r="B906" s="12">
        <v>2016</v>
      </c>
      <c r="C906" s="12" t="s">
        <v>66</v>
      </c>
      <c r="D906" s="12" t="s">
        <v>39</v>
      </c>
      <c r="E906" s="12">
        <v>380692</v>
      </c>
    </row>
    <row r="907" spans="1:5">
      <c r="A907" s="12" t="s">
        <v>999</v>
      </c>
      <c r="B907" s="12">
        <v>2016</v>
      </c>
      <c r="C907" s="12" t="s">
        <v>69</v>
      </c>
      <c r="D907" s="12" t="s">
        <v>113</v>
      </c>
      <c r="E907" s="12">
        <v>391830</v>
      </c>
    </row>
    <row r="908" spans="1:5">
      <c r="A908" s="12" t="s">
        <v>1000</v>
      </c>
      <c r="B908" s="12">
        <v>2016</v>
      </c>
      <c r="C908" s="12" t="s">
        <v>69</v>
      </c>
      <c r="D908" s="12" t="s">
        <v>54</v>
      </c>
      <c r="E908" s="12">
        <v>417158</v>
      </c>
    </row>
    <row r="909" spans="1:5">
      <c r="A909" s="12" t="s">
        <v>1001</v>
      </c>
      <c r="B909" s="12">
        <v>2016</v>
      </c>
      <c r="C909" s="12" t="s">
        <v>74</v>
      </c>
      <c r="D909" s="12" t="s">
        <v>98</v>
      </c>
      <c r="E909" s="12">
        <v>486064</v>
      </c>
    </row>
    <row r="910" spans="1:5">
      <c r="A910" s="12" t="s">
        <v>1002</v>
      </c>
      <c r="B910" s="12">
        <v>2016</v>
      </c>
      <c r="C910" s="12" t="s">
        <v>69</v>
      </c>
      <c r="D910" s="12" t="s">
        <v>96</v>
      </c>
      <c r="E910" s="12">
        <v>493917</v>
      </c>
    </row>
    <row r="911" spans="1:5">
      <c r="A911" s="12" t="s">
        <v>1003</v>
      </c>
      <c r="B911" s="12">
        <v>2016</v>
      </c>
      <c r="C911" s="12" t="s">
        <v>64</v>
      </c>
      <c r="D911" s="12" t="s">
        <v>48</v>
      </c>
      <c r="E911" s="12">
        <v>522861</v>
      </c>
    </row>
    <row r="912" spans="1:5">
      <c r="A912" s="12" t="s">
        <v>1004</v>
      </c>
      <c r="B912" s="12">
        <v>2016</v>
      </c>
      <c r="C912" s="12" t="s">
        <v>66</v>
      </c>
      <c r="D912" s="12" t="s">
        <v>85</v>
      </c>
      <c r="E912" s="12">
        <v>524547</v>
      </c>
    </row>
    <row r="913" spans="1:5">
      <c r="A913" s="12" t="s">
        <v>1005</v>
      </c>
      <c r="B913" s="12">
        <v>2016</v>
      </c>
      <c r="C913" s="12" t="s">
        <v>69</v>
      </c>
      <c r="D913" s="12" t="s">
        <v>39</v>
      </c>
      <c r="E913" s="12">
        <v>555231</v>
      </c>
    </row>
    <row r="914" spans="1:5">
      <c r="A914" s="12" t="s">
        <v>1006</v>
      </c>
      <c r="B914" s="12">
        <v>2016</v>
      </c>
      <c r="C914" s="12" t="s">
        <v>74</v>
      </c>
      <c r="D914" s="12" t="s">
        <v>109</v>
      </c>
      <c r="E914" s="12">
        <v>564323</v>
      </c>
    </row>
    <row r="915" spans="1:5">
      <c r="A915" s="12" t="s">
        <v>1007</v>
      </c>
      <c r="B915" s="12">
        <v>2016</v>
      </c>
      <c r="C915" s="12" t="s">
        <v>78</v>
      </c>
      <c r="D915" s="12" t="s">
        <v>122</v>
      </c>
      <c r="E915" s="12">
        <v>620857</v>
      </c>
    </row>
    <row r="916" spans="1:5">
      <c r="A916" s="12" t="s">
        <v>1008</v>
      </c>
      <c r="B916" s="12">
        <v>2016</v>
      </c>
      <c r="C916" s="12" t="s">
        <v>69</v>
      </c>
      <c r="D916" s="12" t="s">
        <v>85</v>
      </c>
      <c r="E916" s="12">
        <v>630677</v>
      </c>
    </row>
    <row r="917" spans="1:5">
      <c r="A917" s="12" t="s">
        <v>1009</v>
      </c>
      <c r="B917" s="12">
        <v>2016</v>
      </c>
      <c r="C917" s="12" t="s">
        <v>69</v>
      </c>
      <c r="D917" s="12" t="s">
        <v>109</v>
      </c>
      <c r="E917" s="12">
        <v>648302</v>
      </c>
    </row>
    <row r="918" spans="1:5">
      <c r="A918" s="12" t="s">
        <v>1010</v>
      </c>
      <c r="B918" s="12">
        <v>2016</v>
      </c>
      <c r="C918" s="12" t="s">
        <v>66</v>
      </c>
      <c r="D918" s="12" t="s">
        <v>54</v>
      </c>
      <c r="E918" s="12">
        <v>652867</v>
      </c>
    </row>
    <row r="919" spans="1:5">
      <c r="A919" s="12" t="s">
        <v>1011</v>
      </c>
      <c r="B919" s="12">
        <v>2016</v>
      </c>
      <c r="C919" s="12" t="s">
        <v>74</v>
      </c>
      <c r="D919" s="12" t="s">
        <v>105</v>
      </c>
      <c r="E919" s="12">
        <v>721905</v>
      </c>
    </row>
    <row r="920" spans="1:5">
      <c r="A920" s="12" t="s">
        <v>1012</v>
      </c>
      <c r="B920" s="12">
        <v>2016</v>
      </c>
      <c r="C920" s="12" t="s">
        <v>69</v>
      </c>
      <c r="D920" s="12" t="s">
        <v>50</v>
      </c>
      <c r="E920" s="12">
        <v>742535</v>
      </c>
    </row>
    <row r="921" spans="1:5">
      <c r="A921" s="12" t="s">
        <v>1013</v>
      </c>
      <c r="B921" s="12">
        <v>2016</v>
      </c>
      <c r="C921" s="12" t="s">
        <v>64</v>
      </c>
      <c r="D921" s="12" t="s">
        <v>104</v>
      </c>
      <c r="E921" s="12">
        <v>842336</v>
      </c>
    </row>
    <row r="922" spans="1:5">
      <c r="A922" s="12" t="s">
        <v>1014</v>
      </c>
      <c r="B922" s="12">
        <v>2016</v>
      </c>
      <c r="C922" s="12" t="s">
        <v>78</v>
      </c>
      <c r="D922" s="12" t="s">
        <v>93</v>
      </c>
      <c r="E922" s="12">
        <v>948301</v>
      </c>
    </row>
    <row r="923" spans="1:5">
      <c r="A923" s="12" t="s">
        <v>1015</v>
      </c>
      <c r="B923" s="12">
        <v>2016</v>
      </c>
      <c r="C923" s="12" t="s">
        <v>64</v>
      </c>
      <c r="D923" s="12" t="s">
        <v>98</v>
      </c>
      <c r="E923" s="12">
        <v>967071</v>
      </c>
    </row>
    <row r="924" spans="1:5">
      <c r="A924" s="12" t="s">
        <v>1016</v>
      </c>
      <c r="B924" s="12">
        <v>2016</v>
      </c>
      <c r="C924" s="12" t="s">
        <v>78</v>
      </c>
      <c r="D924" s="12" t="s">
        <v>50</v>
      </c>
      <c r="E924" s="12">
        <v>970506</v>
      </c>
    </row>
    <row r="925" spans="1:5">
      <c r="A925" s="12" t="s">
        <v>1017</v>
      </c>
      <c r="B925" s="12">
        <v>2016</v>
      </c>
      <c r="C925" s="12" t="s">
        <v>66</v>
      </c>
      <c r="D925" s="12" t="s">
        <v>105</v>
      </c>
      <c r="E925" s="12">
        <v>971119</v>
      </c>
    </row>
    <row r="926" spans="1:5">
      <c r="A926" s="12" t="s">
        <v>1018</v>
      </c>
      <c r="B926" s="12">
        <v>2016</v>
      </c>
      <c r="C926" s="12" t="s">
        <v>66</v>
      </c>
      <c r="D926" s="12" t="s">
        <v>113</v>
      </c>
      <c r="E926" s="12">
        <v>1043301</v>
      </c>
    </row>
    <row r="927" spans="1:5">
      <c r="A927" s="12" t="s">
        <v>1019</v>
      </c>
      <c r="B927" s="12">
        <v>2016</v>
      </c>
      <c r="C927" s="12" t="s">
        <v>66</v>
      </c>
      <c r="D927" s="12" t="s">
        <v>50</v>
      </c>
      <c r="E927" s="12">
        <v>1046180</v>
      </c>
    </row>
    <row r="928" spans="1:5">
      <c r="A928" s="12" t="s">
        <v>1020</v>
      </c>
      <c r="B928" s="12">
        <v>2016</v>
      </c>
      <c r="C928" s="12" t="s">
        <v>74</v>
      </c>
      <c r="D928" s="12" t="s">
        <v>39</v>
      </c>
      <c r="E928" s="12">
        <v>1161412</v>
      </c>
    </row>
    <row r="929" spans="1:5">
      <c r="A929" s="12" t="s">
        <v>1021</v>
      </c>
      <c r="B929" s="12">
        <v>2016</v>
      </c>
      <c r="C929" s="12" t="s">
        <v>69</v>
      </c>
      <c r="D929" s="12" t="s">
        <v>46</v>
      </c>
      <c r="E929" s="12">
        <v>1221808</v>
      </c>
    </row>
    <row r="930" spans="1:5">
      <c r="A930" s="12" t="s">
        <v>1022</v>
      </c>
      <c r="B930" s="12">
        <v>2016</v>
      </c>
      <c r="C930" s="12" t="s">
        <v>66</v>
      </c>
      <c r="D930" s="12" t="s">
        <v>46</v>
      </c>
      <c r="E930" s="12">
        <v>1242616</v>
      </c>
    </row>
    <row r="931" spans="1:5">
      <c r="A931" s="12" t="s">
        <v>1023</v>
      </c>
      <c r="B931" s="12">
        <v>2016</v>
      </c>
      <c r="C931" s="12" t="s">
        <v>66</v>
      </c>
      <c r="D931" s="12" t="s">
        <v>89</v>
      </c>
      <c r="E931" s="12">
        <v>1274756</v>
      </c>
    </row>
    <row r="932" spans="1:5">
      <c r="A932" s="12" t="s">
        <v>1024</v>
      </c>
      <c r="B932" s="12">
        <v>2016</v>
      </c>
      <c r="C932" s="12" t="s">
        <v>69</v>
      </c>
      <c r="D932" s="12" t="s">
        <v>105</v>
      </c>
      <c r="E932" s="12">
        <v>1299955</v>
      </c>
    </row>
    <row r="933" spans="1:5">
      <c r="A933" s="12" t="s">
        <v>1025</v>
      </c>
      <c r="B933" s="12">
        <v>2016</v>
      </c>
      <c r="C933" s="12" t="s">
        <v>74</v>
      </c>
      <c r="D933" s="12" t="s">
        <v>54</v>
      </c>
      <c r="E933" s="12">
        <v>1300049</v>
      </c>
    </row>
    <row r="934" spans="1:5">
      <c r="A934" s="12" t="s">
        <v>1026</v>
      </c>
      <c r="B934" s="12">
        <v>2016</v>
      </c>
      <c r="C934" s="12" t="s">
        <v>69</v>
      </c>
      <c r="D934" s="12" t="s">
        <v>89</v>
      </c>
      <c r="E934" s="12">
        <v>1351280</v>
      </c>
    </row>
    <row r="935" spans="1:5">
      <c r="A935" s="12" t="s">
        <v>1027</v>
      </c>
      <c r="B935" s="12">
        <v>2016</v>
      </c>
      <c r="C935" s="12" t="s">
        <v>74</v>
      </c>
      <c r="D935" s="12" t="s">
        <v>85</v>
      </c>
      <c r="E935" s="12">
        <v>1412048</v>
      </c>
    </row>
    <row r="936" spans="1:5">
      <c r="A936" s="12" t="s">
        <v>1028</v>
      </c>
      <c r="B936" s="12">
        <v>2016</v>
      </c>
      <c r="C936" s="12" t="s">
        <v>66</v>
      </c>
      <c r="D936" s="12" t="s">
        <v>118</v>
      </c>
      <c r="E936" s="12">
        <v>1419404</v>
      </c>
    </row>
    <row r="937" spans="1:5">
      <c r="A937" s="12" t="s">
        <v>1029</v>
      </c>
      <c r="B937" s="12">
        <v>2016</v>
      </c>
      <c r="C937" s="12" t="s">
        <v>64</v>
      </c>
      <c r="D937" s="12" t="s">
        <v>93</v>
      </c>
      <c r="E937" s="12">
        <v>1456302</v>
      </c>
    </row>
    <row r="938" spans="1:5">
      <c r="A938" s="12" t="s">
        <v>1030</v>
      </c>
      <c r="B938" s="12">
        <v>2016</v>
      </c>
      <c r="C938" s="12" t="s">
        <v>78</v>
      </c>
      <c r="D938" s="12" t="s">
        <v>96</v>
      </c>
      <c r="E938" s="12">
        <v>1485043</v>
      </c>
    </row>
    <row r="939" spans="1:5">
      <c r="A939" s="12" t="s">
        <v>1031</v>
      </c>
      <c r="B939" s="12">
        <v>2016</v>
      </c>
      <c r="C939" s="12" t="s">
        <v>64</v>
      </c>
      <c r="D939" s="12" t="s">
        <v>113</v>
      </c>
      <c r="E939" s="12">
        <v>1499792</v>
      </c>
    </row>
    <row r="940" spans="1:5">
      <c r="A940" s="12" t="s">
        <v>1032</v>
      </c>
      <c r="B940" s="12">
        <v>2016</v>
      </c>
      <c r="C940" s="12" t="s">
        <v>74</v>
      </c>
      <c r="D940" s="12" t="s">
        <v>50</v>
      </c>
      <c r="E940" s="12">
        <v>1518060</v>
      </c>
    </row>
    <row r="941" spans="1:5">
      <c r="A941" s="12" t="s">
        <v>1033</v>
      </c>
      <c r="B941" s="12">
        <v>2016</v>
      </c>
      <c r="C941" s="12" t="s">
        <v>66</v>
      </c>
      <c r="D941" s="12" t="s">
        <v>111</v>
      </c>
      <c r="E941" s="12">
        <v>1573311</v>
      </c>
    </row>
    <row r="942" spans="1:5">
      <c r="A942" s="12" t="s">
        <v>1034</v>
      </c>
      <c r="B942" s="12">
        <v>2016</v>
      </c>
      <c r="C942" s="12" t="s">
        <v>78</v>
      </c>
      <c r="D942" s="12" t="s">
        <v>54</v>
      </c>
      <c r="E942" s="12">
        <v>1610423</v>
      </c>
    </row>
    <row r="943" spans="1:5">
      <c r="A943" s="12" t="s">
        <v>1035</v>
      </c>
      <c r="B943" s="12">
        <v>2016</v>
      </c>
      <c r="C943" s="12" t="s">
        <v>74</v>
      </c>
      <c r="D943" s="12" t="s">
        <v>118</v>
      </c>
      <c r="E943" s="12">
        <v>1796197</v>
      </c>
    </row>
    <row r="944" spans="1:5">
      <c r="A944" s="12" t="s">
        <v>1036</v>
      </c>
      <c r="B944" s="12">
        <v>2016</v>
      </c>
      <c r="C944" s="12" t="s">
        <v>78</v>
      </c>
      <c r="D944" s="12" t="s">
        <v>109</v>
      </c>
      <c r="E944" s="12">
        <v>1873475</v>
      </c>
    </row>
    <row r="945" spans="1:5">
      <c r="A945" s="12" t="s">
        <v>1037</v>
      </c>
      <c r="B945" s="12">
        <v>2016</v>
      </c>
      <c r="C945" s="12" t="s">
        <v>74</v>
      </c>
      <c r="D945" s="12" t="s">
        <v>111</v>
      </c>
      <c r="E945" s="12">
        <v>1904619</v>
      </c>
    </row>
    <row r="946" spans="1:5">
      <c r="A946" s="12" t="s">
        <v>1038</v>
      </c>
      <c r="B946" s="12">
        <v>2016</v>
      </c>
      <c r="C946" s="12" t="s">
        <v>66</v>
      </c>
      <c r="D946" s="12" t="s">
        <v>109</v>
      </c>
      <c r="E946" s="12">
        <v>1954573</v>
      </c>
    </row>
    <row r="947" spans="1:5">
      <c r="A947" s="12" t="s">
        <v>1039</v>
      </c>
      <c r="B947" s="12">
        <v>2016</v>
      </c>
      <c r="C947" s="12" t="s">
        <v>78</v>
      </c>
      <c r="D947" s="12" t="s">
        <v>46</v>
      </c>
      <c r="E947" s="12">
        <v>1956158</v>
      </c>
    </row>
    <row r="948" spans="1:5">
      <c r="A948" s="12" t="s">
        <v>1040</v>
      </c>
      <c r="B948" s="12">
        <v>2016</v>
      </c>
      <c r="C948" s="12" t="s">
        <v>74</v>
      </c>
      <c r="D948" s="12" t="s">
        <v>46</v>
      </c>
      <c r="E948" s="12">
        <v>2208844</v>
      </c>
    </row>
    <row r="949" spans="1:5">
      <c r="A949" s="12" t="s">
        <v>1041</v>
      </c>
      <c r="B949" s="12">
        <v>2016</v>
      </c>
      <c r="C949" s="12" t="s">
        <v>69</v>
      </c>
      <c r="D949" s="12" t="s">
        <v>118</v>
      </c>
      <c r="E949" s="12">
        <v>2262248</v>
      </c>
    </row>
    <row r="950" spans="1:5">
      <c r="A950" s="12" t="s">
        <v>1042</v>
      </c>
      <c r="B950" s="12">
        <v>2016</v>
      </c>
      <c r="C950" s="12" t="s">
        <v>78</v>
      </c>
      <c r="D950" s="12" t="s">
        <v>39</v>
      </c>
      <c r="E950" s="12">
        <v>2304856</v>
      </c>
    </row>
    <row r="951" spans="1:5">
      <c r="A951" s="12" t="s">
        <v>1043</v>
      </c>
      <c r="B951" s="12">
        <v>2016</v>
      </c>
      <c r="C951" s="12" t="s">
        <v>78</v>
      </c>
      <c r="D951" s="12" t="s">
        <v>85</v>
      </c>
      <c r="E951" s="12">
        <v>2380277</v>
      </c>
    </row>
    <row r="952" spans="1:5">
      <c r="A952" s="12" t="s">
        <v>1044</v>
      </c>
      <c r="B952" s="12">
        <v>2016</v>
      </c>
      <c r="C952" s="12" t="s">
        <v>64</v>
      </c>
      <c r="D952" s="12" t="s">
        <v>96</v>
      </c>
      <c r="E952" s="12">
        <v>2412271</v>
      </c>
    </row>
    <row r="953" spans="1:5">
      <c r="A953" s="12" t="s">
        <v>1045</v>
      </c>
      <c r="B953" s="12">
        <v>2016</v>
      </c>
      <c r="C953" s="12" t="s">
        <v>69</v>
      </c>
      <c r="D953" s="12" t="s">
        <v>111</v>
      </c>
      <c r="E953" s="12">
        <v>2510254</v>
      </c>
    </row>
    <row r="954" spans="1:5">
      <c r="A954" s="12" t="s">
        <v>1046</v>
      </c>
      <c r="B954" s="12">
        <v>2016</v>
      </c>
      <c r="C954" s="12" t="s">
        <v>74</v>
      </c>
      <c r="D954" s="12" t="s">
        <v>89</v>
      </c>
      <c r="E954" s="12">
        <v>2625614</v>
      </c>
    </row>
    <row r="955" spans="1:5">
      <c r="A955" s="12" t="s">
        <v>1047</v>
      </c>
      <c r="B955" s="12">
        <v>2016</v>
      </c>
      <c r="C955" s="12" t="s">
        <v>69</v>
      </c>
      <c r="D955" s="12" t="s">
        <v>122</v>
      </c>
      <c r="E955" s="12">
        <v>2644476</v>
      </c>
    </row>
    <row r="956" spans="1:5">
      <c r="A956" s="12" t="s">
        <v>1048</v>
      </c>
      <c r="B956" s="12">
        <v>2016</v>
      </c>
      <c r="C956" s="12" t="s">
        <v>78</v>
      </c>
      <c r="D956" s="12" t="s">
        <v>89</v>
      </c>
      <c r="E956" s="12">
        <v>2717609</v>
      </c>
    </row>
    <row r="957" spans="1:5">
      <c r="A957" s="12" t="s">
        <v>1049</v>
      </c>
      <c r="B957" s="12">
        <v>2016</v>
      </c>
      <c r="C957" s="12" t="s">
        <v>66</v>
      </c>
      <c r="D957" s="12" t="s">
        <v>122</v>
      </c>
      <c r="E957" s="12">
        <v>2756350</v>
      </c>
    </row>
    <row r="958" spans="1:5">
      <c r="A958" s="12" t="s">
        <v>1050</v>
      </c>
      <c r="B958" s="12">
        <v>2016</v>
      </c>
      <c r="C958" s="12" t="s">
        <v>74</v>
      </c>
      <c r="D958" s="12" t="s">
        <v>102</v>
      </c>
      <c r="E958" s="12">
        <v>3560408</v>
      </c>
    </row>
    <row r="959" spans="1:5">
      <c r="A959" s="12" t="s">
        <v>1051</v>
      </c>
      <c r="B959" s="12">
        <v>2016</v>
      </c>
      <c r="C959" s="12" t="s">
        <v>64</v>
      </c>
      <c r="D959" s="12" t="s">
        <v>54</v>
      </c>
      <c r="E959" s="12">
        <v>3980497</v>
      </c>
    </row>
    <row r="960" spans="1:5">
      <c r="A960" s="12" t="s">
        <v>1052</v>
      </c>
      <c r="B960" s="12">
        <v>2016</v>
      </c>
      <c r="C960" s="12" t="s">
        <v>78</v>
      </c>
      <c r="D960" s="12" t="s">
        <v>118</v>
      </c>
      <c r="E960" s="12">
        <v>4254136</v>
      </c>
    </row>
    <row r="961" spans="1:5">
      <c r="A961" s="12" t="s">
        <v>1053</v>
      </c>
      <c r="B961" s="12">
        <v>2016</v>
      </c>
      <c r="C961" s="12" t="s">
        <v>64</v>
      </c>
      <c r="D961" s="12" t="s">
        <v>50</v>
      </c>
      <c r="E961" s="12">
        <v>4277281</v>
      </c>
    </row>
    <row r="962" spans="1:5">
      <c r="A962" s="12" t="s">
        <v>1054</v>
      </c>
      <c r="B962" s="12">
        <v>2016</v>
      </c>
      <c r="C962" s="12" t="s">
        <v>64</v>
      </c>
      <c r="D962" s="12" t="s">
        <v>39</v>
      </c>
      <c r="E962" s="12">
        <v>4402192</v>
      </c>
    </row>
    <row r="963" spans="1:5">
      <c r="A963" s="12" t="s">
        <v>1055</v>
      </c>
      <c r="B963" s="12">
        <v>2016</v>
      </c>
      <c r="C963" s="12" t="s">
        <v>64</v>
      </c>
      <c r="D963" s="12" t="s">
        <v>85</v>
      </c>
      <c r="E963" s="12">
        <v>4947549</v>
      </c>
    </row>
    <row r="964" spans="1:5">
      <c r="A964" s="12" t="s">
        <v>1056</v>
      </c>
      <c r="B964" s="12">
        <v>2016</v>
      </c>
      <c r="C964" s="12" t="s">
        <v>64</v>
      </c>
      <c r="D964" s="12" t="s">
        <v>109</v>
      </c>
      <c r="E964" s="12">
        <v>5040673</v>
      </c>
    </row>
    <row r="965" spans="1:5">
      <c r="A965" s="12" t="s">
        <v>1057</v>
      </c>
      <c r="B965" s="12">
        <v>2016</v>
      </c>
      <c r="C965" s="12" t="s">
        <v>78</v>
      </c>
      <c r="D965" s="12" t="s">
        <v>111</v>
      </c>
      <c r="E965" s="12">
        <v>5204587</v>
      </c>
    </row>
    <row r="966" spans="1:5">
      <c r="A966" s="12" t="s">
        <v>1058</v>
      </c>
      <c r="B966" s="12">
        <v>2016</v>
      </c>
      <c r="C966" s="12" t="s">
        <v>69</v>
      </c>
      <c r="D966" s="12" t="s">
        <v>91</v>
      </c>
      <c r="E966" s="12">
        <v>5965855</v>
      </c>
    </row>
    <row r="967" spans="1:5">
      <c r="A967" s="12" t="s">
        <v>1059</v>
      </c>
      <c r="B967" s="12">
        <v>2016</v>
      </c>
      <c r="C967" s="12" t="s">
        <v>64</v>
      </c>
      <c r="D967" s="12" t="s">
        <v>122</v>
      </c>
      <c r="E967" s="12">
        <v>6171433</v>
      </c>
    </row>
    <row r="968" spans="1:5">
      <c r="A968" s="12" t="s">
        <v>1060</v>
      </c>
      <c r="B968" s="12">
        <v>2016</v>
      </c>
      <c r="C968" s="12" t="s">
        <v>78</v>
      </c>
      <c r="D968" s="12" t="s">
        <v>105</v>
      </c>
      <c r="E968" s="12">
        <v>6273604</v>
      </c>
    </row>
    <row r="969" spans="1:5">
      <c r="A969" s="12" t="s">
        <v>1061</v>
      </c>
      <c r="B969" s="12">
        <v>2016</v>
      </c>
      <c r="C969" s="12" t="s">
        <v>69</v>
      </c>
      <c r="D969" s="12" t="s">
        <v>124</v>
      </c>
      <c r="E969" s="12">
        <v>6596532</v>
      </c>
    </row>
    <row r="970" spans="1:5">
      <c r="A970" s="12" t="s">
        <v>1062</v>
      </c>
      <c r="B970" s="12">
        <v>2016</v>
      </c>
      <c r="C970" s="12" t="s">
        <v>64</v>
      </c>
      <c r="D970" s="12" t="s">
        <v>46</v>
      </c>
      <c r="E970" s="12">
        <v>6629426</v>
      </c>
    </row>
    <row r="971" spans="1:5">
      <c r="A971" s="12" t="s">
        <v>1063</v>
      </c>
      <c r="B971" s="12">
        <v>2016</v>
      </c>
      <c r="C971" s="12" t="s">
        <v>66</v>
      </c>
      <c r="D971" s="12" t="s">
        <v>91</v>
      </c>
      <c r="E971" s="12">
        <v>6882263</v>
      </c>
    </row>
    <row r="972" spans="1:5">
      <c r="A972" s="12" t="s">
        <v>1064</v>
      </c>
      <c r="B972" s="12">
        <v>2016</v>
      </c>
      <c r="C972" s="12" t="s">
        <v>69</v>
      </c>
      <c r="D972" s="12" t="s">
        <v>100</v>
      </c>
      <c r="E972" s="12">
        <v>6988362</v>
      </c>
    </row>
    <row r="973" spans="1:5">
      <c r="A973" s="12" t="s">
        <v>1065</v>
      </c>
      <c r="B973" s="12">
        <v>2016</v>
      </c>
      <c r="C973" s="12" t="s">
        <v>66</v>
      </c>
      <c r="D973" s="12" t="s">
        <v>124</v>
      </c>
      <c r="E973" s="12">
        <v>7406809</v>
      </c>
    </row>
    <row r="974" spans="1:5">
      <c r="A974" s="12" t="s">
        <v>1066</v>
      </c>
      <c r="B974" s="12">
        <v>2016</v>
      </c>
      <c r="C974" s="12" t="s">
        <v>66</v>
      </c>
      <c r="D974" s="12" t="s">
        <v>102</v>
      </c>
      <c r="E974" s="12">
        <v>7468853</v>
      </c>
    </row>
    <row r="975" spans="1:5">
      <c r="A975" s="12" t="s">
        <v>1067</v>
      </c>
      <c r="B975" s="12">
        <v>2016</v>
      </c>
      <c r="C975" s="12" t="s">
        <v>69</v>
      </c>
      <c r="D975" s="12" t="s">
        <v>102</v>
      </c>
      <c r="E975" s="12">
        <v>7596905</v>
      </c>
    </row>
    <row r="976" spans="1:5">
      <c r="A976" s="12" t="s">
        <v>1068</v>
      </c>
      <c r="B976" s="12">
        <v>2016</v>
      </c>
      <c r="C976" s="12" t="s">
        <v>64</v>
      </c>
      <c r="D976" s="12" t="s">
        <v>89</v>
      </c>
      <c r="E976" s="12">
        <v>7969259</v>
      </c>
    </row>
    <row r="977" spans="1:5">
      <c r="A977" s="12" t="s">
        <v>1069</v>
      </c>
      <c r="B977" s="12">
        <v>2016</v>
      </c>
      <c r="C977" s="12" t="s">
        <v>66</v>
      </c>
      <c r="D977" s="12" t="s">
        <v>100</v>
      </c>
      <c r="E977" s="12">
        <v>8450110</v>
      </c>
    </row>
    <row r="978" spans="1:5">
      <c r="A978" s="12" t="s">
        <v>1070</v>
      </c>
      <c r="B978" s="12">
        <v>2016</v>
      </c>
      <c r="C978" s="12" t="s">
        <v>64</v>
      </c>
      <c r="D978" s="12" t="s">
        <v>105</v>
      </c>
      <c r="E978" s="12">
        <v>9266583</v>
      </c>
    </row>
    <row r="979" spans="1:5">
      <c r="A979" s="12" t="s">
        <v>1071</v>
      </c>
      <c r="B979" s="12">
        <v>2016</v>
      </c>
      <c r="C979" s="12" t="s">
        <v>64</v>
      </c>
      <c r="D979" s="12" t="s">
        <v>118</v>
      </c>
      <c r="E979" s="12">
        <v>9731986</v>
      </c>
    </row>
    <row r="980" spans="1:5">
      <c r="A980" s="12" t="s">
        <v>1072</v>
      </c>
      <c r="B980" s="12">
        <v>2016</v>
      </c>
      <c r="C980" s="12" t="s">
        <v>64</v>
      </c>
      <c r="D980" s="12" t="s">
        <v>111</v>
      </c>
      <c r="E980" s="12">
        <v>11192772</v>
      </c>
    </row>
    <row r="981" spans="1:5">
      <c r="A981" s="12" t="s">
        <v>1073</v>
      </c>
      <c r="B981" s="12">
        <v>2016</v>
      </c>
      <c r="C981" s="12" t="s">
        <v>69</v>
      </c>
      <c r="D981" s="12" t="s">
        <v>107</v>
      </c>
      <c r="E981" s="12">
        <v>14585267</v>
      </c>
    </row>
    <row r="982" spans="1:5">
      <c r="A982" s="12" t="s">
        <v>1074</v>
      </c>
      <c r="B982" s="12">
        <v>2016</v>
      </c>
      <c r="C982" s="12" t="s">
        <v>78</v>
      </c>
      <c r="D982" s="12" t="s">
        <v>102</v>
      </c>
      <c r="E982" s="12">
        <v>15457566</v>
      </c>
    </row>
    <row r="983" spans="1:5">
      <c r="A983" s="12" t="s">
        <v>1075</v>
      </c>
      <c r="B983" s="12">
        <v>2016</v>
      </c>
      <c r="C983" s="12" t="s">
        <v>66</v>
      </c>
      <c r="D983" s="12" t="s">
        <v>107</v>
      </c>
      <c r="E983" s="12">
        <v>15918963</v>
      </c>
    </row>
    <row r="984" spans="1:5">
      <c r="A984" s="12" t="s">
        <v>1076</v>
      </c>
      <c r="B984" s="12">
        <v>2016</v>
      </c>
      <c r="C984" s="12" t="s">
        <v>78</v>
      </c>
      <c r="D984" s="12" t="s">
        <v>91</v>
      </c>
      <c r="E984" s="12">
        <v>16035530</v>
      </c>
    </row>
    <row r="985" spans="1:5">
      <c r="A985" s="12" t="s">
        <v>1077</v>
      </c>
      <c r="B985" s="12">
        <v>2016</v>
      </c>
      <c r="C985" s="12" t="s">
        <v>78</v>
      </c>
      <c r="D985" s="12" t="s">
        <v>124</v>
      </c>
      <c r="E985" s="12">
        <v>18415807</v>
      </c>
    </row>
    <row r="986" spans="1:5">
      <c r="A986" s="12" t="s">
        <v>1078</v>
      </c>
      <c r="B986" s="12">
        <v>2016</v>
      </c>
      <c r="C986" s="12" t="s">
        <v>78</v>
      </c>
      <c r="D986" s="12" t="s">
        <v>100</v>
      </c>
      <c r="E986" s="12">
        <v>18441829</v>
      </c>
    </row>
    <row r="987" spans="1:5">
      <c r="A987" s="12" t="s">
        <v>1079</v>
      </c>
      <c r="B987" s="12">
        <v>2016</v>
      </c>
      <c r="C987" s="12" t="s">
        <v>74</v>
      </c>
      <c r="D987" s="12" t="s">
        <v>91</v>
      </c>
      <c r="E987" s="12">
        <v>18983896</v>
      </c>
    </row>
    <row r="988" spans="1:5">
      <c r="A988" s="12" t="s">
        <v>1080</v>
      </c>
      <c r="B988" s="12">
        <v>2016</v>
      </c>
      <c r="C988" s="12" t="s">
        <v>74</v>
      </c>
      <c r="D988" s="12" t="s">
        <v>124</v>
      </c>
      <c r="E988" s="12">
        <v>20395944</v>
      </c>
    </row>
    <row r="989" spans="1:5">
      <c r="A989" s="12" t="s">
        <v>1081</v>
      </c>
      <c r="B989" s="12">
        <v>2016</v>
      </c>
      <c r="C989" s="12" t="s">
        <v>74</v>
      </c>
      <c r="D989" s="12" t="s">
        <v>100</v>
      </c>
      <c r="E989" s="12">
        <v>20434583</v>
      </c>
    </row>
    <row r="990" spans="1:5">
      <c r="A990" s="12" t="s">
        <v>1082</v>
      </c>
      <c r="B990" s="12">
        <v>2016</v>
      </c>
      <c r="C990" s="12" t="s">
        <v>74</v>
      </c>
      <c r="D990" s="12" t="s">
        <v>107</v>
      </c>
      <c r="E990" s="12">
        <v>23994991</v>
      </c>
    </row>
    <row r="991" spans="1:5">
      <c r="A991" s="12" t="s">
        <v>1083</v>
      </c>
      <c r="B991" s="12">
        <v>2016</v>
      </c>
      <c r="C991" s="12" t="s">
        <v>78</v>
      </c>
      <c r="D991" s="12" t="s">
        <v>107</v>
      </c>
      <c r="E991" s="12">
        <v>33899394</v>
      </c>
    </row>
    <row r="992" spans="1:5">
      <c r="A992" s="12" t="s">
        <v>1084</v>
      </c>
      <c r="B992" s="12">
        <v>2016</v>
      </c>
      <c r="C992" s="12" t="s">
        <v>64</v>
      </c>
      <c r="D992" s="12" t="s">
        <v>102</v>
      </c>
      <c r="E992" s="12">
        <v>34083732</v>
      </c>
    </row>
    <row r="993" spans="1:5">
      <c r="A993" s="12" t="s">
        <v>1085</v>
      </c>
      <c r="B993" s="12">
        <v>2016</v>
      </c>
      <c r="C993" s="12" t="s">
        <v>64</v>
      </c>
      <c r="D993" s="12" t="s">
        <v>91</v>
      </c>
      <c r="E993" s="12">
        <v>47867543</v>
      </c>
    </row>
    <row r="994" spans="1:5">
      <c r="A994" s="12" t="s">
        <v>1086</v>
      </c>
      <c r="B994" s="12">
        <v>2016</v>
      </c>
      <c r="C994" s="12" t="s">
        <v>64</v>
      </c>
      <c r="D994" s="12" t="s">
        <v>124</v>
      </c>
      <c r="E994" s="12">
        <v>52815092</v>
      </c>
    </row>
    <row r="995" spans="1:5">
      <c r="A995" s="12" t="s">
        <v>1087</v>
      </c>
      <c r="B995" s="12">
        <v>2016</v>
      </c>
      <c r="C995" s="12" t="s">
        <v>64</v>
      </c>
      <c r="D995" s="12" t="s">
        <v>100</v>
      </c>
      <c r="E995" s="12">
        <v>54314885</v>
      </c>
    </row>
    <row r="996" spans="1:5">
      <c r="A996" s="12" t="s">
        <v>1088</v>
      </c>
      <c r="B996" s="12">
        <v>2016</v>
      </c>
      <c r="C996" s="12" t="s">
        <v>64</v>
      </c>
      <c r="D996" s="12" t="s">
        <v>107</v>
      </c>
      <c r="E996" s="12">
        <v>88398617</v>
      </c>
    </row>
    <row r="997" spans="1:5">
      <c r="A997" s="12" t="s">
        <v>1089</v>
      </c>
      <c r="B997" s="12">
        <v>2016</v>
      </c>
      <c r="C997" s="12" t="s">
        <v>64</v>
      </c>
      <c r="D997" s="12" t="s">
        <v>70</v>
      </c>
    </row>
    <row r="998" spans="1:5">
      <c r="A998" s="12" t="s">
        <v>1090</v>
      </c>
      <c r="B998" s="12">
        <v>2016</v>
      </c>
      <c r="C998" s="12" t="s">
        <v>69</v>
      </c>
      <c r="D998" s="12" t="s">
        <v>70</v>
      </c>
    </row>
    <row r="999" spans="1:5">
      <c r="A999" s="12" t="s">
        <v>1091</v>
      </c>
      <c r="B999" s="12">
        <v>2016</v>
      </c>
      <c r="C999" s="12" t="s">
        <v>74</v>
      </c>
      <c r="D999" s="12" t="s">
        <v>70</v>
      </c>
    </row>
    <row r="1000" spans="1:5">
      <c r="A1000" s="12" t="s">
        <v>1092</v>
      </c>
      <c r="B1000" s="12">
        <v>2016</v>
      </c>
      <c r="C1000" s="12" t="s">
        <v>78</v>
      </c>
      <c r="D1000" s="12" t="s">
        <v>70</v>
      </c>
    </row>
    <row r="1001" spans="1:5">
      <c r="A1001" s="12" t="s">
        <v>1093</v>
      </c>
      <c r="B1001" s="12">
        <v>2016</v>
      </c>
      <c r="C1001" s="12" t="s">
        <v>66</v>
      </c>
      <c r="D1001" s="12" t="s">
        <v>70</v>
      </c>
    </row>
    <row r="1002" spans="1:5">
      <c r="A1002" s="12" t="s">
        <v>1094</v>
      </c>
      <c r="B1002" s="12">
        <v>2016</v>
      </c>
      <c r="C1002" s="12" t="s">
        <v>64</v>
      </c>
      <c r="D1002" s="12" t="s">
        <v>67</v>
      </c>
    </row>
    <row r="1003" spans="1:5">
      <c r="A1003" s="12" t="s">
        <v>1095</v>
      </c>
      <c r="B1003" s="12">
        <v>2016</v>
      </c>
      <c r="C1003" s="12" t="s">
        <v>69</v>
      </c>
      <c r="D1003" s="12" t="s">
        <v>67</v>
      </c>
    </row>
    <row r="1004" spans="1:5">
      <c r="A1004" s="12" t="s">
        <v>1096</v>
      </c>
      <c r="B1004" s="12">
        <v>2016</v>
      </c>
      <c r="C1004" s="12" t="s">
        <v>74</v>
      </c>
      <c r="D1004" s="12" t="s">
        <v>67</v>
      </c>
    </row>
    <row r="1005" spans="1:5">
      <c r="A1005" s="12" t="s">
        <v>1097</v>
      </c>
      <c r="B1005" s="12">
        <v>2016</v>
      </c>
      <c r="C1005" s="12" t="s">
        <v>78</v>
      </c>
      <c r="D1005" s="12" t="s">
        <v>67</v>
      </c>
    </row>
    <row r="1006" spans="1:5">
      <c r="A1006" s="12" t="s">
        <v>1098</v>
      </c>
      <c r="B1006" s="12">
        <v>2016</v>
      </c>
      <c r="C1006" s="12" t="s">
        <v>66</v>
      </c>
      <c r="D1006" s="12" t="s">
        <v>67</v>
      </c>
    </row>
    <row r="1007" spans="1:5">
      <c r="A1007" s="12" t="s">
        <v>1099</v>
      </c>
      <c r="B1007" s="12">
        <v>2016</v>
      </c>
      <c r="C1007" s="12" t="s">
        <v>64</v>
      </c>
      <c r="D1007" s="12" t="s">
        <v>82</v>
      </c>
    </row>
    <row r="1008" spans="1:5">
      <c r="A1008" s="12" t="s">
        <v>1100</v>
      </c>
      <c r="B1008" s="12">
        <v>2016</v>
      </c>
      <c r="C1008" s="12" t="s">
        <v>69</v>
      </c>
      <c r="D1008" s="12" t="s">
        <v>82</v>
      </c>
    </row>
    <row r="1009" spans="1:5">
      <c r="A1009" s="12" t="s">
        <v>1101</v>
      </c>
      <c r="B1009" s="12">
        <v>2016</v>
      </c>
      <c r="C1009" s="12" t="s">
        <v>74</v>
      </c>
      <c r="D1009" s="12" t="s">
        <v>82</v>
      </c>
    </row>
    <row r="1010" spans="1:5">
      <c r="A1010" s="12" t="s">
        <v>1102</v>
      </c>
      <c r="B1010" s="12">
        <v>2016</v>
      </c>
      <c r="C1010" s="12" t="s">
        <v>78</v>
      </c>
      <c r="D1010" s="12" t="s">
        <v>82</v>
      </c>
    </row>
    <row r="1011" spans="1:5">
      <c r="A1011" s="12" t="s">
        <v>1103</v>
      </c>
      <c r="B1011" s="12">
        <v>2016</v>
      </c>
      <c r="C1011" s="12" t="s">
        <v>66</v>
      </c>
      <c r="D1011" s="12" t="s">
        <v>82</v>
      </c>
    </row>
    <row r="1012" spans="1:5">
      <c r="A1012" s="12" t="s">
        <v>1104</v>
      </c>
      <c r="B1012" s="12">
        <v>2016</v>
      </c>
      <c r="C1012" s="12" t="s">
        <v>64</v>
      </c>
      <c r="D1012" s="12" t="s">
        <v>34</v>
      </c>
    </row>
    <row r="1013" spans="1:5">
      <c r="A1013" s="12" t="s">
        <v>1105</v>
      </c>
      <c r="B1013" s="12">
        <v>2016</v>
      </c>
      <c r="C1013" s="12" t="s">
        <v>69</v>
      </c>
      <c r="D1013" s="12" t="s">
        <v>34</v>
      </c>
    </row>
    <row r="1014" spans="1:5">
      <c r="A1014" s="12" t="s">
        <v>1106</v>
      </c>
      <c r="B1014" s="12">
        <v>2016</v>
      </c>
      <c r="C1014" s="12" t="s">
        <v>74</v>
      </c>
      <c r="D1014" s="12" t="s">
        <v>34</v>
      </c>
    </row>
    <row r="1015" spans="1:5">
      <c r="A1015" s="12" t="s">
        <v>1107</v>
      </c>
      <c r="B1015" s="12">
        <v>2016</v>
      </c>
      <c r="C1015" s="12" t="s">
        <v>78</v>
      </c>
      <c r="D1015" s="12" t="s">
        <v>34</v>
      </c>
    </row>
    <row r="1016" spans="1:5">
      <c r="A1016" s="12" t="s">
        <v>1108</v>
      </c>
      <c r="B1016" s="12">
        <v>2016</v>
      </c>
      <c r="C1016" s="12" t="s">
        <v>66</v>
      </c>
      <c r="D1016" s="12" t="s">
        <v>34</v>
      </c>
    </row>
    <row r="1017" spans="1:5">
      <c r="A1017" s="12" t="s">
        <v>1109</v>
      </c>
      <c r="B1017" s="12">
        <v>2017</v>
      </c>
      <c r="C1017" s="12" t="s">
        <v>74</v>
      </c>
      <c r="D1017" s="12" t="s">
        <v>87</v>
      </c>
      <c r="E1017" s="12">
        <v>10942</v>
      </c>
    </row>
    <row r="1018" spans="1:5">
      <c r="A1018" s="12" t="s">
        <v>1110</v>
      </c>
      <c r="B1018" s="12">
        <v>2017</v>
      </c>
      <c r="C1018" s="12" t="s">
        <v>74</v>
      </c>
      <c r="D1018" s="12" t="s">
        <v>37</v>
      </c>
      <c r="E1018" s="12">
        <v>12846</v>
      </c>
    </row>
    <row r="1019" spans="1:5">
      <c r="A1019" s="12" t="s">
        <v>1111</v>
      </c>
      <c r="B1019" s="12">
        <v>2017</v>
      </c>
      <c r="C1019" s="12" t="s">
        <v>69</v>
      </c>
      <c r="D1019" s="12" t="s">
        <v>37</v>
      </c>
      <c r="E1019" s="12">
        <v>13333</v>
      </c>
    </row>
    <row r="1020" spans="1:5">
      <c r="A1020" s="12" t="s">
        <v>1112</v>
      </c>
      <c r="B1020" s="12">
        <v>2017</v>
      </c>
      <c r="C1020" s="12" t="s">
        <v>69</v>
      </c>
      <c r="D1020" s="12" t="s">
        <v>87</v>
      </c>
      <c r="E1020" s="12">
        <v>14843</v>
      </c>
    </row>
    <row r="1021" spans="1:5">
      <c r="A1021" s="12" t="s">
        <v>1113</v>
      </c>
      <c r="B1021" s="12">
        <v>2017</v>
      </c>
      <c r="C1021" s="12" t="s">
        <v>66</v>
      </c>
      <c r="D1021" s="12" t="s">
        <v>87</v>
      </c>
      <c r="E1021" s="12">
        <v>15133</v>
      </c>
    </row>
    <row r="1022" spans="1:5">
      <c r="A1022" s="12" t="s">
        <v>1114</v>
      </c>
      <c r="B1022" s="12">
        <v>2017</v>
      </c>
      <c r="C1022" s="12" t="s">
        <v>66</v>
      </c>
      <c r="D1022" s="12" t="s">
        <v>37</v>
      </c>
      <c r="E1022" s="12">
        <v>20807</v>
      </c>
    </row>
    <row r="1023" spans="1:5">
      <c r="A1023" s="12" t="s">
        <v>1115</v>
      </c>
      <c r="B1023" s="12">
        <v>2017</v>
      </c>
      <c r="C1023" s="12" t="s">
        <v>78</v>
      </c>
      <c r="D1023" s="12" t="s">
        <v>87</v>
      </c>
      <c r="E1023" s="12">
        <v>30418</v>
      </c>
    </row>
    <row r="1024" spans="1:5">
      <c r="A1024" s="12" t="s">
        <v>1116</v>
      </c>
      <c r="B1024" s="12">
        <v>2017</v>
      </c>
      <c r="C1024" s="12" t="s">
        <v>69</v>
      </c>
      <c r="D1024" s="12" t="s">
        <v>48</v>
      </c>
      <c r="E1024" s="12">
        <v>31477</v>
      </c>
    </row>
    <row r="1025" spans="1:5">
      <c r="A1025" s="12" t="s">
        <v>1117</v>
      </c>
      <c r="B1025" s="12">
        <v>2017</v>
      </c>
      <c r="C1025" s="12" t="s">
        <v>74</v>
      </c>
      <c r="D1025" s="12" t="s">
        <v>104</v>
      </c>
      <c r="E1025" s="12">
        <v>39440</v>
      </c>
    </row>
    <row r="1026" spans="1:5">
      <c r="A1026" s="12" t="s">
        <v>1118</v>
      </c>
      <c r="B1026" s="12">
        <v>2017</v>
      </c>
      <c r="C1026" s="12" t="s">
        <v>78</v>
      </c>
      <c r="D1026" s="12" t="s">
        <v>37</v>
      </c>
      <c r="E1026" s="12">
        <v>45621</v>
      </c>
    </row>
    <row r="1027" spans="1:5">
      <c r="A1027" s="12" t="s">
        <v>1119</v>
      </c>
      <c r="B1027" s="12">
        <v>2017</v>
      </c>
      <c r="C1027" s="12" t="s">
        <v>66</v>
      </c>
      <c r="D1027" s="12" t="s">
        <v>48</v>
      </c>
      <c r="E1027" s="12">
        <v>60631</v>
      </c>
    </row>
    <row r="1028" spans="1:5">
      <c r="A1028" s="12" t="s">
        <v>1120</v>
      </c>
      <c r="B1028" s="12">
        <v>2017</v>
      </c>
      <c r="C1028" s="12" t="s">
        <v>64</v>
      </c>
      <c r="D1028" s="12" t="s">
        <v>87</v>
      </c>
      <c r="E1028" s="12">
        <v>71336</v>
      </c>
    </row>
    <row r="1029" spans="1:5">
      <c r="A1029" s="12" t="s">
        <v>1121</v>
      </c>
      <c r="B1029" s="12">
        <v>2017</v>
      </c>
      <c r="C1029" s="12" t="s">
        <v>69</v>
      </c>
      <c r="D1029" s="12" t="s">
        <v>98</v>
      </c>
      <c r="E1029" s="12">
        <v>91657</v>
      </c>
    </row>
    <row r="1030" spans="1:5">
      <c r="A1030" s="12" t="s">
        <v>1122</v>
      </c>
      <c r="B1030" s="12">
        <v>2017</v>
      </c>
      <c r="C1030" s="12" t="s">
        <v>64</v>
      </c>
      <c r="D1030" s="12" t="s">
        <v>37</v>
      </c>
      <c r="E1030" s="12">
        <v>92607</v>
      </c>
    </row>
    <row r="1031" spans="1:5">
      <c r="A1031" s="12" t="s">
        <v>1123</v>
      </c>
      <c r="B1031" s="12">
        <v>2017</v>
      </c>
      <c r="C1031" s="12" t="s">
        <v>78</v>
      </c>
      <c r="D1031" s="12" t="s">
        <v>48</v>
      </c>
      <c r="E1031" s="12">
        <v>99805</v>
      </c>
    </row>
    <row r="1032" spans="1:5">
      <c r="A1032" s="12" t="s">
        <v>1124</v>
      </c>
      <c r="B1032" s="12">
        <v>2017</v>
      </c>
      <c r="C1032" s="12" t="s">
        <v>69</v>
      </c>
      <c r="D1032" s="12" t="s">
        <v>41</v>
      </c>
      <c r="E1032" s="12">
        <v>111485</v>
      </c>
    </row>
    <row r="1033" spans="1:5">
      <c r="A1033" s="12" t="s">
        <v>1125</v>
      </c>
      <c r="B1033" s="12">
        <v>2017</v>
      </c>
      <c r="C1033" s="12" t="s">
        <v>66</v>
      </c>
      <c r="D1033" s="12" t="s">
        <v>41</v>
      </c>
      <c r="E1033" s="12">
        <v>137019</v>
      </c>
    </row>
    <row r="1034" spans="1:5">
      <c r="A1034" s="12" t="s">
        <v>1126</v>
      </c>
      <c r="B1034" s="12">
        <v>2017</v>
      </c>
      <c r="C1034" s="12" t="s">
        <v>69</v>
      </c>
      <c r="D1034" s="12" t="s">
        <v>54</v>
      </c>
      <c r="E1034" s="12">
        <v>139001</v>
      </c>
    </row>
    <row r="1035" spans="1:5">
      <c r="A1035" s="12" t="s">
        <v>1127</v>
      </c>
      <c r="B1035" s="12">
        <v>2017</v>
      </c>
      <c r="C1035" s="12" t="s">
        <v>78</v>
      </c>
      <c r="D1035" s="12" t="s">
        <v>104</v>
      </c>
      <c r="E1035" s="12">
        <v>144753</v>
      </c>
    </row>
    <row r="1036" spans="1:5">
      <c r="A1036" s="12" t="s">
        <v>1128</v>
      </c>
      <c r="B1036" s="12">
        <v>2017</v>
      </c>
      <c r="C1036" s="12" t="s">
        <v>74</v>
      </c>
      <c r="D1036" s="12" t="s">
        <v>93</v>
      </c>
      <c r="E1036" s="12">
        <v>155543</v>
      </c>
    </row>
    <row r="1037" spans="1:5">
      <c r="A1037" s="12" t="s">
        <v>1129</v>
      </c>
      <c r="B1037" s="12">
        <v>2017</v>
      </c>
      <c r="C1037" s="12" t="s">
        <v>74</v>
      </c>
      <c r="D1037" s="12" t="s">
        <v>122</v>
      </c>
      <c r="E1037" s="12">
        <v>160192</v>
      </c>
    </row>
    <row r="1038" spans="1:5">
      <c r="A1038" s="12" t="s">
        <v>1130</v>
      </c>
      <c r="B1038" s="12">
        <v>2017</v>
      </c>
      <c r="C1038" s="12" t="s">
        <v>66</v>
      </c>
      <c r="D1038" s="12" t="s">
        <v>98</v>
      </c>
      <c r="E1038" s="12">
        <v>161041</v>
      </c>
    </row>
    <row r="1039" spans="1:5">
      <c r="A1039" s="12" t="s">
        <v>1131</v>
      </c>
      <c r="B1039" s="12">
        <v>2017</v>
      </c>
      <c r="C1039" s="12" t="s">
        <v>66</v>
      </c>
      <c r="D1039" s="12" t="s">
        <v>93</v>
      </c>
      <c r="E1039" s="12">
        <v>193491</v>
      </c>
    </row>
    <row r="1040" spans="1:5">
      <c r="A1040" s="12" t="s">
        <v>1132</v>
      </c>
      <c r="B1040" s="12">
        <v>2017</v>
      </c>
      <c r="C1040" s="12" t="s">
        <v>74</v>
      </c>
      <c r="D1040" s="12" t="s">
        <v>48</v>
      </c>
      <c r="E1040" s="12">
        <v>221127</v>
      </c>
    </row>
    <row r="1041" spans="1:5">
      <c r="A1041" s="12" t="s">
        <v>1133</v>
      </c>
      <c r="B1041" s="12">
        <v>2017</v>
      </c>
      <c r="C1041" s="12" t="s">
        <v>78</v>
      </c>
      <c r="D1041" s="12" t="s">
        <v>98</v>
      </c>
      <c r="E1041" s="12">
        <v>232587</v>
      </c>
    </row>
    <row r="1042" spans="1:5">
      <c r="A1042" s="12" t="s">
        <v>1134</v>
      </c>
      <c r="B1042" s="12">
        <v>2017</v>
      </c>
      <c r="C1042" s="12" t="s">
        <v>74</v>
      </c>
      <c r="D1042" s="12" t="s">
        <v>96</v>
      </c>
      <c r="E1042" s="12">
        <v>241669</v>
      </c>
    </row>
    <row r="1043" spans="1:5">
      <c r="A1043" s="12" t="s">
        <v>1135</v>
      </c>
      <c r="B1043" s="12">
        <v>2017</v>
      </c>
      <c r="C1043" s="12" t="s">
        <v>66</v>
      </c>
      <c r="D1043" s="12" t="s">
        <v>54</v>
      </c>
      <c r="E1043" s="12">
        <v>257975</v>
      </c>
    </row>
    <row r="1044" spans="1:5">
      <c r="A1044" s="12" t="s">
        <v>1136</v>
      </c>
      <c r="B1044" s="12">
        <v>2017</v>
      </c>
      <c r="C1044" s="12" t="s">
        <v>69</v>
      </c>
      <c r="D1044" s="12" t="s">
        <v>93</v>
      </c>
      <c r="E1044" s="12">
        <v>270994</v>
      </c>
    </row>
    <row r="1045" spans="1:5">
      <c r="A1045" s="12" t="s">
        <v>1137</v>
      </c>
      <c r="B1045" s="12">
        <v>2017</v>
      </c>
      <c r="C1045" s="12" t="s">
        <v>74</v>
      </c>
      <c r="D1045" s="12" t="s">
        <v>113</v>
      </c>
      <c r="E1045" s="12">
        <v>275395</v>
      </c>
    </row>
    <row r="1046" spans="1:5">
      <c r="A1046" s="12" t="s">
        <v>1138</v>
      </c>
      <c r="B1046" s="12">
        <v>2017</v>
      </c>
      <c r="C1046" s="12" t="s">
        <v>66</v>
      </c>
      <c r="D1046" s="12" t="s">
        <v>96</v>
      </c>
      <c r="E1046" s="12">
        <v>279956</v>
      </c>
    </row>
    <row r="1047" spans="1:5">
      <c r="A1047" s="12" t="s">
        <v>1139</v>
      </c>
      <c r="B1047" s="12">
        <v>2017</v>
      </c>
      <c r="C1047" s="12" t="s">
        <v>64</v>
      </c>
      <c r="D1047" s="12" t="s">
        <v>48</v>
      </c>
      <c r="E1047" s="12">
        <v>413040</v>
      </c>
    </row>
    <row r="1048" spans="1:5">
      <c r="A1048" s="12" t="s">
        <v>1140</v>
      </c>
      <c r="B1048" s="12">
        <v>2017</v>
      </c>
      <c r="C1048" s="12" t="s">
        <v>74</v>
      </c>
      <c r="D1048" s="12" t="s">
        <v>109</v>
      </c>
      <c r="E1048" s="12">
        <v>428377</v>
      </c>
    </row>
    <row r="1049" spans="1:5">
      <c r="A1049" s="12" t="s">
        <v>1141</v>
      </c>
      <c r="B1049" s="12">
        <v>2017</v>
      </c>
      <c r="C1049" s="12" t="s">
        <v>78</v>
      </c>
      <c r="D1049" s="12" t="s">
        <v>41</v>
      </c>
      <c r="E1049" s="12">
        <v>436476</v>
      </c>
    </row>
    <row r="1050" spans="1:5">
      <c r="A1050" s="12" t="s">
        <v>1142</v>
      </c>
      <c r="B1050" s="12">
        <v>2017</v>
      </c>
      <c r="C1050" s="12" t="s">
        <v>69</v>
      </c>
      <c r="D1050" s="12" t="s">
        <v>96</v>
      </c>
      <c r="E1050" s="12">
        <v>444529</v>
      </c>
    </row>
    <row r="1051" spans="1:5">
      <c r="A1051" s="12" t="s">
        <v>1143</v>
      </c>
      <c r="B1051" s="12">
        <v>2017</v>
      </c>
      <c r="C1051" s="12" t="s">
        <v>74</v>
      </c>
      <c r="D1051" s="12" t="s">
        <v>98</v>
      </c>
      <c r="E1051" s="12">
        <v>445814</v>
      </c>
    </row>
    <row r="1052" spans="1:5">
      <c r="A1052" s="12" t="s">
        <v>1144</v>
      </c>
      <c r="B1052" s="12">
        <v>2017</v>
      </c>
      <c r="C1052" s="12" t="s">
        <v>78</v>
      </c>
      <c r="D1052" s="12" t="s">
        <v>113</v>
      </c>
      <c r="E1052" s="12">
        <v>484699</v>
      </c>
    </row>
    <row r="1053" spans="1:5">
      <c r="A1053" s="12" t="s">
        <v>1145</v>
      </c>
      <c r="B1053" s="12">
        <v>2017</v>
      </c>
      <c r="C1053" s="12" t="s">
        <v>74</v>
      </c>
      <c r="D1053" s="12" t="s">
        <v>41</v>
      </c>
      <c r="E1053" s="12">
        <v>524706</v>
      </c>
    </row>
    <row r="1054" spans="1:5">
      <c r="A1054" s="12" t="s">
        <v>1146</v>
      </c>
      <c r="B1054" s="12">
        <v>2017</v>
      </c>
      <c r="C1054" s="12" t="s">
        <v>74</v>
      </c>
      <c r="D1054" s="12" t="s">
        <v>54</v>
      </c>
      <c r="E1054" s="12">
        <v>546164</v>
      </c>
    </row>
    <row r="1055" spans="1:5">
      <c r="A1055" s="12" t="s">
        <v>1147</v>
      </c>
      <c r="B1055" s="12">
        <v>2017</v>
      </c>
      <c r="C1055" s="12" t="s">
        <v>69</v>
      </c>
      <c r="D1055" s="12" t="s">
        <v>104</v>
      </c>
      <c r="E1055" s="12">
        <v>546311</v>
      </c>
    </row>
    <row r="1056" spans="1:5">
      <c r="A1056" s="12" t="s">
        <v>1148</v>
      </c>
      <c r="B1056" s="12">
        <v>2017</v>
      </c>
      <c r="C1056" s="12" t="s">
        <v>78</v>
      </c>
      <c r="D1056" s="12" t="s">
        <v>122</v>
      </c>
      <c r="E1056" s="12">
        <v>554807</v>
      </c>
    </row>
    <row r="1057" spans="1:5">
      <c r="A1057" s="12" t="s">
        <v>1149</v>
      </c>
      <c r="B1057" s="12">
        <v>2017</v>
      </c>
      <c r="C1057" s="12" t="s">
        <v>69</v>
      </c>
      <c r="D1057" s="12" t="s">
        <v>109</v>
      </c>
      <c r="E1057" s="12">
        <v>556450</v>
      </c>
    </row>
    <row r="1058" spans="1:5">
      <c r="A1058" s="12" t="s">
        <v>1150</v>
      </c>
      <c r="B1058" s="12">
        <v>2017</v>
      </c>
      <c r="C1058" s="12" t="s">
        <v>69</v>
      </c>
      <c r="D1058" s="12" t="s">
        <v>39</v>
      </c>
      <c r="E1058" s="12">
        <v>557177</v>
      </c>
    </row>
    <row r="1059" spans="1:5">
      <c r="A1059" s="12" t="s">
        <v>1151</v>
      </c>
      <c r="B1059" s="12">
        <v>2017</v>
      </c>
      <c r="C1059" s="12" t="s">
        <v>69</v>
      </c>
      <c r="D1059" s="12" t="s">
        <v>113</v>
      </c>
      <c r="E1059" s="12">
        <v>558344</v>
      </c>
    </row>
    <row r="1060" spans="1:5">
      <c r="A1060" s="12" t="s">
        <v>1152</v>
      </c>
      <c r="B1060" s="12">
        <v>2017</v>
      </c>
      <c r="C1060" s="12" t="s">
        <v>66</v>
      </c>
      <c r="D1060" s="12" t="s">
        <v>39</v>
      </c>
      <c r="E1060" s="12">
        <v>561894</v>
      </c>
    </row>
    <row r="1061" spans="1:5">
      <c r="A1061" s="12" t="s">
        <v>1153</v>
      </c>
      <c r="B1061" s="12">
        <v>2017</v>
      </c>
      <c r="C1061" s="12" t="s">
        <v>74</v>
      </c>
      <c r="D1061" s="12" t="s">
        <v>105</v>
      </c>
      <c r="E1061" s="12">
        <v>619817</v>
      </c>
    </row>
    <row r="1062" spans="1:5">
      <c r="A1062" s="12" t="s">
        <v>1154</v>
      </c>
      <c r="B1062" s="12">
        <v>2017</v>
      </c>
      <c r="C1062" s="12" t="s">
        <v>69</v>
      </c>
      <c r="D1062" s="12" t="s">
        <v>85</v>
      </c>
      <c r="E1062" s="12">
        <v>681994</v>
      </c>
    </row>
    <row r="1063" spans="1:5">
      <c r="A1063" s="12" t="s">
        <v>1155</v>
      </c>
      <c r="B1063" s="12">
        <v>2017</v>
      </c>
      <c r="C1063" s="12" t="s">
        <v>66</v>
      </c>
      <c r="D1063" s="12" t="s">
        <v>104</v>
      </c>
      <c r="E1063" s="12">
        <v>689387</v>
      </c>
    </row>
    <row r="1064" spans="1:5">
      <c r="A1064" s="12" t="s">
        <v>1156</v>
      </c>
      <c r="B1064" s="12">
        <v>2017</v>
      </c>
      <c r="C1064" s="12" t="s">
        <v>66</v>
      </c>
      <c r="D1064" s="12" t="s">
        <v>113</v>
      </c>
      <c r="E1064" s="12">
        <v>718651</v>
      </c>
    </row>
    <row r="1065" spans="1:5">
      <c r="A1065" s="12" t="s">
        <v>1157</v>
      </c>
      <c r="B1065" s="12">
        <v>2017</v>
      </c>
      <c r="C1065" s="12" t="s">
        <v>66</v>
      </c>
      <c r="D1065" s="12" t="s">
        <v>85</v>
      </c>
      <c r="E1065" s="12">
        <v>719720</v>
      </c>
    </row>
    <row r="1066" spans="1:5">
      <c r="A1066" s="12" t="s">
        <v>1158</v>
      </c>
      <c r="B1066" s="12">
        <v>2017</v>
      </c>
      <c r="C1066" s="12" t="s">
        <v>78</v>
      </c>
      <c r="D1066" s="12" t="s">
        <v>54</v>
      </c>
      <c r="E1066" s="12">
        <v>732409</v>
      </c>
    </row>
    <row r="1067" spans="1:5">
      <c r="A1067" s="12" t="s">
        <v>1159</v>
      </c>
      <c r="B1067" s="12">
        <v>2017</v>
      </c>
      <c r="C1067" s="12" t="s">
        <v>78</v>
      </c>
      <c r="D1067" s="12" t="s">
        <v>93</v>
      </c>
      <c r="E1067" s="12">
        <v>823250</v>
      </c>
    </row>
    <row r="1068" spans="1:5">
      <c r="A1068" s="12" t="s">
        <v>1160</v>
      </c>
      <c r="B1068" s="12">
        <v>2017</v>
      </c>
      <c r="C1068" s="12" t="s">
        <v>66</v>
      </c>
      <c r="D1068" s="12" t="s">
        <v>105</v>
      </c>
      <c r="E1068" s="12">
        <v>908248</v>
      </c>
    </row>
    <row r="1069" spans="1:5">
      <c r="A1069" s="12" t="s">
        <v>1161</v>
      </c>
      <c r="B1069" s="12">
        <v>2017</v>
      </c>
      <c r="C1069" s="12" t="s">
        <v>64</v>
      </c>
      <c r="D1069" s="12" t="s">
        <v>98</v>
      </c>
      <c r="E1069" s="12">
        <v>931099</v>
      </c>
    </row>
    <row r="1070" spans="1:5">
      <c r="A1070" s="12" t="s">
        <v>1162</v>
      </c>
      <c r="B1070" s="12">
        <v>2017</v>
      </c>
      <c r="C1070" s="12" t="s">
        <v>69</v>
      </c>
      <c r="D1070" s="12" t="s">
        <v>50</v>
      </c>
      <c r="E1070" s="12">
        <v>979676</v>
      </c>
    </row>
    <row r="1071" spans="1:5">
      <c r="A1071" s="12" t="s">
        <v>1163</v>
      </c>
      <c r="B1071" s="12">
        <v>2017</v>
      </c>
      <c r="C1071" s="12" t="s">
        <v>66</v>
      </c>
      <c r="D1071" s="12" t="s">
        <v>50</v>
      </c>
      <c r="E1071" s="12">
        <v>1043511</v>
      </c>
    </row>
    <row r="1072" spans="1:5">
      <c r="A1072" s="12" t="s">
        <v>1164</v>
      </c>
      <c r="B1072" s="12">
        <v>2017</v>
      </c>
      <c r="C1072" s="12" t="s">
        <v>66</v>
      </c>
      <c r="D1072" s="12" t="s">
        <v>89</v>
      </c>
      <c r="E1072" s="12">
        <v>1072831</v>
      </c>
    </row>
    <row r="1073" spans="1:5">
      <c r="A1073" s="12" t="s">
        <v>1165</v>
      </c>
      <c r="B1073" s="12">
        <v>2017</v>
      </c>
      <c r="C1073" s="12" t="s">
        <v>74</v>
      </c>
      <c r="D1073" s="12" t="s">
        <v>118</v>
      </c>
      <c r="E1073" s="12">
        <v>1092735</v>
      </c>
    </row>
    <row r="1074" spans="1:5">
      <c r="A1074" s="12" t="s">
        <v>1166</v>
      </c>
      <c r="B1074" s="12">
        <v>2017</v>
      </c>
      <c r="C1074" s="12" t="s">
        <v>69</v>
      </c>
      <c r="D1074" s="12" t="s">
        <v>46</v>
      </c>
      <c r="E1074" s="12">
        <v>1140534</v>
      </c>
    </row>
    <row r="1075" spans="1:5">
      <c r="A1075" s="12" t="s">
        <v>1167</v>
      </c>
      <c r="B1075" s="12">
        <v>2017</v>
      </c>
      <c r="C1075" s="12" t="s">
        <v>78</v>
      </c>
      <c r="D1075" s="12" t="s">
        <v>50</v>
      </c>
      <c r="E1075" s="12">
        <v>1143768</v>
      </c>
    </row>
    <row r="1076" spans="1:5">
      <c r="A1076" s="12" t="s">
        <v>1168</v>
      </c>
      <c r="B1076" s="12">
        <v>2017</v>
      </c>
      <c r="C1076" s="12" t="s">
        <v>69</v>
      </c>
      <c r="D1076" s="12" t="s">
        <v>89</v>
      </c>
      <c r="E1076" s="12">
        <v>1181486</v>
      </c>
    </row>
    <row r="1077" spans="1:5">
      <c r="A1077" s="12" t="s">
        <v>1169</v>
      </c>
      <c r="B1077" s="12">
        <v>2017</v>
      </c>
      <c r="C1077" s="12" t="s">
        <v>69</v>
      </c>
      <c r="D1077" s="12" t="s">
        <v>105</v>
      </c>
      <c r="E1077" s="12">
        <v>1192557</v>
      </c>
    </row>
    <row r="1078" spans="1:5">
      <c r="A1078" s="12" t="s">
        <v>1170</v>
      </c>
      <c r="B1078" s="12">
        <v>2017</v>
      </c>
      <c r="C1078" s="12" t="s">
        <v>66</v>
      </c>
      <c r="D1078" s="12" t="s">
        <v>118</v>
      </c>
      <c r="E1078" s="12">
        <v>1205409</v>
      </c>
    </row>
    <row r="1079" spans="1:5">
      <c r="A1079" s="12" t="s">
        <v>1171</v>
      </c>
      <c r="B1079" s="12">
        <v>2017</v>
      </c>
      <c r="C1079" s="12" t="s">
        <v>64</v>
      </c>
      <c r="D1079" s="12" t="s">
        <v>41</v>
      </c>
      <c r="E1079" s="12">
        <v>1209686</v>
      </c>
    </row>
    <row r="1080" spans="1:5">
      <c r="A1080" s="12" t="s">
        <v>1172</v>
      </c>
      <c r="B1080" s="12">
        <v>2017</v>
      </c>
      <c r="C1080" s="12" t="s">
        <v>74</v>
      </c>
      <c r="D1080" s="12" t="s">
        <v>111</v>
      </c>
      <c r="E1080" s="12">
        <v>1259220</v>
      </c>
    </row>
    <row r="1081" spans="1:5">
      <c r="A1081" s="12" t="s">
        <v>1173</v>
      </c>
      <c r="B1081" s="12">
        <v>2017</v>
      </c>
      <c r="C1081" s="12" t="s">
        <v>66</v>
      </c>
      <c r="D1081" s="12" t="s">
        <v>46</v>
      </c>
      <c r="E1081" s="12">
        <v>1260983</v>
      </c>
    </row>
    <row r="1082" spans="1:5">
      <c r="A1082" s="12" t="s">
        <v>1174</v>
      </c>
      <c r="B1082" s="12">
        <v>2017</v>
      </c>
      <c r="C1082" s="12" t="s">
        <v>66</v>
      </c>
      <c r="D1082" s="12" t="s">
        <v>111</v>
      </c>
      <c r="E1082" s="12">
        <v>1414033</v>
      </c>
    </row>
    <row r="1083" spans="1:5">
      <c r="A1083" s="12" t="s">
        <v>1175</v>
      </c>
      <c r="B1083" s="12">
        <v>2017</v>
      </c>
      <c r="C1083" s="12" t="s">
        <v>64</v>
      </c>
      <c r="D1083" s="12" t="s">
        <v>104</v>
      </c>
      <c r="E1083" s="12">
        <v>1419891</v>
      </c>
    </row>
    <row r="1084" spans="1:5">
      <c r="A1084" s="12" t="s">
        <v>1176</v>
      </c>
      <c r="B1084" s="12">
        <v>2017</v>
      </c>
      <c r="C1084" s="12" t="s">
        <v>64</v>
      </c>
      <c r="D1084" s="12" t="s">
        <v>93</v>
      </c>
      <c r="E1084" s="12">
        <v>1443278</v>
      </c>
    </row>
    <row r="1085" spans="1:5">
      <c r="A1085" s="12" t="s">
        <v>1177</v>
      </c>
      <c r="B1085" s="12">
        <v>2017</v>
      </c>
      <c r="C1085" s="12" t="s">
        <v>69</v>
      </c>
      <c r="D1085" s="12" t="s">
        <v>118</v>
      </c>
      <c r="E1085" s="12">
        <v>1510200</v>
      </c>
    </row>
    <row r="1086" spans="1:5">
      <c r="A1086" s="12" t="s">
        <v>1178</v>
      </c>
      <c r="B1086" s="12">
        <v>2017</v>
      </c>
      <c r="C1086" s="12" t="s">
        <v>78</v>
      </c>
      <c r="D1086" s="12" t="s">
        <v>46</v>
      </c>
      <c r="E1086" s="12">
        <v>1557607</v>
      </c>
    </row>
    <row r="1087" spans="1:5">
      <c r="A1087" s="12" t="s">
        <v>1179</v>
      </c>
      <c r="B1087" s="12">
        <v>2017</v>
      </c>
      <c r="C1087" s="12" t="s">
        <v>78</v>
      </c>
      <c r="D1087" s="12" t="s">
        <v>109</v>
      </c>
      <c r="E1087" s="12">
        <v>1594243</v>
      </c>
    </row>
    <row r="1088" spans="1:5">
      <c r="A1088" s="12" t="s">
        <v>1180</v>
      </c>
      <c r="B1088" s="12">
        <v>2017</v>
      </c>
      <c r="C1088" s="12" t="s">
        <v>64</v>
      </c>
      <c r="D1088" s="12" t="s">
        <v>54</v>
      </c>
      <c r="E1088" s="12">
        <v>1675549</v>
      </c>
    </row>
    <row r="1089" spans="1:5">
      <c r="A1089" s="12" t="s">
        <v>1181</v>
      </c>
      <c r="B1089" s="12">
        <v>2017</v>
      </c>
      <c r="C1089" s="12" t="s">
        <v>74</v>
      </c>
      <c r="D1089" s="12" t="s">
        <v>50</v>
      </c>
      <c r="E1089" s="12">
        <v>1681603</v>
      </c>
    </row>
    <row r="1090" spans="1:5">
      <c r="A1090" s="12" t="s">
        <v>1182</v>
      </c>
      <c r="B1090" s="12">
        <v>2017</v>
      </c>
      <c r="C1090" s="12" t="s">
        <v>69</v>
      </c>
      <c r="D1090" s="12" t="s">
        <v>111</v>
      </c>
      <c r="E1090" s="12">
        <v>1796036</v>
      </c>
    </row>
    <row r="1091" spans="1:5">
      <c r="A1091" s="12" t="s">
        <v>1183</v>
      </c>
      <c r="B1091" s="12">
        <v>2017</v>
      </c>
      <c r="C1091" s="12" t="s">
        <v>78</v>
      </c>
      <c r="D1091" s="12" t="s">
        <v>96</v>
      </c>
      <c r="E1091" s="12">
        <v>1886054</v>
      </c>
    </row>
    <row r="1092" spans="1:5">
      <c r="A1092" s="12" t="s">
        <v>1184</v>
      </c>
      <c r="B1092" s="12">
        <v>2017</v>
      </c>
      <c r="C1092" s="12" t="s">
        <v>74</v>
      </c>
      <c r="D1092" s="12" t="s">
        <v>39</v>
      </c>
      <c r="E1092" s="12">
        <v>1933251</v>
      </c>
    </row>
    <row r="1093" spans="1:5">
      <c r="A1093" s="12" t="s">
        <v>1185</v>
      </c>
      <c r="B1093" s="12">
        <v>2017</v>
      </c>
      <c r="C1093" s="12" t="s">
        <v>78</v>
      </c>
      <c r="D1093" s="12" t="s">
        <v>89</v>
      </c>
      <c r="E1093" s="12">
        <v>1948941</v>
      </c>
    </row>
    <row r="1094" spans="1:5">
      <c r="A1094" s="12" t="s">
        <v>1186</v>
      </c>
      <c r="B1094" s="12">
        <v>2017</v>
      </c>
      <c r="C1094" s="12" t="s">
        <v>66</v>
      </c>
      <c r="D1094" s="12" t="s">
        <v>109</v>
      </c>
      <c r="E1094" s="12">
        <v>1963083</v>
      </c>
    </row>
    <row r="1095" spans="1:5">
      <c r="A1095" s="12" t="s">
        <v>1187</v>
      </c>
      <c r="B1095" s="12">
        <v>2017</v>
      </c>
      <c r="C1095" s="12" t="s">
        <v>64</v>
      </c>
      <c r="D1095" s="12" t="s">
        <v>113</v>
      </c>
      <c r="E1095" s="12">
        <v>2037090</v>
      </c>
    </row>
    <row r="1096" spans="1:5">
      <c r="A1096" s="12" t="s">
        <v>1188</v>
      </c>
      <c r="B1096" s="12">
        <v>2017</v>
      </c>
      <c r="C1096" s="12" t="s">
        <v>74</v>
      </c>
      <c r="D1096" s="12" t="s">
        <v>89</v>
      </c>
      <c r="E1096" s="12">
        <v>2272840</v>
      </c>
    </row>
    <row r="1097" spans="1:5">
      <c r="A1097" s="12" t="s">
        <v>1189</v>
      </c>
      <c r="B1097" s="12">
        <v>2017</v>
      </c>
      <c r="C1097" s="12" t="s">
        <v>74</v>
      </c>
      <c r="D1097" s="12" t="s">
        <v>46</v>
      </c>
      <c r="E1097" s="12">
        <v>2316087</v>
      </c>
    </row>
    <row r="1098" spans="1:5">
      <c r="A1098" s="12" t="s">
        <v>1190</v>
      </c>
      <c r="B1098" s="12">
        <v>2017</v>
      </c>
      <c r="C1098" s="12" t="s">
        <v>69</v>
      </c>
      <c r="D1098" s="12" t="s">
        <v>122</v>
      </c>
      <c r="E1098" s="12">
        <v>2419185</v>
      </c>
    </row>
    <row r="1099" spans="1:5">
      <c r="A1099" s="12" t="s">
        <v>1191</v>
      </c>
      <c r="B1099" s="12">
        <v>2017</v>
      </c>
      <c r="C1099" s="12" t="s">
        <v>74</v>
      </c>
      <c r="D1099" s="12" t="s">
        <v>85</v>
      </c>
      <c r="E1099" s="12">
        <v>2470803</v>
      </c>
    </row>
    <row r="1100" spans="1:5">
      <c r="A1100" s="12" t="s">
        <v>1192</v>
      </c>
      <c r="B1100" s="12">
        <v>2017</v>
      </c>
      <c r="C1100" s="12" t="s">
        <v>74</v>
      </c>
      <c r="D1100" s="12" t="s">
        <v>102</v>
      </c>
      <c r="E1100" s="12">
        <v>2709275</v>
      </c>
    </row>
    <row r="1101" spans="1:5">
      <c r="A1101" s="12" t="s">
        <v>1193</v>
      </c>
      <c r="B1101" s="12">
        <v>2017</v>
      </c>
      <c r="C1101" s="12" t="s">
        <v>64</v>
      </c>
      <c r="D1101" s="12" t="s">
        <v>96</v>
      </c>
      <c r="E1101" s="12">
        <v>2852208</v>
      </c>
    </row>
    <row r="1102" spans="1:5">
      <c r="A1102" s="12" t="s">
        <v>1194</v>
      </c>
      <c r="B1102" s="12">
        <v>2017</v>
      </c>
      <c r="C1102" s="12" t="s">
        <v>66</v>
      </c>
      <c r="D1102" s="12" t="s">
        <v>122</v>
      </c>
      <c r="E1102" s="12">
        <v>3081999</v>
      </c>
    </row>
    <row r="1103" spans="1:5">
      <c r="A1103" s="12" t="s">
        <v>1195</v>
      </c>
      <c r="B1103" s="12">
        <v>2017</v>
      </c>
      <c r="C1103" s="12" t="s">
        <v>78</v>
      </c>
      <c r="D1103" s="12" t="s">
        <v>118</v>
      </c>
      <c r="E1103" s="12">
        <v>3254163</v>
      </c>
    </row>
    <row r="1104" spans="1:5">
      <c r="A1104" s="12" t="s">
        <v>1196</v>
      </c>
      <c r="B1104" s="12">
        <v>2017</v>
      </c>
      <c r="C1104" s="12" t="s">
        <v>78</v>
      </c>
      <c r="D1104" s="12" t="s">
        <v>105</v>
      </c>
      <c r="E1104" s="12">
        <v>4090108</v>
      </c>
    </row>
    <row r="1105" spans="1:5">
      <c r="A1105" s="12" t="s">
        <v>1197</v>
      </c>
      <c r="B1105" s="12">
        <v>2017</v>
      </c>
      <c r="C1105" s="12" t="s">
        <v>78</v>
      </c>
      <c r="D1105" s="12" t="s">
        <v>111</v>
      </c>
      <c r="E1105" s="12">
        <v>4107831</v>
      </c>
    </row>
    <row r="1106" spans="1:5">
      <c r="A1106" s="12" t="s">
        <v>1198</v>
      </c>
      <c r="B1106" s="12">
        <v>2017</v>
      </c>
      <c r="C1106" s="12" t="s">
        <v>78</v>
      </c>
      <c r="D1106" s="12" t="s">
        <v>39</v>
      </c>
      <c r="E1106" s="12">
        <v>4234716</v>
      </c>
    </row>
    <row r="1107" spans="1:5">
      <c r="A1107" s="12" t="s">
        <v>1199</v>
      </c>
      <c r="B1107" s="12">
        <v>2017</v>
      </c>
      <c r="C1107" s="12" t="s">
        <v>64</v>
      </c>
      <c r="D1107" s="12" t="s">
        <v>109</v>
      </c>
      <c r="E1107" s="12">
        <v>4542153</v>
      </c>
    </row>
    <row r="1108" spans="1:5">
      <c r="A1108" s="12" t="s">
        <v>1200</v>
      </c>
      <c r="B1108" s="12">
        <v>2017</v>
      </c>
      <c r="C1108" s="12" t="s">
        <v>78</v>
      </c>
      <c r="D1108" s="12" t="s">
        <v>85</v>
      </c>
      <c r="E1108" s="12">
        <v>4716814</v>
      </c>
    </row>
    <row r="1109" spans="1:5">
      <c r="A1109" s="12" t="s">
        <v>1201</v>
      </c>
      <c r="B1109" s="12">
        <v>2017</v>
      </c>
      <c r="C1109" s="12" t="s">
        <v>64</v>
      </c>
      <c r="D1109" s="12" t="s">
        <v>50</v>
      </c>
      <c r="E1109" s="12">
        <v>4848558</v>
      </c>
    </row>
    <row r="1110" spans="1:5">
      <c r="A1110" s="12" t="s">
        <v>1202</v>
      </c>
      <c r="B1110" s="12">
        <v>2017</v>
      </c>
      <c r="C1110" s="12" t="s">
        <v>69</v>
      </c>
      <c r="D1110" s="12" t="s">
        <v>91</v>
      </c>
      <c r="E1110" s="12">
        <v>6014748</v>
      </c>
    </row>
    <row r="1111" spans="1:5">
      <c r="A1111" s="12" t="s">
        <v>1203</v>
      </c>
      <c r="B1111" s="12">
        <v>2017</v>
      </c>
      <c r="C1111" s="12" t="s">
        <v>64</v>
      </c>
      <c r="D1111" s="12" t="s">
        <v>122</v>
      </c>
      <c r="E1111" s="12">
        <v>6216184</v>
      </c>
    </row>
    <row r="1112" spans="1:5">
      <c r="A1112" s="12" t="s">
        <v>1204</v>
      </c>
      <c r="B1112" s="12">
        <v>2017</v>
      </c>
      <c r="C1112" s="12" t="s">
        <v>64</v>
      </c>
      <c r="D1112" s="12" t="s">
        <v>46</v>
      </c>
      <c r="E1112" s="12">
        <v>6275211</v>
      </c>
    </row>
    <row r="1113" spans="1:5">
      <c r="A1113" s="12" t="s">
        <v>1205</v>
      </c>
      <c r="B1113" s="12">
        <v>2017</v>
      </c>
      <c r="C1113" s="12" t="s">
        <v>66</v>
      </c>
      <c r="D1113" s="12" t="s">
        <v>91</v>
      </c>
      <c r="E1113" s="12">
        <v>6368789</v>
      </c>
    </row>
    <row r="1114" spans="1:5">
      <c r="A1114" s="12" t="s">
        <v>1206</v>
      </c>
      <c r="B1114" s="12">
        <v>2017</v>
      </c>
      <c r="C1114" s="12" t="s">
        <v>69</v>
      </c>
      <c r="D1114" s="12" t="s">
        <v>102</v>
      </c>
      <c r="E1114" s="12">
        <v>6408756</v>
      </c>
    </row>
    <row r="1115" spans="1:5">
      <c r="A1115" s="12" t="s">
        <v>1207</v>
      </c>
      <c r="B1115" s="12">
        <v>2017</v>
      </c>
      <c r="C1115" s="12" t="s">
        <v>64</v>
      </c>
      <c r="D1115" s="12" t="s">
        <v>89</v>
      </c>
      <c r="E1115" s="12">
        <v>6476099</v>
      </c>
    </row>
    <row r="1116" spans="1:5">
      <c r="A1116" s="12" t="s">
        <v>1208</v>
      </c>
      <c r="B1116" s="12">
        <v>2017</v>
      </c>
      <c r="C1116" s="12" t="s">
        <v>69</v>
      </c>
      <c r="D1116" s="12" t="s">
        <v>124</v>
      </c>
      <c r="E1116" s="12">
        <v>6696742</v>
      </c>
    </row>
    <row r="1117" spans="1:5">
      <c r="A1117" s="12" t="s">
        <v>1209</v>
      </c>
      <c r="B1117" s="12">
        <v>2017</v>
      </c>
      <c r="C1117" s="12" t="s">
        <v>64</v>
      </c>
      <c r="D1117" s="12" t="s">
        <v>105</v>
      </c>
      <c r="E1117" s="12">
        <v>6810730</v>
      </c>
    </row>
    <row r="1118" spans="1:5">
      <c r="A1118" s="12" t="s">
        <v>1210</v>
      </c>
      <c r="B1118" s="12">
        <v>2017</v>
      </c>
      <c r="C1118" s="12" t="s">
        <v>64</v>
      </c>
      <c r="D1118" s="12" t="s">
        <v>118</v>
      </c>
      <c r="E1118" s="12">
        <v>7062506</v>
      </c>
    </row>
    <row r="1119" spans="1:5">
      <c r="A1119" s="12" t="s">
        <v>1211</v>
      </c>
      <c r="B1119" s="12">
        <v>2017</v>
      </c>
      <c r="C1119" s="12" t="s">
        <v>66</v>
      </c>
      <c r="D1119" s="12" t="s">
        <v>124</v>
      </c>
      <c r="E1119" s="12">
        <v>7088509</v>
      </c>
    </row>
    <row r="1120" spans="1:5">
      <c r="A1120" s="12" t="s">
        <v>1212</v>
      </c>
      <c r="B1120" s="12">
        <v>2017</v>
      </c>
      <c r="C1120" s="12" t="s">
        <v>69</v>
      </c>
      <c r="D1120" s="12" t="s">
        <v>100</v>
      </c>
      <c r="E1120" s="12">
        <v>7255086</v>
      </c>
    </row>
    <row r="1121" spans="1:5">
      <c r="A1121" s="12" t="s">
        <v>1213</v>
      </c>
      <c r="B1121" s="12">
        <v>2017</v>
      </c>
      <c r="C1121" s="12" t="s">
        <v>64</v>
      </c>
      <c r="D1121" s="12" t="s">
        <v>39</v>
      </c>
      <c r="E1121" s="12">
        <v>7287037</v>
      </c>
    </row>
    <row r="1122" spans="1:5">
      <c r="A1122" s="12" t="s">
        <v>1214</v>
      </c>
      <c r="B1122" s="12">
        <v>2017</v>
      </c>
      <c r="C1122" s="12" t="s">
        <v>66</v>
      </c>
      <c r="D1122" s="12" t="s">
        <v>102</v>
      </c>
      <c r="E1122" s="12">
        <v>7647319</v>
      </c>
    </row>
    <row r="1123" spans="1:5">
      <c r="A1123" s="12" t="s">
        <v>1215</v>
      </c>
      <c r="B1123" s="12">
        <v>2017</v>
      </c>
      <c r="C1123" s="12" t="s">
        <v>66</v>
      </c>
      <c r="D1123" s="12" t="s">
        <v>100</v>
      </c>
      <c r="E1123" s="12">
        <v>7807160</v>
      </c>
    </row>
    <row r="1124" spans="1:5">
      <c r="A1124" s="12" t="s">
        <v>1216</v>
      </c>
      <c r="B1124" s="12">
        <v>2017</v>
      </c>
      <c r="C1124" s="12" t="s">
        <v>64</v>
      </c>
      <c r="D1124" s="12" t="s">
        <v>111</v>
      </c>
      <c r="E1124" s="12">
        <v>8577120</v>
      </c>
    </row>
    <row r="1125" spans="1:5">
      <c r="A1125" s="12" t="s">
        <v>1217</v>
      </c>
      <c r="B1125" s="12">
        <v>2017</v>
      </c>
      <c r="C1125" s="12" t="s">
        <v>64</v>
      </c>
      <c r="D1125" s="12" t="s">
        <v>85</v>
      </c>
      <c r="E1125" s="12">
        <v>8589331</v>
      </c>
    </row>
    <row r="1126" spans="1:5">
      <c r="A1126" s="12" t="s">
        <v>1218</v>
      </c>
      <c r="B1126" s="12">
        <v>2017</v>
      </c>
      <c r="C1126" s="12" t="s">
        <v>78</v>
      </c>
      <c r="D1126" s="12" t="s">
        <v>102</v>
      </c>
      <c r="E1126" s="12">
        <v>12233043</v>
      </c>
    </row>
    <row r="1127" spans="1:5">
      <c r="A1127" s="12" t="s">
        <v>1219</v>
      </c>
      <c r="B1127" s="12">
        <v>2017</v>
      </c>
      <c r="C1127" s="12" t="s">
        <v>78</v>
      </c>
      <c r="D1127" s="12" t="s">
        <v>91</v>
      </c>
      <c r="E1127" s="12">
        <v>13033983</v>
      </c>
    </row>
    <row r="1128" spans="1:5">
      <c r="A1128" s="12" t="s">
        <v>1220</v>
      </c>
      <c r="B1128" s="12">
        <v>2017</v>
      </c>
      <c r="C1128" s="12" t="s">
        <v>69</v>
      </c>
      <c r="D1128" s="12" t="s">
        <v>107</v>
      </c>
      <c r="E1128" s="12">
        <v>13663843</v>
      </c>
    </row>
    <row r="1129" spans="1:5">
      <c r="A1129" s="12" t="s">
        <v>1221</v>
      </c>
      <c r="B1129" s="12">
        <v>2017</v>
      </c>
      <c r="C1129" s="12" t="s">
        <v>66</v>
      </c>
      <c r="D1129" s="12" t="s">
        <v>107</v>
      </c>
      <c r="E1129" s="12">
        <v>15454479</v>
      </c>
    </row>
    <row r="1130" spans="1:5">
      <c r="A1130" s="12" t="s">
        <v>1222</v>
      </c>
      <c r="B1130" s="12">
        <v>2017</v>
      </c>
      <c r="C1130" s="12" t="s">
        <v>74</v>
      </c>
      <c r="D1130" s="12" t="s">
        <v>91</v>
      </c>
      <c r="E1130" s="12">
        <v>17344901</v>
      </c>
    </row>
    <row r="1131" spans="1:5">
      <c r="A1131" s="12" t="s">
        <v>1223</v>
      </c>
      <c r="B1131" s="12">
        <v>2017</v>
      </c>
      <c r="C1131" s="12" t="s">
        <v>78</v>
      </c>
      <c r="D1131" s="12" t="s">
        <v>124</v>
      </c>
      <c r="E1131" s="12">
        <v>17750797</v>
      </c>
    </row>
    <row r="1132" spans="1:5">
      <c r="A1132" s="12" t="s">
        <v>1224</v>
      </c>
      <c r="B1132" s="12">
        <v>2017</v>
      </c>
      <c r="C1132" s="12" t="s">
        <v>78</v>
      </c>
      <c r="D1132" s="12" t="s">
        <v>100</v>
      </c>
      <c r="E1132" s="12">
        <v>18235496</v>
      </c>
    </row>
    <row r="1133" spans="1:5">
      <c r="A1133" s="12" t="s">
        <v>1225</v>
      </c>
      <c r="B1133" s="12">
        <v>2017</v>
      </c>
      <c r="C1133" s="12" t="s">
        <v>74</v>
      </c>
      <c r="D1133" s="12" t="s">
        <v>124</v>
      </c>
      <c r="E1133" s="12">
        <v>19815703</v>
      </c>
    </row>
    <row r="1134" spans="1:5">
      <c r="A1134" s="12" t="s">
        <v>1226</v>
      </c>
      <c r="B1134" s="12">
        <v>2017</v>
      </c>
      <c r="C1134" s="12" t="s">
        <v>74</v>
      </c>
      <c r="D1134" s="12" t="s">
        <v>100</v>
      </c>
      <c r="E1134" s="12">
        <v>20091099</v>
      </c>
    </row>
    <row r="1135" spans="1:5">
      <c r="A1135" s="12" t="s">
        <v>1227</v>
      </c>
      <c r="B1135" s="12">
        <v>2017</v>
      </c>
      <c r="C1135" s="12" t="s">
        <v>74</v>
      </c>
      <c r="D1135" s="12" t="s">
        <v>107</v>
      </c>
      <c r="E1135" s="12">
        <v>22800374</v>
      </c>
    </row>
    <row r="1136" spans="1:5">
      <c r="A1136" s="12" t="s">
        <v>1228</v>
      </c>
      <c r="B1136" s="12">
        <v>2017</v>
      </c>
      <c r="C1136" s="12" t="s">
        <v>64</v>
      </c>
      <c r="D1136" s="12" t="s">
        <v>102</v>
      </c>
      <c r="E1136" s="12">
        <v>28998394</v>
      </c>
    </row>
    <row r="1137" spans="1:5">
      <c r="A1137" s="12" t="s">
        <v>1229</v>
      </c>
      <c r="B1137" s="12">
        <v>2017</v>
      </c>
      <c r="C1137" s="12" t="s">
        <v>78</v>
      </c>
      <c r="D1137" s="12" t="s">
        <v>107</v>
      </c>
      <c r="E1137" s="12">
        <v>30468539</v>
      </c>
    </row>
    <row r="1138" spans="1:5">
      <c r="A1138" s="12" t="s">
        <v>1230</v>
      </c>
      <c r="B1138" s="12">
        <v>2017</v>
      </c>
      <c r="C1138" s="12" t="s">
        <v>64</v>
      </c>
      <c r="D1138" s="12" t="s">
        <v>91</v>
      </c>
      <c r="E1138" s="12">
        <v>42762421</v>
      </c>
    </row>
    <row r="1139" spans="1:5">
      <c r="A1139" s="12" t="s">
        <v>1231</v>
      </c>
      <c r="B1139" s="12">
        <v>2017</v>
      </c>
      <c r="C1139" s="12" t="s">
        <v>64</v>
      </c>
      <c r="D1139" s="12" t="s">
        <v>124</v>
      </c>
      <c r="E1139" s="12">
        <v>51351751</v>
      </c>
    </row>
    <row r="1140" spans="1:5">
      <c r="A1140" s="12" t="s">
        <v>1232</v>
      </c>
      <c r="B1140" s="12">
        <v>2017</v>
      </c>
      <c r="C1140" s="12" t="s">
        <v>64</v>
      </c>
      <c r="D1140" s="12" t="s">
        <v>100</v>
      </c>
      <c r="E1140" s="12">
        <v>53388841</v>
      </c>
    </row>
    <row r="1141" spans="1:5">
      <c r="A1141" s="12" t="s">
        <v>1233</v>
      </c>
      <c r="B1141" s="12">
        <v>2017</v>
      </c>
      <c r="C1141" s="12" t="s">
        <v>64</v>
      </c>
      <c r="D1141" s="12" t="s">
        <v>107</v>
      </c>
      <c r="E1141" s="12">
        <v>82387235</v>
      </c>
    </row>
    <row r="1142" spans="1:5">
      <c r="A1142" s="12" t="s">
        <v>1234</v>
      </c>
      <c r="B1142" s="12">
        <v>2017</v>
      </c>
      <c r="C1142" s="12" t="s">
        <v>64</v>
      </c>
      <c r="D1142" s="12" t="s">
        <v>70</v>
      </c>
    </row>
    <row r="1143" spans="1:5">
      <c r="A1143" s="12" t="s">
        <v>1235</v>
      </c>
      <c r="B1143" s="12">
        <v>2017</v>
      </c>
      <c r="C1143" s="12" t="s">
        <v>69</v>
      </c>
      <c r="D1143" s="12" t="s">
        <v>70</v>
      </c>
    </row>
    <row r="1144" spans="1:5">
      <c r="A1144" s="12" t="s">
        <v>1236</v>
      </c>
      <c r="B1144" s="12">
        <v>2017</v>
      </c>
      <c r="C1144" s="12" t="s">
        <v>74</v>
      </c>
      <c r="D1144" s="12" t="s">
        <v>70</v>
      </c>
    </row>
    <row r="1145" spans="1:5">
      <c r="A1145" s="12" t="s">
        <v>1237</v>
      </c>
      <c r="B1145" s="12">
        <v>2017</v>
      </c>
      <c r="C1145" s="12" t="s">
        <v>78</v>
      </c>
      <c r="D1145" s="12" t="s">
        <v>70</v>
      </c>
    </row>
    <row r="1146" spans="1:5">
      <c r="A1146" s="12" t="s">
        <v>1238</v>
      </c>
      <c r="B1146" s="12">
        <v>2017</v>
      </c>
      <c r="C1146" s="12" t="s">
        <v>66</v>
      </c>
      <c r="D1146" s="12" t="s">
        <v>70</v>
      </c>
    </row>
    <row r="1147" spans="1:5">
      <c r="A1147" s="12" t="s">
        <v>1239</v>
      </c>
      <c r="B1147" s="12">
        <v>2017</v>
      </c>
      <c r="C1147" s="12" t="s">
        <v>64</v>
      </c>
      <c r="D1147" s="12" t="s">
        <v>67</v>
      </c>
    </row>
    <row r="1148" spans="1:5">
      <c r="A1148" s="12" t="s">
        <v>1240</v>
      </c>
      <c r="B1148" s="12">
        <v>2017</v>
      </c>
      <c r="C1148" s="12" t="s">
        <v>69</v>
      </c>
      <c r="D1148" s="12" t="s">
        <v>67</v>
      </c>
    </row>
    <row r="1149" spans="1:5">
      <c r="A1149" s="12" t="s">
        <v>1241</v>
      </c>
      <c r="B1149" s="12">
        <v>2017</v>
      </c>
      <c r="C1149" s="12" t="s">
        <v>74</v>
      </c>
      <c r="D1149" s="12" t="s">
        <v>67</v>
      </c>
    </row>
    <row r="1150" spans="1:5">
      <c r="A1150" s="12" t="s">
        <v>1242</v>
      </c>
      <c r="B1150" s="12">
        <v>2017</v>
      </c>
      <c r="C1150" s="12" t="s">
        <v>78</v>
      </c>
      <c r="D1150" s="12" t="s">
        <v>67</v>
      </c>
    </row>
    <row r="1151" spans="1:5">
      <c r="A1151" s="12" t="s">
        <v>1243</v>
      </c>
      <c r="B1151" s="12">
        <v>2017</v>
      </c>
      <c r="C1151" s="12" t="s">
        <v>66</v>
      </c>
      <c r="D1151" s="12" t="s">
        <v>67</v>
      </c>
    </row>
    <row r="1152" spans="1:5">
      <c r="A1152" s="12" t="s">
        <v>1244</v>
      </c>
      <c r="B1152" s="12">
        <v>2017</v>
      </c>
      <c r="C1152" s="12" t="s">
        <v>64</v>
      </c>
      <c r="D1152" s="12" t="s">
        <v>82</v>
      </c>
    </row>
    <row r="1153" spans="1:5">
      <c r="A1153" s="12" t="s">
        <v>1245</v>
      </c>
      <c r="B1153" s="12">
        <v>2017</v>
      </c>
      <c r="C1153" s="12" t="s">
        <v>69</v>
      </c>
      <c r="D1153" s="12" t="s">
        <v>82</v>
      </c>
    </row>
    <row r="1154" spans="1:5">
      <c r="A1154" s="12" t="s">
        <v>1246</v>
      </c>
      <c r="B1154" s="12">
        <v>2017</v>
      </c>
      <c r="C1154" s="12" t="s">
        <v>74</v>
      </c>
      <c r="D1154" s="12" t="s">
        <v>82</v>
      </c>
    </row>
    <row r="1155" spans="1:5">
      <c r="A1155" s="12" t="s">
        <v>1247</v>
      </c>
      <c r="B1155" s="12">
        <v>2017</v>
      </c>
      <c r="C1155" s="12" t="s">
        <v>78</v>
      </c>
      <c r="D1155" s="12" t="s">
        <v>82</v>
      </c>
    </row>
    <row r="1156" spans="1:5">
      <c r="A1156" s="12" t="s">
        <v>1248</v>
      </c>
      <c r="B1156" s="12">
        <v>2017</v>
      </c>
      <c r="C1156" s="12" t="s">
        <v>66</v>
      </c>
      <c r="D1156" s="12" t="s">
        <v>82</v>
      </c>
    </row>
    <row r="1157" spans="1:5">
      <c r="A1157" s="12" t="s">
        <v>1249</v>
      </c>
      <c r="B1157" s="12">
        <v>2017</v>
      </c>
      <c r="C1157" s="12" t="s">
        <v>64</v>
      </c>
      <c r="D1157" s="12" t="s">
        <v>34</v>
      </c>
    </row>
    <row r="1158" spans="1:5">
      <c r="A1158" s="12" t="s">
        <v>1250</v>
      </c>
      <c r="B1158" s="12">
        <v>2017</v>
      </c>
      <c r="C1158" s="12" t="s">
        <v>69</v>
      </c>
      <c r="D1158" s="12" t="s">
        <v>34</v>
      </c>
    </row>
    <row r="1159" spans="1:5">
      <c r="A1159" s="12" t="s">
        <v>1251</v>
      </c>
      <c r="B1159" s="12">
        <v>2017</v>
      </c>
      <c r="C1159" s="12" t="s">
        <v>74</v>
      </c>
      <c r="D1159" s="12" t="s">
        <v>34</v>
      </c>
    </row>
    <row r="1160" spans="1:5">
      <c r="A1160" s="12" t="s">
        <v>1252</v>
      </c>
      <c r="B1160" s="12">
        <v>2017</v>
      </c>
      <c r="C1160" s="12" t="s">
        <v>78</v>
      </c>
      <c r="D1160" s="12" t="s">
        <v>34</v>
      </c>
    </row>
    <row r="1161" spans="1:5">
      <c r="A1161" s="12" t="s">
        <v>1253</v>
      </c>
      <c r="B1161" s="12">
        <v>2017</v>
      </c>
      <c r="C1161" s="12" t="s">
        <v>66</v>
      </c>
      <c r="D1161" s="12" t="s">
        <v>34</v>
      </c>
    </row>
    <row r="1162" spans="1:5">
      <c r="A1162" s="12" t="s">
        <v>1254</v>
      </c>
      <c r="B1162" s="12">
        <v>2018</v>
      </c>
      <c r="C1162" s="12" t="s">
        <v>66</v>
      </c>
      <c r="D1162" s="12" t="s">
        <v>87</v>
      </c>
      <c r="E1162" s="12">
        <v>836</v>
      </c>
    </row>
    <row r="1163" spans="1:5">
      <c r="A1163" s="12" t="s">
        <v>1255</v>
      </c>
      <c r="B1163" s="12">
        <v>2018</v>
      </c>
      <c r="C1163" s="12" t="s">
        <v>78</v>
      </c>
      <c r="D1163" s="12" t="s">
        <v>87</v>
      </c>
      <c r="E1163" s="12">
        <v>2054</v>
      </c>
    </row>
    <row r="1164" spans="1:5">
      <c r="A1164" s="12" t="s">
        <v>1256</v>
      </c>
      <c r="B1164" s="12">
        <v>2018</v>
      </c>
      <c r="C1164" s="12" t="s">
        <v>69</v>
      </c>
      <c r="D1164" s="12" t="s">
        <v>87</v>
      </c>
      <c r="E1164" s="12">
        <v>2204</v>
      </c>
    </row>
    <row r="1165" spans="1:5">
      <c r="A1165" s="12" t="s">
        <v>1257</v>
      </c>
      <c r="B1165" s="12">
        <v>2018</v>
      </c>
      <c r="C1165" s="12" t="s">
        <v>66</v>
      </c>
      <c r="D1165" s="12" t="s">
        <v>41</v>
      </c>
      <c r="E1165" s="12">
        <v>4659</v>
      </c>
    </row>
    <row r="1166" spans="1:5">
      <c r="A1166" s="12" t="s">
        <v>1258</v>
      </c>
      <c r="B1166" s="12">
        <v>2018</v>
      </c>
      <c r="C1166" s="12" t="s">
        <v>64</v>
      </c>
      <c r="D1166" s="12" t="s">
        <v>87</v>
      </c>
      <c r="E1166" s="12">
        <v>5094</v>
      </c>
    </row>
    <row r="1167" spans="1:5">
      <c r="A1167" s="12" t="s">
        <v>1259</v>
      </c>
      <c r="B1167" s="12">
        <v>2018</v>
      </c>
      <c r="C1167" s="12" t="s">
        <v>69</v>
      </c>
      <c r="D1167" s="12" t="s">
        <v>41</v>
      </c>
      <c r="E1167" s="12">
        <v>12360</v>
      </c>
    </row>
    <row r="1168" spans="1:5">
      <c r="A1168" s="12" t="s">
        <v>1260</v>
      </c>
      <c r="B1168" s="12">
        <v>2018</v>
      </c>
      <c r="C1168" s="12" t="s">
        <v>66</v>
      </c>
      <c r="D1168" s="12" t="s">
        <v>37</v>
      </c>
      <c r="E1168" s="12">
        <v>22269</v>
      </c>
    </row>
    <row r="1169" spans="1:5">
      <c r="A1169" s="12" t="s">
        <v>1261</v>
      </c>
      <c r="B1169" s="12">
        <v>2018</v>
      </c>
      <c r="C1169" s="12" t="s">
        <v>74</v>
      </c>
      <c r="D1169" s="12" t="s">
        <v>104</v>
      </c>
      <c r="E1169" s="12">
        <v>42205</v>
      </c>
    </row>
    <row r="1170" spans="1:5">
      <c r="A1170" s="12" t="s">
        <v>1262</v>
      </c>
      <c r="B1170" s="12">
        <v>2018</v>
      </c>
      <c r="C1170" s="12" t="s">
        <v>69</v>
      </c>
      <c r="D1170" s="12" t="s">
        <v>48</v>
      </c>
      <c r="E1170" s="12">
        <v>61129</v>
      </c>
    </row>
    <row r="1171" spans="1:5">
      <c r="A1171" s="12" t="s">
        <v>1263</v>
      </c>
      <c r="B1171" s="12">
        <v>2018</v>
      </c>
      <c r="C1171" s="12" t="s">
        <v>69</v>
      </c>
      <c r="D1171" s="12" t="s">
        <v>98</v>
      </c>
      <c r="E1171" s="12">
        <v>62218</v>
      </c>
    </row>
    <row r="1172" spans="1:5">
      <c r="A1172" s="12" t="s">
        <v>1264</v>
      </c>
      <c r="B1172" s="12">
        <v>2018</v>
      </c>
      <c r="C1172" s="12" t="s">
        <v>74</v>
      </c>
      <c r="D1172" s="12" t="s">
        <v>122</v>
      </c>
      <c r="E1172" s="12">
        <v>94760</v>
      </c>
    </row>
    <row r="1173" spans="1:5">
      <c r="A1173" s="12" t="s">
        <v>1265</v>
      </c>
      <c r="B1173" s="12">
        <v>2018</v>
      </c>
      <c r="C1173" s="12" t="s">
        <v>66</v>
      </c>
      <c r="D1173" s="12" t="s">
        <v>48</v>
      </c>
      <c r="E1173" s="12">
        <v>101611</v>
      </c>
    </row>
    <row r="1174" spans="1:5">
      <c r="A1174" s="12" t="s">
        <v>1266</v>
      </c>
      <c r="B1174" s="12">
        <v>2018</v>
      </c>
      <c r="C1174" s="12" t="s">
        <v>78</v>
      </c>
      <c r="D1174" s="12" t="s">
        <v>48</v>
      </c>
      <c r="E1174" s="12">
        <v>115025</v>
      </c>
    </row>
    <row r="1175" spans="1:5">
      <c r="A1175" s="12" t="s">
        <v>1267</v>
      </c>
      <c r="B1175" s="12">
        <v>2018</v>
      </c>
      <c r="C1175" s="12" t="s">
        <v>74</v>
      </c>
      <c r="D1175" s="12" t="s">
        <v>48</v>
      </c>
      <c r="E1175" s="12">
        <v>142048</v>
      </c>
    </row>
    <row r="1176" spans="1:5">
      <c r="A1176" s="12" t="s">
        <v>1268</v>
      </c>
      <c r="B1176" s="12">
        <v>2018</v>
      </c>
      <c r="C1176" s="12" t="s">
        <v>66</v>
      </c>
      <c r="D1176" s="12" t="s">
        <v>98</v>
      </c>
      <c r="E1176" s="12">
        <v>151672</v>
      </c>
    </row>
    <row r="1177" spans="1:5">
      <c r="A1177" s="12" t="s">
        <v>1269</v>
      </c>
      <c r="B1177" s="12">
        <v>2018</v>
      </c>
      <c r="C1177" s="12" t="s">
        <v>74</v>
      </c>
      <c r="D1177" s="12" t="s">
        <v>37</v>
      </c>
      <c r="E1177" s="12">
        <v>160808</v>
      </c>
    </row>
    <row r="1178" spans="1:5">
      <c r="A1178" s="12" t="s">
        <v>1270</v>
      </c>
      <c r="B1178" s="12">
        <v>2018</v>
      </c>
      <c r="C1178" s="12" t="s">
        <v>74</v>
      </c>
      <c r="D1178" s="12" t="s">
        <v>93</v>
      </c>
      <c r="E1178" s="12">
        <v>169085</v>
      </c>
    </row>
    <row r="1179" spans="1:5">
      <c r="A1179" s="12" t="s">
        <v>1271</v>
      </c>
      <c r="B1179" s="12">
        <v>2018</v>
      </c>
      <c r="C1179" s="12" t="s">
        <v>69</v>
      </c>
      <c r="D1179" s="12" t="s">
        <v>54</v>
      </c>
      <c r="E1179" s="12">
        <v>174678</v>
      </c>
    </row>
    <row r="1180" spans="1:5">
      <c r="A1180" s="12" t="s">
        <v>1272</v>
      </c>
      <c r="B1180" s="12">
        <v>2018</v>
      </c>
      <c r="C1180" s="12" t="s">
        <v>66</v>
      </c>
      <c r="D1180" s="12" t="s">
        <v>54</v>
      </c>
      <c r="E1180" s="12">
        <v>191839</v>
      </c>
    </row>
    <row r="1181" spans="1:5">
      <c r="A1181" s="12" t="s">
        <v>1273</v>
      </c>
      <c r="B1181" s="12">
        <v>2018</v>
      </c>
      <c r="C1181" s="12" t="s">
        <v>69</v>
      </c>
      <c r="D1181" s="12" t="s">
        <v>93</v>
      </c>
      <c r="E1181" s="12">
        <v>197021</v>
      </c>
    </row>
    <row r="1182" spans="1:5">
      <c r="A1182" s="12" t="s">
        <v>1274</v>
      </c>
      <c r="B1182" s="12">
        <v>2018</v>
      </c>
      <c r="C1182" s="12" t="s">
        <v>78</v>
      </c>
      <c r="D1182" s="12" t="s">
        <v>104</v>
      </c>
      <c r="E1182" s="12">
        <v>207556</v>
      </c>
    </row>
    <row r="1183" spans="1:5">
      <c r="A1183" s="12" t="s">
        <v>1275</v>
      </c>
      <c r="B1183" s="12">
        <v>2018</v>
      </c>
      <c r="C1183" s="12" t="s">
        <v>66</v>
      </c>
      <c r="D1183" s="12" t="s">
        <v>96</v>
      </c>
      <c r="E1183" s="12">
        <v>210482</v>
      </c>
    </row>
    <row r="1184" spans="1:5">
      <c r="A1184" s="12" t="s">
        <v>1276</v>
      </c>
      <c r="B1184" s="12">
        <v>2018</v>
      </c>
      <c r="C1184" s="12" t="s">
        <v>66</v>
      </c>
      <c r="D1184" s="12" t="s">
        <v>39</v>
      </c>
      <c r="E1184" s="12">
        <v>236951</v>
      </c>
    </row>
    <row r="1185" spans="1:5">
      <c r="A1185" s="12" t="s">
        <v>1277</v>
      </c>
      <c r="B1185" s="12">
        <v>2018</v>
      </c>
      <c r="C1185" s="12" t="s">
        <v>69</v>
      </c>
      <c r="D1185" s="12" t="s">
        <v>39</v>
      </c>
      <c r="E1185" s="12">
        <v>238035</v>
      </c>
    </row>
    <row r="1186" spans="1:5">
      <c r="A1186" s="12" t="s">
        <v>1278</v>
      </c>
      <c r="B1186" s="12">
        <v>2018</v>
      </c>
      <c r="C1186" s="12" t="s">
        <v>66</v>
      </c>
      <c r="D1186" s="12" t="s">
        <v>85</v>
      </c>
      <c r="E1186" s="12">
        <v>263878</v>
      </c>
    </row>
    <row r="1187" spans="1:5">
      <c r="A1187" s="12" t="s">
        <v>1279</v>
      </c>
      <c r="B1187" s="12">
        <v>2018</v>
      </c>
      <c r="C1187" s="12" t="s">
        <v>78</v>
      </c>
      <c r="D1187" s="12" t="s">
        <v>98</v>
      </c>
      <c r="E1187" s="12">
        <v>310145</v>
      </c>
    </row>
    <row r="1188" spans="1:5">
      <c r="A1188" s="12" t="s">
        <v>1280</v>
      </c>
      <c r="B1188" s="12">
        <v>2018</v>
      </c>
      <c r="C1188" s="12" t="s">
        <v>66</v>
      </c>
      <c r="D1188" s="12" t="s">
        <v>93</v>
      </c>
      <c r="E1188" s="12">
        <v>314596</v>
      </c>
    </row>
    <row r="1189" spans="1:5">
      <c r="A1189" s="12" t="s">
        <v>1281</v>
      </c>
      <c r="B1189" s="12">
        <v>2018</v>
      </c>
      <c r="C1189" s="12" t="s">
        <v>78</v>
      </c>
      <c r="D1189" s="12" t="s">
        <v>37</v>
      </c>
      <c r="E1189" s="12">
        <v>334050</v>
      </c>
    </row>
    <row r="1190" spans="1:5">
      <c r="A1190" s="12" t="s">
        <v>1282</v>
      </c>
      <c r="B1190" s="12">
        <v>2018</v>
      </c>
      <c r="C1190" s="12" t="s">
        <v>74</v>
      </c>
      <c r="D1190" s="12" t="s">
        <v>96</v>
      </c>
      <c r="E1190" s="12">
        <v>343437</v>
      </c>
    </row>
    <row r="1191" spans="1:5">
      <c r="A1191" s="12" t="s">
        <v>1283</v>
      </c>
      <c r="B1191" s="12">
        <v>2018</v>
      </c>
      <c r="C1191" s="12" t="s">
        <v>74</v>
      </c>
      <c r="D1191" s="12" t="s">
        <v>98</v>
      </c>
      <c r="E1191" s="12">
        <v>403740</v>
      </c>
    </row>
    <row r="1192" spans="1:5">
      <c r="A1192" s="12" t="s">
        <v>1284</v>
      </c>
      <c r="B1192" s="12">
        <v>2018</v>
      </c>
      <c r="C1192" s="12" t="s">
        <v>69</v>
      </c>
      <c r="D1192" s="12" t="s">
        <v>109</v>
      </c>
      <c r="E1192" s="12">
        <v>409290</v>
      </c>
    </row>
    <row r="1193" spans="1:5">
      <c r="A1193" s="12" t="s">
        <v>1285</v>
      </c>
      <c r="B1193" s="12">
        <v>2018</v>
      </c>
      <c r="C1193" s="12" t="s">
        <v>64</v>
      </c>
      <c r="D1193" s="12" t="s">
        <v>48</v>
      </c>
      <c r="E1193" s="12">
        <v>419812</v>
      </c>
    </row>
    <row r="1194" spans="1:5">
      <c r="A1194" s="12" t="s">
        <v>1286</v>
      </c>
      <c r="B1194" s="12">
        <v>2018</v>
      </c>
      <c r="C1194" s="12" t="s">
        <v>66</v>
      </c>
      <c r="D1194" s="12" t="s">
        <v>113</v>
      </c>
      <c r="E1194" s="12">
        <v>421815</v>
      </c>
    </row>
    <row r="1195" spans="1:5">
      <c r="A1195" s="12" t="s">
        <v>1287</v>
      </c>
      <c r="B1195" s="12">
        <v>2018</v>
      </c>
      <c r="C1195" s="12" t="s">
        <v>69</v>
      </c>
      <c r="D1195" s="12" t="s">
        <v>96</v>
      </c>
      <c r="E1195" s="12">
        <v>440991</v>
      </c>
    </row>
    <row r="1196" spans="1:5">
      <c r="A1196" s="12" t="s">
        <v>1288</v>
      </c>
      <c r="B1196" s="12">
        <v>2018</v>
      </c>
      <c r="C1196" s="12" t="s">
        <v>69</v>
      </c>
      <c r="D1196" s="12" t="s">
        <v>37</v>
      </c>
      <c r="E1196" s="12">
        <v>458083</v>
      </c>
    </row>
    <row r="1197" spans="1:5">
      <c r="A1197" s="12" t="s">
        <v>1289</v>
      </c>
      <c r="B1197" s="12">
        <v>2018</v>
      </c>
      <c r="C1197" s="12" t="s">
        <v>74</v>
      </c>
      <c r="D1197" s="12" t="s">
        <v>109</v>
      </c>
      <c r="E1197" s="12">
        <v>459498</v>
      </c>
    </row>
    <row r="1198" spans="1:5">
      <c r="A1198" s="12" t="s">
        <v>1290</v>
      </c>
      <c r="B1198" s="12">
        <v>2018</v>
      </c>
      <c r="C1198" s="12" t="s">
        <v>74</v>
      </c>
      <c r="D1198" s="12" t="s">
        <v>113</v>
      </c>
      <c r="E1198" s="12">
        <v>480825</v>
      </c>
    </row>
    <row r="1199" spans="1:5">
      <c r="A1199" s="12" t="s">
        <v>1291</v>
      </c>
      <c r="B1199" s="12">
        <v>2018</v>
      </c>
      <c r="C1199" s="12" t="s">
        <v>74</v>
      </c>
      <c r="D1199" s="12" t="s">
        <v>105</v>
      </c>
      <c r="E1199" s="12">
        <v>504914</v>
      </c>
    </row>
    <row r="1200" spans="1:5">
      <c r="A1200" s="12" t="s">
        <v>1292</v>
      </c>
      <c r="B1200" s="12">
        <v>2018</v>
      </c>
      <c r="C1200" s="12" t="s">
        <v>78</v>
      </c>
      <c r="D1200" s="12" t="s">
        <v>41</v>
      </c>
      <c r="E1200" s="12">
        <v>518000</v>
      </c>
    </row>
    <row r="1201" spans="1:5">
      <c r="A1201" s="12" t="s">
        <v>1293</v>
      </c>
      <c r="B1201" s="12">
        <v>2018</v>
      </c>
      <c r="C1201" s="12" t="s">
        <v>66</v>
      </c>
      <c r="D1201" s="12" t="s">
        <v>104</v>
      </c>
      <c r="E1201" s="12">
        <v>554283</v>
      </c>
    </row>
    <row r="1202" spans="1:5">
      <c r="A1202" s="12" t="s">
        <v>1294</v>
      </c>
      <c r="B1202" s="12">
        <v>2018</v>
      </c>
      <c r="C1202" s="12" t="s">
        <v>74</v>
      </c>
      <c r="D1202" s="12" t="s">
        <v>41</v>
      </c>
      <c r="E1202" s="12">
        <v>598609</v>
      </c>
    </row>
    <row r="1203" spans="1:5">
      <c r="A1203" s="12" t="s">
        <v>1295</v>
      </c>
      <c r="B1203" s="12">
        <v>2018</v>
      </c>
      <c r="C1203" s="12" t="s">
        <v>74</v>
      </c>
      <c r="D1203" s="12" t="s">
        <v>54</v>
      </c>
      <c r="E1203" s="12">
        <v>647577</v>
      </c>
    </row>
    <row r="1204" spans="1:5">
      <c r="A1204" s="12" t="s">
        <v>1296</v>
      </c>
      <c r="B1204" s="12">
        <v>2018</v>
      </c>
      <c r="C1204" s="12" t="s">
        <v>69</v>
      </c>
      <c r="D1204" s="12" t="s">
        <v>50</v>
      </c>
      <c r="E1204" s="12">
        <v>657646</v>
      </c>
    </row>
    <row r="1205" spans="1:5">
      <c r="A1205" s="12" t="s">
        <v>1297</v>
      </c>
      <c r="B1205" s="12">
        <v>2018</v>
      </c>
      <c r="C1205" s="12" t="s">
        <v>69</v>
      </c>
      <c r="D1205" s="12" t="s">
        <v>85</v>
      </c>
      <c r="E1205" s="12">
        <v>708477</v>
      </c>
    </row>
    <row r="1206" spans="1:5">
      <c r="A1206" s="12" t="s">
        <v>1298</v>
      </c>
      <c r="B1206" s="12">
        <v>2018</v>
      </c>
      <c r="C1206" s="12" t="s">
        <v>66</v>
      </c>
      <c r="D1206" s="12" t="s">
        <v>105</v>
      </c>
      <c r="E1206" s="12">
        <v>710172</v>
      </c>
    </row>
    <row r="1207" spans="1:5">
      <c r="A1207" s="12" t="s">
        <v>1299</v>
      </c>
      <c r="B1207" s="12">
        <v>2018</v>
      </c>
      <c r="C1207" s="12" t="s">
        <v>78</v>
      </c>
      <c r="D1207" s="12" t="s">
        <v>93</v>
      </c>
      <c r="E1207" s="12">
        <v>735266</v>
      </c>
    </row>
    <row r="1208" spans="1:5">
      <c r="A1208" s="12" t="s">
        <v>1300</v>
      </c>
      <c r="B1208" s="12">
        <v>2018</v>
      </c>
      <c r="C1208" s="12" t="s">
        <v>69</v>
      </c>
      <c r="D1208" s="12" t="s">
        <v>113</v>
      </c>
      <c r="E1208" s="12">
        <v>742082</v>
      </c>
    </row>
    <row r="1209" spans="1:5">
      <c r="A1209" s="12" t="s">
        <v>1301</v>
      </c>
      <c r="B1209" s="12">
        <v>2018</v>
      </c>
      <c r="C1209" s="12" t="s">
        <v>78</v>
      </c>
      <c r="D1209" s="12" t="s">
        <v>113</v>
      </c>
      <c r="E1209" s="12">
        <v>761031</v>
      </c>
    </row>
    <row r="1210" spans="1:5">
      <c r="A1210" s="12" t="s">
        <v>1302</v>
      </c>
      <c r="B1210" s="12">
        <v>2018</v>
      </c>
      <c r="C1210" s="12" t="s">
        <v>78</v>
      </c>
      <c r="D1210" s="12" t="s">
        <v>122</v>
      </c>
      <c r="E1210" s="12">
        <v>778553</v>
      </c>
    </row>
    <row r="1211" spans="1:5">
      <c r="A1211" s="12" t="s">
        <v>1303</v>
      </c>
      <c r="B1211" s="12">
        <v>2018</v>
      </c>
      <c r="C1211" s="12" t="s">
        <v>69</v>
      </c>
      <c r="D1211" s="12" t="s">
        <v>104</v>
      </c>
      <c r="E1211" s="12">
        <v>820734</v>
      </c>
    </row>
    <row r="1212" spans="1:5">
      <c r="A1212" s="12" t="s">
        <v>1304</v>
      </c>
      <c r="B1212" s="12">
        <v>2018</v>
      </c>
      <c r="C1212" s="12" t="s">
        <v>78</v>
      </c>
      <c r="D1212" s="12" t="s">
        <v>54</v>
      </c>
      <c r="E1212" s="12">
        <v>823213</v>
      </c>
    </row>
    <row r="1213" spans="1:5">
      <c r="A1213" s="12" t="s">
        <v>1305</v>
      </c>
      <c r="B1213" s="12">
        <v>2018</v>
      </c>
      <c r="C1213" s="12" t="s">
        <v>78</v>
      </c>
      <c r="D1213" s="12" t="s">
        <v>50</v>
      </c>
      <c r="E1213" s="12">
        <v>887730</v>
      </c>
    </row>
    <row r="1214" spans="1:5">
      <c r="A1214" s="12" t="s">
        <v>1306</v>
      </c>
      <c r="B1214" s="12">
        <v>2018</v>
      </c>
      <c r="C1214" s="12" t="s">
        <v>64</v>
      </c>
      <c r="D1214" s="12" t="s">
        <v>98</v>
      </c>
      <c r="E1214" s="12">
        <v>927776</v>
      </c>
    </row>
    <row r="1215" spans="1:5">
      <c r="A1215" s="12" t="s">
        <v>1307</v>
      </c>
      <c r="B1215" s="12">
        <v>2018</v>
      </c>
      <c r="C1215" s="12" t="s">
        <v>64</v>
      </c>
      <c r="D1215" s="12" t="s">
        <v>37</v>
      </c>
      <c r="E1215" s="12">
        <v>975208</v>
      </c>
    </row>
    <row r="1216" spans="1:5">
      <c r="A1216" s="12" t="s">
        <v>1308</v>
      </c>
      <c r="B1216" s="12">
        <v>2018</v>
      </c>
      <c r="C1216" s="12" t="s">
        <v>78</v>
      </c>
      <c r="D1216" s="12" t="s">
        <v>96</v>
      </c>
      <c r="E1216" s="12">
        <v>1076276</v>
      </c>
    </row>
    <row r="1217" spans="1:5">
      <c r="A1217" s="12" t="s">
        <v>1309</v>
      </c>
      <c r="B1217" s="12">
        <v>2018</v>
      </c>
      <c r="C1217" s="12" t="s">
        <v>74</v>
      </c>
      <c r="D1217" s="12" t="s">
        <v>39</v>
      </c>
      <c r="E1217" s="12">
        <v>1127191</v>
      </c>
    </row>
    <row r="1218" spans="1:5">
      <c r="A1218" s="12" t="s">
        <v>1310</v>
      </c>
      <c r="B1218" s="12">
        <v>2018</v>
      </c>
      <c r="C1218" s="12" t="s">
        <v>64</v>
      </c>
      <c r="D1218" s="12" t="s">
        <v>41</v>
      </c>
      <c r="E1218" s="12">
        <v>1133628</v>
      </c>
    </row>
    <row r="1219" spans="1:5">
      <c r="A1219" s="12" t="s">
        <v>1311</v>
      </c>
      <c r="B1219" s="12">
        <v>2018</v>
      </c>
      <c r="C1219" s="12" t="s">
        <v>74</v>
      </c>
      <c r="D1219" s="12" t="s">
        <v>118</v>
      </c>
      <c r="E1219" s="12">
        <v>1156808</v>
      </c>
    </row>
    <row r="1220" spans="1:5">
      <c r="A1220" s="12" t="s">
        <v>1312</v>
      </c>
      <c r="B1220" s="12">
        <v>2018</v>
      </c>
      <c r="C1220" s="12" t="s">
        <v>69</v>
      </c>
      <c r="D1220" s="12" t="s">
        <v>46</v>
      </c>
      <c r="E1220" s="12">
        <v>1158123</v>
      </c>
    </row>
    <row r="1221" spans="1:5">
      <c r="A1221" s="12" t="s">
        <v>1313</v>
      </c>
      <c r="B1221" s="12">
        <v>2018</v>
      </c>
      <c r="C1221" s="12" t="s">
        <v>66</v>
      </c>
      <c r="D1221" s="12" t="s">
        <v>89</v>
      </c>
      <c r="E1221" s="12">
        <v>1163483</v>
      </c>
    </row>
    <row r="1222" spans="1:5">
      <c r="A1222" s="12" t="s">
        <v>1314</v>
      </c>
      <c r="B1222" s="12">
        <v>2018</v>
      </c>
      <c r="C1222" s="12" t="s">
        <v>69</v>
      </c>
      <c r="D1222" s="12" t="s">
        <v>105</v>
      </c>
      <c r="E1222" s="12">
        <v>1218215</v>
      </c>
    </row>
    <row r="1223" spans="1:5">
      <c r="A1223" s="12" t="s">
        <v>1315</v>
      </c>
      <c r="B1223" s="12">
        <v>2018</v>
      </c>
      <c r="C1223" s="12" t="s">
        <v>66</v>
      </c>
      <c r="D1223" s="12" t="s">
        <v>118</v>
      </c>
      <c r="E1223" s="12">
        <v>1242064</v>
      </c>
    </row>
    <row r="1224" spans="1:5">
      <c r="A1224" s="12" t="s">
        <v>1316</v>
      </c>
      <c r="B1224" s="12">
        <v>2018</v>
      </c>
      <c r="C1224" s="12" t="s">
        <v>66</v>
      </c>
      <c r="D1224" s="12" t="s">
        <v>50</v>
      </c>
      <c r="E1224" s="12">
        <v>1277390</v>
      </c>
    </row>
    <row r="1225" spans="1:5">
      <c r="A1225" s="12" t="s">
        <v>1317</v>
      </c>
      <c r="B1225" s="12">
        <v>2018</v>
      </c>
      <c r="C1225" s="12" t="s">
        <v>69</v>
      </c>
      <c r="D1225" s="12" t="s">
        <v>118</v>
      </c>
      <c r="E1225" s="12">
        <v>1301606</v>
      </c>
    </row>
    <row r="1226" spans="1:5">
      <c r="A1226" s="12" t="s">
        <v>1318</v>
      </c>
      <c r="B1226" s="12">
        <v>2018</v>
      </c>
      <c r="C1226" s="12" t="s">
        <v>78</v>
      </c>
      <c r="D1226" s="12" t="s">
        <v>109</v>
      </c>
      <c r="E1226" s="12">
        <v>1325462</v>
      </c>
    </row>
    <row r="1227" spans="1:5">
      <c r="A1227" s="12" t="s">
        <v>1319</v>
      </c>
      <c r="B1227" s="12">
        <v>2018</v>
      </c>
      <c r="C1227" s="12" t="s">
        <v>74</v>
      </c>
      <c r="D1227" s="12" t="s">
        <v>111</v>
      </c>
      <c r="E1227" s="12">
        <v>1325893</v>
      </c>
    </row>
    <row r="1228" spans="1:5">
      <c r="A1228" s="12" t="s">
        <v>1320</v>
      </c>
      <c r="B1228" s="12">
        <v>2018</v>
      </c>
      <c r="C1228" s="12" t="s">
        <v>64</v>
      </c>
      <c r="D1228" s="12" t="s">
        <v>93</v>
      </c>
      <c r="E1228" s="12">
        <v>1415968</v>
      </c>
    </row>
    <row r="1229" spans="1:5">
      <c r="A1229" s="12" t="s">
        <v>1321</v>
      </c>
      <c r="B1229" s="12">
        <v>2018</v>
      </c>
      <c r="C1229" s="12" t="s">
        <v>66</v>
      </c>
      <c r="D1229" s="12" t="s">
        <v>46</v>
      </c>
      <c r="E1229" s="12">
        <v>1424617</v>
      </c>
    </row>
    <row r="1230" spans="1:5">
      <c r="A1230" s="12" t="s">
        <v>1322</v>
      </c>
      <c r="B1230" s="12">
        <v>2018</v>
      </c>
      <c r="C1230" s="12" t="s">
        <v>69</v>
      </c>
      <c r="D1230" s="12" t="s">
        <v>89</v>
      </c>
      <c r="E1230" s="12">
        <v>1463923</v>
      </c>
    </row>
    <row r="1231" spans="1:5">
      <c r="A1231" s="12" t="s">
        <v>1323</v>
      </c>
      <c r="B1231" s="12">
        <v>2018</v>
      </c>
      <c r="C1231" s="12" t="s">
        <v>78</v>
      </c>
      <c r="D1231" s="12" t="s">
        <v>39</v>
      </c>
      <c r="E1231" s="12">
        <v>1493672</v>
      </c>
    </row>
    <row r="1232" spans="1:5">
      <c r="A1232" s="12" t="s">
        <v>1324</v>
      </c>
      <c r="B1232" s="12">
        <v>2018</v>
      </c>
      <c r="C1232" s="12" t="s">
        <v>69</v>
      </c>
      <c r="D1232" s="12" t="s">
        <v>111</v>
      </c>
      <c r="E1232" s="12">
        <v>1500831</v>
      </c>
    </row>
    <row r="1233" spans="1:5">
      <c r="A1233" s="12" t="s">
        <v>1325</v>
      </c>
      <c r="B1233" s="12">
        <v>2018</v>
      </c>
      <c r="C1233" s="12" t="s">
        <v>66</v>
      </c>
      <c r="D1233" s="12" t="s">
        <v>111</v>
      </c>
      <c r="E1233" s="12">
        <v>1557496</v>
      </c>
    </row>
    <row r="1234" spans="1:5">
      <c r="A1234" s="12" t="s">
        <v>1326</v>
      </c>
      <c r="B1234" s="12">
        <v>2018</v>
      </c>
      <c r="C1234" s="12" t="s">
        <v>78</v>
      </c>
      <c r="D1234" s="12" t="s">
        <v>46</v>
      </c>
      <c r="E1234" s="12">
        <v>1562955</v>
      </c>
    </row>
    <row r="1235" spans="1:5">
      <c r="A1235" s="12" t="s">
        <v>1327</v>
      </c>
      <c r="B1235" s="12">
        <v>2018</v>
      </c>
      <c r="C1235" s="12" t="s">
        <v>64</v>
      </c>
      <c r="D1235" s="12" t="s">
        <v>104</v>
      </c>
      <c r="E1235" s="12">
        <v>1624779</v>
      </c>
    </row>
    <row r="1236" spans="1:5">
      <c r="A1236" s="12" t="s">
        <v>1328</v>
      </c>
      <c r="B1236" s="12">
        <v>2018</v>
      </c>
      <c r="C1236" s="12" t="s">
        <v>64</v>
      </c>
      <c r="D1236" s="12" t="s">
        <v>54</v>
      </c>
      <c r="E1236" s="12">
        <v>1837307</v>
      </c>
    </row>
    <row r="1237" spans="1:5">
      <c r="A1237" s="12" t="s">
        <v>1329</v>
      </c>
      <c r="B1237" s="12">
        <v>2018</v>
      </c>
      <c r="C1237" s="12" t="s">
        <v>74</v>
      </c>
      <c r="D1237" s="12" t="s">
        <v>85</v>
      </c>
      <c r="E1237" s="12">
        <v>1886608</v>
      </c>
    </row>
    <row r="1238" spans="1:5">
      <c r="A1238" s="12" t="s">
        <v>1330</v>
      </c>
      <c r="B1238" s="12">
        <v>2018</v>
      </c>
      <c r="C1238" s="12" t="s">
        <v>74</v>
      </c>
      <c r="D1238" s="12" t="s">
        <v>89</v>
      </c>
      <c r="E1238" s="12">
        <v>1932040</v>
      </c>
    </row>
    <row r="1239" spans="1:5">
      <c r="A1239" s="12" t="s">
        <v>1331</v>
      </c>
      <c r="B1239" s="12">
        <v>2018</v>
      </c>
      <c r="C1239" s="12" t="s">
        <v>78</v>
      </c>
      <c r="D1239" s="12" t="s">
        <v>89</v>
      </c>
      <c r="E1239" s="12">
        <v>1934563</v>
      </c>
    </row>
    <row r="1240" spans="1:5">
      <c r="A1240" s="12" t="s">
        <v>1332</v>
      </c>
      <c r="B1240" s="12">
        <v>2018</v>
      </c>
      <c r="C1240" s="12" t="s">
        <v>74</v>
      </c>
      <c r="D1240" s="12" t="s">
        <v>50</v>
      </c>
      <c r="E1240" s="12">
        <v>2030144</v>
      </c>
    </row>
    <row r="1241" spans="1:5">
      <c r="A1241" s="12" t="s">
        <v>1333</v>
      </c>
      <c r="B1241" s="12">
        <v>2018</v>
      </c>
      <c r="C1241" s="12" t="s">
        <v>64</v>
      </c>
      <c r="D1241" s="12" t="s">
        <v>96</v>
      </c>
      <c r="E1241" s="12">
        <v>2071185</v>
      </c>
    </row>
    <row r="1242" spans="1:5">
      <c r="A1242" s="12" t="s">
        <v>1334</v>
      </c>
      <c r="B1242" s="12">
        <v>2018</v>
      </c>
      <c r="C1242" s="12" t="s">
        <v>66</v>
      </c>
      <c r="D1242" s="12" t="s">
        <v>109</v>
      </c>
      <c r="E1242" s="12">
        <v>2277367</v>
      </c>
    </row>
    <row r="1243" spans="1:5">
      <c r="A1243" s="12" t="s">
        <v>1335</v>
      </c>
      <c r="B1243" s="12">
        <v>2018</v>
      </c>
      <c r="C1243" s="12" t="s">
        <v>78</v>
      </c>
      <c r="D1243" s="12" t="s">
        <v>85</v>
      </c>
      <c r="E1243" s="12">
        <v>2345722</v>
      </c>
    </row>
    <row r="1244" spans="1:5">
      <c r="A1244" s="12" t="s">
        <v>1336</v>
      </c>
      <c r="B1244" s="12">
        <v>2018</v>
      </c>
      <c r="C1244" s="12" t="s">
        <v>64</v>
      </c>
      <c r="D1244" s="12" t="s">
        <v>113</v>
      </c>
      <c r="E1244" s="12">
        <v>2405754</v>
      </c>
    </row>
    <row r="1245" spans="1:5">
      <c r="A1245" s="12" t="s">
        <v>1337</v>
      </c>
      <c r="B1245" s="12">
        <v>2018</v>
      </c>
      <c r="C1245" s="12" t="s">
        <v>74</v>
      </c>
      <c r="D1245" s="12" t="s">
        <v>46</v>
      </c>
      <c r="E1245" s="12">
        <v>2466922</v>
      </c>
    </row>
    <row r="1246" spans="1:5">
      <c r="A1246" s="12" t="s">
        <v>1338</v>
      </c>
      <c r="B1246" s="12">
        <v>2018</v>
      </c>
      <c r="C1246" s="12" t="s">
        <v>74</v>
      </c>
      <c r="D1246" s="12" t="s">
        <v>102</v>
      </c>
      <c r="E1246" s="12">
        <v>2728503</v>
      </c>
    </row>
    <row r="1247" spans="1:5">
      <c r="A1247" s="12" t="s">
        <v>1339</v>
      </c>
      <c r="B1247" s="12">
        <v>2018</v>
      </c>
      <c r="C1247" s="12" t="s">
        <v>78</v>
      </c>
      <c r="D1247" s="12" t="s">
        <v>118</v>
      </c>
      <c r="E1247" s="12">
        <v>2742636</v>
      </c>
    </row>
    <row r="1248" spans="1:5">
      <c r="A1248" s="12" t="s">
        <v>1340</v>
      </c>
      <c r="B1248" s="12">
        <v>2018</v>
      </c>
      <c r="C1248" s="12" t="s">
        <v>69</v>
      </c>
      <c r="D1248" s="12" t="s">
        <v>122</v>
      </c>
      <c r="E1248" s="12">
        <v>3007237</v>
      </c>
    </row>
    <row r="1249" spans="1:5">
      <c r="A1249" s="12" t="s">
        <v>1341</v>
      </c>
      <c r="B1249" s="12">
        <v>2018</v>
      </c>
      <c r="C1249" s="12" t="s">
        <v>64</v>
      </c>
      <c r="D1249" s="12" t="s">
        <v>39</v>
      </c>
      <c r="E1249" s="12">
        <v>3095849</v>
      </c>
    </row>
    <row r="1250" spans="1:5">
      <c r="A1250" s="12" t="s">
        <v>1342</v>
      </c>
      <c r="B1250" s="12">
        <v>2018</v>
      </c>
      <c r="C1250" s="12" t="s">
        <v>66</v>
      </c>
      <c r="D1250" s="12" t="s">
        <v>122</v>
      </c>
      <c r="E1250" s="12">
        <v>3122011</v>
      </c>
    </row>
    <row r="1251" spans="1:5">
      <c r="A1251" s="12" t="s">
        <v>1343</v>
      </c>
      <c r="B1251" s="12">
        <v>2018</v>
      </c>
      <c r="C1251" s="12" t="s">
        <v>78</v>
      </c>
      <c r="D1251" s="12" t="s">
        <v>111</v>
      </c>
      <c r="E1251" s="12">
        <v>3479956</v>
      </c>
    </row>
    <row r="1252" spans="1:5">
      <c r="A1252" s="12" t="s">
        <v>1344</v>
      </c>
      <c r="B1252" s="12">
        <v>2018</v>
      </c>
      <c r="C1252" s="12" t="s">
        <v>78</v>
      </c>
      <c r="D1252" s="12" t="s">
        <v>105</v>
      </c>
      <c r="E1252" s="12">
        <v>4028576</v>
      </c>
    </row>
    <row r="1253" spans="1:5">
      <c r="A1253" s="12" t="s">
        <v>1345</v>
      </c>
      <c r="B1253" s="12">
        <v>2018</v>
      </c>
      <c r="C1253" s="12" t="s">
        <v>64</v>
      </c>
      <c r="D1253" s="12" t="s">
        <v>109</v>
      </c>
      <c r="E1253" s="12">
        <v>4471618</v>
      </c>
    </row>
    <row r="1254" spans="1:5">
      <c r="A1254" s="12" t="s">
        <v>1346</v>
      </c>
      <c r="B1254" s="12">
        <v>2018</v>
      </c>
      <c r="C1254" s="12" t="s">
        <v>64</v>
      </c>
      <c r="D1254" s="12" t="s">
        <v>50</v>
      </c>
      <c r="E1254" s="12">
        <v>4852910</v>
      </c>
    </row>
    <row r="1255" spans="1:5">
      <c r="A1255" s="12" t="s">
        <v>1347</v>
      </c>
      <c r="B1255" s="12">
        <v>2018</v>
      </c>
      <c r="C1255" s="12" t="s">
        <v>64</v>
      </c>
      <c r="D1255" s="12" t="s">
        <v>85</v>
      </c>
      <c r="E1255" s="12">
        <v>5204685</v>
      </c>
    </row>
    <row r="1256" spans="1:5">
      <c r="A1256" s="12" t="s">
        <v>1348</v>
      </c>
      <c r="B1256" s="12">
        <v>2018</v>
      </c>
      <c r="C1256" s="12" t="s">
        <v>69</v>
      </c>
      <c r="D1256" s="12" t="s">
        <v>91</v>
      </c>
      <c r="E1256" s="12">
        <v>6409835</v>
      </c>
    </row>
    <row r="1257" spans="1:5">
      <c r="A1257" s="12" t="s">
        <v>1349</v>
      </c>
      <c r="B1257" s="12">
        <v>2018</v>
      </c>
      <c r="C1257" s="12" t="s">
        <v>64</v>
      </c>
      <c r="D1257" s="12" t="s">
        <v>118</v>
      </c>
      <c r="E1257" s="12">
        <v>6443114</v>
      </c>
    </row>
    <row r="1258" spans="1:5">
      <c r="A1258" s="12" t="s">
        <v>1350</v>
      </c>
      <c r="B1258" s="12">
        <v>2018</v>
      </c>
      <c r="C1258" s="12" t="s">
        <v>64</v>
      </c>
      <c r="D1258" s="12" t="s">
        <v>105</v>
      </c>
      <c r="E1258" s="12">
        <v>6461876</v>
      </c>
    </row>
    <row r="1259" spans="1:5">
      <c r="A1259" s="12" t="s">
        <v>1351</v>
      </c>
      <c r="B1259" s="12">
        <v>2018</v>
      </c>
      <c r="C1259" s="12" t="s">
        <v>64</v>
      </c>
      <c r="D1259" s="12" t="s">
        <v>89</v>
      </c>
      <c r="E1259" s="12">
        <v>6494009</v>
      </c>
    </row>
    <row r="1260" spans="1:5">
      <c r="A1260" s="12" t="s">
        <v>1352</v>
      </c>
      <c r="B1260" s="12">
        <v>2018</v>
      </c>
      <c r="C1260" s="12" t="s">
        <v>69</v>
      </c>
      <c r="D1260" s="12" t="s">
        <v>102</v>
      </c>
      <c r="E1260" s="12">
        <v>6576563</v>
      </c>
    </row>
    <row r="1261" spans="1:5">
      <c r="A1261" s="12" t="s">
        <v>1353</v>
      </c>
      <c r="B1261" s="12">
        <v>2018</v>
      </c>
      <c r="C1261" s="12" t="s">
        <v>64</v>
      </c>
      <c r="D1261" s="12" t="s">
        <v>46</v>
      </c>
      <c r="E1261" s="12">
        <v>6612618</v>
      </c>
    </row>
    <row r="1262" spans="1:5">
      <c r="A1262" s="12" t="s">
        <v>1354</v>
      </c>
      <c r="B1262" s="12">
        <v>2018</v>
      </c>
      <c r="C1262" s="12" t="s">
        <v>64</v>
      </c>
      <c r="D1262" s="12" t="s">
        <v>122</v>
      </c>
      <c r="E1262" s="12">
        <v>7002561</v>
      </c>
    </row>
    <row r="1263" spans="1:5">
      <c r="A1263" s="12" t="s">
        <v>1355</v>
      </c>
      <c r="B1263" s="12">
        <v>2018</v>
      </c>
      <c r="C1263" s="12" t="s">
        <v>69</v>
      </c>
      <c r="D1263" s="12" t="s">
        <v>124</v>
      </c>
      <c r="E1263" s="12">
        <v>7118312</v>
      </c>
    </row>
    <row r="1264" spans="1:5">
      <c r="A1264" s="12" t="s">
        <v>1356</v>
      </c>
      <c r="B1264" s="12">
        <v>2018</v>
      </c>
      <c r="C1264" s="12" t="s">
        <v>66</v>
      </c>
      <c r="D1264" s="12" t="s">
        <v>91</v>
      </c>
      <c r="E1264" s="12">
        <v>7553854</v>
      </c>
    </row>
    <row r="1265" spans="1:5">
      <c r="A1265" s="12" t="s">
        <v>1357</v>
      </c>
      <c r="B1265" s="12">
        <v>2018</v>
      </c>
      <c r="C1265" s="12" t="s">
        <v>66</v>
      </c>
      <c r="D1265" s="12" t="s">
        <v>124</v>
      </c>
      <c r="E1265" s="12">
        <v>7817732</v>
      </c>
    </row>
    <row r="1266" spans="1:5">
      <c r="A1266" s="12" t="s">
        <v>1358</v>
      </c>
      <c r="B1266" s="12">
        <v>2018</v>
      </c>
      <c r="C1266" s="12" t="s">
        <v>69</v>
      </c>
      <c r="D1266" s="12" t="s">
        <v>100</v>
      </c>
      <c r="E1266" s="12">
        <v>7860394</v>
      </c>
    </row>
    <row r="1267" spans="1:5">
      <c r="A1267" s="12" t="s">
        <v>1359</v>
      </c>
      <c r="B1267" s="12">
        <v>2018</v>
      </c>
      <c r="C1267" s="12" t="s">
        <v>64</v>
      </c>
      <c r="D1267" s="12" t="s">
        <v>111</v>
      </c>
      <c r="E1267" s="12">
        <v>7864177</v>
      </c>
    </row>
    <row r="1268" spans="1:5">
      <c r="A1268" s="12" t="s">
        <v>1360</v>
      </c>
      <c r="B1268" s="12">
        <v>2018</v>
      </c>
      <c r="C1268" s="12" t="s">
        <v>66</v>
      </c>
      <c r="D1268" s="12" t="s">
        <v>102</v>
      </c>
      <c r="E1268" s="12">
        <v>7877528</v>
      </c>
    </row>
    <row r="1269" spans="1:5">
      <c r="A1269" s="12" t="s">
        <v>1361</v>
      </c>
      <c r="B1269" s="12">
        <v>2018</v>
      </c>
      <c r="C1269" s="12" t="s">
        <v>66</v>
      </c>
      <c r="D1269" s="12" t="s">
        <v>100</v>
      </c>
      <c r="E1269" s="12">
        <v>8239547</v>
      </c>
    </row>
    <row r="1270" spans="1:5">
      <c r="A1270" s="12" t="s">
        <v>1362</v>
      </c>
      <c r="B1270" s="12">
        <v>2018</v>
      </c>
      <c r="C1270" s="12" t="s">
        <v>78</v>
      </c>
      <c r="D1270" s="12" t="s">
        <v>102</v>
      </c>
      <c r="E1270" s="12">
        <v>10688823</v>
      </c>
    </row>
    <row r="1271" spans="1:5">
      <c r="A1271" s="12" t="s">
        <v>1363</v>
      </c>
      <c r="B1271" s="12">
        <v>2018</v>
      </c>
      <c r="C1271" s="12" t="s">
        <v>78</v>
      </c>
      <c r="D1271" s="12" t="s">
        <v>91</v>
      </c>
      <c r="E1271" s="12">
        <v>14032373</v>
      </c>
    </row>
    <row r="1272" spans="1:5">
      <c r="A1272" s="12" t="s">
        <v>1364</v>
      </c>
      <c r="B1272" s="12">
        <v>2018</v>
      </c>
      <c r="C1272" s="12" t="s">
        <v>69</v>
      </c>
      <c r="D1272" s="12" t="s">
        <v>107</v>
      </c>
      <c r="E1272" s="12">
        <v>14436958</v>
      </c>
    </row>
    <row r="1273" spans="1:5">
      <c r="A1273" s="12" t="s">
        <v>1365</v>
      </c>
      <c r="B1273" s="12">
        <v>2018</v>
      </c>
      <c r="C1273" s="12" t="s">
        <v>66</v>
      </c>
      <c r="D1273" s="12" t="s">
        <v>107</v>
      </c>
      <c r="E1273" s="12">
        <v>16117076</v>
      </c>
    </row>
    <row r="1274" spans="1:5">
      <c r="A1274" s="12" t="s">
        <v>1366</v>
      </c>
      <c r="B1274" s="12">
        <v>2018</v>
      </c>
      <c r="C1274" s="12" t="s">
        <v>78</v>
      </c>
      <c r="D1274" s="12" t="s">
        <v>124</v>
      </c>
      <c r="E1274" s="12">
        <v>16378095</v>
      </c>
    </row>
    <row r="1275" spans="1:5">
      <c r="A1275" s="12" t="s">
        <v>1367</v>
      </c>
      <c r="B1275" s="12">
        <v>2018</v>
      </c>
      <c r="C1275" s="12" t="s">
        <v>78</v>
      </c>
      <c r="D1275" s="12" t="s">
        <v>100</v>
      </c>
      <c r="E1275" s="12">
        <v>17139125</v>
      </c>
    </row>
    <row r="1276" spans="1:5">
      <c r="A1276" s="12" t="s">
        <v>1368</v>
      </c>
      <c r="B1276" s="12">
        <v>2018</v>
      </c>
      <c r="C1276" s="12" t="s">
        <v>74</v>
      </c>
      <c r="D1276" s="12" t="s">
        <v>91</v>
      </c>
      <c r="E1276" s="12">
        <v>18131668</v>
      </c>
    </row>
    <row r="1277" spans="1:5">
      <c r="A1277" s="12" t="s">
        <v>1369</v>
      </c>
      <c r="B1277" s="12">
        <v>2018</v>
      </c>
      <c r="C1277" s="12" t="s">
        <v>74</v>
      </c>
      <c r="D1277" s="12" t="s">
        <v>124</v>
      </c>
      <c r="E1277" s="12">
        <v>20018276</v>
      </c>
    </row>
    <row r="1278" spans="1:5">
      <c r="A1278" s="12" t="s">
        <v>1370</v>
      </c>
      <c r="B1278" s="12">
        <v>2018</v>
      </c>
      <c r="C1278" s="12" t="s">
        <v>74</v>
      </c>
      <c r="D1278" s="12" t="s">
        <v>100</v>
      </c>
      <c r="E1278" s="12">
        <v>20499102</v>
      </c>
    </row>
    <row r="1279" spans="1:5">
      <c r="A1279" s="12" t="s">
        <v>1371</v>
      </c>
      <c r="B1279" s="12">
        <v>2018</v>
      </c>
      <c r="C1279" s="12" t="s">
        <v>74</v>
      </c>
      <c r="D1279" s="12" t="s">
        <v>107</v>
      </c>
      <c r="E1279" s="12">
        <v>23227604</v>
      </c>
    </row>
    <row r="1280" spans="1:5">
      <c r="A1280" s="12" t="s">
        <v>1372</v>
      </c>
      <c r="B1280" s="12">
        <v>2018</v>
      </c>
      <c r="C1280" s="12" t="s">
        <v>78</v>
      </c>
      <c r="D1280" s="12" t="s">
        <v>107</v>
      </c>
      <c r="E1280" s="12">
        <v>27827948</v>
      </c>
    </row>
    <row r="1281" spans="1:5">
      <c r="A1281" s="12" t="s">
        <v>1373</v>
      </c>
      <c r="B1281" s="12">
        <v>2018</v>
      </c>
      <c r="C1281" s="12" t="s">
        <v>64</v>
      </c>
      <c r="D1281" s="12" t="s">
        <v>102</v>
      </c>
      <c r="E1281" s="12">
        <v>27871417</v>
      </c>
    </row>
    <row r="1282" spans="1:5">
      <c r="A1282" s="12" t="s">
        <v>1374</v>
      </c>
      <c r="B1282" s="12">
        <v>2018</v>
      </c>
      <c r="C1282" s="12" t="s">
        <v>64</v>
      </c>
      <c r="D1282" s="12" t="s">
        <v>91</v>
      </c>
      <c r="E1282" s="12">
        <v>46127730</v>
      </c>
    </row>
    <row r="1283" spans="1:5">
      <c r="A1283" s="12" t="s">
        <v>1375</v>
      </c>
      <c r="B1283" s="12">
        <v>2018</v>
      </c>
      <c r="C1283" s="12" t="s">
        <v>64</v>
      </c>
      <c r="D1283" s="12" t="s">
        <v>124</v>
      </c>
      <c r="E1283" s="12">
        <v>51332415</v>
      </c>
    </row>
    <row r="1284" spans="1:5">
      <c r="A1284" s="12" t="s">
        <v>1376</v>
      </c>
      <c r="B1284" s="12">
        <v>2018</v>
      </c>
      <c r="C1284" s="12" t="s">
        <v>64</v>
      </c>
      <c r="D1284" s="12" t="s">
        <v>100</v>
      </c>
      <c r="E1284" s="12">
        <v>53738169</v>
      </c>
    </row>
    <row r="1285" spans="1:5">
      <c r="A1285" s="12" t="s">
        <v>1377</v>
      </c>
      <c r="B1285" s="12">
        <v>2018</v>
      </c>
      <c r="C1285" s="12" t="s">
        <v>64</v>
      </c>
      <c r="D1285" s="12" t="s">
        <v>107</v>
      </c>
      <c r="E1285" s="12">
        <v>81609586</v>
      </c>
    </row>
    <row r="1286" spans="1:5">
      <c r="A1286" s="12" t="s">
        <v>1378</v>
      </c>
      <c r="B1286" s="12">
        <v>2018</v>
      </c>
      <c r="C1286" s="12" t="s">
        <v>64</v>
      </c>
      <c r="D1286" s="12" t="s">
        <v>70</v>
      </c>
    </row>
    <row r="1287" spans="1:5">
      <c r="A1287" s="12" t="s">
        <v>1379</v>
      </c>
      <c r="B1287" s="12">
        <v>2018</v>
      </c>
      <c r="C1287" s="12" t="s">
        <v>69</v>
      </c>
      <c r="D1287" s="12" t="s">
        <v>70</v>
      </c>
    </row>
    <row r="1288" spans="1:5">
      <c r="A1288" s="12" t="s">
        <v>1380</v>
      </c>
      <c r="B1288" s="12">
        <v>2018</v>
      </c>
      <c r="C1288" s="12" t="s">
        <v>74</v>
      </c>
      <c r="D1288" s="12" t="s">
        <v>70</v>
      </c>
    </row>
    <row r="1289" spans="1:5">
      <c r="A1289" s="12" t="s">
        <v>1381</v>
      </c>
      <c r="B1289" s="12">
        <v>2018</v>
      </c>
      <c r="C1289" s="12" t="s">
        <v>78</v>
      </c>
      <c r="D1289" s="12" t="s">
        <v>70</v>
      </c>
    </row>
    <row r="1290" spans="1:5">
      <c r="A1290" s="12" t="s">
        <v>1382</v>
      </c>
      <c r="B1290" s="12">
        <v>2018</v>
      </c>
      <c r="C1290" s="12" t="s">
        <v>66</v>
      </c>
      <c r="D1290" s="12" t="s">
        <v>70</v>
      </c>
    </row>
    <row r="1291" spans="1:5">
      <c r="A1291" s="12" t="s">
        <v>1383</v>
      </c>
      <c r="B1291" s="12">
        <v>2018</v>
      </c>
      <c r="C1291" s="12" t="s">
        <v>74</v>
      </c>
      <c r="D1291" s="12" t="s">
        <v>87</v>
      </c>
    </row>
    <row r="1292" spans="1:5">
      <c r="A1292" s="12" t="s">
        <v>1384</v>
      </c>
      <c r="B1292" s="12">
        <v>2018</v>
      </c>
      <c r="C1292" s="12" t="s">
        <v>64</v>
      </c>
      <c r="D1292" s="12" t="s">
        <v>67</v>
      </c>
    </row>
    <row r="1293" spans="1:5">
      <c r="A1293" s="12" t="s">
        <v>1385</v>
      </c>
      <c r="B1293" s="12">
        <v>2018</v>
      </c>
      <c r="C1293" s="12" t="s">
        <v>69</v>
      </c>
      <c r="D1293" s="12" t="s">
        <v>67</v>
      </c>
    </row>
    <row r="1294" spans="1:5">
      <c r="A1294" s="12" t="s">
        <v>1386</v>
      </c>
      <c r="B1294" s="12">
        <v>2018</v>
      </c>
      <c r="C1294" s="12" t="s">
        <v>74</v>
      </c>
      <c r="D1294" s="12" t="s">
        <v>67</v>
      </c>
    </row>
    <row r="1295" spans="1:5">
      <c r="A1295" s="12" t="s">
        <v>1387</v>
      </c>
      <c r="B1295" s="12">
        <v>2018</v>
      </c>
      <c r="C1295" s="12" t="s">
        <v>78</v>
      </c>
      <c r="D1295" s="12" t="s">
        <v>67</v>
      </c>
    </row>
    <row r="1296" spans="1:5">
      <c r="A1296" s="12" t="s">
        <v>1388</v>
      </c>
      <c r="B1296" s="12">
        <v>2018</v>
      </c>
      <c r="C1296" s="12" t="s">
        <v>66</v>
      </c>
      <c r="D1296" s="12" t="s">
        <v>67</v>
      </c>
    </row>
    <row r="1297" spans="1:5">
      <c r="A1297" s="12" t="s">
        <v>1389</v>
      </c>
      <c r="B1297" s="12">
        <v>2018</v>
      </c>
      <c r="C1297" s="12" t="s">
        <v>64</v>
      </c>
      <c r="D1297" s="12" t="s">
        <v>82</v>
      </c>
    </row>
    <row r="1298" spans="1:5">
      <c r="A1298" s="12" t="s">
        <v>1390</v>
      </c>
      <c r="B1298" s="12">
        <v>2018</v>
      </c>
      <c r="C1298" s="12" t="s">
        <v>69</v>
      </c>
      <c r="D1298" s="12" t="s">
        <v>82</v>
      </c>
    </row>
    <row r="1299" spans="1:5">
      <c r="A1299" s="12" t="s">
        <v>1391</v>
      </c>
      <c r="B1299" s="12">
        <v>2018</v>
      </c>
      <c r="C1299" s="12" t="s">
        <v>74</v>
      </c>
      <c r="D1299" s="12" t="s">
        <v>82</v>
      </c>
    </row>
    <row r="1300" spans="1:5">
      <c r="A1300" s="12" t="s">
        <v>1392</v>
      </c>
      <c r="B1300" s="12">
        <v>2018</v>
      </c>
      <c r="C1300" s="12" t="s">
        <v>78</v>
      </c>
      <c r="D1300" s="12" t="s">
        <v>82</v>
      </c>
    </row>
    <row r="1301" spans="1:5">
      <c r="A1301" s="12" t="s">
        <v>1393</v>
      </c>
      <c r="B1301" s="12">
        <v>2018</v>
      </c>
      <c r="C1301" s="12" t="s">
        <v>66</v>
      </c>
      <c r="D1301" s="12" t="s">
        <v>82</v>
      </c>
    </row>
    <row r="1302" spans="1:5">
      <c r="A1302" s="12" t="s">
        <v>1394</v>
      </c>
      <c r="B1302" s="12">
        <v>2018</v>
      </c>
      <c r="C1302" s="12" t="s">
        <v>64</v>
      </c>
      <c r="D1302" s="12" t="s">
        <v>34</v>
      </c>
    </row>
    <row r="1303" spans="1:5">
      <c r="A1303" s="12" t="s">
        <v>1395</v>
      </c>
      <c r="B1303" s="12">
        <v>2018</v>
      </c>
      <c r="C1303" s="12" t="s">
        <v>69</v>
      </c>
      <c r="D1303" s="12" t="s">
        <v>34</v>
      </c>
    </row>
    <row r="1304" spans="1:5">
      <c r="A1304" s="12" t="s">
        <v>1396</v>
      </c>
      <c r="B1304" s="12">
        <v>2018</v>
      </c>
      <c r="C1304" s="12" t="s">
        <v>74</v>
      </c>
      <c r="D1304" s="12" t="s">
        <v>34</v>
      </c>
    </row>
    <row r="1305" spans="1:5">
      <c r="A1305" s="12" t="s">
        <v>1397</v>
      </c>
      <c r="B1305" s="12">
        <v>2018</v>
      </c>
      <c r="C1305" s="12" t="s">
        <v>78</v>
      </c>
      <c r="D1305" s="12" t="s">
        <v>34</v>
      </c>
    </row>
    <row r="1306" spans="1:5">
      <c r="A1306" s="12" t="s">
        <v>1398</v>
      </c>
      <c r="B1306" s="12">
        <v>2018</v>
      </c>
      <c r="C1306" s="12" t="s">
        <v>66</v>
      </c>
      <c r="D1306" s="12" t="s">
        <v>34</v>
      </c>
    </row>
    <row r="1307" spans="1:5">
      <c r="A1307" s="12" t="s">
        <v>1399</v>
      </c>
      <c r="B1307" s="12">
        <v>2019</v>
      </c>
      <c r="C1307" s="12" t="s">
        <v>66</v>
      </c>
      <c r="D1307" s="12" t="s">
        <v>34</v>
      </c>
      <c r="E1307" s="12">
        <v>178</v>
      </c>
    </row>
    <row r="1308" spans="1:5">
      <c r="A1308" s="12" t="s">
        <v>1400</v>
      </c>
      <c r="B1308" s="12">
        <v>2019</v>
      </c>
      <c r="C1308" s="12" t="s">
        <v>74</v>
      </c>
      <c r="D1308" s="12" t="s">
        <v>34</v>
      </c>
      <c r="E1308" s="12">
        <v>2148</v>
      </c>
    </row>
    <row r="1309" spans="1:5">
      <c r="A1309" s="12" t="s">
        <v>1401</v>
      </c>
      <c r="B1309" s="12">
        <v>2019</v>
      </c>
      <c r="C1309" s="12" t="s">
        <v>78</v>
      </c>
      <c r="D1309" s="12" t="s">
        <v>34</v>
      </c>
      <c r="E1309" s="12">
        <v>7674</v>
      </c>
    </row>
    <row r="1310" spans="1:5">
      <c r="A1310" s="12" t="s">
        <v>1402</v>
      </c>
      <c r="B1310" s="12">
        <v>2019</v>
      </c>
      <c r="C1310" s="12" t="s">
        <v>64</v>
      </c>
      <c r="D1310" s="12" t="s">
        <v>34</v>
      </c>
      <c r="E1310" s="12">
        <v>10000</v>
      </c>
    </row>
    <row r="1311" spans="1:5">
      <c r="A1311" s="12" t="s">
        <v>1403</v>
      </c>
      <c r="B1311" s="12">
        <v>2019</v>
      </c>
      <c r="C1311" s="12" t="s">
        <v>74</v>
      </c>
      <c r="D1311" s="12" t="s">
        <v>87</v>
      </c>
      <c r="E1311" s="12">
        <v>19894</v>
      </c>
    </row>
    <row r="1312" spans="1:5">
      <c r="A1312" s="12" t="s">
        <v>1404</v>
      </c>
      <c r="B1312" s="12">
        <v>2019</v>
      </c>
      <c r="C1312" s="12" t="s">
        <v>66</v>
      </c>
      <c r="D1312" s="12" t="s">
        <v>37</v>
      </c>
      <c r="E1312" s="12">
        <v>30401</v>
      </c>
    </row>
    <row r="1313" spans="1:5">
      <c r="A1313" s="12" t="s">
        <v>1405</v>
      </c>
      <c r="B1313" s="12">
        <v>2019</v>
      </c>
      <c r="C1313" s="12" t="s">
        <v>69</v>
      </c>
      <c r="D1313" s="12" t="s">
        <v>48</v>
      </c>
      <c r="E1313" s="12">
        <v>33447</v>
      </c>
    </row>
    <row r="1314" spans="1:5">
      <c r="A1314" s="12" t="s">
        <v>1406</v>
      </c>
      <c r="B1314" s="12">
        <v>2019</v>
      </c>
      <c r="C1314" s="12" t="s">
        <v>66</v>
      </c>
      <c r="D1314" s="12" t="s">
        <v>48</v>
      </c>
      <c r="E1314" s="12">
        <v>36916</v>
      </c>
    </row>
    <row r="1315" spans="1:5">
      <c r="A1315" s="12" t="s">
        <v>1407</v>
      </c>
      <c r="B1315" s="12">
        <v>2019</v>
      </c>
      <c r="C1315" s="12" t="s">
        <v>66</v>
      </c>
      <c r="D1315" s="12" t="s">
        <v>87</v>
      </c>
      <c r="E1315" s="12">
        <v>51893</v>
      </c>
    </row>
    <row r="1316" spans="1:5">
      <c r="A1316" s="12" t="s">
        <v>1408</v>
      </c>
      <c r="B1316" s="12">
        <v>2019</v>
      </c>
      <c r="C1316" s="12" t="s">
        <v>74</v>
      </c>
      <c r="D1316" s="12" t="s">
        <v>104</v>
      </c>
      <c r="E1316" s="12">
        <v>52175</v>
      </c>
    </row>
    <row r="1317" spans="1:5">
      <c r="A1317" s="12" t="s">
        <v>1409</v>
      </c>
      <c r="B1317" s="12">
        <v>2019</v>
      </c>
      <c r="C1317" s="12" t="s">
        <v>69</v>
      </c>
      <c r="D1317" s="12" t="s">
        <v>37</v>
      </c>
      <c r="E1317" s="12">
        <v>56177</v>
      </c>
    </row>
    <row r="1318" spans="1:5">
      <c r="A1318" s="12" t="s">
        <v>1410</v>
      </c>
      <c r="B1318" s="12">
        <v>2019</v>
      </c>
      <c r="C1318" s="12" t="s">
        <v>69</v>
      </c>
      <c r="D1318" s="12" t="s">
        <v>87</v>
      </c>
      <c r="E1318" s="12">
        <v>58889</v>
      </c>
    </row>
    <row r="1319" spans="1:5">
      <c r="A1319" s="12" t="s">
        <v>1411</v>
      </c>
      <c r="B1319" s="12">
        <v>2019</v>
      </c>
      <c r="C1319" s="12" t="s">
        <v>74</v>
      </c>
      <c r="D1319" s="12" t="s">
        <v>37</v>
      </c>
      <c r="E1319" s="12">
        <v>77569</v>
      </c>
    </row>
    <row r="1320" spans="1:5">
      <c r="A1320" s="12" t="s">
        <v>1412</v>
      </c>
      <c r="B1320" s="12">
        <v>2019</v>
      </c>
      <c r="C1320" s="12" t="s">
        <v>78</v>
      </c>
      <c r="D1320" s="12" t="s">
        <v>87</v>
      </c>
      <c r="E1320" s="12">
        <v>101649</v>
      </c>
    </row>
    <row r="1321" spans="1:5">
      <c r="A1321" s="12" t="s">
        <v>1413</v>
      </c>
      <c r="B1321" s="12">
        <v>2019</v>
      </c>
      <c r="C1321" s="12" t="s">
        <v>66</v>
      </c>
      <c r="D1321" s="12" t="s">
        <v>98</v>
      </c>
      <c r="E1321" s="12">
        <v>107603</v>
      </c>
    </row>
    <row r="1322" spans="1:5">
      <c r="A1322" s="12" t="s">
        <v>1414</v>
      </c>
      <c r="B1322" s="12">
        <v>2019</v>
      </c>
      <c r="C1322" s="12" t="s">
        <v>69</v>
      </c>
      <c r="D1322" s="12" t="s">
        <v>98</v>
      </c>
      <c r="E1322" s="12">
        <v>108341</v>
      </c>
    </row>
    <row r="1323" spans="1:5">
      <c r="A1323" s="12" t="s">
        <v>1415</v>
      </c>
      <c r="B1323" s="12">
        <v>2019</v>
      </c>
      <c r="C1323" s="12" t="s">
        <v>78</v>
      </c>
      <c r="D1323" s="12" t="s">
        <v>48</v>
      </c>
      <c r="E1323" s="12">
        <v>110077</v>
      </c>
    </row>
    <row r="1324" spans="1:5">
      <c r="A1324" s="12" t="s">
        <v>1416</v>
      </c>
      <c r="B1324" s="12">
        <v>2019</v>
      </c>
      <c r="C1324" s="12" t="s">
        <v>78</v>
      </c>
      <c r="D1324" s="12" t="s">
        <v>37</v>
      </c>
      <c r="E1324" s="12">
        <v>127958</v>
      </c>
    </row>
    <row r="1325" spans="1:5">
      <c r="A1325" s="12" t="s">
        <v>1417</v>
      </c>
      <c r="B1325" s="12">
        <v>2019</v>
      </c>
      <c r="C1325" s="12" t="s">
        <v>74</v>
      </c>
      <c r="D1325" s="12" t="s">
        <v>122</v>
      </c>
      <c r="E1325" s="12">
        <v>163316</v>
      </c>
    </row>
    <row r="1326" spans="1:5">
      <c r="A1326" s="12" t="s">
        <v>1418</v>
      </c>
      <c r="B1326" s="12">
        <v>2019</v>
      </c>
      <c r="C1326" s="12" t="s">
        <v>78</v>
      </c>
      <c r="D1326" s="12" t="s">
        <v>104</v>
      </c>
      <c r="E1326" s="12">
        <v>165757</v>
      </c>
    </row>
    <row r="1327" spans="1:5">
      <c r="A1327" s="12" t="s">
        <v>1419</v>
      </c>
      <c r="B1327" s="12">
        <v>2019</v>
      </c>
      <c r="C1327" s="12" t="s">
        <v>74</v>
      </c>
      <c r="D1327" s="12" t="s">
        <v>93</v>
      </c>
      <c r="E1327" s="12">
        <v>169633</v>
      </c>
    </row>
    <row r="1328" spans="1:5">
      <c r="A1328" s="12" t="s">
        <v>1420</v>
      </c>
      <c r="B1328" s="12">
        <v>2019</v>
      </c>
      <c r="C1328" s="12" t="s">
        <v>74</v>
      </c>
      <c r="D1328" s="12" t="s">
        <v>48</v>
      </c>
      <c r="E1328" s="12">
        <v>173188</v>
      </c>
    </row>
    <row r="1329" spans="1:5">
      <c r="A1329" s="12" t="s">
        <v>1421</v>
      </c>
      <c r="B1329" s="12">
        <v>2019</v>
      </c>
      <c r="C1329" s="12" t="s">
        <v>69</v>
      </c>
      <c r="D1329" s="12" t="s">
        <v>93</v>
      </c>
      <c r="E1329" s="12">
        <v>177458</v>
      </c>
    </row>
    <row r="1330" spans="1:5">
      <c r="A1330" s="12" t="s">
        <v>1422</v>
      </c>
      <c r="B1330" s="12">
        <v>2019</v>
      </c>
      <c r="C1330" s="12" t="s">
        <v>78</v>
      </c>
      <c r="D1330" s="12" t="s">
        <v>98</v>
      </c>
      <c r="E1330" s="12">
        <v>182103</v>
      </c>
    </row>
    <row r="1331" spans="1:5">
      <c r="A1331" s="12" t="s">
        <v>1423</v>
      </c>
      <c r="B1331" s="12">
        <v>2019</v>
      </c>
      <c r="C1331" s="12" t="s">
        <v>69</v>
      </c>
      <c r="D1331" s="12" t="s">
        <v>54</v>
      </c>
      <c r="E1331" s="12">
        <v>184976</v>
      </c>
    </row>
    <row r="1332" spans="1:5">
      <c r="A1332" s="12" t="s">
        <v>1424</v>
      </c>
      <c r="B1332" s="12">
        <v>2019</v>
      </c>
      <c r="C1332" s="12" t="s">
        <v>66</v>
      </c>
      <c r="D1332" s="12" t="s">
        <v>39</v>
      </c>
      <c r="E1332" s="12">
        <v>209682</v>
      </c>
    </row>
    <row r="1333" spans="1:5">
      <c r="A1333" s="12" t="s">
        <v>1425</v>
      </c>
      <c r="B1333" s="12">
        <v>2019</v>
      </c>
      <c r="C1333" s="12" t="s">
        <v>66</v>
      </c>
      <c r="D1333" s="12" t="s">
        <v>54</v>
      </c>
      <c r="E1333" s="12">
        <v>210204</v>
      </c>
    </row>
    <row r="1334" spans="1:5">
      <c r="A1334" s="12" t="s">
        <v>1426</v>
      </c>
      <c r="B1334" s="12">
        <v>2019</v>
      </c>
      <c r="C1334" s="12" t="s">
        <v>64</v>
      </c>
      <c r="D1334" s="12" t="s">
        <v>87</v>
      </c>
      <c r="E1334" s="12">
        <v>232325</v>
      </c>
    </row>
    <row r="1335" spans="1:5">
      <c r="A1335" s="12" t="s">
        <v>1427</v>
      </c>
      <c r="B1335" s="12">
        <v>2019</v>
      </c>
      <c r="C1335" s="12" t="s">
        <v>66</v>
      </c>
      <c r="D1335" s="12" t="s">
        <v>85</v>
      </c>
      <c r="E1335" s="12">
        <v>240261</v>
      </c>
    </row>
    <row r="1336" spans="1:5">
      <c r="A1336" s="12" t="s">
        <v>1428</v>
      </c>
      <c r="B1336" s="12">
        <v>2019</v>
      </c>
      <c r="C1336" s="12" t="s">
        <v>66</v>
      </c>
      <c r="D1336" s="12" t="s">
        <v>93</v>
      </c>
      <c r="E1336" s="12">
        <v>255205</v>
      </c>
    </row>
    <row r="1337" spans="1:5">
      <c r="A1337" s="12" t="s">
        <v>1429</v>
      </c>
      <c r="B1337" s="12">
        <v>2019</v>
      </c>
      <c r="C1337" s="12" t="s">
        <v>69</v>
      </c>
      <c r="D1337" s="12" t="s">
        <v>39</v>
      </c>
      <c r="E1337" s="12">
        <v>263744</v>
      </c>
    </row>
    <row r="1338" spans="1:5">
      <c r="A1338" s="12" t="s">
        <v>1430</v>
      </c>
      <c r="B1338" s="12">
        <v>2019</v>
      </c>
      <c r="C1338" s="12" t="s">
        <v>64</v>
      </c>
      <c r="D1338" s="12" t="s">
        <v>37</v>
      </c>
      <c r="E1338" s="12">
        <v>292105</v>
      </c>
    </row>
    <row r="1339" spans="1:5">
      <c r="A1339" s="12" t="s">
        <v>1431</v>
      </c>
      <c r="B1339" s="12">
        <v>2019</v>
      </c>
      <c r="C1339" s="12" t="s">
        <v>69</v>
      </c>
      <c r="D1339" s="12" t="s">
        <v>85</v>
      </c>
      <c r="E1339" s="12">
        <v>319921</v>
      </c>
    </row>
    <row r="1340" spans="1:5">
      <c r="A1340" s="12" t="s">
        <v>1432</v>
      </c>
      <c r="B1340" s="12">
        <v>2019</v>
      </c>
      <c r="C1340" s="12" t="s">
        <v>74</v>
      </c>
      <c r="D1340" s="12" t="s">
        <v>96</v>
      </c>
      <c r="E1340" s="12">
        <v>334919</v>
      </c>
    </row>
    <row r="1341" spans="1:5">
      <c r="A1341" s="12" t="s">
        <v>1433</v>
      </c>
      <c r="B1341" s="12">
        <v>2019</v>
      </c>
      <c r="C1341" s="12" t="s">
        <v>69</v>
      </c>
      <c r="D1341" s="12" t="s">
        <v>96</v>
      </c>
      <c r="E1341" s="12">
        <v>338741</v>
      </c>
    </row>
    <row r="1342" spans="1:5">
      <c r="A1342" s="12" t="s">
        <v>1434</v>
      </c>
      <c r="B1342" s="12">
        <v>2019</v>
      </c>
      <c r="C1342" s="12" t="s">
        <v>64</v>
      </c>
      <c r="D1342" s="12" t="s">
        <v>48</v>
      </c>
      <c r="E1342" s="12">
        <v>353628</v>
      </c>
    </row>
    <row r="1343" spans="1:5">
      <c r="A1343" s="12" t="s">
        <v>1435</v>
      </c>
      <c r="B1343" s="12">
        <v>2019</v>
      </c>
      <c r="C1343" s="12" t="s">
        <v>69</v>
      </c>
      <c r="D1343" s="12" t="s">
        <v>50</v>
      </c>
      <c r="E1343" s="12">
        <v>392964</v>
      </c>
    </row>
    <row r="1344" spans="1:5">
      <c r="A1344" s="12" t="s">
        <v>1436</v>
      </c>
      <c r="B1344" s="12">
        <v>2019</v>
      </c>
      <c r="C1344" s="12" t="s">
        <v>66</v>
      </c>
      <c r="D1344" s="12" t="s">
        <v>96</v>
      </c>
      <c r="E1344" s="12">
        <v>421358</v>
      </c>
    </row>
    <row r="1345" spans="1:5">
      <c r="A1345" s="12" t="s">
        <v>1437</v>
      </c>
      <c r="B1345" s="12">
        <v>2019</v>
      </c>
      <c r="C1345" s="12" t="s">
        <v>78</v>
      </c>
      <c r="D1345" s="12" t="s">
        <v>93</v>
      </c>
      <c r="E1345" s="12">
        <v>440056</v>
      </c>
    </row>
    <row r="1346" spans="1:5">
      <c r="A1346" s="12" t="s">
        <v>1438</v>
      </c>
      <c r="B1346" s="12">
        <v>2019</v>
      </c>
      <c r="C1346" s="12" t="s">
        <v>78</v>
      </c>
      <c r="D1346" s="12" t="s">
        <v>39</v>
      </c>
      <c r="E1346" s="12">
        <v>443435</v>
      </c>
    </row>
    <row r="1347" spans="1:5">
      <c r="A1347" s="12" t="s">
        <v>1439</v>
      </c>
      <c r="B1347" s="12">
        <v>2019</v>
      </c>
      <c r="C1347" s="12" t="s">
        <v>74</v>
      </c>
      <c r="D1347" s="12" t="s">
        <v>109</v>
      </c>
      <c r="E1347" s="12">
        <v>445629</v>
      </c>
    </row>
    <row r="1348" spans="1:5">
      <c r="A1348" s="12" t="s">
        <v>1440</v>
      </c>
      <c r="B1348" s="12">
        <v>2019</v>
      </c>
      <c r="C1348" s="12" t="s">
        <v>74</v>
      </c>
      <c r="D1348" s="12" t="s">
        <v>113</v>
      </c>
      <c r="E1348" s="12">
        <v>494944</v>
      </c>
    </row>
    <row r="1349" spans="1:5">
      <c r="A1349" s="12" t="s">
        <v>1441</v>
      </c>
      <c r="B1349" s="12">
        <v>2019</v>
      </c>
      <c r="C1349" s="12" t="s">
        <v>66</v>
      </c>
      <c r="D1349" s="12" t="s">
        <v>113</v>
      </c>
      <c r="E1349" s="12">
        <v>534154</v>
      </c>
    </row>
    <row r="1350" spans="1:5">
      <c r="A1350" s="12" t="s">
        <v>1442</v>
      </c>
      <c r="B1350" s="12">
        <v>2019</v>
      </c>
      <c r="C1350" s="12" t="s">
        <v>78</v>
      </c>
      <c r="D1350" s="12" t="s">
        <v>54</v>
      </c>
      <c r="E1350" s="12">
        <v>541517</v>
      </c>
    </row>
    <row r="1351" spans="1:5">
      <c r="A1351" s="12" t="s">
        <v>1443</v>
      </c>
      <c r="B1351" s="12">
        <v>2019</v>
      </c>
      <c r="C1351" s="12" t="s">
        <v>69</v>
      </c>
      <c r="D1351" s="12" t="s">
        <v>109</v>
      </c>
      <c r="E1351" s="12">
        <v>571768</v>
      </c>
    </row>
    <row r="1352" spans="1:5">
      <c r="A1352" s="12" t="s">
        <v>1444</v>
      </c>
      <c r="B1352" s="12">
        <v>2019</v>
      </c>
      <c r="C1352" s="12" t="s">
        <v>78</v>
      </c>
      <c r="D1352" s="12" t="s">
        <v>85</v>
      </c>
      <c r="E1352" s="12">
        <v>579068</v>
      </c>
    </row>
    <row r="1353" spans="1:5">
      <c r="A1353" s="12" t="s">
        <v>1445</v>
      </c>
      <c r="B1353" s="12">
        <v>2019</v>
      </c>
      <c r="C1353" s="12" t="s">
        <v>74</v>
      </c>
      <c r="D1353" s="12" t="s">
        <v>98</v>
      </c>
      <c r="E1353" s="12">
        <v>583107</v>
      </c>
    </row>
    <row r="1354" spans="1:5">
      <c r="A1354" s="12" t="s">
        <v>1446</v>
      </c>
      <c r="B1354" s="12">
        <v>2019</v>
      </c>
      <c r="C1354" s="12" t="s">
        <v>78</v>
      </c>
      <c r="D1354" s="12" t="s">
        <v>113</v>
      </c>
      <c r="E1354" s="12">
        <v>644395</v>
      </c>
    </row>
    <row r="1355" spans="1:5">
      <c r="A1355" s="12" t="s">
        <v>1447</v>
      </c>
      <c r="B1355" s="12">
        <v>2019</v>
      </c>
      <c r="C1355" s="12" t="s">
        <v>66</v>
      </c>
      <c r="D1355" s="12" t="s">
        <v>104</v>
      </c>
      <c r="E1355" s="12">
        <v>645254</v>
      </c>
    </row>
    <row r="1356" spans="1:5">
      <c r="A1356" s="12" t="s">
        <v>1448</v>
      </c>
      <c r="B1356" s="12">
        <v>2019</v>
      </c>
      <c r="C1356" s="12" t="s">
        <v>69</v>
      </c>
      <c r="D1356" s="12" t="s">
        <v>113</v>
      </c>
      <c r="E1356" s="12">
        <v>650583</v>
      </c>
    </row>
    <row r="1357" spans="1:5">
      <c r="A1357" s="12" t="s">
        <v>1449</v>
      </c>
      <c r="B1357" s="12">
        <v>2019</v>
      </c>
      <c r="C1357" s="12" t="s">
        <v>74</v>
      </c>
      <c r="D1357" s="12" t="s">
        <v>54</v>
      </c>
      <c r="E1357" s="12">
        <v>663044</v>
      </c>
    </row>
    <row r="1358" spans="1:5">
      <c r="A1358" s="12" t="s">
        <v>1450</v>
      </c>
      <c r="B1358" s="12">
        <v>2019</v>
      </c>
      <c r="C1358" s="12" t="s">
        <v>78</v>
      </c>
      <c r="D1358" s="12" t="s">
        <v>122</v>
      </c>
      <c r="E1358" s="12">
        <v>732407</v>
      </c>
    </row>
    <row r="1359" spans="1:5">
      <c r="A1359" s="12" t="s">
        <v>1451</v>
      </c>
      <c r="B1359" s="12">
        <v>2019</v>
      </c>
      <c r="C1359" s="12" t="s">
        <v>78</v>
      </c>
      <c r="D1359" s="12" t="s">
        <v>96</v>
      </c>
      <c r="E1359" s="12">
        <v>745272</v>
      </c>
    </row>
    <row r="1360" spans="1:5">
      <c r="A1360" s="12" t="s">
        <v>1452</v>
      </c>
      <c r="B1360" s="12">
        <v>2019</v>
      </c>
      <c r="C1360" s="12" t="s">
        <v>74</v>
      </c>
      <c r="D1360" s="12" t="s">
        <v>105</v>
      </c>
      <c r="E1360" s="12">
        <v>813856</v>
      </c>
    </row>
    <row r="1361" spans="1:5">
      <c r="A1361" s="12" t="s">
        <v>1453</v>
      </c>
      <c r="B1361" s="12">
        <v>2019</v>
      </c>
      <c r="C1361" s="12" t="s">
        <v>69</v>
      </c>
      <c r="D1361" s="12" t="s">
        <v>104</v>
      </c>
      <c r="E1361" s="12">
        <v>857629</v>
      </c>
    </row>
    <row r="1362" spans="1:5">
      <c r="A1362" s="12" t="s">
        <v>1454</v>
      </c>
      <c r="B1362" s="12">
        <v>2019</v>
      </c>
      <c r="C1362" s="12" t="s">
        <v>66</v>
      </c>
      <c r="D1362" s="12" t="s">
        <v>50</v>
      </c>
      <c r="E1362" s="12">
        <v>881964</v>
      </c>
    </row>
    <row r="1363" spans="1:5">
      <c r="A1363" s="12" t="s">
        <v>1455</v>
      </c>
      <c r="B1363" s="12">
        <v>2019</v>
      </c>
      <c r="C1363" s="12" t="s">
        <v>74</v>
      </c>
      <c r="D1363" s="12" t="s">
        <v>118</v>
      </c>
      <c r="E1363" s="12">
        <v>913622</v>
      </c>
    </row>
    <row r="1364" spans="1:5">
      <c r="A1364" s="12" t="s">
        <v>1456</v>
      </c>
      <c r="B1364" s="12">
        <v>2019</v>
      </c>
      <c r="C1364" s="12" t="s">
        <v>64</v>
      </c>
      <c r="D1364" s="12" t="s">
        <v>98</v>
      </c>
      <c r="E1364" s="12">
        <v>981154</v>
      </c>
    </row>
    <row r="1365" spans="1:5">
      <c r="A1365" s="12" t="s">
        <v>1457</v>
      </c>
      <c r="B1365" s="12">
        <v>2019</v>
      </c>
      <c r="C1365" s="12" t="s">
        <v>66</v>
      </c>
      <c r="D1365" s="12" t="s">
        <v>118</v>
      </c>
      <c r="E1365" s="12">
        <v>1018436</v>
      </c>
    </row>
    <row r="1366" spans="1:5">
      <c r="A1366" s="12" t="s">
        <v>1458</v>
      </c>
      <c r="B1366" s="12">
        <v>2019</v>
      </c>
      <c r="C1366" s="12" t="s">
        <v>78</v>
      </c>
      <c r="D1366" s="12" t="s">
        <v>50</v>
      </c>
      <c r="E1366" s="12">
        <v>1021560</v>
      </c>
    </row>
    <row r="1367" spans="1:5">
      <c r="A1367" s="12" t="s">
        <v>1459</v>
      </c>
      <c r="B1367" s="12">
        <v>2019</v>
      </c>
      <c r="C1367" s="12" t="s">
        <v>64</v>
      </c>
      <c r="D1367" s="12" t="s">
        <v>93</v>
      </c>
      <c r="E1367" s="12">
        <v>1042352</v>
      </c>
    </row>
    <row r="1368" spans="1:5">
      <c r="A1368" s="12" t="s">
        <v>1460</v>
      </c>
      <c r="B1368" s="12">
        <v>2019</v>
      </c>
      <c r="C1368" s="12" t="s">
        <v>69</v>
      </c>
      <c r="D1368" s="12" t="s">
        <v>46</v>
      </c>
      <c r="E1368" s="12">
        <v>1058158</v>
      </c>
    </row>
    <row r="1369" spans="1:5">
      <c r="A1369" s="12" t="s">
        <v>1461</v>
      </c>
      <c r="B1369" s="12">
        <v>2019</v>
      </c>
      <c r="C1369" s="12" t="s">
        <v>74</v>
      </c>
      <c r="D1369" s="12" t="s">
        <v>111</v>
      </c>
      <c r="E1369" s="12">
        <v>1103148</v>
      </c>
    </row>
    <row r="1370" spans="1:5">
      <c r="A1370" s="12" t="s">
        <v>1462</v>
      </c>
      <c r="B1370" s="12">
        <v>2019</v>
      </c>
      <c r="C1370" s="12" t="s">
        <v>69</v>
      </c>
      <c r="D1370" s="12" t="s">
        <v>118</v>
      </c>
      <c r="E1370" s="12">
        <v>1131421</v>
      </c>
    </row>
    <row r="1371" spans="1:5">
      <c r="A1371" s="12" t="s">
        <v>1463</v>
      </c>
      <c r="B1371" s="12">
        <v>2019</v>
      </c>
      <c r="C1371" s="12" t="s">
        <v>66</v>
      </c>
      <c r="D1371" s="12" t="s">
        <v>109</v>
      </c>
      <c r="E1371" s="12">
        <v>1270261</v>
      </c>
    </row>
    <row r="1372" spans="1:5">
      <c r="A1372" s="12" t="s">
        <v>1464</v>
      </c>
      <c r="B1372" s="12">
        <v>2019</v>
      </c>
      <c r="C1372" s="12" t="s">
        <v>74</v>
      </c>
      <c r="D1372" s="12" t="s">
        <v>39</v>
      </c>
      <c r="E1372" s="12">
        <v>1275962</v>
      </c>
    </row>
    <row r="1373" spans="1:5">
      <c r="A1373" s="12" t="s">
        <v>1465</v>
      </c>
      <c r="B1373" s="12">
        <v>2019</v>
      </c>
      <c r="C1373" s="12" t="s">
        <v>74</v>
      </c>
      <c r="D1373" s="12" t="s">
        <v>50</v>
      </c>
      <c r="E1373" s="12">
        <v>1299895</v>
      </c>
    </row>
    <row r="1374" spans="1:5">
      <c r="A1374" s="12" t="s">
        <v>1466</v>
      </c>
      <c r="B1374" s="12">
        <v>2019</v>
      </c>
      <c r="C1374" s="12" t="s">
        <v>66</v>
      </c>
      <c r="D1374" s="12" t="s">
        <v>111</v>
      </c>
      <c r="E1374" s="12">
        <v>1325534</v>
      </c>
    </row>
    <row r="1375" spans="1:5">
      <c r="A1375" s="12" t="s">
        <v>1467</v>
      </c>
      <c r="B1375" s="12">
        <v>2019</v>
      </c>
      <c r="C1375" s="12" t="s">
        <v>74</v>
      </c>
      <c r="D1375" s="12" t="s">
        <v>85</v>
      </c>
      <c r="E1375" s="12">
        <v>1355678</v>
      </c>
    </row>
    <row r="1376" spans="1:5">
      <c r="A1376" s="12" t="s">
        <v>1468</v>
      </c>
      <c r="B1376" s="12">
        <v>2019</v>
      </c>
      <c r="C1376" s="12" t="s">
        <v>78</v>
      </c>
      <c r="D1376" s="12" t="s">
        <v>46</v>
      </c>
      <c r="E1376" s="12">
        <v>1360334</v>
      </c>
    </row>
    <row r="1377" spans="1:5">
      <c r="A1377" s="12" t="s">
        <v>1469</v>
      </c>
      <c r="B1377" s="12">
        <v>2019</v>
      </c>
      <c r="C1377" s="12" t="s">
        <v>69</v>
      </c>
      <c r="D1377" s="12" t="s">
        <v>89</v>
      </c>
      <c r="E1377" s="12">
        <v>1361072</v>
      </c>
    </row>
    <row r="1378" spans="1:5">
      <c r="A1378" s="12" t="s">
        <v>1470</v>
      </c>
      <c r="B1378" s="12">
        <v>2019</v>
      </c>
      <c r="C1378" s="12" t="s">
        <v>69</v>
      </c>
      <c r="D1378" s="12" t="s">
        <v>111</v>
      </c>
      <c r="E1378" s="12">
        <v>1367769</v>
      </c>
    </row>
    <row r="1379" spans="1:5">
      <c r="A1379" s="12" t="s">
        <v>1471</v>
      </c>
      <c r="B1379" s="12">
        <v>2019</v>
      </c>
      <c r="C1379" s="12" t="s">
        <v>66</v>
      </c>
      <c r="D1379" s="12" t="s">
        <v>89</v>
      </c>
      <c r="E1379" s="12">
        <v>1374987</v>
      </c>
    </row>
    <row r="1380" spans="1:5">
      <c r="A1380" s="12" t="s">
        <v>1472</v>
      </c>
      <c r="B1380" s="12">
        <v>2019</v>
      </c>
      <c r="C1380" s="12" t="s">
        <v>66</v>
      </c>
      <c r="D1380" s="12" t="s">
        <v>46</v>
      </c>
      <c r="E1380" s="12">
        <v>1497033</v>
      </c>
    </row>
    <row r="1381" spans="1:5">
      <c r="A1381" s="12" t="s">
        <v>1473</v>
      </c>
      <c r="B1381" s="12">
        <v>2019</v>
      </c>
      <c r="C1381" s="12" t="s">
        <v>78</v>
      </c>
      <c r="D1381" s="12" t="s">
        <v>109</v>
      </c>
      <c r="E1381" s="12">
        <v>1536326</v>
      </c>
    </row>
    <row r="1382" spans="1:5">
      <c r="A1382" s="12" t="s">
        <v>1474</v>
      </c>
      <c r="B1382" s="12">
        <v>2019</v>
      </c>
      <c r="C1382" s="12" t="s">
        <v>64</v>
      </c>
      <c r="D1382" s="12" t="s">
        <v>54</v>
      </c>
      <c r="E1382" s="12">
        <v>1599741</v>
      </c>
    </row>
    <row r="1383" spans="1:5">
      <c r="A1383" s="12" t="s">
        <v>1475</v>
      </c>
      <c r="B1383" s="12">
        <v>2019</v>
      </c>
      <c r="C1383" s="12" t="s">
        <v>78</v>
      </c>
      <c r="D1383" s="12" t="s">
        <v>89</v>
      </c>
      <c r="E1383" s="12">
        <v>1687557</v>
      </c>
    </row>
    <row r="1384" spans="1:5">
      <c r="A1384" s="12" t="s">
        <v>1476</v>
      </c>
      <c r="B1384" s="12">
        <v>2019</v>
      </c>
      <c r="C1384" s="12" t="s">
        <v>64</v>
      </c>
      <c r="D1384" s="12" t="s">
        <v>104</v>
      </c>
      <c r="E1384" s="12">
        <v>1720815</v>
      </c>
    </row>
    <row r="1385" spans="1:5">
      <c r="A1385" s="12" t="s">
        <v>1477</v>
      </c>
      <c r="B1385" s="12">
        <v>2019</v>
      </c>
      <c r="C1385" s="12" t="s">
        <v>64</v>
      </c>
      <c r="D1385" s="12" t="s">
        <v>96</v>
      </c>
      <c r="E1385" s="12">
        <v>1840289</v>
      </c>
    </row>
    <row r="1386" spans="1:5">
      <c r="A1386" s="12" t="s">
        <v>1478</v>
      </c>
      <c r="B1386" s="12">
        <v>2019</v>
      </c>
      <c r="C1386" s="12" t="s">
        <v>78</v>
      </c>
      <c r="D1386" s="12" t="s">
        <v>118</v>
      </c>
      <c r="E1386" s="12">
        <v>1999345</v>
      </c>
    </row>
    <row r="1387" spans="1:5">
      <c r="A1387" s="12" t="s">
        <v>1479</v>
      </c>
      <c r="B1387" s="12">
        <v>2019</v>
      </c>
      <c r="C1387" s="12" t="s">
        <v>74</v>
      </c>
      <c r="D1387" s="12" t="s">
        <v>89</v>
      </c>
      <c r="E1387" s="12">
        <v>2040905</v>
      </c>
    </row>
    <row r="1388" spans="1:5">
      <c r="A1388" s="12" t="s">
        <v>1480</v>
      </c>
      <c r="B1388" s="12">
        <v>2019</v>
      </c>
      <c r="C1388" s="12" t="s">
        <v>66</v>
      </c>
      <c r="D1388" s="12" t="s">
        <v>105</v>
      </c>
      <c r="E1388" s="12">
        <v>2057387</v>
      </c>
    </row>
    <row r="1389" spans="1:5">
      <c r="A1389" s="12" t="s">
        <v>1481</v>
      </c>
      <c r="B1389" s="12">
        <v>2019</v>
      </c>
      <c r="C1389" s="12" t="s">
        <v>64</v>
      </c>
      <c r="D1389" s="12" t="s">
        <v>39</v>
      </c>
      <c r="E1389" s="12">
        <v>2192823</v>
      </c>
    </row>
    <row r="1390" spans="1:5">
      <c r="A1390" s="12" t="s">
        <v>1482</v>
      </c>
      <c r="B1390" s="12">
        <v>2019</v>
      </c>
      <c r="C1390" s="12" t="s">
        <v>74</v>
      </c>
      <c r="D1390" s="12" t="s">
        <v>46</v>
      </c>
      <c r="E1390" s="12">
        <v>2285368</v>
      </c>
    </row>
    <row r="1391" spans="1:5">
      <c r="A1391" s="12" t="s">
        <v>1483</v>
      </c>
      <c r="B1391" s="12">
        <v>2019</v>
      </c>
      <c r="C1391" s="12" t="s">
        <v>64</v>
      </c>
      <c r="D1391" s="12" t="s">
        <v>113</v>
      </c>
      <c r="E1391" s="12">
        <v>2324077</v>
      </c>
    </row>
    <row r="1392" spans="1:5">
      <c r="A1392" s="12" t="s">
        <v>1484</v>
      </c>
      <c r="B1392" s="12">
        <v>2019</v>
      </c>
      <c r="C1392" s="12" t="s">
        <v>64</v>
      </c>
      <c r="D1392" s="12" t="s">
        <v>85</v>
      </c>
      <c r="E1392" s="12">
        <v>2494928</v>
      </c>
    </row>
    <row r="1393" spans="1:5">
      <c r="A1393" s="12" t="s">
        <v>1485</v>
      </c>
      <c r="B1393" s="12">
        <v>2019</v>
      </c>
      <c r="C1393" s="12" t="s">
        <v>78</v>
      </c>
      <c r="D1393" s="12" t="s">
        <v>111</v>
      </c>
      <c r="E1393" s="12">
        <v>2541050</v>
      </c>
    </row>
    <row r="1394" spans="1:5">
      <c r="A1394" s="12" t="s">
        <v>1486</v>
      </c>
      <c r="B1394" s="12">
        <v>2019</v>
      </c>
      <c r="C1394" s="12" t="s">
        <v>69</v>
      </c>
      <c r="D1394" s="12" t="s">
        <v>105</v>
      </c>
      <c r="E1394" s="12">
        <v>2654454</v>
      </c>
    </row>
    <row r="1395" spans="1:5">
      <c r="A1395" s="12" t="s">
        <v>1487</v>
      </c>
      <c r="B1395" s="12">
        <v>2019</v>
      </c>
      <c r="C1395" s="12" t="s">
        <v>74</v>
      </c>
      <c r="D1395" s="12" t="s">
        <v>102</v>
      </c>
      <c r="E1395" s="12">
        <v>2860868</v>
      </c>
    </row>
    <row r="1396" spans="1:5">
      <c r="A1396" s="12" t="s">
        <v>1488</v>
      </c>
      <c r="B1396" s="12">
        <v>2019</v>
      </c>
      <c r="C1396" s="12" t="s">
        <v>69</v>
      </c>
      <c r="D1396" s="12" t="s">
        <v>122</v>
      </c>
      <c r="E1396" s="12">
        <v>2906984</v>
      </c>
    </row>
    <row r="1397" spans="1:5">
      <c r="A1397" s="12" t="s">
        <v>1489</v>
      </c>
      <c r="B1397" s="12">
        <v>2019</v>
      </c>
      <c r="C1397" s="12" t="s">
        <v>64</v>
      </c>
      <c r="D1397" s="12" t="s">
        <v>50</v>
      </c>
      <c r="E1397" s="12">
        <v>3596383</v>
      </c>
    </row>
    <row r="1398" spans="1:5">
      <c r="A1398" s="12" t="s">
        <v>1490</v>
      </c>
      <c r="B1398" s="12">
        <v>2019</v>
      </c>
      <c r="C1398" s="12" t="s">
        <v>64</v>
      </c>
      <c r="D1398" s="12" t="s">
        <v>109</v>
      </c>
      <c r="E1398" s="12">
        <v>3823984</v>
      </c>
    </row>
    <row r="1399" spans="1:5">
      <c r="A1399" s="12" t="s">
        <v>1491</v>
      </c>
      <c r="B1399" s="12">
        <v>2019</v>
      </c>
      <c r="C1399" s="12" t="s">
        <v>66</v>
      </c>
      <c r="D1399" s="12" t="s">
        <v>122</v>
      </c>
      <c r="E1399" s="12">
        <v>4584565</v>
      </c>
    </row>
    <row r="1400" spans="1:5">
      <c r="A1400" s="12" t="s">
        <v>1492</v>
      </c>
      <c r="B1400" s="12">
        <v>2019</v>
      </c>
      <c r="C1400" s="12" t="s">
        <v>64</v>
      </c>
      <c r="D1400" s="12" t="s">
        <v>118</v>
      </c>
      <c r="E1400" s="12">
        <v>5062824</v>
      </c>
    </row>
    <row r="1401" spans="1:5">
      <c r="A1401" s="12" t="s">
        <v>1493</v>
      </c>
      <c r="B1401" s="12">
        <v>2019</v>
      </c>
      <c r="C1401" s="12" t="s">
        <v>69</v>
      </c>
      <c r="D1401" s="12" t="s">
        <v>91</v>
      </c>
      <c r="E1401" s="12">
        <v>5763775</v>
      </c>
    </row>
    <row r="1402" spans="1:5">
      <c r="A1402" s="12" t="s">
        <v>1494</v>
      </c>
      <c r="B1402" s="12">
        <v>2019</v>
      </c>
      <c r="C1402" s="12" t="s">
        <v>69</v>
      </c>
      <c r="D1402" s="12" t="s">
        <v>124</v>
      </c>
      <c r="E1402" s="12">
        <v>6083696</v>
      </c>
    </row>
    <row r="1403" spans="1:5">
      <c r="A1403" s="12" t="s">
        <v>1495</v>
      </c>
      <c r="B1403" s="12">
        <v>2019</v>
      </c>
      <c r="C1403" s="12" t="s">
        <v>64</v>
      </c>
      <c r="D1403" s="12" t="s">
        <v>46</v>
      </c>
      <c r="E1403" s="12">
        <v>6200893</v>
      </c>
    </row>
    <row r="1404" spans="1:5">
      <c r="A1404" s="12" t="s">
        <v>1496</v>
      </c>
      <c r="B1404" s="12">
        <v>2019</v>
      </c>
      <c r="C1404" s="12" t="s">
        <v>64</v>
      </c>
      <c r="D1404" s="12" t="s">
        <v>111</v>
      </c>
      <c r="E1404" s="12">
        <v>6337501</v>
      </c>
    </row>
    <row r="1405" spans="1:5">
      <c r="A1405" s="12" t="s">
        <v>1497</v>
      </c>
      <c r="B1405" s="12">
        <v>2019</v>
      </c>
      <c r="C1405" s="12" t="s">
        <v>64</v>
      </c>
      <c r="D1405" s="12" t="s">
        <v>89</v>
      </c>
      <c r="E1405" s="12">
        <v>6464522</v>
      </c>
    </row>
    <row r="1406" spans="1:5">
      <c r="A1406" s="12" t="s">
        <v>1498</v>
      </c>
      <c r="B1406" s="12">
        <v>2019</v>
      </c>
      <c r="C1406" s="12" t="s">
        <v>69</v>
      </c>
      <c r="D1406" s="12" t="s">
        <v>100</v>
      </c>
      <c r="E1406" s="12">
        <v>6734280</v>
      </c>
    </row>
    <row r="1407" spans="1:5">
      <c r="A1407" s="12" t="s">
        <v>1499</v>
      </c>
      <c r="B1407" s="12">
        <v>2019</v>
      </c>
      <c r="C1407" s="12" t="s">
        <v>78</v>
      </c>
      <c r="D1407" s="12" t="s">
        <v>105</v>
      </c>
      <c r="E1407" s="12">
        <v>6917974</v>
      </c>
    </row>
    <row r="1408" spans="1:5">
      <c r="A1408" s="12" t="s">
        <v>1500</v>
      </c>
      <c r="B1408" s="12">
        <v>2019</v>
      </c>
      <c r="C1408" s="12" t="s">
        <v>69</v>
      </c>
      <c r="D1408" s="12" t="s">
        <v>102</v>
      </c>
      <c r="E1408" s="12">
        <v>7839716</v>
      </c>
    </row>
    <row r="1409" spans="1:5">
      <c r="A1409" s="12" t="s">
        <v>1501</v>
      </c>
      <c r="B1409" s="12">
        <v>2019</v>
      </c>
      <c r="C1409" s="12" t="s">
        <v>66</v>
      </c>
      <c r="D1409" s="12" t="s">
        <v>91</v>
      </c>
      <c r="E1409" s="12">
        <v>8365375</v>
      </c>
    </row>
    <row r="1410" spans="1:5">
      <c r="A1410" s="12" t="s">
        <v>1502</v>
      </c>
      <c r="B1410" s="12">
        <v>2019</v>
      </c>
      <c r="C1410" s="12" t="s">
        <v>64</v>
      </c>
      <c r="D1410" s="12" t="s">
        <v>122</v>
      </c>
      <c r="E1410" s="12">
        <v>8387272</v>
      </c>
    </row>
    <row r="1411" spans="1:5">
      <c r="A1411" s="12" t="s">
        <v>1503</v>
      </c>
      <c r="B1411" s="12">
        <v>2019</v>
      </c>
      <c r="C1411" s="12" t="s">
        <v>66</v>
      </c>
      <c r="D1411" s="12" t="s">
        <v>124</v>
      </c>
      <c r="E1411" s="12">
        <v>8605636</v>
      </c>
    </row>
    <row r="1412" spans="1:5">
      <c r="A1412" s="12" t="s">
        <v>1504</v>
      </c>
      <c r="B1412" s="12">
        <v>2019</v>
      </c>
      <c r="C1412" s="12" t="s">
        <v>66</v>
      </c>
      <c r="D1412" s="12" t="s">
        <v>100</v>
      </c>
      <c r="E1412" s="12">
        <v>9139790</v>
      </c>
    </row>
    <row r="1413" spans="1:5">
      <c r="A1413" s="12" t="s">
        <v>1505</v>
      </c>
      <c r="B1413" s="12">
        <v>2019</v>
      </c>
      <c r="C1413" s="12" t="s">
        <v>66</v>
      </c>
      <c r="D1413" s="12" t="s">
        <v>102</v>
      </c>
      <c r="E1413" s="12">
        <v>9659104</v>
      </c>
    </row>
    <row r="1414" spans="1:5">
      <c r="A1414" s="12" t="s">
        <v>1506</v>
      </c>
      <c r="B1414" s="12">
        <v>2019</v>
      </c>
      <c r="C1414" s="12" t="s">
        <v>64</v>
      </c>
      <c r="D1414" s="12" t="s">
        <v>105</v>
      </c>
      <c r="E1414" s="12">
        <v>12443671</v>
      </c>
    </row>
    <row r="1415" spans="1:5">
      <c r="A1415" s="12" t="s">
        <v>1507</v>
      </c>
      <c r="B1415" s="12">
        <v>2019</v>
      </c>
      <c r="C1415" s="12" t="s">
        <v>78</v>
      </c>
      <c r="D1415" s="12" t="s">
        <v>102</v>
      </c>
      <c r="E1415" s="12">
        <v>12473030</v>
      </c>
    </row>
    <row r="1416" spans="1:5">
      <c r="A1416" s="12" t="s">
        <v>1508</v>
      </c>
      <c r="B1416" s="12">
        <v>2019</v>
      </c>
      <c r="C1416" s="12" t="s">
        <v>78</v>
      </c>
      <c r="D1416" s="12" t="s">
        <v>91</v>
      </c>
      <c r="E1416" s="12">
        <v>13327679</v>
      </c>
    </row>
    <row r="1417" spans="1:5">
      <c r="A1417" s="12" t="s">
        <v>1509</v>
      </c>
      <c r="B1417" s="12">
        <v>2019</v>
      </c>
      <c r="C1417" s="12" t="s">
        <v>78</v>
      </c>
      <c r="D1417" s="12" t="s">
        <v>124</v>
      </c>
      <c r="E1417" s="12">
        <v>13906746</v>
      </c>
    </row>
    <row r="1418" spans="1:5">
      <c r="A1418" s="12" t="s">
        <v>1510</v>
      </c>
      <c r="B1418" s="12">
        <v>2019</v>
      </c>
      <c r="C1418" s="12" t="s">
        <v>78</v>
      </c>
      <c r="D1418" s="12" t="s">
        <v>100</v>
      </c>
      <c r="E1418" s="12">
        <v>14551142</v>
      </c>
    </row>
    <row r="1419" spans="1:5">
      <c r="A1419" s="12" t="s">
        <v>1511</v>
      </c>
      <c r="B1419" s="12">
        <v>2019</v>
      </c>
      <c r="C1419" s="12" t="s">
        <v>69</v>
      </c>
      <c r="D1419" s="12" t="s">
        <v>107</v>
      </c>
      <c r="E1419" s="12">
        <v>14573995</v>
      </c>
    </row>
    <row r="1420" spans="1:5">
      <c r="A1420" s="12" t="s">
        <v>1512</v>
      </c>
      <c r="B1420" s="12">
        <v>2019</v>
      </c>
      <c r="C1420" s="12" t="s">
        <v>74</v>
      </c>
      <c r="D1420" s="12" t="s">
        <v>91</v>
      </c>
      <c r="E1420" s="12">
        <v>17841478</v>
      </c>
    </row>
    <row r="1421" spans="1:5">
      <c r="A1421" s="12" t="s">
        <v>1513</v>
      </c>
      <c r="B1421" s="12">
        <v>2019</v>
      </c>
      <c r="C1421" s="12" t="s">
        <v>66</v>
      </c>
      <c r="D1421" s="12" t="s">
        <v>107</v>
      </c>
      <c r="E1421" s="12">
        <v>18798894</v>
      </c>
    </row>
    <row r="1422" spans="1:5">
      <c r="A1422" s="12" t="s">
        <v>1514</v>
      </c>
      <c r="B1422" s="12">
        <v>2019</v>
      </c>
      <c r="C1422" s="12" t="s">
        <v>74</v>
      </c>
      <c r="D1422" s="12" t="s">
        <v>124</v>
      </c>
      <c r="E1422" s="12">
        <v>19197157</v>
      </c>
    </row>
    <row r="1423" spans="1:5">
      <c r="A1423" s="12" t="s">
        <v>1515</v>
      </c>
      <c r="B1423" s="12">
        <v>2019</v>
      </c>
      <c r="C1423" s="12" t="s">
        <v>74</v>
      </c>
      <c r="D1423" s="12" t="s">
        <v>100</v>
      </c>
      <c r="E1423" s="12">
        <v>19692101</v>
      </c>
    </row>
    <row r="1424" spans="1:5">
      <c r="A1424" s="12" t="s">
        <v>1516</v>
      </c>
      <c r="B1424" s="12">
        <v>2019</v>
      </c>
      <c r="C1424" s="12" t="s">
        <v>74</v>
      </c>
      <c r="D1424" s="12" t="s">
        <v>107</v>
      </c>
      <c r="E1424" s="12">
        <v>22552969</v>
      </c>
    </row>
    <row r="1425" spans="1:5">
      <c r="A1425" s="12" t="s">
        <v>1517</v>
      </c>
      <c r="B1425" s="12">
        <v>2019</v>
      </c>
      <c r="C1425" s="12" t="s">
        <v>78</v>
      </c>
      <c r="D1425" s="12" t="s">
        <v>107</v>
      </c>
      <c r="E1425" s="12">
        <v>27024171</v>
      </c>
    </row>
    <row r="1426" spans="1:5">
      <c r="A1426" s="12" t="s">
        <v>1518</v>
      </c>
      <c r="B1426" s="12">
        <v>2019</v>
      </c>
      <c r="C1426" s="12" t="s">
        <v>64</v>
      </c>
      <c r="D1426" s="12" t="s">
        <v>102</v>
      </c>
      <c r="E1426" s="12">
        <v>32832718</v>
      </c>
    </row>
    <row r="1427" spans="1:5">
      <c r="A1427" s="12" t="s">
        <v>1519</v>
      </c>
      <c r="B1427" s="12">
        <v>2019</v>
      </c>
      <c r="C1427" s="12" t="s">
        <v>64</v>
      </c>
      <c r="D1427" s="12" t="s">
        <v>91</v>
      </c>
      <c r="E1427" s="12">
        <v>45298308</v>
      </c>
    </row>
    <row r="1428" spans="1:5">
      <c r="A1428" s="12" t="s">
        <v>1520</v>
      </c>
      <c r="B1428" s="12">
        <v>2019</v>
      </c>
      <c r="C1428" s="12" t="s">
        <v>64</v>
      </c>
      <c r="D1428" s="12" t="s">
        <v>124</v>
      </c>
      <c r="E1428" s="12">
        <v>47793236</v>
      </c>
    </row>
    <row r="1429" spans="1:5">
      <c r="A1429" s="12" t="s">
        <v>1521</v>
      </c>
      <c r="B1429" s="12">
        <v>2019</v>
      </c>
      <c r="C1429" s="12" t="s">
        <v>64</v>
      </c>
      <c r="D1429" s="12" t="s">
        <v>100</v>
      </c>
      <c r="E1429" s="12">
        <v>50117312</v>
      </c>
    </row>
    <row r="1430" spans="1:5">
      <c r="A1430" s="12" t="s">
        <v>1522</v>
      </c>
      <c r="B1430" s="12">
        <v>2019</v>
      </c>
      <c r="C1430" s="12" t="s">
        <v>64</v>
      </c>
      <c r="D1430" s="12" t="s">
        <v>107</v>
      </c>
      <c r="E1430" s="12">
        <v>82950030</v>
      </c>
    </row>
    <row r="1431" spans="1:5">
      <c r="A1431" s="12" t="s">
        <v>1523</v>
      </c>
      <c r="B1431" s="12">
        <v>2019</v>
      </c>
      <c r="C1431" s="12" t="s">
        <v>64</v>
      </c>
      <c r="D1431" s="12" t="s">
        <v>70</v>
      </c>
    </row>
    <row r="1432" spans="1:5">
      <c r="A1432" s="12" t="s">
        <v>1524</v>
      </c>
      <c r="B1432" s="12">
        <v>2019</v>
      </c>
      <c r="C1432" s="12" t="s">
        <v>69</v>
      </c>
      <c r="D1432" s="12" t="s">
        <v>70</v>
      </c>
    </row>
    <row r="1433" spans="1:5">
      <c r="A1433" s="12" t="s">
        <v>1525</v>
      </c>
      <c r="B1433" s="12">
        <v>2019</v>
      </c>
      <c r="C1433" s="12" t="s">
        <v>74</v>
      </c>
      <c r="D1433" s="12" t="s">
        <v>70</v>
      </c>
    </row>
    <row r="1434" spans="1:5">
      <c r="A1434" s="12" t="s">
        <v>1526</v>
      </c>
      <c r="B1434" s="12">
        <v>2019</v>
      </c>
      <c r="C1434" s="12" t="s">
        <v>78</v>
      </c>
      <c r="D1434" s="12" t="s">
        <v>70</v>
      </c>
    </row>
    <row r="1435" spans="1:5">
      <c r="A1435" s="12" t="s">
        <v>1527</v>
      </c>
      <c r="B1435" s="12">
        <v>2019</v>
      </c>
      <c r="C1435" s="12" t="s">
        <v>66</v>
      </c>
      <c r="D1435" s="12" t="s">
        <v>70</v>
      </c>
    </row>
    <row r="1436" spans="1:5">
      <c r="A1436" s="12" t="s">
        <v>1528</v>
      </c>
      <c r="B1436" s="12">
        <v>2019</v>
      </c>
      <c r="C1436" s="12" t="s">
        <v>64</v>
      </c>
      <c r="D1436" s="12" t="s">
        <v>67</v>
      </c>
    </row>
    <row r="1437" spans="1:5">
      <c r="A1437" s="12" t="s">
        <v>1529</v>
      </c>
      <c r="B1437" s="12">
        <v>2019</v>
      </c>
      <c r="C1437" s="12" t="s">
        <v>69</v>
      </c>
      <c r="D1437" s="12" t="s">
        <v>67</v>
      </c>
    </row>
    <row r="1438" spans="1:5">
      <c r="A1438" s="12" t="s">
        <v>1530</v>
      </c>
      <c r="B1438" s="12">
        <v>2019</v>
      </c>
      <c r="C1438" s="12" t="s">
        <v>74</v>
      </c>
      <c r="D1438" s="12" t="s">
        <v>67</v>
      </c>
    </row>
    <row r="1439" spans="1:5">
      <c r="A1439" s="12" t="s">
        <v>1531</v>
      </c>
      <c r="B1439" s="12">
        <v>2019</v>
      </c>
      <c r="C1439" s="12" t="s">
        <v>78</v>
      </c>
      <c r="D1439" s="12" t="s">
        <v>67</v>
      </c>
    </row>
    <row r="1440" spans="1:5">
      <c r="A1440" s="12" t="s">
        <v>1532</v>
      </c>
      <c r="B1440" s="12">
        <v>2019</v>
      </c>
      <c r="C1440" s="12" t="s">
        <v>66</v>
      </c>
      <c r="D1440" s="12" t="s">
        <v>67</v>
      </c>
    </row>
    <row r="1441" spans="1:5">
      <c r="A1441" s="12" t="s">
        <v>1533</v>
      </c>
      <c r="B1441" s="12">
        <v>2019</v>
      </c>
      <c r="C1441" s="12" t="s">
        <v>64</v>
      </c>
      <c r="D1441" s="12" t="s">
        <v>41</v>
      </c>
    </row>
    <row r="1442" spans="1:5">
      <c r="A1442" s="12" t="s">
        <v>1534</v>
      </c>
      <c r="B1442" s="12">
        <v>2019</v>
      </c>
      <c r="C1442" s="12" t="s">
        <v>69</v>
      </c>
      <c r="D1442" s="12" t="s">
        <v>41</v>
      </c>
    </row>
    <row r="1443" spans="1:5">
      <c r="A1443" s="12" t="s">
        <v>1535</v>
      </c>
      <c r="B1443" s="12">
        <v>2019</v>
      </c>
      <c r="C1443" s="12" t="s">
        <v>74</v>
      </c>
      <c r="D1443" s="12" t="s">
        <v>41</v>
      </c>
    </row>
    <row r="1444" spans="1:5">
      <c r="A1444" s="12" t="s">
        <v>1536</v>
      </c>
      <c r="B1444" s="12">
        <v>2019</v>
      </c>
      <c r="C1444" s="12" t="s">
        <v>78</v>
      </c>
      <c r="D1444" s="12" t="s">
        <v>41</v>
      </c>
    </row>
    <row r="1445" spans="1:5">
      <c r="A1445" s="12" t="s">
        <v>1537</v>
      </c>
      <c r="B1445" s="12">
        <v>2019</v>
      </c>
      <c r="C1445" s="12" t="s">
        <v>66</v>
      </c>
      <c r="D1445" s="12" t="s">
        <v>41</v>
      </c>
    </row>
    <row r="1446" spans="1:5">
      <c r="A1446" s="12" t="s">
        <v>1538</v>
      </c>
      <c r="B1446" s="12">
        <v>2019</v>
      </c>
      <c r="C1446" s="12" t="s">
        <v>64</v>
      </c>
      <c r="D1446" s="12" t="s">
        <v>82</v>
      </c>
    </row>
    <row r="1447" spans="1:5">
      <c r="A1447" s="12" t="s">
        <v>1539</v>
      </c>
      <c r="B1447" s="12">
        <v>2019</v>
      </c>
      <c r="C1447" s="12" t="s">
        <v>69</v>
      </c>
      <c r="D1447" s="12" t="s">
        <v>82</v>
      </c>
    </row>
    <row r="1448" spans="1:5">
      <c r="A1448" s="12" t="s">
        <v>1540</v>
      </c>
      <c r="B1448" s="12">
        <v>2019</v>
      </c>
      <c r="C1448" s="12" t="s">
        <v>74</v>
      </c>
      <c r="D1448" s="12" t="s">
        <v>82</v>
      </c>
    </row>
    <row r="1449" spans="1:5">
      <c r="A1449" s="12" t="s">
        <v>1541</v>
      </c>
      <c r="B1449" s="12">
        <v>2019</v>
      </c>
      <c r="C1449" s="12" t="s">
        <v>78</v>
      </c>
      <c r="D1449" s="12" t="s">
        <v>82</v>
      </c>
    </row>
    <row r="1450" spans="1:5">
      <c r="A1450" s="12" t="s">
        <v>1542</v>
      </c>
      <c r="B1450" s="12">
        <v>2019</v>
      </c>
      <c r="C1450" s="12" t="s">
        <v>66</v>
      </c>
      <c r="D1450" s="12" t="s">
        <v>82</v>
      </c>
    </row>
    <row r="1451" spans="1:5">
      <c r="A1451" s="12" t="s">
        <v>1543</v>
      </c>
      <c r="B1451" s="12">
        <v>2019</v>
      </c>
      <c r="C1451" s="12" t="s">
        <v>69</v>
      </c>
      <c r="D1451" s="12" t="s">
        <v>34</v>
      </c>
    </row>
    <row r="1452" spans="1:5">
      <c r="A1452" s="12" t="s">
        <v>1544</v>
      </c>
      <c r="B1452" s="12">
        <v>2020</v>
      </c>
      <c r="C1452" s="12" t="s">
        <v>69</v>
      </c>
      <c r="D1452" s="12" t="s">
        <v>54</v>
      </c>
      <c r="E1452" s="12">
        <v>22529</v>
      </c>
    </row>
    <row r="1453" spans="1:5">
      <c r="A1453" s="12" t="s">
        <v>1545</v>
      </c>
      <c r="B1453" s="12">
        <v>2020</v>
      </c>
      <c r="C1453" s="12" t="s">
        <v>74</v>
      </c>
      <c r="D1453" s="12" t="s">
        <v>87</v>
      </c>
      <c r="E1453" s="12">
        <v>28527</v>
      </c>
    </row>
    <row r="1454" spans="1:5">
      <c r="A1454" s="12" t="s">
        <v>1546</v>
      </c>
      <c r="B1454" s="12">
        <v>2020</v>
      </c>
      <c r="C1454" s="12" t="s">
        <v>69</v>
      </c>
      <c r="D1454" s="12" t="s">
        <v>37</v>
      </c>
      <c r="E1454" s="12">
        <v>35503</v>
      </c>
    </row>
    <row r="1455" spans="1:5">
      <c r="A1455" s="12" t="s">
        <v>1547</v>
      </c>
      <c r="B1455" s="12">
        <v>2020</v>
      </c>
      <c r="C1455" s="12" t="s">
        <v>69</v>
      </c>
      <c r="D1455" s="12" t="s">
        <v>48</v>
      </c>
      <c r="E1455" s="12">
        <v>61711</v>
      </c>
    </row>
    <row r="1456" spans="1:5">
      <c r="A1456" s="12" t="s">
        <v>1548</v>
      </c>
      <c r="B1456" s="12">
        <v>2020</v>
      </c>
      <c r="C1456" s="12" t="s">
        <v>66</v>
      </c>
      <c r="D1456" s="12" t="s">
        <v>48</v>
      </c>
      <c r="E1456" s="12">
        <v>69279</v>
      </c>
    </row>
    <row r="1457" spans="1:5">
      <c r="A1457" s="12" t="s">
        <v>1549</v>
      </c>
      <c r="B1457" s="12">
        <v>2020</v>
      </c>
      <c r="C1457" s="12" t="s">
        <v>69</v>
      </c>
      <c r="D1457" s="12" t="s">
        <v>98</v>
      </c>
      <c r="E1457" s="12">
        <v>90206</v>
      </c>
    </row>
    <row r="1458" spans="1:5">
      <c r="A1458" s="12" t="s">
        <v>1550</v>
      </c>
      <c r="B1458" s="12">
        <v>2020</v>
      </c>
      <c r="C1458" s="12" t="s">
        <v>78</v>
      </c>
      <c r="D1458" s="12" t="s">
        <v>37</v>
      </c>
      <c r="E1458" s="12">
        <v>90420</v>
      </c>
    </row>
    <row r="1459" spans="1:5">
      <c r="A1459" s="12" t="s">
        <v>1551</v>
      </c>
      <c r="B1459" s="12">
        <v>2020</v>
      </c>
      <c r="C1459" s="12" t="s">
        <v>66</v>
      </c>
      <c r="D1459" s="12" t="s">
        <v>87</v>
      </c>
      <c r="E1459" s="12">
        <v>92285</v>
      </c>
    </row>
    <row r="1460" spans="1:5">
      <c r="A1460" s="12" t="s">
        <v>1552</v>
      </c>
      <c r="B1460" s="12">
        <v>2020</v>
      </c>
      <c r="C1460" s="12" t="s">
        <v>74</v>
      </c>
      <c r="D1460" s="12" t="s">
        <v>104</v>
      </c>
      <c r="E1460" s="12">
        <v>94408</v>
      </c>
    </row>
    <row r="1461" spans="1:5">
      <c r="A1461" s="12" t="s">
        <v>1553</v>
      </c>
      <c r="B1461" s="12">
        <v>2020</v>
      </c>
      <c r="C1461" s="12" t="s">
        <v>74</v>
      </c>
      <c r="D1461" s="12" t="s">
        <v>37</v>
      </c>
      <c r="E1461" s="12">
        <v>99353</v>
      </c>
    </row>
    <row r="1462" spans="1:5">
      <c r="A1462" s="12" t="s">
        <v>1554</v>
      </c>
      <c r="B1462" s="12">
        <v>2020</v>
      </c>
      <c r="C1462" s="12" t="s">
        <v>66</v>
      </c>
      <c r="D1462" s="12" t="s">
        <v>37</v>
      </c>
      <c r="E1462" s="12">
        <v>106104</v>
      </c>
    </row>
    <row r="1463" spans="1:5">
      <c r="A1463" s="12" t="s">
        <v>1555</v>
      </c>
      <c r="B1463" s="12">
        <v>2020</v>
      </c>
      <c r="C1463" s="12" t="s">
        <v>66</v>
      </c>
      <c r="D1463" s="12" t="s">
        <v>98</v>
      </c>
      <c r="E1463" s="12">
        <v>113370</v>
      </c>
    </row>
    <row r="1464" spans="1:5">
      <c r="A1464" s="12" t="s">
        <v>1556</v>
      </c>
      <c r="B1464" s="12">
        <v>2020</v>
      </c>
      <c r="C1464" s="12" t="s">
        <v>78</v>
      </c>
      <c r="D1464" s="12" t="s">
        <v>87</v>
      </c>
      <c r="E1464" s="12">
        <v>115510</v>
      </c>
    </row>
    <row r="1465" spans="1:5">
      <c r="A1465" s="12" t="s">
        <v>1557</v>
      </c>
      <c r="B1465" s="12">
        <v>2020</v>
      </c>
      <c r="C1465" s="12" t="s">
        <v>78</v>
      </c>
      <c r="D1465" s="12" t="s">
        <v>48</v>
      </c>
      <c r="E1465" s="12">
        <v>118993</v>
      </c>
    </row>
    <row r="1466" spans="1:5">
      <c r="A1466" s="12" t="s">
        <v>1558</v>
      </c>
      <c r="B1466" s="12">
        <v>2020</v>
      </c>
      <c r="C1466" s="12" t="s">
        <v>66</v>
      </c>
      <c r="D1466" s="12" t="s">
        <v>54</v>
      </c>
      <c r="E1466" s="12">
        <v>173423</v>
      </c>
    </row>
    <row r="1467" spans="1:5">
      <c r="A1467" s="12" t="s">
        <v>1559</v>
      </c>
      <c r="B1467" s="12">
        <v>2020</v>
      </c>
      <c r="C1467" s="12" t="s">
        <v>69</v>
      </c>
      <c r="D1467" s="12" t="s">
        <v>87</v>
      </c>
      <c r="E1467" s="12">
        <v>180546</v>
      </c>
    </row>
    <row r="1468" spans="1:5">
      <c r="A1468" s="12" t="s">
        <v>1560</v>
      </c>
      <c r="B1468" s="12">
        <v>2020</v>
      </c>
      <c r="C1468" s="12" t="s">
        <v>74</v>
      </c>
      <c r="D1468" s="12" t="s">
        <v>93</v>
      </c>
      <c r="E1468" s="12">
        <v>182516</v>
      </c>
    </row>
    <row r="1469" spans="1:5">
      <c r="A1469" s="12" t="s">
        <v>1561</v>
      </c>
      <c r="B1469" s="12">
        <v>2020</v>
      </c>
      <c r="C1469" s="12" t="s">
        <v>74</v>
      </c>
      <c r="D1469" s="12" t="s">
        <v>48</v>
      </c>
      <c r="E1469" s="12">
        <v>205570</v>
      </c>
    </row>
    <row r="1470" spans="1:5">
      <c r="A1470" s="12" t="s">
        <v>1562</v>
      </c>
      <c r="B1470" s="12">
        <v>2020</v>
      </c>
      <c r="C1470" s="12" t="s">
        <v>69</v>
      </c>
      <c r="D1470" s="12" t="s">
        <v>93</v>
      </c>
      <c r="E1470" s="12">
        <v>225448</v>
      </c>
    </row>
    <row r="1471" spans="1:5">
      <c r="A1471" s="12" t="s">
        <v>1563</v>
      </c>
      <c r="B1471" s="12">
        <v>2020</v>
      </c>
      <c r="C1471" s="12" t="s">
        <v>74</v>
      </c>
      <c r="D1471" s="12" t="s">
        <v>122</v>
      </c>
      <c r="E1471" s="12">
        <v>226681</v>
      </c>
    </row>
    <row r="1472" spans="1:5">
      <c r="A1472" s="12" t="s">
        <v>1564</v>
      </c>
      <c r="B1472" s="12">
        <v>2020</v>
      </c>
      <c r="C1472" s="12" t="s">
        <v>78</v>
      </c>
      <c r="D1472" s="12" t="s">
        <v>98</v>
      </c>
      <c r="E1472" s="12">
        <v>230720</v>
      </c>
    </row>
    <row r="1473" spans="1:5">
      <c r="A1473" s="12" t="s">
        <v>1565</v>
      </c>
      <c r="B1473" s="12">
        <v>2020</v>
      </c>
      <c r="C1473" s="12" t="s">
        <v>66</v>
      </c>
      <c r="D1473" s="12" t="s">
        <v>93</v>
      </c>
      <c r="E1473" s="12">
        <v>242224</v>
      </c>
    </row>
    <row r="1474" spans="1:5">
      <c r="A1474" s="12" t="s">
        <v>1566</v>
      </c>
      <c r="B1474" s="12">
        <v>2020</v>
      </c>
      <c r="C1474" s="12" t="s">
        <v>74</v>
      </c>
      <c r="D1474" s="12" t="s">
        <v>54</v>
      </c>
      <c r="E1474" s="12">
        <v>284184</v>
      </c>
    </row>
    <row r="1475" spans="1:5">
      <c r="A1475" s="12" t="s">
        <v>1567</v>
      </c>
      <c r="B1475" s="12">
        <v>2020</v>
      </c>
      <c r="C1475" s="12" t="s">
        <v>66</v>
      </c>
      <c r="D1475" s="12" t="s">
        <v>113</v>
      </c>
      <c r="E1475" s="12">
        <v>287428</v>
      </c>
    </row>
    <row r="1476" spans="1:5">
      <c r="A1476" s="12" t="s">
        <v>1568</v>
      </c>
      <c r="B1476" s="12">
        <v>2020</v>
      </c>
      <c r="C1476" s="12" t="s">
        <v>64</v>
      </c>
      <c r="D1476" s="12" t="s">
        <v>37</v>
      </c>
      <c r="E1476" s="12">
        <v>331380</v>
      </c>
    </row>
    <row r="1477" spans="1:5">
      <c r="A1477" s="12" t="s">
        <v>1569</v>
      </c>
      <c r="B1477" s="12">
        <v>2020</v>
      </c>
      <c r="C1477" s="12" t="s">
        <v>78</v>
      </c>
      <c r="D1477" s="12" t="s">
        <v>104</v>
      </c>
      <c r="E1477" s="12">
        <v>367401</v>
      </c>
    </row>
    <row r="1478" spans="1:5">
      <c r="A1478" s="12" t="s">
        <v>1570</v>
      </c>
      <c r="B1478" s="12">
        <v>2020</v>
      </c>
      <c r="C1478" s="12" t="s">
        <v>69</v>
      </c>
      <c r="D1478" s="12" t="s">
        <v>113</v>
      </c>
      <c r="E1478" s="12">
        <v>402513</v>
      </c>
    </row>
    <row r="1479" spans="1:5">
      <c r="A1479" s="12" t="s">
        <v>1571</v>
      </c>
      <c r="B1479" s="12">
        <v>2020</v>
      </c>
      <c r="C1479" s="12" t="s">
        <v>64</v>
      </c>
      <c r="D1479" s="12" t="s">
        <v>87</v>
      </c>
      <c r="E1479" s="12">
        <v>416868</v>
      </c>
    </row>
    <row r="1480" spans="1:5">
      <c r="A1480" s="12" t="s">
        <v>1572</v>
      </c>
      <c r="B1480" s="12">
        <v>2020</v>
      </c>
      <c r="C1480" s="12" t="s">
        <v>78</v>
      </c>
      <c r="D1480" s="12" t="s">
        <v>54</v>
      </c>
      <c r="E1480" s="12">
        <v>417788</v>
      </c>
    </row>
    <row r="1481" spans="1:5">
      <c r="A1481" s="12" t="s">
        <v>1573</v>
      </c>
      <c r="B1481" s="12">
        <v>2020</v>
      </c>
      <c r="C1481" s="12" t="s">
        <v>74</v>
      </c>
      <c r="D1481" s="12" t="s">
        <v>109</v>
      </c>
      <c r="E1481" s="12">
        <v>443054</v>
      </c>
    </row>
    <row r="1482" spans="1:5">
      <c r="A1482" s="12" t="s">
        <v>1574</v>
      </c>
      <c r="B1482" s="12">
        <v>2020</v>
      </c>
      <c r="C1482" s="12" t="s">
        <v>74</v>
      </c>
      <c r="D1482" s="12" t="s">
        <v>113</v>
      </c>
      <c r="E1482" s="12">
        <v>444954</v>
      </c>
    </row>
    <row r="1483" spans="1:5">
      <c r="A1483" s="12" t="s">
        <v>1575</v>
      </c>
      <c r="B1483" s="12">
        <v>2020</v>
      </c>
      <c r="C1483" s="12" t="s">
        <v>64</v>
      </c>
      <c r="D1483" s="12" t="s">
        <v>48</v>
      </c>
      <c r="E1483" s="12">
        <v>455553</v>
      </c>
    </row>
    <row r="1484" spans="1:5">
      <c r="A1484" s="12" t="s">
        <v>1576</v>
      </c>
      <c r="B1484" s="12">
        <v>2020</v>
      </c>
      <c r="C1484" s="12" t="s">
        <v>69</v>
      </c>
      <c r="D1484" s="12" t="s">
        <v>50</v>
      </c>
      <c r="E1484" s="12">
        <v>462733</v>
      </c>
    </row>
    <row r="1485" spans="1:5">
      <c r="A1485" s="12" t="s">
        <v>1577</v>
      </c>
      <c r="B1485" s="12">
        <v>2020</v>
      </c>
      <c r="C1485" s="12" t="s">
        <v>78</v>
      </c>
      <c r="D1485" s="12" t="s">
        <v>93</v>
      </c>
      <c r="E1485" s="12">
        <v>503748</v>
      </c>
    </row>
    <row r="1486" spans="1:5">
      <c r="A1486" s="12" t="s">
        <v>1578</v>
      </c>
      <c r="B1486" s="12">
        <v>2020</v>
      </c>
      <c r="C1486" s="12" t="s">
        <v>69</v>
      </c>
      <c r="D1486" s="12" t="s">
        <v>39</v>
      </c>
      <c r="E1486" s="12">
        <v>541456</v>
      </c>
    </row>
    <row r="1487" spans="1:5">
      <c r="A1487" s="12" t="s">
        <v>1579</v>
      </c>
      <c r="B1487" s="12">
        <v>2020</v>
      </c>
      <c r="C1487" s="12" t="s">
        <v>66</v>
      </c>
      <c r="D1487" s="12" t="s">
        <v>39</v>
      </c>
      <c r="E1487" s="12">
        <v>557693</v>
      </c>
    </row>
    <row r="1488" spans="1:5">
      <c r="A1488" s="12" t="s">
        <v>1580</v>
      </c>
      <c r="B1488" s="12">
        <v>2020</v>
      </c>
      <c r="C1488" s="12" t="s">
        <v>74</v>
      </c>
      <c r="D1488" s="12" t="s">
        <v>98</v>
      </c>
      <c r="E1488" s="12">
        <v>565423</v>
      </c>
    </row>
    <row r="1489" spans="1:5">
      <c r="A1489" s="12" t="s">
        <v>1581</v>
      </c>
      <c r="B1489" s="12">
        <v>2020</v>
      </c>
      <c r="C1489" s="12" t="s">
        <v>69</v>
      </c>
      <c r="D1489" s="12" t="s">
        <v>85</v>
      </c>
      <c r="E1489" s="12">
        <v>576959</v>
      </c>
    </row>
    <row r="1490" spans="1:5">
      <c r="A1490" s="12" t="s">
        <v>1582</v>
      </c>
      <c r="B1490" s="12">
        <v>2020</v>
      </c>
      <c r="C1490" s="12" t="s">
        <v>69</v>
      </c>
      <c r="D1490" s="12" t="s">
        <v>109</v>
      </c>
      <c r="E1490" s="12">
        <v>578863</v>
      </c>
    </row>
    <row r="1491" spans="1:5">
      <c r="A1491" s="12" t="s">
        <v>1583</v>
      </c>
      <c r="B1491" s="12">
        <v>2020</v>
      </c>
      <c r="C1491" s="12" t="s">
        <v>78</v>
      </c>
      <c r="D1491" s="12" t="s">
        <v>113</v>
      </c>
      <c r="E1491" s="12">
        <v>621596</v>
      </c>
    </row>
    <row r="1492" spans="1:5">
      <c r="A1492" s="12" t="s">
        <v>1584</v>
      </c>
      <c r="B1492" s="12">
        <v>2020</v>
      </c>
      <c r="C1492" s="12" t="s">
        <v>66</v>
      </c>
      <c r="D1492" s="12" t="s">
        <v>85</v>
      </c>
      <c r="E1492" s="12">
        <v>663797</v>
      </c>
    </row>
    <row r="1493" spans="1:5">
      <c r="A1493" s="12" t="s">
        <v>1585</v>
      </c>
      <c r="B1493" s="12">
        <v>2020</v>
      </c>
      <c r="C1493" s="12" t="s">
        <v>74</v>
      </c>
      <c r="D1493" s="12" t="s">
        <v>118</v>
      </c>
      <c r="E1493" s="12">
        <v>718443</v>
      </c>
    </row>
    <row r="1494" spans="1:5">
      <c r="A1494" s="12" t="s">
        <v>1586</v>
      </c>
      <c r="B1494" s="12">
        <v>2020</v>
      </c>
      <c r="C1494" s="12" t="s">
        <v>66</v>
      </c>
      <c r="D1494" s="12" t="s">
        <v>104</v>
      </c>
      <c r="E1494" s="12">
        <v>830966</v>
      </c>
    </row>
    <row r="1495" spans="1:5">
      <c r="A1495" s="12" t="s">
        <v>1587</v>
      </c>
      <c r="B1495" s="12">
        <v>2020</v>
      </c>
      <c r="C1495" s="12" t="s">
        <v>74</v>
      </c>
      <c r="D1495" s="12" t="s">
        <v>96</v>
      </c>
      <c r="E1495" s="12">
        <v>849601</v>
      </c>
    </row>
    <row r="1496" spans="1:5">
      <c r="A1496" s="12" t="s">
        <v>1588</v>
      </c>
      <c r="B1496" s="12">
        <v>2020</v>
      </c>
      <c r="C1496" s="12" t="s">
        <v>69</v>
      </c>
      <c r="D1496" s="12" t="s">
        <v>118</v>
      </c>
      <c r="E1496" s="12">
        <v>856981</v>
      </c>
    </row>
    <row r="1497" spans="1:5">
      <c r="A1497" s="12" t="s">
        <v>1589</v>
      </c>
      <c r="B1497" s="12">
        <v>2020</v>
      </c>
      <c r="C1497" s="12" t="s">
        <v>66</v>
      </c>
      <c r="D1497" s="12" t="s">
        <v>118</v>
      </c>
      <c r="E1497" s="12">
        <v>867169</v>
      </c>
    </row>
    <row r="1498" spans="1:5">
      <c r="A1498" s="12" t="s">
        <v>1590</v>
      </c>
      <c r="B1498" s="12">
        <v>2020</v>
      </c>
      <c r="C1498" s="12" t="s">
        <v>64</v>
      </c>
      <c r="D1498" s="12" t="s">
        <v>54</v>
      </c>
      <c r="E1498" s="12">
        <v>897924</v>
      </c>
    </row>
    <row r="1499" spans="1:5">
      <c r="A1499" s="12" t="s">
        <v>1591</v>
      </c>
      <c r="B1499" s="12">
        <v>2020</v>
      </c>
      <c r="C1499" s="12" t="s">
        <v>66</v>
      </c>
      <c r="D1499" s="12" t="s">
        <v>96</v>
      </c>
      <c r="E1499" s="12">
        <v>901412</v>
      </c>
    </row>
    <row r="1500" spans="1:5">
      <c r="A1500" s="12" t="s">
        <v>1592</v>
      </c>
      <c r="B1500" s="12">
        <v>2020</v>
      </c>
      <c r="C1500" s="12" t="s">
        <v>74</v>
      </c>
      <c r="D1500" s="12" t="s">
        <v>111</v>
      </c>
      <c r="E1500" s="12">
        <v>929486</v>
      </c>
    </row>
    <row r="1501" spans="1:5">
      <c r="A1501" s="12" t="s">
        <v>1593</v>
      </c>
      <c r="B1501" s="12">
        <v>2020</v>
      </c>
      <c r="C1501" s="12" t="s">
        <v>69</v>
      </c>
      <c r="D1501" s="12" t="s">
        <v>96</v>
      </c>
      <c r="E1501" s="12">
        <v>952767</v>
      </c>
    </row>
    <row r="1502" spans="1:5">
      <c r="A1502" s="12" t="s">
        <v>1594</v>
      </c>
      <c r="B1502" s="12">
        <v>2020</v>
      </c>
      <c r="C1502" s="12" t="s">
        <v>64</v>
      </c>
      <c r="D1502" s="12" t="s">
        <v>98</v>
      </c>
      <c r="E1502" s="12">
        <v>999720</v>
      </c>
    </row>
    <row r="1503" spans="1:5">
      <c r="A1503" s="12" t="s">
        <v>1595</v>
      </c>
      <c r="B1503" s="12">
        <v>2020</v>
      </c>
      <c r="C1503" s="12" t="s">
        <v>78</v>
      </c>
      <c r="D1503" s="12" t="s">
        <v>122</v>
      </c>
      <c r="E1503" s="12">
        <v>1034036</v>
      </c>
    </row>
    <row r="1504" spans="1:5">
      <c r="A1504" s="12" t="s">
        <v>1596</v>
      </c>
      <c r="B1504" s="12">
        <v>2020</v>
      </c>
      <c r="C1504" s="12" t="s">
        <v>69</v>
      </c>
      <c r="D1504" s="12" t="s">
        <v>104</v>
      </c>
      <c r="E1504" s="12">
        <v>1087808</v>
      </c>
    </row>
    <row r="1505" spans="1:5">
      <c r="A1505" s="12" t="s">
        <v>1597</v>
      </c>
      <c r="B1505" s="12">
        <v>2020</v>
      </c>
      <c r="C1505" s="12" t="s">
        <v>66</v>
      </c>
      <c r="D1505" s="12" t="s">
        <v>50</v>
      </c>
      <c r="E1505" s="12">
        <v>1088558</v>
      </c>
    </row>
    <row r="1506" spans="1:5">
      <c r="A1506" s="12" t="s">
        <v>1598</v>
      </c>
      <c r="B1506" s="12">
        <v>2020</v>
      </c>
      <c r="C1506" s="12" t="s">
        <v>78</v>
      </c>
      <c r="D1506" s="12" t="s">
        <v>109</v>
      </c>
      <c r="E1506" s="12">
        <v>1130425</v>
      </c>
    </row>
    <row r="1507" spans="1:5">
      <c r="A1507" s="12" t="s">
        <v>1599</v>
      </c>
      <c r="B1507" s="12">
        <v>2020</v>
      </c>
      <c r="C1507" s="12" t="s">
        <v>78</v>
      </c>
      <c r="D1507" s="12" t="s">
        <v>50</v>
      </c>
      <c r="E1507" s="12">
        <v>1137999</v>
      </c>
    </row>
    <row r="1508" spans="1:5">
      <c r="A1508" s="12" t="s">
        <v>1600</v>
      </c>
      <c r="B1508" s="12">
        <v>2020</v>
      </c>
      <c r="C1508" s="12" t="s">
        <v>64</v>
      </c>
      <c r="D1508" s="12" t="s">
        <v>93</v>
      </c>
      <c r="E1508" s="12">
        <v>1153936</v>
      </c>
    </row>
    <row r="1509" spans="1:5">
      <c r="A1509" s="12" t="s">
        <v>1601</v>
      </c>
      <c r="B1509" s="12">
        <v>2020</v>
      </c>
      <c r="C1509" s="12" t="s">
        <v>69</v>
      </c>
      <c r="D1509" s="12" t="s">
        <v>46</v>
      </c>
      <c r="E1509" s="12">
        <v>1166116</v>
      </c>
    </row>
    <row r="1510" spans="1:5">
      <c r="A1510" s="12" t="s">
        <v>1602</v>
      </c>
      <c r="B1510" s="12">
        <v>2020</v>
      </c>
      <c r="C1510" s="12" t="s">
        <v>66</v>
      </c>
      <c r="D1510" s="12" t="s">
        <v>111</v>
      </c>
      <c r="E1510" s="12">
        <v>1201677</v>
      </c>
    </row>
    <row r="1511" spans="1:5">
      <c r="A1511" s="12" t="s">
        <v>1603</v>
      </c>
      <c r="B1511" s="12">
        <v>2020</v>
      </c>
      <c r="C1511" s="12" t="s">
        <v>69</v>
      </c>
      <c r="D1511" s="12" t="s">
        <v>111</v>
      </c>
      <c r="E1511" s="12">
        <v>1262975</v>
      </c>
    </row>
    <row r="1512" spans="1:5">
      <c r="A1512" s="12" t="s">
        <v>1604</v>
      </c>
      <c r="B1512" s="12">
        <v>2020</v>
      </c>
      <c r="C1512" s="12" t="s">
        <v>66</v>
      </c>
      <c r="D1512" s="12" t="s">
        <v>89</v>
      </c>
      <c r="E1512" s="12">
        <v>1288076</v>
      </c>
    </row>
    <row r="1513" spans="1:5">
      <c r="A1513" s="12" t="s">
        <v>1605</v>
      </c>
      <c r="B1513" s="12">
        <v>2020</v>
      </c>
      <c r="C1513" s="12" t="s">
        <v>69</v>
      </c>
      <c r="D1513" s="12" t="s">
        <v>89</v>
      </c>
      <c r="E1513" s="12">
        <v>1341982</v>
      </c>
    </row>
    <row r="1514" spans="1:5">
      <c r="A1514" s="12" t="s">
        <v>1606</v>
      </c>
      <c r="B1514" s="12">
        <v>2020</v>
      </c>
      <c r="C1514" s="12" t="s">
        <v>66</v>
      </c>
      <c r="D1514" s="12" t="s">
        <v>46</v>
      </c>
      <c r="E1514" s="12">
        <v>1386400</v>
      </c>
    </row>
    <row r="1515" spans="1:5">
      <c r="A1515" s="12" t="s">
        <v>1607</v>
      </c>
      <c r="B1515" s="12">
        <v>2020</v>
      </c>
      <c r="C1515" s="12" t="s">
        <v>74</v>
      </c>
      <c r="D1515" s="12" t="s">
        <v>39</v>
      </c>
      <c r="E1515" s="12">
        <v>1447866</v>
      </c>
    </row>
    <row r="1516" spans="1:5">
      <c r="A1516" s="12" t="s">
        <v>1608</v>
      </c>
      <c r="B1516" s="12">
        <v>2020</v>
      </c>
      <c r="C1516" s="12" t="s">
        <v>78</v>
      </c>
      <c r="D1516" s="12" t="s">
        <v>46</v>
      </c>
      <c r="E1516" s="12">
        <v>1485684</v>
      </c>
    </row>
    <row r="1517" spans="1:5">
      <c r="A1517" s="12" t="s">
        <v>1609</v>
      </c>
      <c r="B1517" s="12">
        <v>2020</v>
      </c>
      <c r="C1517" s="12" t="s">
        <v>74</v>
      </c>
      <c r="D1517" s="12" t="s">
        <v>85</v>
      </c>
      <c r="E1517" s="12">
        <v>1547219</v>
      </c>
    </row>
    <row r="1518" spans="1:5">
      <c r="A1518" s="12" t="s">
        <v>1610</v>
      </c>
      <c r="B1518" s="12">
        <v>2020</v>
      </c>
      <c r="C1518" s="12" t="s">
        <v>78</v>
      </c>
      <c r="D1518" s="12" t="s">
        <v>118</v>
      </c>
      <c r="E1518" s="12">
        <v>1560892</v>
      </c>
    </row>
    <row r="1519" spans="1:5">
      <c r="A1519" s="12" t="s">
        <v>1611</v>
      </c>
      <c r="B1519" s="12">
        <v>2020</v>
      </c>
      <c r="C1519" s="12" t="s">
        <v>66</v>
      </c>
      <c r="D1519" s="12" t="s">
        <v>109</v>
      </c>
      <c r="E1519" s="12">
        <v>1642637</v>
      </c>
    </row>
    <row r="1520" spans="1:5">
      <c r="A1520" s="12" t="s">
        <v>1612</v>
      </c>
      <c r="B1520" s="12">
        <v>2020</v>
      </c>
      <c r="C1520" s="12" t="s">
        <v>78</v>
      </c>
      <c r="D1520" s="12" t="s">
        <v>89</v>
      </c>
      <c r="E1520" s="12">
        <v>1657557</v>
      </c>
    </row>
    <row r="1521" spans="1:5">
      <c r="A1521" s="12" t="s">
        <v>1613</v>
      </c>
      <c r="B1521" s="12">
        <v>2020</v>
      </c>
      <c r="C1521" s="12" t="s">
        <v>64</v>
      </c>
      <c r="D1521" s="12" t="s">
        <v>113</v>
      </c>
      <c r="E1521" s="12">
        <v>1756491</v>
      </c>
    </row>
    <row r="1522" spans="1:5">
      <c r="A1522" s="12" t="s">
        <v>1614</v>
      </c>
      <c r="B1522" s="12">
        <v>2020</v>
      </c>
      <c r="C1522" s="12" t="s">
        <v>74</v>
      </c>
      <c r="D1522" s="12" t="s">
        <v>89</v>
      </c>
      <c r="E1522" s="12">
        <v>1940451</v>
      </c>
    </row>
    <row r="1523" spans="1:5">
      <c r="A1523" s="12" t="s">
        <v>1615</v>
      </c>
      <c r="B1523" s="12">
        <v>2020</v>
      </c>
      <c r="C1523" s="12" t="s">
        <v>74</v>
      </c>
      <c r="D1523" s="12" t="s">
        <v>50</v>
      </c>
      <c r="E1523" s="12">
        <v>2047364</v>
      </c>
    </row>
    <row r="1524" spans="1:5">
      <c r="A1524" s="12" t="s">
        <v>1616</v>
      </c>
      <c r="B1524" s="12">
        <v>2020</v>
      </c>
      <c r="C1524" s="12" t="s">
        <v>78</v>
      </c>
      <c r="D1524" s="12" t="s">
        <v>111</v>
      </c>
      <c r="E1524" s="12">
        <v>2180150</v>
      </c>
    </row>
    <row r="1525" spans="1:5">
      <c r="A1525" s="12" t="s">
        <v>1617</v>
      </c>
      <c r="B1525" s="12">
        <v>2020</v>
      </c>
      <c r="C1525" s="12" t="s">
        <v>74</v>
      </c>
      <c r="D1525" s="12" t="s">
        <v>105</v>
      </c>
      <c r="E1525" s="12">
        <v>2284740</v>
      </c>
    </row>
    <row r="1526" spans="1:5">
      <c r="A1526" s="12" t="s">
        <v>1618</v>
      </c>
      <c r="B1526" s="12">
        <v>2020</v>
      </c>
      <c r="C1526" s="12" t="s">
        <v>74</v>
      </c>
      <c r="D1526" s="12" t="s">
        <v>46</v>
      </c>
      <c r="E1526" s="12">
        <v>2342280</v>
      </c>
    </row>
    <row r="1527" spans="1:5">
      <c r="A1527" s="12" t="s">
        <v>1619</v>
      </c>
      <c r="B1527" s="12">
        <v>2020</v>
      </c>
      <c r="C1527" s="12" t="s">
        <v>64</v>
      </c>
      <c r="D1527" s="12" t="s">
        <v>104</v>
      </c>
      <c r="E1527" s="12">
        <v>2380584</v>
      </c>
    </row>
    <row r="1528" spans="1:5">
      <c r="A1528" s="12" t="s">
        <v>1620</v>
      </c>
      <c r="B1528" s="12">
        <v>2020</v>
      </c>
      <c r="C1528" s="12" t="s">
        <v>78</v>
      </c>
      <c r="D1528" s="12" t="s">
        <v>39</v>
      </c>
      <c r="E1528" s="12">
        <v>2444887</v>
      </c>
    </row>
    <row r="1529" spans="1:5">
      <c r="A1529" s="12" t="s">
        <v>1621</v>
      </c>
      <c r="B1529" s="12">
        <v>2020</v>
      </c>
      <c r="C1529" s="12" t="s">
        <v>78</v>
      </c>
      <c r="D1529" s="12" t="s">
        <v>85</v>
      </c>
      <c r="E1529" s="12">
        <v>2535307</v>
      </c>
    </row>
    <row r="1530" spans="1:5">
      <c r="A1530" s="12" t="s">
        <v>1622</v>
      </c>
      <c r="B1530" s="12">
        <v>2020</v>
      </c>
      <c r="C1530" s="12" t="s">
        <v>66</v>
      </c>
      <c r="D1530" s="12" t="s">
        <v>105</v>
      </c>
      <c r="E1530" s="12">
        <v>2660791</v>
      </c>
    </row>
    <row r="1531" spans="1:5">
      <c r="A1531" s="12" t="s">
        <v>1623</v>
      </c>
      <c r="B1531" s="12">
        <v>2020</v>
      </c>
      <c r="C1531" s="12" t="s">
        <v>69</v>
      </c>
      <c r="D1531" s="12" t="s">
        <v>122</v>
      </c>
      <c r="E1531" s="12">
        <v>3356113</v>
      </c>
    </row>
    <row r="1532" spans="1:5">
      <c r="A1532" s="12" t="s">
        <v>1624</v>
      </c>
      <c r="B1532" s="12">
        <v>2020</v>
      </c>
      <c r="C1532" s="12" t="s">
        <v>78</v>
      </c>
      <c r="D1532" s="12" t="s">
        <v>96</v>
      </c>
      <c r="E1532" s="12">
        <v>3529953</v>
      </c>
    </row>
    <row r="1533" spans="1:5">
      <c r="A1533" s="12" t="s">
        <v>1625</v>
      </c>
      <c r="B1533" s="12">
        <v>2020</v>
      </c>
      <c r="C1533" s="12" t="s">
        <v>64</v>
      </c>
      <c r="D1533" s="12" t="s">
        <v>109</v>
      </c>
      <c r="E1533" s="12">
        <v>3794978</v>
      </c>
    </row>
    <row r="1534" spans="1:5">
      <c r="A1534" s="12" t="s">
        <v>1626</v>
      </c>
      <c r="B1534" s="12">
        <v>2020</v>
      </c>
      <c r="C1534" s="12" t="s">
        <v>64</v>
      </c>
      <c r="D1534" s="12" t="s">
        <v>118</v>
      </c>
      <c r="E1534" s="12">
        <v>4003760</v>
      </c>
    </row>
    <row r="1535" spans="1:5">
      <c r="A1535" s="12" t="s">
        <v>1627</v>
      </c>
      <c r="B1535" s="12">
        <v>2020</v>
      </c>
      <c r="C1535" s="12" t="s">
        <v>74</v>
      </c>
      <c r="D1535" s="12" t="s">
        <v>102</v>
      </c>
      <c r="E1535" s="12">
        <v>4733561</v>
      </c>
    </row>
    <row r="1536" spans="1:5">
      <c r="A1536" s="12" t="s">
        <v>1628</v>
      </c>
      <c r="B1536" s="12">
        <v>2020</v>
      </c>
      <c r="C1536" s="12" t="s">
        <v>64</v>
      </c>
      <c r="D1536" s="12" t="s">
        <v>50</v>
      </c>
      <c r="E1536" s="12">
        <v>4736655</v>
      </c>
    </row>
    <row r="1537" spans="1:5">
      <c r="A1537" s="12" t="s">
        <v>1629</v>
      </c>
      <c r="B1537" s="12">
        <v>2020</v>
      </c>
      <c r="C1537" s="12" t="s">
        <v>64</v>
      </c>
      <c r="D1537" s="12" t="s">
        <v>39</v>
      </c>
      <c r="E1537" s="12">
        <v>4991902</v>
      </c>
    </row>
    <row r="1538" spans="1:5">
      <c r="A1538" s="12" t="s">
        <v>1630</v>
      </c>
      <c r="B1538" s="12">
        <v>2020</v>
      </c>
      <c r="C1538" s="12" t="s">
        <v>64</v>
      </c>
      <c r="D1538" s="12" t="s">
        <v>85</v>
      </c>
      <c r="E1538" s="12">
        <v>5323282</v>
      </c>
    </row>
    <row r="1539" spans="1:5">
      <c r="A1539" s="12" t="s">
        <v>1631</v>
      </c>
      <c r="B1539" s="12">
        <v>2020</v>
      </c>
      <c r="C1539" s="12" t="s">
        <v>69</v>
      </c>
      <c r="D1539" s="12" t="s">
        <v>91</v>
      </c>
      <c r="E1539" s="12">
        <v>5376721</v>
      </c>
    </row>
    <row r="1540" spans="1:5">
      <c r="A1540" s="12" t="s">
        <v>1632</v>
      </c>
      <c r="B1540" s="12">
        <v>2020</v>
      </c>
      <c r="C1540" s="12" t="s">
        <v>64</v>
      </c>
      <c r="D1540" s="12" t="s">
        <v>111</v>
      </c>
      <c r="E1540" s="12">
        <v>5676658</v>
      </c>
    </row>
    <row r="1541" spans="1:5">
      <c r="A1541" s="12" t="s">
        <v>1633</v>
      </c>
      <c r="B1541" s="12">
        <v>2020</v>
      </c>
      <c r="C1541" s="12" t="s">
        <v>66</v>
      </c>
      <c r="D1541" s="12" t="s">
        <v>122</v>
      </c>
      <c r="E1541" s="12">
        <v>5799003</v>
      </c>
    </row>
    <row r="1542" spans="1:5">
      <c r="A1542" s="12" t="s">
        <v>1634</v>
      </c>
      <c r="B1542" s="12">
        <v>2020</v>
      </c>
      <c r="C1542" s="12" t="s">
        <v>69</v>
      </c>
      <c r="D1542" s="12" t="s">
        <v>124</v>
      </c>
      <c r="E1542" s="12">
        <v>5953680</v>
      </c>
    </row>
    <row r="1543" spans="1:5">
      <c r="A1543" s="12" t="s">
        <v>1635</v>
      </c>
      <c r="B1543" s="12">
        <v>2020</v>
      </c>
      <c r="C1543" s="12" t="s">
        <v>64</v>
      </c>
      <c r="D1543" s="12" t="s">
        <v>89</v>
      </c>
      <c r="E1543" s="12">
        <v>6228067</v>
      </c>
    </row>
    <row r="1544" spans="1:5">
      <c r="A1544" s="12" t="s">
        <v>1636</v>
      </c>
      <c r="B1544" s="12">
        <v>2020</v>
      </c>
      <c r="C1544" s="12" t="s">
        <v>64</v>
      </c>
      <c r="D1544" s="12" t="s">
        <v>96</v>
      </c>
      <c r="E1544" s="12">
        <v>6251356</v>
      </c>
    </row>
    <row r="1545" spans="1:5">
      <c r="A1545" s="12" t="s">
        <v>1637</v>
      </c>
      <c r="B1545" s="12">
        <v>2020</v>
      </c>
      <c r="C1545" s="12" t="s">
        <v>69</v>
      </c>
      <c r="D1545" s="12" t="s">
        <v>100</v>
      </c>
      <c r="E1545" s="12">
        <v>6356193</v>
      </c>
    </row>
    <row r="1546" spans="1:5">
      <c r="A1546" s="12" t="s">
        <v>1638</v>
      </c>
      <c r="B1546" s="12">
        <v>2020</v>
      </c>
      <c r="C1546" s="12" t="s">
        <v>64</v>
      </c>
      <c r="D1546" s="12" t="s">
        <v>46</v>
      </c>
      <c r="E1546" s="12">
        <v>6380481</v>
      </c>
    </row>
    <row r="1547" spans="1:5">
      <c r="A1547" s="12" t="s">
        <v>1639</v>
      </c>
      <c r="B1547" s="12">
        <v>2020</v>
      </c>
      <c r="C1547" s="12" t="s">
        <v>69</v>
      </c>
      <c r="D1547" s="12" t="s">
        <v>105</v>
      </c>
      <c r="E1547" s="12">
        <v>6418157</v>
      </c>
    </row>
    <row r="1548" spans="1:5">
      <c r="A1548" s="12" t="s">
        <v>1640</v>
      </c>
      <c r="B1548" s="12">
        <v>2020</v>
      </c>
      <c r="C1548" s="12" t="s">
        <v>66</v>
      </c>
      <c r="D1548" s="12" t="s">
        <v>91</v>
      </c>
      <c r="E1548" s="12">
        <v>8062376</v>
      </c>
    </row>
    <row r="1549" spans="1:5">
      <c r="A1549" s="12" t="s">
        <v>1641</v>
      </c>
      <c r="B1549" s="12">
        <v>2020</v>
      </c>
      <c r="C1549" s="12" t="s">
        <v>66</v>
      </c>
      <c r="D1549" s="12" t="s">
        <v>124</v>
      </c>
      <c r="E1549" s="12">
        <v>8726173</v>
      </c>
    </row>
    <row r="1550" spans="1:5">
      <c r="A1550" s="12" t="s">
        <v>1642</v>
      </c>
      <c r="B1550" s="12">
        <v>2020</v>
      </c>
      <c r="C1550" s="12" t="s">
        <v>66</v>
      </c>
      <c r="D1550" s="12" t="s">
        <v>100</v>
      </c>
      <c r="E1550" s="12">
        <v>9013601</v>
      </c>
    </row>
    <row r="1551" spans="1:5">
      <c r="A1551" s="12" t="s">
        <v>1643</v>
      </c>
      <c r="B1551" s="12">
        <v>2020</v>
      </c>
      <c r="C1551" s="12" t="s">
        <v>64</v>
      </c>
      <c r="D1551" s="12" t="s">
        <v>122</v>
      </c>
      <c r="E1551" s="12">
        <v>10670182</v>
      </c>
    </row>
    <row r="1552" spans="1:5">
      <c r="A1552" s="12" t="s">
        <v>1644</v>
      </c>
      <c r="B1552" s="12">
        <v>2020</v>
      </c>
      <c r="C1552" s="12" t="s">
        <v>66</v>
      </c>
      <c r="D1552" s="12" t="s">
        <v>102</v>
      </c>
      <c r="E1552" s="12">
        <v>12205520</v>
      </c>
    </row>
    <row r="1553" spans="1:5">
      <c r="A1553" s="12" t="s">
        <v>1645</v>
      </c>
      <c r="B1553" s="12">
        <v>2020</v>
      </c>
      <c r="C1553" s="12" t="s">
        <v>78</v>
      </c>
      <c r="D1553" s="12" t="s">
        <v>91</v>
      </c>
      <c r="E1553" s="12">
        <v>12222857</v>
      </c>
    </row>
    <row r="1554" spans="1:5">
      <c r="A1554" s="12" t="s">
        <v>1646</v>
      </c>
      <c r="B1554" s="12">
        <v>2020</v>
      </c>
      <c r="C1554" s="12" t="s">
        <v>69</v>
      </c>
      <c r="D1554" s="12" t="s">
        <v>102</v>
      </c>
      <c r="E1554" s="12">
        <v>12568875</v>
      </c>
    </row>
    <row r="1555" spans="1:5">
      <c r="A1555" s="12" t="s">
        <v>1647</v>
      </c>
      <c r="B1555" s="12">
        <v>2020</v>
      </c>
      <c r="C1555" s="12" t="s">
        <v>78</v>
      </c>
      <c r="D1555" s="12" t="s">
        <v>124</v>
      </c>
      <c r="E1555" s="12">
        <v>14758165</v>
      </c>
    </row>
    <row r="1556" spans="1:5">
      <c r="A1556" s="12" t="s">
        <v>1648</v>
      </c>
      <c r="B1556" s="12">
        <v>2020</v>
      </c>
      <c r="C1556" s="12" t="s">
        <v>78</v>
      </c>
      <c r="D1556" s="12" t="s">
        <v>105</v>
      </c>
      <c r="E1556" s="12">
        <v>15167496</v>
      </c>
    </row>
    <row r="1557" spans="1:5">
      <c r="A1557" s="12" t="s">
        <v>1649</v>
      </c>
      <c r="B1557" s="12">
        <v>2020</v>
      </c>
      <c r="C1557" s="12" t="s">
        <v>78</v>
      </c>
      <c r="D1557" s="12" t="s">
        <v>100</v>
      </c>
      <c r="E1557" s="12">
        <v>15379761</v>
      </c>
    </row>
    <row r="1558" spans="1:5">
      <c r="A1558" s="12" t="s">
        <v>1650</v>
      </c>
      <c r="B1558" s="12">
        <v>2020</v>
      </c>
      <c r="C1558" s="12" t="s">
        <v>74</v>
      </c>
      <c r="D1558" s="12" t="s">
        <v>91</v>
      </c>
      <c r="E1558" s="12">
        <v>16221385</v>
      </c>
    </row>
    <row r="1559" spans="1:5">
      <c r="A1559" s="12" t="s">
        <v>1651</v>
      </c>
      <c r="B1559" s="12">
        <v>2020</v>
      </c>
      <c r="C1559" s="12" t="s">
        <v>74</v>
      </c>
      <c r="D1559" s="12" t="s">
        <v>124</v>
      </c>
      <c r="E1559" s="12">
        <v>17768604</v>
      </c>
    </row>
    <row r="1560" spans="1:5">
      <c r="A1560" s="12" t="s">
        <v>1652</v>
      </c>
      <c r="B1560" s="12">
        <v>2020</v>
      </c>
      <c r="C1560" s="12" t="s">
        <v>74</v>
      </c>
      <c r="D1560" s="12" t="s">
        <v>100</v>
      </c>
      <c r="E1560" s="12">
        <v>18213558</v>
      </c>
    </row>
    <row r="1561" spans="1:5">
      <c r="A1561" s="12" t="s">
        <v>1653</v>
      </c>
      <c r="B1561" s="12">
        <v>2020</v>
      </c>
      <c r="C1561" s="12" t="s">
        <v>69</v>
      </c>
      <c r="D1561" s="12" t="s">
        <v>107</v>
      </c>
      <c r="E1561" s="12">
        <v>18925068</v>
      </c>
    </row>
    <row r="1562" spans="1:5">
      <c r="A1562" s="12" t="s">
        <v>1654</v>
      </c>
      <c r="B1562" s="12">
        <v>2020</v>
      </c>
      <c r="C1562" s="12" t="s">
        <v>66</v>
      </c>
      <c r="D1562" s="12" t="s">
        <v>107</v>
      </c>
      <c r="E1562" s="12">
        <v>21219121</v>
      </c>
    </row>
    <row r="1563" spans="1:5">
      <c r="A1563" s="12" t="s">
        <v>1655</v>
      </c>
      <c r="B1563" s="12">
        <v>2020</v>
      </c>
      <c r="C1563" s="12" t="s">
        <v>74</v>
      </c>
      <c r="D1563" s="12" t="s">
        <v>107</v>
      </c>
      <c r="E1563" s="12">
        <v>22947119</v>
      </c>
    </row>
    <row r="1564" spans="1:5">
      <c r="A1564" s="12" t="s">
        <v>1656</v>
      </c>
      <c r="B1564" s="12">
        <v>2020</v>
      </c>
      <c r="C1564" s="12" t="s">
        <v>78</v>
      </c>
      <c r="D1564" s="12" t="s">
        <v>102</v>
      </c>
      <c r="E1564" s="12">
        <v>23042060</v>
      </c>
    </row>
    <row r="1565" spans="1:5">
      <c r="A1565" s="12" t="s">
        <v>1657</v>
      </c>
      <c r="B1565" s="12">
        <v>2020</v>
      </c>
      <c r="C1565" s="12" t="s">
        <v>64</v>
      </c>
      <c r="D1565" s="12" t="s">
        <v>105</v>
      </c>
      <c r="E1565" s="12">
        <v>26531184</v>
      </c>
    </row>
    <row r="1566" spans="1:5">
      <c r="A1566" s="12" t="s">
        <v>1658</v>
      </c>
      <c r="B1566" s="12">
        <v>2020</v>
      </c>
      <c r="C1566" s="12" t="s">
        <v>78</v>
      </c>
      <c r="D1566" s="12" t="s">
        <v>107</v>
      </c>
      <c r="E1566" s="12">
        <v>38421821</v>
      </c>
    </row>
    <row r="1567" spans="1:5">
      <c r="A1567" s="12" t="s">
        <v>1659</v>
      </c>
      <c r="B1567" s="12">
        <v>2020</v>
      </c>
      <c r="C1567" s="12" t="s">
        <v>64</v>
      </c>
      <c r="D1567" s="12" t="s">
        <v>91</v>
      </c>
      <c r="E1567" s="12">
        <v>41883339</v>
      </c>
    </row>
    <row r="1568" spans="1:5">
      <c r="A1568" s="12" t="s">
        <v>1660</v>
      </c>
      <c r="B1568" s="12">
        <v>2020</v>
      </c>
      <c r="C1568" s="12" t="s">
        <v>64</v>
      </c>
      <c r="D1568" s="12" t="s">
        <v>124</v>
      </c>
      <c r="E1568" s="12">
        <v>47206622</v>
      </c>
    </row>
    <row r="1569" spans="1:5">
      <c r="A1569" s="12" t="s">
        <v>1661</v>
      </c>
      <c r="B1569" s="12">
        <v>2020</v>
      </c>
      <c r="C1569" s="12" t="s">
        <v>64</v>
      </c>
      <c r="D1569" s="12" t="s">
        <v>100</v>
      </c>
      <c r="E1569" s="12">
        <v>48963113</v>
      </c>
    </row>
    <row r="1570" spans="1:5">
      <c r="A1570" s="12" t="s">
        <v>1662</v>
      </c>
      <c r="B1570" s="12">
        <v>2020</v>
      </c>
      <c r="C1570" s="12" t="s">
        <v>64</v>
      </c>
      <c r="D1570" s="12" t="s">
        <v>102</v>
      </c>
      <c r="E1570" s="12">
        <v>52924357</v>
      </c>
    </row>
    <row r="1571" spans="1:5">
      <c r="A1571" s="12" t="s">
        <v>1663</v>
      </c>
      <c r="B1571" s="12">
        <v>2020</v>
      </c>
      <c r="C1571" s="12" t="s">
        <v>64</v>
      </c>
      <c r="D1571" s="12" t="s">
        <v>107</v>
      </c>
      <c r="E1571" s="12">
        <v>101887470</v>
      </c>
    </row>
    <row r="1572" spans="1:5">
      <c r="A1572" s="12" t="s">
        <v>1664</v>
      </c>
      <c r="B1572" s="12">
        <v>2020</v>
      </c>
      <c r="C1572" s="12" t="s">
        <v>64</v>
      </c>
      <c r="D1572" s="12" t="s">
        <v>70</v>
      </c>
    </row>
    <row r="1573" spans="1:5">
      <c r="A1573" s="12" t="s">
        <v>1665</v>
      </c>
      <c r="B1573" s="12">
        <v>2020</v>
      </c>
      <c r="C1573" s="12" t="s">
        <v>69</v>
      </c>
      <c r="D1573" s="12" t="s">
        <v>70</v>
      </c>
    </row>
    <row r="1574" spans="1:5">
      <c r="A1574" s="12" t="s">
        <v>1666</v>
      </c>
      <c r="B1574" s="12">
        <v>2020</v>
      </c>
      <c r="C1574" s="12" t="s">
        <v>74</v>
      </c>
      <c r="D1574" s="12" t="s">
        <v>70</v>
      </c>
    </row>
    <row r="1575" spans="1:5">
      <c r="A1575" s="12" t="s">
        <v>1667</v>
      </c>
      <c r="B1575" s="12">
        <v>2020</v>
      </c>
      <c r="C1575" s="12" t="s">
        <v>78</v>
      </c>
      <c r="D1575" s="12" t="s">
        <v>70</v>
      </c>
    </row>
    <row r="1576" spans="1:5">
      <c r="A1576" s="12" t="s">
        <v>1668</v>
      </c>
      <c r="B1576" s="12">
        <v>2020</v>
      </c>
      <c r="C1576" s="12" t="s">
        <v>66</v>
      </c>
      <c r="D1576" s="12" t="s">
        <v>70</v>
      </c>
    </row>
    <row r="1577" spans="1:5">
      <c r="A1577" s="12" t="s">
        <v>1669</v>
      </c>
      <c r="B1577" s="12">
        <v>2020</v>
      </c>
      <c r="C1577" s="12" t="s">
        <v>64</v>
      </c>
      <c r="D1577" s="12" t="s">
        <v>67</v>
      </c>
    </row>
    <row r="1578" spans="1:5">
      <c r="A1578" s="12" t="s">
        <v>1670</v>
      </c>
      <c r="B1578" s="12">
        <v>2020</v>
      </c>
      <c r="C1578" s="12" t="s">
        <v>69</v>
      </c>
      <c r="D1578" s="12" t="s">
        <v>67</v>
      </c>
    </row>
    <row r="1579" spans="1:5">
      <c r="A1579" s="12" t="s">
        <v>1671</v>
      </c>
      <c r="B1579" s="12">
        <v>2020</v>
      </c>
      <c r="C1579" s="12" t="s">
        <v>74</v>
      </c>
      <c r="D1579" s="12" t="s">
        <v>67</v>
      </c>
    </row>
    <row r="1580" spans="1:5">
      <c r="A1580" s="12" t="s">
        <v>1672</v>
      </c>
      <c r="B1580" s="12">
        <v>2020</v>
      </c>
      <c r="C1580" s="12" t="s">
        <v>78</v>
      </c>
      <c r="D1580" s="12" t="s">
        <v>67</v>
      </c>
    </row>
    <row r="1581" spans="1:5">
      <c r="A1581" s="12" t="s">
        <v>1673</v>
      </c>
      <c r="B1581" s="12">
        <v>2020</v>
      </c>
      <c r="C1581" s="12" t="s">
        <v>66</v>
      </c>
      <c r="D1581" s="12" t="s">
        <v>67</v>
      </c>
    </row>
    <row r="1582" spans="1:5">
      <c r="A1582" s="12" t="s">
        <v>1674</v>
      </c>
      <c r="B1582" s="12">
        <v>2020</v>
      </c>
      <c r="C1582" s="12" t="s">
        <v>64</v>
      </c>
      <c r="D1582" s="12" t="s">
        <v>41</v>
      </c>
    </row>
    <row r="1583" spans="1:5">
      <c r="A1583" s="12" t="s">
        <v>1675</v>
      </c>
      <c r="B1583" s="12">
        <v>2020</v>
      </c>
      <c r="C1583" s="12" t="s">
        <v>69</v>
      </c>
      <c r="D1583" s="12" t="s">
        <v>41</v>
      </c>
    </row>
    <row r="1584" spans="1:5">
      <c r="A1584" s="12" t="s">
        <v>1676</v>
      </c>
      <c r="B1584" s="12">
        <v>2020</v>
      </c>
      <c r="C1584" s="12" t="s">
        <v>74</v>
      </c>
      <c r="D1584" s="12" t="s">
        <v>41</v>
      </c>
    </row>
    <row r="1585" spans="1:5">
      <c r="A1585" s="12" t="s">
        <v>1677</v>
      </c>
      <c r="B1585" s="12">
        <v>2020</v>
      </c>
      <c r="C1585" s="12" t="s">
        <v>78</v>
      </c>
      <c r="D1585" s="12" t="s">
        <v>41</v>
      </c>
    </row>
    <row r="1586" spans="1:5">
      <c r="A1586" s="12" t="s">
        <v>1678</v>
      </c>
      <c r="B1586" s="12">
        <v>2020</v>
      </c>
      <c r="C1586" s="12" t="s">
        <v>66</v>
      </c>
      <c r="D1586" s="12" t="s">
        <v>41</v>
      </c>
    </row>
    <row r="1587" spans="1:5">
      <c r="A1587" s="12" t="s">
        <v>1679</v>
      </c>
      <c r="B1587" s="12">
        <v>2020</v>
      </c>
      <c r="C1587" s="12" t="s">
        <v>64</v>
      </c>
      <c r="D1587" s="12" t="s">
        <v>82</v>
      </c>
    </row>
    <row r="1588" spans="1:5">
      <c r="A1588" s="12" t="s">
        <v>1680</v>
      </c>
      <c r="B1588" s="12">
        <v>2020</v>
      </c>
      <c r="C1588" s="12" t="s">
        <v>69</v>
      </c>
      <c r="D1588" s="12" t="s">
        <v>82</v>
      </c>
    </row>
    <row r="1589" spans="1:5">
      <c r="A1589" s="12" t="s">
        <v>1681</v>
      </c>
      <c r="B1589" s="12">
        <v>2020</v>
      </c>
      <c r="C1589" s="12" t="s">
        <v>74</v>
      </c>
      <c r="D1589" s="12" t="s">
        <v>82</v>
      </c>
    </row>
    <row r="1590" spans="1:5">
      <c r="A1590" s="12" t="s">
        <v>1682</v>
      </c>
      <c r="B1590" s="12">
        <v>2020</v>
      </c>
      <c r="C1590" s="12" t="s">
        <v>78</v>
      </c>
      <c r="D1590" s="12" t="s">
        <v>82</v>
      </c>
    </row>
    <row r="1591" spans="1:5">
      <c r="A1591" s="12" t="s">
        <v>1683</v>
      </c>
      <c r="B1591" s="12">
        <v>2020</v>
      </c>
      <c r="C1591" s="12" t="s">
        <v>66</v>
      </c>
      <c r="D1591" s="12" t="s">
        <v>82</v>
      </c>
    </row>
    <row r="1592" spans="1:5">
      <c r="A1592" s="12" t="s">
        <v>1684</v>
      </c>
      <c r="B1592" s="12">
        <v>2020</v>
      </c>
      <c r="C1592" s="12" t="s">
        <v>64</v>
      </c>
      <c r="D1592" s="12" t="s">
        <v>34</v>
      </c>
    </row>
    <row r="1593" spans="1:5">
      <c r="A1593" s="12" t="s">
        <v>1685</v>
      </c>
      <c r="B1593" s="12">
        <v>2020</v>
      </c>
      <c r="C1593" s="12" t="s">
        <v>69</v>
      </c>
      <c r="D1593" s="12" t="s">
        <v>34</v>
      </c>
    </row>
    <row r="1594" spans="1:5">
      <c r="A1594" s="12" t="s">
        <v>1686</v>
      </c>
      <c r="B1594" s="12">
        <v>2020</v>
      </c>
      <c r="C1594" s="12" t="s">
        <v>74</v>
      </c>
      <c r="D1594" s="12" t="s">
        <v>34</v>
      </c>
    </row>
    <row r="1595" spans="1:5">
      <c r="A1595" s="12" t="s">
        <v>1687</v>
      </c>
      <c r="B1595" s="12">
        <v>2020</v>
      </c>
      <c r="C1595" s="12" t="s">
        <v>78</v>
      </c>
      <c r="D1595" s="12" t="s">
        <v>34</v>
      </c>
    </row>
    <row r="1596" spans="1:5">
      <c r="A1596" s="12" t="s">
        <v>1688</v>
      </c>
      <c r="B1596" s="12">
        <v>2020</v>
      </c>
      <c r="C1596" s="12" t="s">
        <v>66</v>
      </c>
      <c r="D1596" s="12" t="s">
        <v>34</v>
      </c>
    </row>
    <row r="1597" spans="1:5">
      <c r="A1597" s="12" t="s">
        <v>1689</v>
      </c>
      <c r="B1597" s="12">
        <v>2021</v>
      </c>
      <c r="C1597" s="12" t="s">
        <v>74</v>
      </c>
      <c r="D1597" s="12" t="s">
        <v>67</v>
      </c>
      <c r="E1597" s="12">
        <v>81</v>
      </c>
    </row>
    <row r="1598" spans="1:5">
      <c r="A1598" s="12" t="s">
        <v>1690</v>
      </c>
      <c r="B1598" s="12">
        <v>2021</v>
      </c>
      <c r="C1598" s="12" t="s">
        <v>66</v>
      </c>
      <c r="D1598" s="12" t="s">
        <v>67</v>
      </c>
      <c r="E1598" s="12">
        <v>703</v>
      </c>
    </row>
    <row r="1599" spans="1:5">
      <c r="A1599" s="12" t="s">
        <v>1691</v>
      </c>
      <c r="B1599" s="12">
        <v>2021</v>
      </c>
      <c r="C1599" s="12" t="s">
        <v>69</v>
      </c>
      <c r="D1599" s="12" t="s">
        <v>67</v>
      </c>
      <c r="E1599" s="12">
        <v>944</v>
      </c>
    </row>
    <row r="1600" spans="1:5">
      <c r="A1600" s="12" t="s">
        <v>1692</v>
      </c>
      <c r="B1600" s="12">
        <v>2021</v>
      </c>
      <c r="C1600" s="12" t="s">
        <v>78</v>
      </c>
      <c r="D1600" s="12" t="s">
        <v>67</v>
      </c>
      <c r="E1600" s="12">
        <v>5931</v>
      </c>
    </row>
    <row r="1601" spans="1:5">
      <c r="A1601" s="12" t="s">
        <v>1693</v>
      </c>
      <c r="B1601" s="12">
        <v>2021</v>
      </c>
      <c r="C1601" s="12" t="s">
        <v>64</v>
      </c>
      <c r="D1601" s="12" t="s">
        <v>67</v>
      </c>
      <c r="E1601" s="12">
        <v>7659</v>
      </c>
    </row>
    <row r="1602" spans="1:5">
      <c r="A1602" s="12" t="s">
        <v>1694</v>
      </c>
      <c r="B1602" s="12">
        <v>2021</v>
      </c>
      <c r="C1602" s="12" t="s">
        <v>74</v>
      </c>
      <c r="D1602" s="12" t="s">
        <v>37</v>
      </c>
      <c r="E1602" s="12">
        <v>9364</v>
      </c>
    </row>
    <row r="1603" spans="1:5">
      <c r="A1603" s="12" t="s">
        <v>1695</v>
      </c>
      <c r="B1603" s="12">
        <v>2021</v>
      </c>
      <c r="C1603" s="12" t="s">
        <v>66</v>
      </c>
      <c r="D1603" s="12" t="s">
        <v>37</v>
      </c>
      <c r="E1603" s="12">
        <v>14111</v>
      </c>
    </row>
    <row r="1604" spans="1:5">
      <c r="A1604" s="12" t="s">
        <v>1696</v>
      </c>
      <c r="B1604" s="12">
        <v>2021</v>
      </c>
      <c r="C1604" s="12" t="s">
        <v>69</v>
      </c>
      <c r="D1604" s="12" t="s">
        <v>37</v>
      </c>
      <c r="E1604" s="12">
        <v>18727</v>
      </c>
    </row>
    <row r="1605" spans="1:5">
      <c r="A1605" s="12" t="s">
        <v>1697</v>
      </c>
      <c r="B1605" s="12">
        <v>2021</v>
      </c>
      <c r="C1605" s="12" t="s">
        <v>64</v>
      </c>
      <c r="D1605" s="12" t="s">
        <v>37</v>
      </c>
      <c r="E1605" s="12">
        <v>42202</v>
      </c>
    </row>
    <row r="1606" spans="1:5">
      <c r="A1606" s="12" t="s">
        <v>1698</v>
      </c>
      <c r="B1606" s="12">
        <v>2021</v>
      </c>
      <c r="C1606" s="12" t="s">
        <v>69</v>
      </c>
      <c r="D1606" s="12" t="s">
        <v>98</v>
      </c>
      <c r="E1606" s="12">
        <v>54580</v>
      </c>
    </row>
    <row r="1607" spans="1:5">
      <c r="A1607" s="12" t="s">
        <v>1699</v>
      </c>
      <c r="B1607" s="12">
        <v>2021</v>
      </c>
      <c r="C1607" s="12" t="s">
        <v>74</v>
      </c>
      <c r="D1607" s="12" t="s">
        <v>87</v>
      </c>
      <c r="E1607" s="12">
        <v>54608</v>
      </c>
    </row>
    <row r="1608" spans="1:5">
      <c r="A1608" s="12" t="s">
        <v>1700</v>
      </c>
      <c r="B1608" s="12">
        <v>2021</v>
      </c>
      <c r="C1608" s="12" t="s">
        <v>69</v>
      </c>
      <c r="D1608" s="12" t="s">
        <v>48</v>
      </c>
      <c r="E1608" s="12">
        <v>58813</v>
      </c>
    </row>
    <row r="1609" spans="1:5">
      <c r="A1609" s="12" t="s">
        <v>1701</v>
      </c>
      <c r="B1609" s="12">
        <v>2021</v>
      </c>
      <c r="C1609" s="12" t="s">
        <v>66</v>
      </c>
      <c r="D1609" s="12" t="s">
        <v>87</v>
      </c>
      <c r="E1609" s="12">
        <v>77379</v>
      </c>
    </row>
    <row r="1610" spans="1:5">
      <c r="A1610" s="12" t="s">
        <v>1702</v>
      </c>
      <c r="B1610" s="12">
        <v>2021</v>
      </c>
      <c r="C1610" s="12" t="s">
        <v>66</v>
      </c>
      <c r="D1610" s="12" t="s">
        <v>48</v>
      </c>
      <c r="E1610" s="12">
        <v>95057</v>
      </c>
    </row>
    <row r="1611" spans="1:5">
      <c r="A1611" s="12" t="s">
        <v>1703</v>
      </c>
      <c r="B1611" s="12">
        <v>2021</v>
      </c>
      <c r="C1611" s="12" t="s">
        <v>74</v>
      </c>
      <c r="D1611" s="12" t="s">
        <v>93</v>
      </c>
      <c r="E1611" s="12">
        <v>98701</v>
      </c>
    </row>
    <row r="1612" spans="1:5">
      <c r="A1612" s="12" t="s">
        <v>1704</v>
      </c>
      <c r="B1612" s="12">
        <v>2021</v>
      </c>
      <c r="C1612" s="12" t="s">
        <v>69</v>
      </c>
      <c r="D1612" s="12" t="s">
        <v>54</v>
      </c>
      <c r="E1612" s="12">
        <v>121049</v>
      </c>
    </row>
    <row r="1613" spans="1:5">
      <c r="A1613" s="12" t="s">
        <v>1705</v>
      </c>
      <c r="B1613" s="12">
        <v>2021</v>
      </c>
      <c r="C1613" s="12" t="s">
        <v>69</v>
      </c>
      <c r="D1613" s="12" t="s">
        <v>87</v>
      </c>
      <c r="E1613" s="12">
        <v>121308</v>
      </c>
    </row>
    <row r="1614" spans="1:5">
      <c r="A1614" s="12" t="s">
        <v>1706</v>
      </c>
      <c r="B1614" s="12">
        <v>2021</v>
      </c>
      <c r="C1614" s="12" t="s">
        <v>78</v>
      </c>
      <c r="D1614" s="12" t="s">
        <v>87</v>
      </c>
      <c r="E1614" s="12">
        <v>144558</v>
      </c>
    </row>
    <row r="1615" spans="1:5">
      <c r="A1615" s="12" t="s">
        <v>1707</v>
      </c>
      <c r="B1615" s="12">
        <v>2021</v>
      </c>
      <c r="C1615" s="12" t="s">
        <v>66</v>
      </c>
      <c r="D1615" s="12" t="s">
        <v>98</v>
      </c>
      <c r="E1615" s="12">
        <v>146144</v>
      </c>
    </row>
    <row r="1616" spans="1:5">
      <c r="A1616" s="12" t="s">
        <v>1708</v>
      </c>
      <c r="B1616" s="12">
        <v>2021</v>
      </c>
      <c r="C1616" s="12" t="s">
        <v>78</v>
      </c>
      <c r="D1616" s="12" t="s">
        <v>48</v>
      </c>
      <c r="E1616" s="12">
        <v>147430</v>
      </c>
    </row>
    <row r="1617" spans="1:5">
      <c r="A1617" s="12" t="s">
        <v>1709</v>
      </c>
      <c r="B1617" s="12">
        <v>2021</v>
      </c>
      <c r="C1617" s="12" t="s">
        <v>74</v>
      </c>
      <c r="D1617" s="12" t="s">
        <v>104</v>
      </c>
      <c r="E1617" s="12">
        <v>178696</v>
      </c>
    </row>
    <row r="1618" spans="1:5">
      <c r="A1618" s="12" t="s">
        <v>1710</v>
      </c>
      <c r="B1618" s="12">
        <v>2021</v>
      </c>
      <c r="C1618" s="12" t="s">
        <v>74</v>
      </c>
      <c r="D1618" s="12" t="s">
        <v>48</v>
      </c>
      <c r="E1618" s="12">
        <v>185626</v>
      </c>
    </row>
    <row r="1619" spans="1:5">
      <c r="A1619" s="12" t="s">
        <v>1711</v>
      </c>
      <c r="B1619" s="12">
        <v>2021</v>
      </c>
      <c r="C1619" s="12" t="s">
        <v>69</v>
      </c>
      <c r="D1619" s="12" t="s">
        <v>93</v>
      </c>
      <c r="E1619" s="12">
        <v>198208</v>
      </c>
    </row>
    <row r="1620" spans="1:5">
      <c r="A1620" s="12" t="s">
        <v>1712</v>
      </c>
      <c r="B1620" s="12">
        <v>2021</v>
      </c>
      <c r="C1620" s="12" t="s">
        <v>78</v>
      </c>
      <c r="D1620" s="12" t="s">
        <v>98</v>
      </c>
      <c r="E1620" s="12">
        <v>227440</v>
      </c>
    </row>
    <row r="1621" spans="1:5">
      <c r="A1621" s="12" t="s">
        <v>1713</v>
      </c>
      <c r="B1621" s="12">
        <v>2021</v>
      </c>
      <c r="C1621" s="12" t="s">
        <v>66</v>
      </c>
      <c r="D1621" s="12" t="s">
        <v>93</v>
      </c>
      <c r="E1621" s="12">
        <v>234543</v>
      </c>
    </row>
    <row r="1622" spans="1:5">
      <c r="A1622" s="12" t="s">
        <v>1714</v>
      </c>
      <c r="B1622" s="12">
        <v>2021</v>
      </c>
      <c r="C1622" s="12" t="s">
        <v>66</v>
      </c>
      <c r="D1622" s="12" t="s">
        <v>54</v>
      </c>
      <c r="E1622" s="12">
        <v>271524</v>
      </c>
    </row>
    <row r="1623" spans="1:5">
      <c r="A1623" s="12" t="s">
        <v>1715</v>
      </c>
      <c r="B1623" s="12">
        <v>2021</v>
      </c>
      <c r="C1623" s="12" t="s">
        <v>66</v>
      </c>
      <c r="D1623" s="12" t="s">
        <v>113</v>
      </c>
      <c r="E1623" s="12">
        <v>280308</v>
      </c>
    </row>
    <row r="1624" spans="1:5">
      <c r="A1624" s="12" t="s">
        <v>1716</v>
      </c>
      <c r="B1624" s="12">
        <v>2021</v>
      </c>
      <c r="C1624" s="12" t="s">
        <v>74</v>
      </c>
      <c r="D1624" s="12" t="s">
        <v>122</v>
      </c>
      <c r="E1624" s="12">
        <v>302423</v>
      </c>
    </row>
    <row r="1625" spans="1:5">
      <c r="A1625" s="12" t="s">
        <v>1717</v>
      </c>
      <c r="B1625" s="12">
        <v>2021</v>
      </c>
      <c r="C1625" s="12" t="s">
        <v>69</v>
      </c>
      <c r="D1625" s="12" t="s">
        <v>113</v>
      </c>
      <c r="E1625" s="12">
        <v>355645</v>
      </c>
    </row>
    <row r="1626" spans="1:5">
      <c r="A1626" s="12" t="s">
        <v>1718</v>
      </c>
      <c r="B1626" s="12">
        <v>2021</v>
      </c>
      <c r="C1626" s="12" t="s">
        <v>74</v>
      </c>
      <c r="D1626" s="12" t="s">
        <v>113</v>
      </c>
      <c r="E1626" s="12">
        <v>358512</v>
      </c>
    </row>
    <row r="1627" spans="1:5">
      <c r="A1627" s="12" t="s">
        <v>1719</v>
      </c>
      <c r="B1627" s="12">
        <v>2021</v>
      </c>
      <c r="C1627" s="12" t="s">
        <v>64</v>
      </c>
      <c r="D1627" s="12" t="s">
        <v>87</v>
      </c>
      <c r="E1627" s="12">
        <v>397853</v>
      </c>
    </row>
    <row r="1628" spans="1:5">
      <c r="A1628" s="12" t="s">
        <v>1720</v>
      </c>
      <c r="B1628" s="12">
        <v>2021</v>
      </c>
      <c r="C1628" s="12" t="s">
        <v>78</v>
      </c>
      <c r="D1628" s="12" t="s">
        <v>54</v>
      </c>
      <c r="E1628" s="12">
        <v>420723</v>
      </c>
    </row>
    <row r="1629" spans="1:5">
      <c r="A1629" s="12" t="s">
        <v>1721</v>
      </c>
      <c r="B1629" s="12">
        <v>2021</v>
      </c>
      <c r="C1629" s="12" t="s">
        <v>74</v>
      </c>
      <c r="D1629" s="12" t="s">
        <v>109</v>
      </c>
      <c r="E1629" s="12">
        <v>443891</v>
      </c>
    </row>
    <row r="1630" spans="1:5">
      <c r="A1630" s="12" t="s">
        <v>1722</v>
      </c>
      <c r="B1630" s="12">
        <v>2021</v>
      </c>
      <c r="C1630" s="12" t="s">
        <v>74</v>
      </c>
      <c r="D1630" s="12" t="s">
        <v>98</v>
      </c>
      <c r="E1630" s="12">
        <v>467085</v>
      </c>
    </row>
    <row r="1631" spans="1:5">
      <c r="A1631" s="12" t="s">
        <v>1723</v>
      </c>
      <c r="B1631" s="12">
        <v>2021</v>
      </c>
      <c r="C1631" s="12" t="s">
        <v>69</v>
      </c>
      <c r="D1631" s="12" t="s">
        <v>39</v>
      </c>
      <c r="E1631" s="12">
        <v>482005</v>
      </c>
    </row>
    <row r="1632" spans="1:5">
      <c r="A1632" s="12" t="s">
        <v>1724</v>
      </c>
      <c r="B1632" s="12">
        <v>2021</v>
      </c>
      <c r="C1632" s="12" t="s">
        <v>64</v>
      </c>
      <c r="D1632" s="12" t="s">
        <v>48</v>
      </c>
      <c r="E1632" s="12">
        <v>486926</v>
      </c>
    </row>
    <row r="1633" spans="1:5">
      <c r="A1633" s="12" t="s">
        <v>1725</v>
      </c>
      <c r="B1633" s="12">
        <v>2021</v>
      </c>
      <c r="C1633" s="12" t="s">
        <v>69</v>
      </c>
      <c r="D1633" s="12" t="s">
        <v>85</v>
      </c>
      <c r="E1633" s="12">
        <v>500732</v>
      </c>
    </row>
    <row r="1634" spans="1:5">
      <c r="A1634" s="12" t="s">
        <v>1726</v>
      </c>
      <c r="B1634" s="12">
        <v>2021</v>
      </c>
      <c r="C1634" s="12" t="s">
        <v>78</v>
      </c>
      <c r="D1634" s="12" t="s">
        <v>104</v>
      </c>
      <c r="E1634" s="12">
        <v>527360</v>
      </c>
    </row>
    <row r="1635" spans="1:5">
      <c r="A1635" s="12" t="s">
        <v>1727</v>
      </c>
      <c r="B1635" s="12">
        <v>2021</v>
      </c>
      <c r="C1635" s="12" t="s">
        <v>78</v>
      </c>
      <c r="D1635" s="12" t="s">
        <v>113</v>
      </c>
      <c r="E1635" s="12">
        <v>531429</v>
      </c>
    </row>
    <row r="1636" spans="1:5">
      <c r="A1636" s="12" t="s">
        <v>1728</v>
      </c>
      <c r="B1636" s="12">
        <v>2021</v>
      </c>
      <c r="C1636" s="12" t="s">
        <v>69</v>
      </c>
      <c r="D1636" s="12" t="s">
        <v>50</v>
      </c>
      <c r="E1636" s="12">
        <v>545099</v>
      </c>
    </row>
    <row r="1637" spans="1:5">
      <c r="A1637" s="12" t="s">
        <v>1729</v>
      </c>
      <c r="B1637" s="12">
        <v>2021</v>
      </c>
      <c r="C1637" s="12" t="s">
        <v>78</v>
      </c>
      <c r="D1637" s="12" t="s">
        <v>93</v>
      </c>
      <c r="E1637" s="12">
        <v>623139</v>
      </c>
    </row>
    <row r="1638" spans="1:5">
      <c r="A1638" s="12" t="s">
        <v>1730</v>
      </c>
      <c r="B1638" s="12">
        <v>2021</v>
      </c>
      <c r="C1638" s="12" t="s">
        <v>74</v>
      </c>
      <c r="D1638" s="12" t="s">
        <v>54</v>
      </c>
      <c r="E1638" s="12">
        <v>702095</v>
      </c>
    </row>
    <row r="1639" spans="1:5">
      <c r="A1639" s="12" t="s">
        <v>1731</v>
      </c>
      <c r="B1639" s="12">
        <v>2021</v>
      </c>
      <c r="C1639" s="12" t="s">
        <v>74</v>
      </c>
      <c r="D1639" s="12" t="s">
        <v>118</v>
      </c>
      <c r="E1639" s="12">
        <v>760498</v>
      </c>
    </row>
    <row r="1640" spans="1:5">
      <c r="A1640" s="12" t="s">
        <v>1732</v>
      </c>
      <c r="B1640" s="12">
        <v>2021</v>
      </c>
      <c r="C1640" s="12" t="s">
        <v>66</v>
      </c>
      <c r="D1640" s="12" t="s">
        <v>104</v>
      </c>
      <c r="E1640" s="12">
        <v>833381</v>
      </c>
    </row>
    <row r="1641" spans="1:5">
      <c r="A1641" s="12" t="s">
        <v>1733</v>
      </c>
      <c r="B1641" s="12">
        <v>2021</v>
      </c>
      <c r="C1641" s="12" t="s">
        <v>66</v>
      </c>
      <c r="D1641" s="12" t="s">
        <v>118</v>
      </c>
      <c r="E1641" s="12">
        <v>882393</v>
      </c>
    </row>
    <row r="1642" spans="1:5">
      <c r="A1642" s="12" t="s">
        <v>1734</v>
      </c>
      <c r="B1642" s="12">
        <v>2021</v>
      </c>
      <c r="C1642" s="12" t="s">
        <v>64</v>
      </c>
      <c r="D1642" s="12" t="s">
        <v>98</v>
      </c>
      <c r="E1642" s="12">
        <v>895250</v>
      </c>
    </row>
    <row r="1643" spans="1:5">
      <c r="A1643" s="12" t="s">
        <v>1735</v>
      </c>
      <c r="B1643" s="12">
        <v>2021</v>
      </c>
      <c r="C1643" s="12" t="s">
        <v>74</v>
      </c>
      <c r="D1643" s="12" t="s">
        <v>111</v>
      </c>
      <c r="E1643" s="12">
        <v>921427</v>
      </c>
    </row>
    <row r="1644" spans="1:5">
      <c r="A1644" s="12" t="s">
        <v>1736</v>
      </c>
      <c r="B1644" s="12">
        <v>2021</v>
      </c>
      <c r="C1644" s="12" t="s">
        <v>66</v>
      </c>
      <c r="D1644" s="12" t="s">
        <v>39</v>
      </c>
      <c r="E1644" s="12">
        <v>988912</v>
      </c>
    </row>
    <row r="1645" spans="1:5">
      <c r="A1645" s="12" t="s">
        <v>1737</v>
      </c>
      <c r="B1645" s="12">
        <v>2021</v>
      </c>
      <c r="C1645" s="12" t="s">
        <v>66</v>
      </c>
      <c r="D1645" s="12" t="s">
        <v>85</v>
      </c>
      <c r="E1645" s="12">
        <v>1003023</v>
      </c>
    </row>
    <row r="1646" spans="1:5">
      <c r="A1646" s="12" t="s">
        <v>1738</v>
      </c>
      <c r="B1646" s="12">
        <v>2021</v>
      </c>
      <c r="C1646" s="12" t="s">
        <v>66</v>
      </c>
      <c r="D1646" s="12" t="s">
        <v>50</v>
      </c>
      <c r="E1646" s="12">
        <v>1012040</v>
      </c>
    </row>
    <row r="1647" spans="1:5">
      <c r="A1647" s="12" t="s">
        <v>1739</v>
      </c>
      <c r="B1647" s="12">
        <v>2021</v>
      </c>
      <c r="C1647" s="12" t="s">
        <v>74</v>
      </c>
      <c r="D1647" s="12" t="s">
        <v>96</v>
      </c>
      <c r="E1647" s="12">
        <v>1050529</v>
      </c>
    </row>
    <row r="1648" spans="1:5">
      <c r="A1648" s="12" t="s">
        <v>1740</v>
      </c>
      <c r="B1648" s="12">
        <v>2021</v>
      </c>
      <c r="C1648" s="12" t="s">
        <v>74</v>
      </c>
      <c r="D1648" s="12" t="s">
        <v>39</v>
      </c>
      <c r="E1648" s="12">
        <v>1090956</v>
      </c>
    </row>
    <row r="1649" spans="1:5">
      <c r="A1649" s="12" t="s">
        <v>1741</v>
      </c>
      <c r="B1649" s="12">
        <v>2021</v>
      </c>
      <c r="C1649" s="12" t="s">
        <v>74</v>
      </c>
      <c r="D1649" s="12" t="s">
        <v>85</v>
      </c>
      <c r="E1649" s="12">
        <v>1100320</v>
      </c>
    </row>
    <row r="1650" spans="1:5">
      <c r="A1650" s="12" t="s">
        <v>1742</v>
      </c>
      <c r="B1650" s="12">
        <v>2021</v>
      </c>
      <c r="C1650" s="12" t="s">
        <v>66</v>
      </c>
      <c r="D1650" s="12" t="s">
        <v>111</v>
      </c>
      <c r="E1650" s="12">
        <v>1137527</v>
      </c>
    </row>
    <row r="1651" spans="1:5">
      <c r="A1651" s="12" t="s">
        <v>1743</v>
      </c>
      <c r="B1651" s="12">
        <v>2021</v>
      </c>
      <c r="C1651" s="12" t="s">
        <v>64</v>
      </c>
      <c r="D1651" s="12" t="s">
        <v>93</v>
      </c>
      <c r="E1651" s="12">
        <v>1154590</v>
      </c>
    </row>
    <row r="1652" spans="1:5">
      <c r="A1652" s="12" t="s">
        <v>1744</v>
      </c>
      <c r="B1652" s="12">
        <v>2021</v>
      </c>
      <c r="C1652" s="12" t="s">
        <v>78</v>
      </c>
      <c r="D1652" s="12" t="s">
        <v>50</v>
      </c>
      <c r="E1652" s="12">
        <v>1161418</v>
      </c>
    </row>
    <row r="1653" spans="1:5">
      <c r="A1653" s="12" t="s">
        <v>1745</v>
      </c>
      <c r="B1653" s="12">
        <v>2021</v>
      </c>
      <c r="C1653" s="12" t="s">
        <v>78</v>
      </c>
      <c r="D1653" s="12" t="s">
        <v>85</v>
      </c>
      <c r="E1653" s="12">
        <v>1197796</v>
      </c>
    </row>
    <row r="1654" spans="1:5">
      <c r="A1654" s="12" t="s">
        <v>1746</v>
      </c>
      <c r="B1654" s="12">
        <v>2021</v>
      </c>
      <c r="C1654" s="12" t="s">
        <v>78</v>
      </c>
      <c r="D1654" s="12" t="s">
        <v>39</v>
      </c>
      <c r="E1654" s="12">
        <v>1197796</v>
      </c>
    </row>
    <row r="1655" spans="1:5">
      <c r="A1655" s="12" t="s">
        <v>1747</v>
      </c>
      <c r="B1655" s="12">
        <v>2021</v>
      </c>
      <c r="C1655" s="12" t="s">
        <v>78</v>
      </c>
      <c r="D1655" s="12" t="s">
        <v>122</v>
      </c>
      <c r="E1655" s="12">
        <v>1214722</v>
      </c>
    </row>
    <row r="1656" spans="1:5">
      <c r="A1656" s="12" t="s">
        <v>1748</v>
      </c>
      <c r="B1656" s="12">
        <v>2021</v>
      </c>
      <c r="C1656" s="12" t="s">
        <v>66</v>
      </c>
      <c r="D1656" s="12" t="s">
        <v>96</v>
      </c>
      <c r="E1656" s="12">
        <v>1228938</v>
      </c>
    </row>
    <row r="1657" spans="1:5">
      <c r="A1657" s="12" t="s">
        <v>1749</v>
      </c>
      <c r="B1657" s="12">
        <v>2021</v>
      </c>
      <c r="C1657" s="12" t="s">
        <v>69</v>
      </c>
      <c r="D1657" s="12" t="s">
        <v>109</v>
      </c>
      <c r="E1657" s="12">
        <v>1283824</v>
      </c>
    </row>
    <row r="1658" spans="1:5">
      <c r="A1658" s="12" t="s">
        <v>1750</v>
      </c>
      <c r="B1658" s="12">
        <v>2021</v>
      </c>
      <c r="C1658" s="12" t="s">
        <v>69</v>
      </c>
      <c r="D1658" s="12" t="s">
        <v>46</v>
      </c>
      <c r="E1658" s="12">
        <v>1325569</v>
      </c>
    </row>
    <row r="1659" spans="1:5">
      <c r="A1659" s="12" t="s">
        <v>1751</v>
      </c>
      <c r="B1659" s="12">
        <v>2021</v>
      </c>
      <c r="C1659" s="12" t="s">
        <v>69</v>
      </c>
      <c r="D1659" s="12" t="s">
        <v>104</v>
      </c>
      <c r="E1659" s="12">
        <v>1391221</v>
      </c>
    </row>
    <row r="1660" spans="1:5">
      <c r="A1660" s="12" t="s">
        <v>1752</v>
      </c>
      <c r="B1660" s="12">
        <v>2021</v>
      </c>
      <c r="C1660" s="12" t="s">
        <v>66</v>
      </c>
      <c r="D1660" s="12" t="s">
        <v>89</v>
      </c>
      <c r="E1660" s="12">
        <v>1449903</v>
      </c>
    </row>
    <row r="1661" spans="1:5">
      <c r="A1661" s="12" t="s">
        <v>1753</v>
      </c>
      <c r="B1661" s="12">
        <v>2021</v>
      </c>
      <c r="C1661" s="12" t="s">
        <v>69</v>
      </c>
      <c r="D1661" s="12" t="s">
        <v>96</v>
      </c>
      <c r="E1661" s="12">
        <v>1512795</v>
      </c>
    </row>
    <row r="1662" spans="1:5">
      <c r="A1662" s="12" t="s">
        <v>1754</v>
      </c>
      <c r="B1662" s="12">
        <v>2021</v>
      </c>
      <c r="C1662" s="12" t="s">
        <v>64</v>
      </c>
      <c r="D1662" s="12" t="s">
        <v>54</v>
      </c>
      <c r="E1662" s="12">
        <v>1515392</v>
      </c>
    </row>
    <row r="1663" spans="1:5">
      <c r="A1663" s="12" t="s">
        <v>1755</v>
      </c>
      <c r="B1663" s="12">
        <v>2021</v>
      </c>
      <c r="C1663" s="12" t="s">
        <v>69</v>
      </c>
      <c r="D1663" s="12" t="s">
        <v>118</v>
      </c>
      <c r="E1663" s="12">
        <v>1517278</v>
      </c>
    </row>
    <row r="1664" spans="1:5">
      <c r="A1664" s="12" t="s">
        <v>1756</v>
      </c>
      <c r="B1664" s="12">
        <v>2021</v>
      </c>
      <c r="C1664" s="12" t="s">
        <v>64</v>
      </c>
      <c r="D1664" s="12" t="s">
        <v>113</v>
      </c>
      <c r="E1664" s="12">
        <v>1525894</v>
      </c>
    </row>
    <row r="1665" spans="1:5">
      <c r="A1665" s="12" t="s">
        <v>1757</v>
      </c>
      <c r="B1665" s="12">
        <v>2021</v>
      </c>
      <c r="C1665" s="12" t="s">
        <v>66</v>
      </c>
      <c r="D1665" s="12" t="s">
        <v>46</v>
      </c>
      <c r="E1665" s="12">
        <v>1596578</v>
      </c>
    </row>
    <row r="1666" spans="1:5">
      <c r="A1666" s="12" t="s">
        <v>1758</v>
      </c>
      <c r="B1666" s="12">
        <v>2021</v>
      </c>
      <c r="C1666" s="12" t="s">
        <v>69</v>
      </c>
      <c r="D1666" s="12" t="s">
        <v>89</v>
      </c>
      <c r="E1666" s="12">
        <v>1608075</v>
      </c>
    </row>
    <row r="1667" spans="1:5">
      <c r="A1667" s="12" t="s">
        <v>1759</v>
      </c>
      <c r="B1667" s="12">
        <v>2021</v>
      </c>
      <c r="C1667" s="12" t="s">
        <v>78</v>
      </c>
      <c r="D1667" s="12" t="s">
        <v>109</v>
      </c>
      <c r="E1667" s="12">
        <v>1770550</v>
      </c>
    </row>
    <row r="1668" spans="1:5">
      <c r="A1668" s="12" t="s">
        <v>1760</v>
      </c>
      <c r="B1668" s="12">
        <v>2021</v>
      </c>
      <c r="C1668" s="12" t="s">
        <v>78</v>
      </c>
      <c r="D1668" s="12" t="s">
        <v>46</v>
      </c>
      <c r="E1668" s="12">
        <v>1817188</v>
      </c>
    </row>
    <row r="1669" spans="1:5">
      <c r="A1669" s="12" t="s">
        <v>1761</v>
      </c>
      <c r="B1669" s="12">
        <v>2021</v>
      </c>
      <c r="C1669" s="12" t="s">
        <v>69</v>
      </c>
      <c r="D1669" s="12" t="s">
        <v>111</v>
      </c>
      <c r="E1669" s="12">
        <v>1853754</v>
      </c>
    </row>
    <row r="1670" spans="1:5">
      <c r="A1670" s="12" t="s">
        <v>1762</v>
      </c>
      <c r="B1670" s="12">
        <v>2021</v>
      </c>
      <c r="C1670" s="12" t="s">
        <v>66</v>
      </c>
      <c r="D1670" s="12" t="s">
        <v>109</v>
      </c>
      <c r="E1670" s="12">
        <v>1890333</v>
      </c>
    </row>
    <row r="1671" spans="1:5">
      <c r="A1671" s="12" t="s">
        <v>1763</v>
      </c>
      <c r="B1671" s="12">
        <v>2021</v>
      </c>
      <c r="C1671" s="12" t="s">
        <v>78</v>
      </c>
      <c r="D1671" s="12" t="s">
        <v>89</v>
      </c>
      <c r="E1671" s="12">
        <v>2113183</v>
      </c>
    </row>
    <row r="1672" spans="1:5">
      <c r="A1672" s="12" t="s">
        <v>1764</v>
      </c>
      <c r="B1672" s="12">
        <v>2021</v>
      </c>
      <c r="C1672" s="12" t="s">
        <v>74</v>
      </c>
      <c r="D1672" s="12" t="s">
        <v>89</v>
      </c>
      <c r="E1672" s="12">
        <v>2168346</v>
      </c>
    </row>
    <row r="1673" spans="1:5">
      <c r="A1673" s="12" t="s">
        <v>1765</v>
      </c>
      <c r="B1673" s="12">
        <v>2021</v>
      </c>
      <c r="C1673" s="12" t="s">
        <v>74</v>
      </c>
      <c r="D1673" s="12" t="s">
        <v>50</v>
      </c>
      <c r="E1673" s="12">
        <v>2241615</v>
      </c>
    </row>
    <row r="1674" spans="1:5">
      <c r="A1674" s="12" t="s">
        <v>1766</v>
      </c>
      <c r="B1674" s="12">
        <v>2021</v>
      </c>
      <c r="C1674" s="12" t="s">
        <v>78</v>
      </c>
      <c r="D1674" s="12" t="s">
        <v>118</v>
      </c>
      <c r="E1674" s="12">
        <v>2364185</v>
      </c>
    </row>
    <row r="1675" spans="1:5">
      <c r="A1675" s="12" t="s">
        <v>1767</v>
      </c>
      <c r="B1675" s="12">
        <v>2021</v>
      </c>
      <c r="C1675" s="12" t="s">
        <v>74</v>
      </c>
      <c r="D1675" s="12" t="s">
        <v>46</v>
      </c>
      <c r="E1675" s="12">
        <v>2688925</v>
      </c>
    </row>
    <row r="1676" spans="1:5">
      <c r="A1676" s="12" t="s">
        <v>1768</v>
      </c>
      <c r="B1676" s="12">
        <v>2021</v>
      </c>
      <c r="C1676" s="12" t="s">
        <v>64</v>
      </c>
      <c r="D1676" s="12" t="s">
        <v>104</v>
      </c>
      <c r="E1676" s="12">
        <v>2930658</v>
      </c>
    </row>
    <row r="1677" spans="1:5">
      <c r="A1677" s="12" t="s">
        <v>1769</v>
      </c>
      <c r="B1677" s="12">
        <v>2021</v>
      </c>
      <c r="C1677" s="12" t="s">
        <v>66</v>
      </c>
      <c r="D1677" s="12" t="s">
        <v>105</v>
      </c>
      <c r="E1677" s="12">
        <v>2956244</v>
      </c>
    </row>
    <row r="1678" spans="1:5">
      <c r="A1678" s="12" t="s">
        <v>1770</v>
      </c>
      <c r="B1678" s="12">
        <v>2021</v>
      </c>
      <c r="C1678" s="12" t="s">
        <v>78</v>
      </c>
      <c r="D1678" s="12" t="s">
        <v>111</v>
      </c>
      <c r="E1678" s="12">
        <v>3164090</v>
      </c>
    </row>
    <row r="1679" spans="1:5">
      <c r="A1679" s="12" t="s">
        <v>1771</v>
      </c>
      <c r="B1679" s="12">
        <v>2021</v>
      </c>
      <c r="C1679" s="12" t="s">
        <v>74</v>
      </c>
      <c r="D1679" s="12" t="s">
        <v>105</v>
      </c>
      <c r="E1679" s="12">
        <v>3611262</v>
      </c>
    </row>
    <row r="1680" spans="1:5">
      <c r="A1680" s="12" t="s">
        <v>1772</v>
      </c>
      <c r="B1680" s="12">
        <v>2021</v>
      </c>
      <c r="C1680" s="12" t="s">
        <v>64</v>
      </c>
      <c r="D1680" s="12" t="s">
        <v>39</v>
      </c>
      <c r="E1680" s="12">
        <v>3759669</v>
      </c>
    </row>
    <row r="1681" spans="1:5">
      <c r="A1681" s="12" t="s">
        <v>1773</v>
      </c>
      <c r="B1681" s="12">
        <v>2021</v>
      </c>
      <c r="C1681" s="12" t="s">
        <v>64</v>
      </c>
      <c r="D1681" s="12" t="s">
        <v>85</v>
      </c>
      <c r="E1681" s="12">
        <v>3801871</v>
      </c>
    </row>
    <row r="1682" spans="1:5">
      <c r="A1682" s="12" t="s">
        <v>1774</v>
      </c>
      <c r="B1682" s="12">
        <v>2021</v>
      </c>
      <c r="C1682" s="12" t="s">
        <v>69</v>
      </c>
      <c r="D1682" s="12" t="s">
        <v>122</v>
      </c>
      <c r="E1682" s="12">
        <v>3974994</v>
      </c>
    </row>
    <row r="1683" spans="1:5">
      <c r="A1683" s="12" t="s">
        <v>1775</v>
      </c>
      <c r="B1683" s="12">
        <v>2021</v>
      </c>
      <c r="C1683" s="12" t="s">
        <v>78</v>
      </c>
      <c r="D1683" s="12" t="s">
        <v>96</v>
      </c>
      <c r="E1683" s="12">
        <v>4814860</v>
      </c>
    </row>
    <row r="1684" spans="1:5">
      <c r="A1684" s="12" t="s">
        <v>1776</v>
      </c>
      <c r="B1684" s="12">
        <v>2021</v>
      </c>
      <c r="C1684" s="12" t="s">
        <v>64</v>
      </c>
      <c r="D1684" s="12" t="s">
        <v>50</v>
      </c>
      <c r="E1684" s="12">
        <v>4960172</v>
      </c>
    </row>
    <row r="1685" spans="1:5">
      <c r="A1685" s="12" t="s">
        <v>1777</v>
      </c>
      <c r="B1685" s="12">
        <v>2021</v>
      </c>
      <c r="C1685" s="12" t="s">
        <v>64</v>
      </c>
      <c r="D1685" s="12" t="s">
        <v>109</v>
      </c>
      <c r="E1685" s="12">
        <v>5388598</v>
      </c>
    </row>
    <row r="1686" spans="1:5">
      <c r="A1686" s="12" t="s">
        <v>1778</v>
      </c>
      <c r="B1686" s="12">
        <v>2021</v>
      </c>
      <c r="C1686" s="12" t="s">
        <v>64</v>
      </c>
      <c r="D1686" s="12" t="s">
        <v>118</v>
      </c>
      <c r="E1686" s="12">
        <v>5524354</v>
      </c>
    </row>
    <row r="1687" spans="1:5">
      <c r="A1687" s="12" t="s">
        <v>1779</v>
      </c>
      <c r="B1687" s="12">
        <v>2021</v>
      </c>
      <c r="C1687" s="12" t="s">
        <v>69</v>
      </c>
      <c r="D1687" s="12" t="s">
        <v>91</v>
      </c>
      <c r="E1687" s="12">
        <v>5650375</v>
      </c>
    </row>
    <row r="1688" spans="1:5">
      <c r="A1688" s="12" t="s">
        <v>1780</v>
      </c>
      <c r="B1688" s="12">
        <v>2021</v>
      </c>
      <c r="C1688" s="12" t="s">
        <v>69</v>
      </c>
      <c r="D1688" s="12" t="s">
        <v>124</v>
      </c>
      <c r="E1688" s="12">
        <v>6151107</v>
      </c>
    </row>
    <row r="1689" spans="1:5">
      <c r="A1689" s="12" t="s">
        <v>1781</v>
      </c>
      <c r="B1689" s="12">
        <v>2021</v>
      </c>
      <c r="C1689" s="12" t="s">
        <v>66</v>
      </c>
      <c r="D1689" s="12" t="s">
        <v>122</v>
      </c>
      <c r="E1689" s="12">
        <v>6233925</v>
      </c>
    </row>
    <row r="1690" spans="1:5">
      <c r="A1690" s="12" t="s">
        <v>1782</v>
      </c>
      <c r="B1690" s="12">
        <v>2021</v>
      </c>
      <c r="C1690" s="12" t="s">
        <v>74</v>
      </c>
      <c r="D1690" s="12" t="s">
        <v>102</v>
      </c>
      <c r="E1690" s="12">
        <v>6329613</v>
      </c>
    </row>
    <row r="1691" spans="1:5">
      <c r="A1691" s="12" t="s">
        <v>1783</v>
      </c>
      <c r="B1691" s="12">
        <v>2021</v>
      </c>
      <c r="C1691" s="12" t="s">
        <v>69</v>
      </c>
      <c r="D1691" s="12" t="s">
        <v>100</v>
      </c>
      <c r="E1691" s="12">
        <v>6506752</v>
      </c>
    </row>
    <row r="1692" spans="1:5">
      <c r="A1692" s="12" t="s">
        <v>1784</v>
      </c>
      <c r="B1692" s="12">
        <v>2021</v>
      </c>
      <c r="C1692" s="12" t="s">
        <v>69</v>
      </c>
      <c r="D1692" s="12" t="s">
        <v>105</v>
      </c>
      <c r="E1692" s="12">
        <v>6627163</v>
      </c>
    </row>
    <row r="1693" spans="1:5">
      <c r="A1693" s="12" t="s">
        <v>1785</v>
      </c>
      <c r="B1693" s="12">
        <v>2021</v>
      </c>
      <c r="C1693" s="12" t="s">
        <v>64</v>
      </c>
      <c r="D1693" s="12" t="s">
        <v>111</v>
      </c>
      <c r="E1693" s="12">
        <v>7076797</v>
      </c>
    </row>
    <row r="1694" spans="1:5">
      <c r="A1694" s="12" t="s">
        <v>1786</v>
      </c>
      <c r="B1694" s="12">
        <v>2021</v>
      </c>
      <c r="C1694" s="12" t="s">
        <v>64</v>
      </c>
      <c r="D1694" s="12" t="s">
        <v>89</v>
      </c>
      <c r="E1694" s="12">
        <v>7339507</v>
      </c>
    </row>
    <row r="1695" spans="1:5">
      <c r="A1695" s="12" t="s">
        <v>1787</v>
      </c>
      <c r="B1695" s="12">
        <v>2021</v>
      </c>
      <c r="C1695" s="12" t="s">
        <v>64</v>
      </c>
      <c r="D1695" s="12" t="s">
        <v>46</v>
      </c>
      <c r="E1695" s="12">
        <v>7428260</v>
      </c>
    </row>
    <row r="1696" spans="1:5">
      <c r="A1696" s="12" t="s">
        <v>1788</v>
      </c>
      <c r="B1696" s="12">
        <v>2021</v>
      </c>
      <c r="C1696" s="12" t="s">
        <v>64</v>
      </c>
      <c r="D1696" s="12" t="s">
        <v>96</v>
      </c>
      <c r="E1696" s="12">
        <v>8607122</v>
      </c>
    </row>
    <row r="1697" spans="1:5">
      <c r="A1697" s="12" t="s">
        <v>1789</v>
      </c>
      <c r="B1697" s="12">
        <v>2021</v>
      </c>
      <c r="C1697" s="12" t="s">
        <v>66</v>
      </c>
      <c r="D1697" s="12" t="s">
        <v>91</v>
      </c>
      <c r="E1697" s="12">
        <v>8793167</v>
      </c>
    </row>
    <row r="1698" spans="1:5">
      <c r="A1698" s="12" t="s">
        <v>1790</v>
      </c>
      <c r="B1698" s="12">
        <v>2021</v>
      </c>
      <c r="C1698" s="12" t="s">
        <v>66</v>
      </c>
      <c r="D1698" s="12" t="s">
        <v>124</v>
      </c>
      <c r="E1698" s="12">
        <v>9796190</v>
      </c>
    </row>
    <row r="1699" spans="1:5">
      <c r="A1699" s="12" t="s">
        <v>1791</v>
      </c>
      <c r="B1699" s="12">
        <v>2021</v>
      </c>
      <c r="C1699" s="12" t="s">
        <v>66</v>
      </c>
      <c r="D1699" s="12" t="s">
        <v>100</v>
      </c>
      <c r="E1699" s="12">
        <v>10076498</v>
      </c>
    </row>
    <row r="1700" spans="1:5">
      <c r="A1700" s="12" t="s">
        <v>1792</v>
      </c>
      <c r="B1700" s="12">
        <v>2021</v>
      </c>
      <c r="C1700" s="12" t="s">
        <v>64</v>
      </c>
      <c r="D1700" s="12" t="s">
        <v>122</v>
      </c>
      <c r="E1700" s="12">
        <v>11726064</v>
      </c>
    </row>
    <row r="1701" spans="1:5">
      <c r="A1701" s="12" t="s">
        <v>1793</v>
      </c>
      <c r="B1701" s="12">
        <v>2021</v>
      </c>
      <c r="C1701" s="12" t="s">
        <v>78</v>
      </c>
      <c r="D1701" s="12" t="s">
        <v>105</v>
      </c>
      <c r="E1701" s="12">
        <v>12700011</v>
      </c>
    </row>
    <row r="1702" spans="1:5">
      <c r="A1702" s="12" t="s">
        <v>1794</v>
      </c>
      <c r="B1702" s="12">
        <v>2021</v>
      </c>
      <c r="C1702" s="12" t="s">
        <v>78</v>
      </c>
      <c r="D1702" s="12" t="s">
        <v>91</v>
      </c>
      <c r="E1702" s="12">
        <v>12919839</v>
      </c>
    </row>
    <row r="1703" spans="1:5">
      <c r="A1703" s="12" t="s">
        <v>1795</v>
      </c>
      <c r="B1703" s="12">
        <v>2021</v>
      </c>
      <c r="C1703" s="12" t="s">
        <v>66</v>
      </c>
      <c r="D1703" s="12" t="s">
        <v>102</v>
      </c>
      <c r="E1703" s="12">
        <v>13447669</v>
      </c>
    </row>
    <row r="1704" spans="1:5">
      <c r="A1704" s="12" t="s">
        <v>1796</v>
      </c>
      <c r="B1704" s="12">
        <v>2021</v>
      </c>
      <c r="C1704" s="12" t="s">
        <v>78</v>
      </c>
      <c r="D1704" s="12" t="s">
        <v>124</v>
      </c>
      <c r="E1704" s="12">
        <v>14117635</v>
      </c>
    </row>
    <row r="1705" spans="1:5">
      <c r="A1705" s="12" t="s">
        <v>1797</v>
      </c>
      <c r="B1705" s="12">
        <v>2021</v>
      </c>
      <c r="C1705" s="12" t="s">
        <v>78</v>
      </c>
      <c r="D1705" s="12" t="s">
        <v>100</v>
      </c>
      <c r="E1705" s="12">
        <v>14649064</v>
      </c>
    </row>
    <row r="1706" spans="1:5">
      <c r="A1706" s="12" t="s">
        <v>1798</v>
      </c>
      <c r="B1706" s="12">
        <v>2021</v>
      </c>
      <c r="C1706" s="12" t="s">
        <v>69</v>
      </c>
      <c r="D1706" s="12" t="s">
        <v>102</v>
      </c>
      <c r="E1706" s="12">
        <v>15253475</v>
      </c>
    </row>
    <row r="1707" spans="1:5">
      <c r="A1707" s="12" t="s">
        <v>1799</v>
      </c>
      <c r="B1707" s="12">
        <v>2021</v>
      </c>
      <c r="C1707" s="12" t="s">
        <v>74</v>
      </c>
      <c r="D1707" s="12" t="s">
        <v>91</v>
      </c>
      <c r="E1707" s="12">
        <v>16471392</v>
      </c>
    </row>
    <row r="1708" spans="1:5">
      <c r="A1708" s="12" t="s">
        <v>1800</v>
      </c>
      <c r="B1708" s="12">
        <v>2021</v>
      </c>
      <c r="C1708" s="12" t="s">
        <v>74</v>
      </c>
      <c r="D1708" s="12" t="s">
        <v>124</v>
      </c>
      <c r="E1708" s="12">
        <v>17571712</v>
      </c>
    </row>
    <row r="1709" spans="1:5">
      <c r="A1709" s="12" t="s">
        <v>1801</v>
      </c>
      <c r="B1709" s="12">
        <v>2021</v>
      </c>
      <c r="C1709" s="12" t="s">
        <v>74</v>
      </c>
      <c r="D1709" s="12" t="s">
        <v>100</v>
      </c>
      <c r="E1709" s="12">
        <v>17930224</v>
      </c>
    </row>
    <row r="1710" spans="1:5">
      <c r="A1710" s="12" t="s">
        <v>1802</v>
      </c>
      <c r="B1710" s="12">
        <v>2021</v>
      </c>
      <c r="C1710" s="12" t="s">
        <v>69</v>
      </c>
      <c r="D1710" s="12" t="s">
        <v>107</v>
      </c>
      <c r="E1710" s="12">
        <v>21760227</v>
      </c>
    </row>
    <row r="1711" spans="1:5">
      <c r="A1711" s="12" t="s">
        <v>1803</v>
      </c>
      <c r="B1711" s="12">
        <v>2021</v>
      </c>
      <c r="C1711" s="12" t="s">
        <v>66</v>
      </c>
      <c r="D1711" s="12" t="s">
        <v>107</v>
      </c>
      <c r="E1711" s="12">
        <v>23524167</v>
      </c>
    </row>
    <row r="1712" spans="1:5">
      <c r="A1712" s="12" t="s">
        <v>1804</v>
      </c>
      <c r="B1712" s="12">
        <v>2021</v>
      </c>
      <c r="C1712" s="12" t="s">
        <v>78</v>
      </c>
      <c r="D1712" s="12" t="s">
        <v>102</v>
      </c>
      <c r="E1712" s="12">
        <v>23670164</v>
      </c>
    </row>
    <row r="1713" spans="1:5">
      <c r="A1713" s="12" t="s">
        <v>1805</v>
      </c>
      <c r="B1713" s="12">
        <v>2021</v>
      </c>
      <c r="C1713" s="12" t="s">
        <v>74</v>
      </c>
      <c r="D1713" s="12" t="s">
        <v>107</v>
      </c>
      <c r="E1713" s="12">
        <v>24259837</v>
      </c>
    </row>
    <row r="1714" spans="1:5">
      <c r="A1714" s="12" t="s">
        <v>1806</v>
      </c>
      <c r="B1714" s="12">
        <v>2021</v>
      </c>
      <c r="C1714" s="12" t="s">
        <v>64</v>
      </c>
      <c r="D1714" s="12" t="s">
        <v>105</v>
      </c>
      <c r="E1714" s="12">
        <v>25894681</v>
      </c>
    </row>
    <row r="1715" spans="1:5">
      <c r="A1715" s="12" t="s">
        <v>1807</v>
      </c>
      <c r="B1715" s="12">
        <v>2021</v>
      </c>
      <c r="C1715" s="12" t="s">
        <v>78</v>
      </c>
      <c r="D1715" s="12" t="s">
        <v>107</v>
      </c>
      <c r="E1715" s="12">
        <v>38319229</v>
      </c>
    </row>
    <row r="1716" spans="1:5">
      <c r="A1716" s="12" t="s">
        <v>1808</v>
      </c>
      <c r="B1716" s="12">
        <v>2021</v>
      </c>
      <c r="C1716" s="12" t="s">
        <v>64</v>
      </c>
      <c r="D1716" s="12" t="s">
        <v>91</v>
      </c>
      <c r="E1716" s="12">
        <v>43834772</v>
      </c>
    </row>
    <row r="1717" spans="1:5">
      <c r="A1717" s="12" t="s">
        <v>1809</v>
      </c>
      <c r="B1717" s="12">
        <v>2021</v>
      </c>
      <c r="C1717" s="12" t="s">
        <v>64</v>
      </c>
      <c r="D1717" s="12" t="s">
        <v>124</v>
      </c>
      <c r="E1717" s="12">
        <v>47636644</v>
      </c>
    </row>
    <row r="1718" spans="1:5">
      <c r="A1718" s="12" t="s">
        <v>1810</v>
      </c>
      <c r="B1718" s="12">
        <v>2021</v>
      </c>
      <c r="C1718" s="12" t="s">
        <v>64</v>
      </c>
      <c r="D1718" s="12" t="s">
        <v>100</v>
      </c>
      <c r="E1718" s="12">
        <v>49162538</v>
      </c>
    </row>
    <row r="1719" spans="1:5">
      <c r="A1719" s="12" t="s">
        <v>1811</v>
      </c>
      <c r="B1719" s="12">
        <v>2021</v>
      </c>
      <c r="C1719" s="12" t="s">
        <v>64</v>
      </c>
      <c r="D1719" s="12" t="s">
        <v>102</v>
      </c>
      <c r="E1719" s="12">
        <v>58700921</v>
      </c>
    </row>
    <row r="1720" spans="1:5">
      <c r="A1720" s="12" t="s">
        <v>1812</v>
      </c>
      <c r="B1720" s="12">
        <v>2021</v>
      </c>
      <c r="C1720" s="12" t="s">
        <v>64</v>
      </c>
      <c r="D1720" s="12" t="s">
        <v>107</v>
      </c>
      <c r="E1720" s="12">
        <v>107863459</v>
      </c>
    </row>
    <row r="1721" spans="1:5">
      <c r="A1721" s="12" t="s">
        <v>1813</v>
      </c>
      <c r="B1721" s="12">
        <v>2021</v>
      </c>
      <c r="C1721" s="12" t="s">
        <v>64</v>
      </c>
      <c r="D1721" s="12" t="s">
        <v>70</v>
      </c>
    </row>
    <row r="1722" spans="1:5">
      <c r="A1722" s="12" t="s">
        <v>1814</v>
      </c>
      <c r="B1722" s="12">
        <v>2021</v>
      </c>
      <c r="C1722" s="12" t="s">
        <v>69</v>
      </c>
      <c r="D1722" s="12" t="s">
        <v>70</v>
      </c>
    </row>
    <row r="1723" spans="1:5">
      <c r="A1723" s="12" t="s">
        <v>1815</v>
      </c>
      <c r="B1723" s="12">
        <v>2021</v>
      </c>
      <c r="C1723" s="12" t="s">
        <v>74</v>
      </c>
      <c r="D1723" s="12" t="s">
        <v>70</v>
      </c>
    </row>
    <row r="1724" spans="1:5">
      <c r="A1724" s="12" t="s">
        <v>1816</v>
      </c>
      <c r="B1724" s="12">
        <v>2021</v>
      </c>
      <c r="C1724" s="12" t="s">
        <v>78</v>
      </c>
      <c r="D1724" s="12" t="s">
        <v>70</v>
      </c>
    </row>
    <row r="1725" spans="1:5">
      <c r="A1725" s="12" t="s">
        <v>1817</v>
      </c>
      <c r="B1725" s="12">
        <v>2021</v>
      </c>
      <c r="C1725" s="12" t="s">
        <v>66</v>
      </c>
      <c r="D1725" s="12" t="s">
        <v>70</v>
      </c>
    </row>
    <row r="1726" spans="1:5">
      <c r="A1726" s="12" t="s">
        <v>1818</v>
      </c>
      <c r="B1726" s="12">
        <v>2021</v>
      </c>
      <c r="C1726" s="12" t="s">
        <v>64</v>
      </c>
      <c r="D1726" s="12" t="s">
        <v>41</v>
      </c>
    </row>
    <row r="1727" spans="1:5">
      <c r="A1727" s="12" t="s">
        <v>1819</v>
      </c>
      <c r="B1727" s="12">
        <v>2021</v>
      </c>
      <c r="C1727" s="12" t="s">
        <v>69</v>
      </c>
      <c r="D1727" s="12" t="s">
        <v>41</v>
      </c>
    </row>
    <row r="1728" spans="1:5">
      <c r="A1728" s="12" t="s">
        <v>1820</v>
      </c>
      <c r="B1728" s="12">
        <v>2021</v>
      </c>
      <c r="C1728" s="12" t="s">
        <v>74</v>
      </c>
      <c r="D1728" s="12" t="s">
        <v>41</v>
      </c>
    </row>
    <row r="1729" spans="1:4">
      <c r="A1729" s="12" t="s">
        <v>1821</v>
      </c>
      <c r="B1729" s="12">
        <v>2021</v>
      </c>
      <c r="C1729" s="12" t="s">
        <v>78</v>
      </c>
      <c r="D1729" s="12" t="s">
        <v>41</v>
      </c>
    </row>
    <row r="1730" spans="1:4">
      <c r="A1730" s="12" t="s">
        <v>1822</v>
      </c>
      <c r="B1730" s="12">
        <v>2021</v>
      </c>
      <c r="C1730" s="12" t="s">
        <v>66</v>
      </c>
      <c r="D1730" s="12" t="s">
        <v>41</v>
      </c>
    </row>
    <row r="1731" spans="1:4">
      <c r="A1731" s="12" t="s">
        <v>1823</v>
      </c>
      <c r="B1731" s="12">
        <v>2021</v>
      </c>
      <c r="C1731" s="12" t="s">
        <v>64</v>
      </c>
      <c r="D1731" s="12" t="s">
        <v>82</v>
      </c>
    </row>
    <row r="1732" spans="1:4">
      <c r="A1732" s="12" t="s">
        <v>1824</v>
      </c>
      <c r="B1732" s="12">
        <v>2021</v>
      </c>
      <c r="C1732" s="12" t="s">
        <v>69</v>
      </c>
      <c r="D1732" s="12" t="s">
        <v>82</v>
      </c>
    </row>
    <row r="1733" spans="1:4">
      <c r="A1733" s="12" t="s">
        <v>1825</v>
      </c>
      <c r="B1733" s="12">
        <v>2021</v>
      </c>
      <c r="C1733" s="12" t="s">
        <v>74</v>
      </c>
      <c r="D1733" s="12" t="s">
        <v>82</v>
      </c>
    </row>
    <row r="1734" spans="1:4">
      <c r="A1734" s="12" t="s">
        <v>1826</v>
      </c>
      <c r="B1734" s="12">
        <v>2021</v>
      </c>
      <c r="C1734" s="12" t="s">
        <v>78</v>
      </c>
      <c r="D1734" s="12" t="s">
        <v>82</v>
      </c>
    </row>
    <row r="1735" spans="1:4">
      <c r="A1735" s="12" t="s">
        <v>1827</v>
      </c>
      <c r="B1735" s="12">
        <v>2021</v>
      </c>
      <c r="C1735" s="12" t="s">
        <v>66</v>
      </c>
      <c r="D1735" s="12" t="s">
        <v>82</v>
      </c>
    </row>
    <row r="1736" spans="1:4">
      <c r="A1736" s="12" t="s">
        <v>1828</v>
      </c>
      <c r="B1736" s="12">
        <v>2021</v>
      </c>
      <c r="C1736" s="12" t="s">
        <v>78</v>
      </c>
      <c r="D1736" s="12" t="s">
        <v>37</v>
      </c>
    </row>
    <row r="1737" spans="1:4">
      <c r="A1737" s="12" t="s">
        <v>1829</v>
      </c>
      <c r="B1737" s="12">
        <v>2021</v>
      </c>
      <c r="C1737" s="12" t="s">
        <v>64</v>
      </c>
      <c r="D1737" s="12" t="s">
        <v>34</v>
      </c>
    </row>
    <row r="1738" spans="1:4">
      <c r="A1738" s="12" t="s">
        <v>1830</v>
      </c>
      <c r="B1738" s="12">
        <v>2021</v>
      </c>
      <c r="C1738" s="12" t="s">
        <v>69</v>
      </c>
      <c r="D1738" s="12" t="s">
        <v>34</v>
      </c>
    </row>
    <row r="1739" spans="1:4">
      <c r="A1739" s="12" t="s">
        <v>1831</v>
      </c>
      <c r="B1739" s="12">
        <v>2021</v>
      </c>
      <c r="C1739" s="12" t="s">
        <v>74</v>
      </c>
      <c r="D1739" s="12" t="s">
        <v>34</v>
      </c>
    </row>
    <row r="1740" spans="1:4">
      <c r="A1740" s="12" t="s">
        <v>1832</v>
      </c>
      <c r="B1740" s="12">
        <v>2021</v>
      </c>
      <c r="C1740" s="12" t="s">
        <v>78</v>
      </c>
      <c r="D1740" s="12" t="s">
        <v>34</v>
      </c>
    </row>
    <row r="1741" spans="1:4">
      <c r="A1741" s="12" t="s">
        <v>1833</v>
      </c>
      <c r="B1741" s="12">
        <v>2021</v>
      </c>
      <c r="C1741" s="12" t="s">
        <v>66</v>
      </c>
      <c r="D1741" s="12" t="s">
        <v>34</v>
      </c>
    </row>
    <row r="1742" spans="1:4">
      <c r="A1742" s="12" t="s">
        <v>1689</v>
      </c>
      <c r="B1742" s="12">
        <v>2022</v>
      </c>
      <c r="C1742" s="12" t="s">
        <v>74</v>
      </c>
      <c r="D1742" s="12" t="s">
        <v>67</v>
      </c>
    </row>
    <row r="1743" spans="1:4">
      <c r="A1743" s="12" t="s">
        <v>1690</v>
      </c>
      <c r="B1743" s="12">
        <v>2022</v>
      </c>
      <c r="C1743" s="12" t="s">
        <v>66</v>
      </c>
      <c r="D1743" s="12" t="s">
        <v>67</v>
      </c>
    </row>
    <row r="1744" spans="1:4">
      <c r="A1744" s="12" t="s">
        <v>1691</v>
      </c>
      <c r="B1744" s="12">
        <v>2022</v>
      </c>
      <c r="C1744" s="12" t="s">
        <v>69</v>
      </c>
      <c r="D1744" s="12" t="s">
        <v>67</v>
      </c>
    </row>
    <row r="1745" spans="1:4">
      <c r="A1745" s="12" t="s">
        <v>1692</v>
      </c>
      <c r="B1745" s="12">
        <v>2022</v>
      </c>
      <c r="C1745" s="12" t="s">
        <v>78</v>
      </c>
      <c r="D1745" s="12" t="s">
        <v>67</v>
      </c>
    </row>
    <row r="1746" spans="1:4">
      <c r="A1746" s="12" t="s">
        <v>1693</v>
      </c>
      <c r="B1746" s="12">
        <v>2022</v>
      </c>
      <c r="C1746" s="12" t="s">
        <v>64</v>
      </c>
      <c r="D1746" s="12" t="s">
        <v>67</v>
      </c>
    </row>
    <row r="1747" spans="1:4">
      <c r="A1747" s="12" t="s">
        <v>1694</v>
      </c>
      <c r="B1747" s="12">
        <v>2022</v>
      </c>
      <c r="C1747" s="12" t="s">
        <v>74</v>
      </c>
      <c r="D1747" s="12" t="s">
        <v>37</v>
      </c>
    </row>
    <row r="1748" spans="1:4">
      <c r="A1748" s="12" t="s">
        <v>1695</v>
      </c>
      <c r="B1748" s="12">
        <v>2022</v>
      </c>
      <c r="C1748" s="12" t="s">
        <v>66</v>
      </c>
      <c r="D1748" s="12" t="s">
        <v>37</v>
      </c>
    </row>
    <row r="1749" spans="1:4">
      <c r="A1749" s="12" t="s">
        <v>1696</v>
      </c>
      <c r="B1749" s="12">
        <v>2022</v>
      </c>
      <c r="C1749" s="12" t="s">
        <v>69</v>
      </c>
      <c r="D1749" s="12" t="s">
        <v>37</v>
      </c>
    </row>
    <row r="1750" spans="1:4">
      <c r="A1750" s="12" t="s">
        <v>1697</v>
      </c>
      <c r="B1750" s="12">
        <v>2022</v>
      </c>
      <c r="C1750" s="12" t="s">
        <v>64</v>
      </c>
      <c r="D1750" s="12" t="s">
        <v>37</v>
      </c>
    </row>
    <row r="1751" spans="1:4">
      <c r="A1751" s="12" t="s">
        <v>1698</v>
      </c>
      <c r="B1751" s="12">
        <v>2022</v>
      </c>
      <c r="C1751" s="12" t="s">
        <v>69</v>
      </c>
      <c r="D1751" s="12" t="s">
        <v>98</v>
      </c>
    </row>
    <row r="1752" spans="1:4">
      <c r="A1752" s="12" t="s">
        <v>1699</v>
      </c>
      <c r="B1752" s="12">
        <v>2022</v>
      </c>
      <c r="C1752" s="12" t="s">
        <v>74</v>
      </c>
      <c r="D1752" s="12" t="s">
        <v>87</v>
      </c>
    </row>
    <row r="1753" spans="1:4">
      <c r="A1753" s="12" t="s">
        <v>1700</v>
      </c>
      <c r="B1753" s="12">
        <v>2022</v>
      </c>
      <c r="C1753" s="12" t="s">
        <v>69</v>
      </c>
      <c r="D1753" s="12" t="s">
        <v>48</v>
      </c>
    </row>
    <row r="1754" spans="1:4">
      <c r="A1754" s="12" t="s">
        <v>1701</v>
      </c>
      <c r="B1754" s="12">
        <v>2022</v>
      </c>
      <c r="C1754" s="12" t="s">
        <v>66</v>
      </c>
      <c r="D1754" s="12" t="s">
        <v>87</v>
      </c>
    </row>
    <row r="1755" spans="1:4">
      <c r="A1755" s="12" t="s">
        <v>1702</v>
      </c>
      <c r="B1755" s="12">
        <v>2022</v>
      </c>
      <c r="C1755" s="12" t="s">
        <v>66</v>
      </c>
      <c r="D1755" s="12" t="s">
        <v>48</v>
      </c>
    </row>
    <row r="1756" spans="1:4">
      <c r="A1756" s="12" t="s">
        <v>1703</v>
      </c>
      <c r="B1756" s="12">
        <v>2022</v>
      </c>
      <c r="C1756" s="12" t="s">
        <v>74</v>
      </c>
      <c r="D1756" s="12" t="s">
        <v>93</v>
      </c>
    </row>
    <row r="1757" spans="1:4">
      <c r="A1757" s="12" t="s">
        <v>1704</v>
      </c>
      <c r="B1757" s="12">
        <v>2022</v>
      </c>
      <c r="C1757" s="12" t="s">
        <v>69</v>
      </c>
      <c r="D1757" s="12" t="s">
        <v>54</v>
      </c>
    </row>
    <row r="1758" spans="1:4">
      <c r="A1758" s="12" t="s">
        <v>1705</v>
      </c>
      <c r="B1758" s="12">
        <v>2022</v>
      </c>
      <c r="C1758" s="12" t="s">
        <v>69</v>
      </c>
      <c r="D1758" s="12" t="s">
        <v>87</v>
      </c>
    </row>
    <row r="1759" spans="1:4">
      <c r="A1759" s="12" t="s">
        <v>1706</v>
      </c>
      <c r="B1759" s="12">
        <v>2022</v>
      </c>
      <c r="C1759" s="12" t="s">
        <v>78</v>
      </c>
      <c r="D1759" s="12" t="s">
        <v>87</v>
      </c>
    </row>
    <row r="1760" spans="1:4">
      <c r="A1760" s="12" t="s">
        <v>1707</v>
      </c>
      <c r="B1760" s="12">
        <v>2022</v>
      </c>
      <c r="C1760" s="12" t="s">
        <v>66</v>
      </c>
      <c r="D1760" s="12" t="s">
        <v>98</v>
      </c>
    </row>
    <row r="1761" spans="1:4">
      <c r="A1761" s="12" t="s">
        <v>1708</v>
      </c>
      <c r="B1761" s="12">
        <v>2022</v>
      </c>
      <c r="C1761" s="12" t="s">
        <v>78</v>
      </c>
      <c r="D1761" s="12" t="s">
        <v>48</v>
      </c>
    </row>
    <row r="1762" spans="1:4">
      <c r="A1762" s="12" t="s">
        <v>1709</v>
      </c>
      <c r="B1762" s="12">
        <v>2022</v>
      </c>
      <c r="C1762" s="12" t="s">
        <v>74</v>
      </c>
      <c r="D1762" s="12" t="s">
        <v>104</v>
      </c>
    </row>
    <row r="1763" spans="1:4">
      <c r="A1763" s="12" t="s">
        <v>1710</v>
      </c>
      <c r="B1763" s="12">
        <v>2022</v>
      </c>
      <c r="C1763" s="12" t="s">
        <v>74</v>
      </c>
      <c r="D1763" s="12" t="s">
        <v>48</v>
      </c>
    </row>
    <row r="1764" spans="1:4">
      <c r="A1764" s="12" t="s">
        <v>1711</v>
      </c>
      <c r="B1764" s="12">
        <v>2022</v>
      </c>
      <c r="C1764" s="12" t="s">
        <v>69</v>
      </c>
      <c r="D1764" s="12" t="s">
        <v>93</v>
      </c>
    </row>
    <row r="1765" spans="1:4">
      <c r="A1765" s="12" t="s">
        <v>1712</v>
      </c>
      <c r="B1765" s="12">
        <v>2022</v>
      </c>
      <c r="C1765" s="12" t="s">
        <v>78</v>
      </c>
      <c r="D1765" s="12" t="s">
        <v>98</v>
      </c>
    </row>
    <row r="1766" spans="1:4">
      <c r="A1766" s="12" t="s">
        <v>1713</v>
      </c>
      <c r="B1766" s="12">
        <v>2022</v>
      </c>
      <c r="C1766" s="12" t="s">
        <v>66</v>
      </c>
      <c r="D1766" s="12" t="s">
        <v>93</v>
      </c>
    </row>
    <row r="1767" spans="1:4">
      <c r="A1767" s="12" t="s">
        <v>1714</v>
      </c>
      <c r="B1767" s="12">
        <v>2022</v>
      </c>
      <c r="C1767" s="12" t="s">
        <v>66</v>
      </c>
      <c r="D1767" s="12" t="s">
        <v>54</v>
      </c>
    </row>
    <row r="1768" spans="1:4">
      <c r="A1768" s="12" t="s">
        <v>1715</v>
      </c>
      <c r="B1768" s="12">
        <v>2022</v>
      </c>
      <c r="C1768" s="12" t="s">
        <v>66</v>
      </c>
      <c r="D1768" s="12" t="s">
        <v>113</v>
      </c>
    </row>
    <row r="1769" spans="1:4">
      <c r="A1769" s="12" t="s">
        <v>1716</v>
      </c>
      <c r="B1769" s="12">
        <v>2022</v>
      </c>
      <c r="C1769" s="12" t="s">
        <v>74</v>
      </c>
      <c r="D1769" s="12" t="s">
        <v>122</v>
      </c>
    </row>
    <row r="1770" spans="1:4">
      <c r="A1770" s="12" t="s">
        <v>1717</v>
      </c>
      <c r="B1770" s="12">
        <v>2022</v>
      </c>
      <c r="C1770" s="12" t="s">
        <v>69</v>
      </c>
      <c r="D1770" s="12" t="s">
        <v>113</v>
      </c>
    </row>
    <row r="1771" spans="1:4">
      <c r="A1771" s="12" t="s">
        <v>1718</v>
      </c>
      <c r="B1771" s="12">
        <v>2022</v>
      </c>
      <c r="C1771" s="12" t="s">
        <v>74</v>
      </c>
      <c r="D1771" s="12" t="s">
        <v>113</v>
      </c>
    </row>
    <row r="1772" spans="1:4">
      <c r="A1772" s="12" t="s">
        <v>1719</v>
      </c>
      <c r="B1772" s="12">
        <v>2022</v>
      </c>
      <c r="C1772" s="12" t="s">
        <v>64</v>
      </c>
      <c r="D1772" s="12" t="s">
        <v>87</v>
      </c>
    </row>
    <row r="1773" spans="1:4">
      <c r="A1773" s="12" t="s">
        <v>1720</v>
      </c>
      <c r="B1773" s="12">
        <v>2022</v>
      </c>
      <c r="C1773" s="12" t="s">
        <v>78</v>
      </c>
      <c r="D1773" s="12" t="s">
        <v>54</v>
      </c>
    </row>
    <row r="1774" spans="1:4">
      <c r="A1774" s="12" t="s">
        <v>1721</v>
      </c>
      <c r="B1774" s="12">
        <v>2022</v>
      </c>
      <c r="C1774" s="12" t="s">
        <v>74</v>
      </c>
      <c r="D1774" s="12" t="s">
        <v>109</v>
      </c>
    </row>
    <row r="1775" spans="1:4">
      <c r="A1775" s="12" t="s">
        <v>1722</v>
      </c>
      <c r="B1775" s="12">
        <v>2022</v>
      </c>
      <c r="C1775" s="12" t="s">
        <v>74</v>
      </c>
      <c r="D1775" s="12" t="s">
        <v>98</v>
      </c>
    </row>
    <row r="1776" spans="1:4">
      <c r="A1776" s="12" t="s">
        <v>1723</v>
      </c>
      <c r="B1776" s="12">
        <v>2022</v>
      </c>
      <c r="C1776" s="12" t="s">
        <v>69</v>
      </c>
      <c r="D1776" s="12" t="s">
        <v>39</v>
      </c>
    </row>
    <row r="1777" spans="1:4">
      <c r="A1777" s="12" t="s">
        <v>1724</v>
      </c>
      <c r="B1777" s="12">
        <v>2022</v>
      </c>
      <c r="C1777" s="12" t="s">
        <v>64</v>
      </c>
      <c r="D1777" s="12" t="s">
        <v>48</v>
      </c>
    </row>
    <row r="1778" spans="1:4">
      <c r="A1778" s="12" t="s">
        <v>1725</v>
      </c>
      <c r="B1778" s="12">
        <v>2022</v>
      </c>
      <c r="C1778" s="12" t="s">
        <v>69</v>
      </c>
      <c r="D1778" s="12" t="s">
        <v>85</v>
      </c>
    </row>
    <row r="1779" spans="1:4">
      <c r="A1779" s="12" t="s">
        <v>1726</v>
      </c>
      <c r="B1779" s="12">
        <v>2022</v>
      </c>
      <c r="C1779" s="12" t="s">
        <v>78</v>
      </c>
      <c r="D1779" s="12" t="s">
        <v>104</v>
      </c>
    </row>
    <row r="1780" spans="1:4">
      <c r="A1780" s="12" t="s">
        <v>1727</v>
      </c>
      <c r="B1780" s="12">
        <v>2022</v>
      </c>
      <c r="C1780" s="12" t="s">
        <v>78</v>
      </c>
      <c r="D1780" s="12" t="s">
        <v>113</v>
      </c>
    </row>
    <row r="1781" spans="1:4">
      <c r="A1781" s="12" t="s">
        <v>1728</v>
      </c>
      <c r="B1781" s="12">
        <v>2022</v>
      </c>
      <c r="C1781" s="12" t="s">
        <v>69</v>
      </c>
      <c r="D1781" s="12" t="s">
        <v>50</v>
      </c>
    </row>
    <row r="1782" spans="1:4">
      <c r="A1782" s="12" t="s">
        <v>1729</v>
      </c>
      <c r="B1782" s="12">
        <v>2022</v>
      </c>
      <c r="C1782" s="12" t="s">
        <v>78</v>
      </c>
      <c r="D1782" s="12" t="s">
        <v>93</v>
      </c>
    </row>
    <row r="1783" spans="1:4">
      <c r="A1783" s="12" t="s">
        <v>1730</v>
      </c>
      <c r="B1783" s="12">
        <v>2022</v>
      </c>
      <c r="C1783" s="12" t="s">
        <v>74</v>
      </c>
      <c r="D1783" s="12" t="s">
        <v>54</v>
      </c>
    </row>
    <row r="1784" spans="1:4">
      <c r="A1784" s="12" t="s">
        <v>1731</v>
      </c>
      <c r="B1784" s="12">
        <v>2022</v>
      </c>
      <c r="C1784" s="12" t="s">
        <v>74</v>
      </c>
      <c r="D1784" s="12" t="s">
        <v>118</v>
      </c>
    </row>
    <row r="1785" spans="1:4">
      <c r="A1785" s="12" t="s">
        <v>1732</v>
      </c>
      <c r="B1785" s="12">
        <v>2022</v>
      </c>
      <c r="C1785" s="12" t="s">
        <v>66</v>
      </c>
      <c r="D1785" s="12" t="s">
        <v>104</v>
      </c>
    </row>
    <row r="1786" spans="1:4">
      <c r="A1786" s="12" t="s">
        <v>1733</v>
      </c>
      <c r="B1786" s="12">
        <v>2022</v>
      </c>
      <c r="C1786" s="12" t="s">
        <v>66</v>
      </c>
      <c r="D1786" s="12" t="s">
        <v>118</v>
      </c>
    </row>
    <row r="1787" spans="1:4">
      <c r="A1787" s="12" t="s">
        <v>1734</v>
      </c>
      <c r="B1787" s="12">
        <v>2022</v>
      </c>
      <c r="C1787" s="12" t="s">
        <v>64</v>
      </c>
      <c r="D1787" s="12" t="s">
        <v>98</v>
      </c>
    </row>
    <row r="1788" spans="1:4">
      <c r="A1788" s="12" t="s">
        <v>1735</v>
      </c>
      <c r="B1788" s="12">
        <v>2022</v>
      </c>
      <c r="C1788" s="12" t="s">
        <v>74</v>
      </c>
      <c r="D1788" s="12" t="s">
        <v>111</v>
      </c>
    </row>
    <row r="1789" spans="1:4">
      <c r="A1789" s="12" t="s">
        <v>1736</v>
      </c>
      <c r="B1789" s="12">
        <v>2022</v>
      </c>
      <c r="C1789" s="12" t="s">
        <v>66</v>
      </c>
      <c r="D1789" s="12" t="s">
        <v>39</v>
      </c>
    </row>
    <row r="1790" spans="1:4">
      <c r="A1790" s="12" t="s">
        <v>1737</v>
      </c>
      <c r="B1790" s="12">
        <v>2022</v>
      </c>
      <c r="C1790" s="12" t="s">
        <v>66</v>
      </c>
      <c r="D1790" s="12" t="s">
        <v>85</v>
      </c>
    </row>
    <row r="1791" spans="1:4">
      <c r="A1791" s="12" t="s">
        <v>1738</v>
      </c>
      <c r="B1791" s="12">
        <v>2022</v>
      </c>
      <c r="C1791" s="12" t="s">
        <v>66</v>
      </c>
      <c r="D1791" s="12" t="s">
        <v>50</v>
      </c>
    </row>
    <row r="1792" spans="1:4">
      <c r="A1792" s="12" t="s">
        <v>1739</v>
      </c>
      <c r="B1792" s="12">
        <v>2022</v>
      </c>
      <c r="C1792" s="12" t="s">
        <v>74</v>
      </c>
      <c r="D1792" s="12" t="s">
        <v>96</v>
      </c>
    </row>
    <row r="1793" spans="1:4">
      <c r="A1793" s="12" t="s">
        <v>1740</v>
      </c>
      <c r="B1793" s="12">
        <v>2022</v>
      </c>
      <c r="C1793" s="12" t="s">
        <v>74</v>
      </c>
      <c r="D1793" s="12" t="s">
        <v>39</v>
      </c>
    </row>
    <row r="1794" spans="1:4">
      <c r="A1794" s="12" t="s">
        <v>1741</v>
      </c>
      <c r="B1794" s="12">
        <v>2022</v>
      </c>
      <c r="C1794" s="12" t="s">
        <v>74</v>
      </c>
      <c r="D1794" s="12" t="s">
        <v>85</v>
      </c>
    </row>
    <row r="1795" spans="1:4">
      <c r="A1795" s="12" t="s">
        <v>1742</v>
      </c>
      <c r="B1795" s="12">
        <v>2022</v>
      </c>
      <c r="C1795" s="12" t="s">
        <v>66</v>
      </c>
      <c r="D1795" s="12" t="s">
        <v>111</v>
      </c>
    </row>
    <row r="1796" spans="1:4">
      <c r="A1796" s="12" t="s">
        <v>1743</v>
      </c>
      <c r="B1796" s="12">
        <v>2022</v>
      </c>
      <c r="C1796" s="12" t="s">
        <v>64</v>
      </c>
      <c r="D1796" s="12" t="s">
        <v>93</v>
      </c>
    </row>
    <row r="1797" spans="1:4">
      <c r="A1797" s="12" t="s">
        <v>1744</v>
      </c>
      <c r="B1797" s="12">
        <v>2022</v>
      </c>
      <c r="C1797" s="12" t="s">
        <v>78</v>
      </c>
      <c r="D1797" s="12" t="s">
        <v>50</v>
      </c>
    </row>
    <row r="1798" spans="1:4">
      <c r="A1798" s="12" t="s">
        <v>1745</v>
      </c>
      <c r="B1798" s="12">
        <v>2022</v>
      </c>
      <c r="C1798" s="12" t="s">
        <v>78</v>
      </c>
      <c r="D1798" s="12" t="s">
        <v>85</v>
      </c>
    </row>
    <row r="1799" spans="1:4">
      <c r="A1799" s="12" t="s">
        <v>1746</v>
      </c>
      <c r="B1799" s="12">
        <v>2022</v>
      </c>
      <c r="C1799" s="12" t="s">
        <v>78</v>
      </c>
      <c r="D1799" s="12" t="s">
        <v>39</v>
      </c>
    </row>
    <row r="1800" spans="1:4">
      <c r="A1800" s="12" t="s">
        <v>1747</v>
      </c>
      <c r="B1800" s="12">
        <v>2022</v>
      </c>
      <c r="C1800" s="12" t="s">
        <v>78</v>
      </c>
      <c r="D1800" s="12" t="s">
        <v>122</v>
      </c>
    </row>
    <row r="1801" spans="1:4">
      <c r="A1801" s="12" t="s">
        <v>1748</v>
      </c>
      <c r="B1801" s="12">
        <v>2022</v>
      </c>
      <c r="C1801" s="12" t="s">
        <v>66</v>
      </c>
      <c r="D1801" s="12" t="s">
        <v>96</v>
      </c>
    </row>
    <row r="1802" spans="1:4">
      <c r="A1802" s="12" t="s">
        <v>1749</v>
      </c>
      <c r="B1802" s="12">
        <v>2022</v>
      </c>
      <c r="C1802" s="12" t="s">
        <v>69</v>
      </c>
      <c r="D1802" s="12" t="s">
        <v>109</v>
      </c>
    </row>
    <row r="1803" spans="1:4">
      <c r="A1803" s="12" t="s">
        <v>1750</v>
      </c>
      <c r="B1803" s="12">
        <v>2022</v>
      </c>
      <c r="C1803" s="12" t="s">
        <v>69</v>
      </c>
      <c r="D1803" s="12" t="s">
        <v>46</v>
      </c>
    </row>
    <row r="1804" spans="1:4">
      <c r="A1804" s="12" t="s">
        <v>1751</v>
      </c>
      <c r="B1804" s="12">
        <v>2022</v>
      </c>
      <c r="C1804" s="12" t="s">
        <v>69</v>
      </c>
      <c r="D1804" s="12" t="s">
        <v>104</v>
      </c>
    </row>
    <row r="1805" spans="1:4">
      <c r="A1805" s="12" t="s">
        <v>1752</v>
      </c>
      <c r="B1805" s="12">
        <v>2022</v>
      </c>
      <c r="C1805" s="12" t="s">
        <v>66</v>
      </c>
      <c r="D1805" s="12" t="s">
        <v>89</v>
      </c>
    </row>
    <row r="1806" spans="1:4">
      <c r="A1806" s="12" t="s">
        <v>1753</v>
      </c>
      <c r="B1806" s="12">
        <v>2022</v>
      </c>
      <c r="C1806" s="12" t="s">
        <v>69</v>
      </c>
      <c r="D1806" s="12" t="s">
        <v>96</v>
      </c>
    </row>
    <row r="1807" spans="1:4">
      <c r="A1807" s="12" t="s">
        <v>1754</v>
      </c>
      <c r="B1807" s="12">
        <v>2022</v>
      </c>
      <c r="C1807" s="12" t="s">
        <v>64</v>
      </c>
      <c r="D1807" s="12" t="s">
        <v>54</v>
      </c>
    </row>
    <row r="1808" spans="1:4">
      <c r="A1808" s="12" t="s">
        <v>1755</v>
      </c>
      <c r="B1808" s="12">
        <v>2022</v>
      </c>
      <c r="C1808" s="12" t="s">
        <v>69</v>
      </c>
      <c r="D1808" s="12" t="s">
        <v>118</v>
      </c>
    </row>
    <row r="1809" spans="1:4">
      <c r="A1809" s="12" t="s">
        <v>1756</v>
      </c>
      <c r="B1809" s="12">
        <v>2022</v>
      </c>
      <c r="C1809" s="12" t="s">
        <v>64</v>
      </c>
      <c r="D1809" s="12" t="s">
        <v>113</v>
      </c>
    </row>
    <row r="1810" spans="1:4">
      <c r="A1810" s="12" t="s">
        <v>1757</v>
      </c>
      <c r="B1810" s="12">
        <v>2022</v>
      </c>
      <c r="C1810" s="12" t="s">
        <v>66</v>
      </c>
      <c r="D1810" s="12" t="s">
        <v>46</v>
      </c>
    </row>
    <row r="1811" spans="1:4">
      <c r="A1811" s="12" t="s">
        <v>1758</v>
      </c>
      <c r="B1811" s="12">
        <v>2022</v>
      </c>
      <c r="C1811" s="12" t="s">
        <v>69</v>
      </c>
      <c r="D1811" s="12" t="s">
        <v>89</v>
      </c>
    </row>
    <row r="1812" spans="1:4">
      <c r="A1812" s="12" t="s">
        <v>1759</v>
      </c>
      <c r="B1812" s="12">
        <v>2022</v>
      </c>
      <c r="C1812" s="12" t="s">
        <v>78</v>
      </c>
      <c r="D1812" s="12" t="s">
        <v>109</v>
      </c>
    </row>
    <row r="1813" spans="1:4">
      <c r="A1813" s="12" t="s">
        <v>1760</v>
      </c>
      <c r="B1813" s="12">
        <v>2022</v>
      </c>
      <c r="C1813" s="12" t="s">
        <v>78</v>
      </c>
      <c r="D1813" s="12" t="s">
        <v>46</v>
      </c>
    </row>
    <row r="1814" spans="1:4">
      <c r="A1814" s="12" t="s">
        <v>1761</v>
      </c>
      <c r="B1814" s="12">
        <v>2022</v>
      </c>
      <c r="C1814" s="12" t="s">
        <v>69</v>
      </c>
      <c r="D1814" s="12" t="s">
        <v>111</v>
      </c>
    </row>
    <row r="1815" spans="1:4">
      <c r="A1815" s="12" t="s">
        <v>1762</v>
      </c>
      <c r="B1815" s="12">
        <v>2022</v>
      </c>
      <c r="C1815" s="12" t="s">
        <v>66</v>
      </c>
      <c r="D1815" s="12" t="s">
        <v>109</v>
      </c>
    </row>
    <row r="1816" spans="1:4">
      <c r="A1816" s="12" t="s">
        <v>1763</v>
      </c>
      <c r="B1816" s="12">
        <v>2022</v>
      </c>
      <c r="C1816" s="12" t="s">
        <v>78</v>
      </c>
      <c r="D1816" s="12" t="s">
        <v>89</v>
      </c>
    </row>
    <row r="1817" spans="1:4">
      <c r="A1817" s="12" t="s">
        <v>1764</v>
      </c>
      <c r="B1817" s="12">
        <v>2022</v>
      </c>
      <c r="C1817" s="12" t="s">
        <v>74</v>
      </c>
      <c r="D1817" s="12" t="s">
        <v>89</v>
      </c>
    </row>
    <row r="1818" spans="1:4">
      <c r="A1818" s="12" t="s">
        <v>1765</v>
      </c>
      <c r="B1818" s="12">
        <v>2022</v>
      </c>
      <c r="C1818" s="12" t="s">
        <v>74</v>
      </c>
      <c r="D1818" s="12" t="s">
        <v>50</v>
      </c>
    </row>
    <row r="1819" spans="1:4">
      <c r="A1819" s="12" t="s">
        <v>1766</v>
      </c>
      <c r="B1819" s="12">
        <v>2022</v>
      </c>
      <c r="C1819" s="12" t="s">
        <v>78</v>
      </c>
      <c r="D1819" s="12" t="s">
        <v>118</v>
      </c>
    </row>
    <row r="1820" spans="1:4">
      <c r="A1820" s="12" t="s">
        <v>1767</v>
      </c>
      <c r="B1820" s="12">
        <v>2022</v>
      </c>
      <c r="C1820" s="12" t="s">
        <v>74</v>
      </c>
      <c r="D1820" s="12" t="s">
        <v>46</v>
      </c>
    </row>
    <row r="1821" spans="1:4">
      <c r="A1821" s="12" t="s">
        <v>1768</v>
      </c>
      <c r="B1821" s="12">
        <v>2022</v>
      </c>
      <c r="C1821" s="12" t="s">
        <v>64</v>
      </c>
      <c r="D1821" s="12" t="s">
        <v>104</v>
      </c>
    </row>
    <row r="1822" spans="1:4">
      <c r="A1822" s="12" t="s">
        <v>1769</v>
      </c>
      <c r="B1822" s="12">
        <v>2022</v>
      </c>
      <c r="C1822" s="12" t="s">
        <v>66</v>
      </c>
      <c r="D1822" s="12" t="s">
        <v>105</v>
      </c>
    </row>
    <row r="1823" spans="1:4">
      <c r="A1823" s="12" t="s">
        <v>1770</v>
      </c>
      <c r="B1823" s="12">
        <v>2022</v>
      </c>
      <c r="C1823" s="12" t="s">
        <v>78</v>
      </c>
      <c r="D1823" s="12" t="s">
        <v>111</v>
      </c>
    </row>
    <row r="1824" spans="1:4">
      <c r="A1824" s="12" t="s">
        <v>1771</v>
      </c>
      <c r="B1824" s="12">
        <v>2022</v>
      </c>
      <c r="C1824" s="12" t="s">
        <v>74</v>
      </c>
      <c r="D1824" s="12" t="s">
        <v>105</v>
      </c>
    </row>
    <row r="1825" spans="1:4">
      <c r="A1825" s="12" t="s">
        <v>1772</v>
      </c>
      <c r="B1825" s="12">
        <v>2022</v>
      </c>
      <c r="C1825" s="12" t="s">
        <v>64</v>
      </c>
      <c r="D1825" s="12" t="s">
        <v>39</v>
      </c>
    </row>
    <row r="1826" spans="1:4">
      <c r="A1826" s="12" t="s">
        <v>1773</v>
      </c>
      <c r="B1826" s="12">
        <v>2022</v>
      </c>
      <c r="C1826" s="12" t="s">
        <v>64</v>
      </c>
      <c r="D1826" s="12" t="s">
        <v>85</v>
      </c>
    </row>
    <row r="1827" spans="1:4">
      <c r="A1827" s="12" t="s">
        <v>1774</v>
      </c>
      <c r="B1827" s="12">
        <v>2022</v>
      </c>
      <c r="C1827" s="12" t="s">
        <v>69</v>
      </c>
      <c r="D1827" s="12" t="s">
        <v>122</v>
      </c>
    </row>
    <row r="1828" spans="1:4">
      <c r="A1828" s="12" t="s">
        <v>1775</v>
      </c>
      <c r="B1828" s="12">
        <v>2022</v>
      </c>
      <c r="C1828" s="12" t="s">
        <v>78</v>
      </c>
      <c r="D1828" s="12" t="s">
        <v>96</v>
      </c>
    </row>
    <row r="1829" spans="1:4">
      <c r="A1829" s="12" t="s">
        <v>1776</v>
      </c>
      <c r="B1829" s="12">
        <v>2022</v>
      </c>
      <c r="C1829" s="12" t="s">
        <v>64</v>
      </c>
      <c r="D1829" s="12" t="s">
        <v>50</v>
      </c>
    </row>
    <row r="1830" spans="1:4">
      <c r="A1830" s="12" t="s">
        <v>1777</v>
      </c>
      <c r="B1830" s="12">
        <v>2022</v>
      </c>
      <c r="C1830" s="12" t="s">
        <v>64</v>
      </c>
      <c r="D1830" s="12" t="s">
        <v>109</v>
      </c>
    </row>
    <row r="1831" spans="1:4">
      <c r="A1831" s="12" t="s">
        <v>1778</v>
      </c>
      <c r="B1831" s="12">
        <v>2022</v>
      </c>
      <c r="C1831" s="12" t="s">
        <v>64</v>
      </c>
      <c r="D1831" s="12" t="s">
        <v>118</v>
      </c>
    </row>
    <row r="1832" spans="1:4">
      <c r="A1832" s="12" t="s">
        <v>1779</v>
      </c>
      <c r="B1832" s="12">
        <v>2022</v>
      </c>
      <c r="C1832" s="12" t="s">
        <v>69</v>
      </c>
      <c r="D1832" s="12" t="s">
        <v>91</v>
      </c>
    </row>
    <row r="1833" spans="1:4">
      <c r="A1833" s="12" t="s">
        <v>1780</v>
      </c>
      <c r="B1833" s="12">
        <v>2022</v>
      </c>
      <c r="C1833" s="12" t="s">
        <v>69</v>
      </c>
      <c r="D1833" s="12" t="s">
        <v>124</v>
      </c>
    </row>
    <row r="1834" spans="1:4">
      <c r="A1834" s="12" t="s">
        <v>1781</v>
      </c>
      <c r="B1834" s="12">
        <v>2022</v>
      </c>
      <c r="C1834" s="12" t="s">
        <v>66</v>
      </c>
      <c r="D1834" s="12" t="s">
        <v>122</v>
      </c>
    </row>
    <row r="1835" spans="1:4">
      <c r="A1835" s="12" t="s">
        <v>1782</v>
      </c>
      <c r="B1835" s="12">
        <v>2022</v>
      </c>
      <c r="C1835" s="12" t="s">
        <v>74</v>
      </c>
      <c r="D1835" s="12" t="s">
        <v>102</v>
      </c>
    </row>
    <row r="1836" spans="1:4">
      <c r="A1836" s="12" t="s">
        <v>1783</v>
      </c>
      <c r="B1836" s="12">
        <v>2022</v>
      </c>
      <c r="C1836" s="12" t="s">
        <v>69</v>
      </c>
      <c r="D1836" s="12" t="s">
        <v>100</v>
      </c>
    </row>
    <row r="1837" spans="1:4">
      <c r="A1837" s="12" t="s">
        <v>1784</v>
      </c>
      <c r="B1837" s="12">
        <v>2022</v>
      </c>
      <c r="C1837" s="12" t="s">
        <v>69</v>
      </c>
      <c r="D1837" s="12" t="s">
        <v>105</v>
      </c>
    </row>
    <row r="1838" spans="1:4">
      <c r="A1838" s="12" t="s">
        <v>1785</v>
      </c>
      <c r="B1838" s="12">
        <v>2022</v>
      </c>
      <c r="C1838" s="12" t="s">
        <v>64</v>
      </c>
      <c r="D1838" s="12" t="s">
        <v>111</v>
      </c>
    </row>
    <row r="1839" spans="1:4">
      <c r="A1839" s="12" t="s">
        <v>1786</v>
      </c>
      <c r="B1839" s="12">
        <v>2022</v>
      </c>
      <c r="C1839" s="12" t="s">
        <v>64</v>
      </c>
      <c r="D1839" s="12" t="s">
        <v>89</v>
      </c>
    </row>
    <row r="1840" spans="1:4">
      <c r="A1840" s="12" t="s">
        <v>1787</v>
      </c>
      <c r="B1840" s="12">
        <v>2022</v>
      </c>
      <c r="C1840" s="12" t="s">
        <v>64</v>
      </c>
      <c r="D1840" s="12" t="s">
        <v>46</v>
      </c>
    </row>
    <row r="1841" spans="1:4">
      <c r="A1841" s="12" t="s">
        <v>1788</v>
      </c>
      <c r="B1841" s="12">
        <v>2022</v>
      </c>
      <c r="C1841" s="12" t="s">
        <v>64</v>
      </c>
      <c r="D1841" s="12" t="s">
        <v>96</v>
      </c>
    </row>
    <row r="1842" spans="1:4">
      <c r="A1842" s="12" t="s">
        <v>1789</v>
      </c>
      <c r="B1842" s="12">
        <v>2022</v>
      </c>
      <c r="C1842" s="12" t="s">
        <v>66</v>
      </c>
      <c r="D1842" s="12" t="s">
        <v>91</v>
      </c>
    </row>
    <row r="1843" spans="1:4">
      <c r="A1843" s="12" t="s">
        <v>1790</v>
      </c>
      <c r="B1843" s="12">
        <v>2022</v>
      </c>
      <c r="C1843" s="12" t="s">
        <v>66</v>
      </c>
      <c r="D1843" s="12" t="s">
        <v>124</v>
      </c>
    </row>
    <row r="1844" spans="1:4">
      <c r="A1844" s="12" t="s">
        <v>1791</v>
      </c>
      <c r="B1844" s="12">
        <v>2022</v>
      </c>
      <c r="C1844" s="12" t="s">
        <v>66</v>
      </c>
      <c r="D1844" s="12" t="s">
        <v>100</v>
      </c>
    </row>
    <row r="1845" spans="1:4">
      <c r="A1845" s="12" t="s">
        <v>1792</v>
      </c>
      <c r="B1845" s="12">
        <v>2022</v>
      </c>
      <c r="C1845" s="12" t="s">
        <v>64</v>
      </c>
      <c r="D1845" s="12" t="s">
        <v>122</v>
      </c>
    </row>
    <row r="1846" spans="1:4">
      <c r="A1846" s="12" t="s">
        <v>1793</v>
      </c>
      <c r="B1846" s="12">
        <v>2022</v>
      </c>
      <c r="C1846" s="12" t="s">
        <v>78</v>
      </c>
      <c r="D1846" s="12" t="s">
        <v>105</v>
      </c>
    </row>
    <row r="1847" spans="1:4">
      <c r="A1847" s="12" t="s">
        <v>1794</v>
      </c>
      <c r="B1847" s="12">
        <v>2022</v>
      </c>
      <c r="C1847" s="12" t="s">
        <v>78</v>
      </c>
      <c r="D1847" s="12" t="s">
        <v>91</v>
      </c>
    </row>
    <row r="1848" spans="1:4">
      <c r="A1848" s="12" t="s">
        <v>1795</v>
      </c>
      <c r="B1848" s="12">
        <v>2022</v>
      </c>
      <c r="C1848" s="12" t="s">
        <v>66</v>
      </c>
      <c r="D1848" s="12" t="s">
        <v>102</v>
      </c>
    </row>
    <row r="1849" spans="1:4">
      <c r="A1849" s="12" t="s">
        <v>1796</v>
      </c>
      <c r="B1849" s="12">
        <v>2022</v>
      </c>
      <c r="C1849" s="12" t="s">
        <v>78</v>
      </c>
      <c r="D1849" s="12" t="s">
        <v>124</v>
      </c>
    </row>
    <row r="1850" spans="1:4">
      <c r="A1850" s="12" t="s">
        <v>1797</v>
      </c>
      <c r="B1850" s="12">
        <v>2022</v>
      </c>
      <c r="C1850" s="12" t="s">
        <v>78</v>
      </c>
      <c r="D1850" s="12" t="s">
        <v>100</v>
      </c>
    </row>
    <row r="1851" spans="1:4">
      <c r="A1851" s="12" t="s">
        <v>1798</v>
      </c>
      <c r="B1851" s="12">
        <v>2022</v>
      </c>
      <c r="C1851" s="12" t="s">
        <v>69</v>
      </c>
      <c r="D1851" s="12" t="s">
        <v>102</v>
      </c>
    </row>
    <row r="1852" spans="1:4">
      <c r="A1852" s="12" t="s">
        <v>1799</v>
      </c>
      <c r="B1852" s="12">
        <v>2022</v>
      </c>
      <c r="C1852" s="12" t="s">
        <v>74</v>
      </c>
      <c r="D1852" s="12" t="s">
        <v>91</v>
      </c>
    </row>
    <row r="1853" spans="1:4">
      <c r="A1853" s="12" t="s">
        <v>1800</v>
      </c>
      <c r="B1853" s="12">
        <v>2022</v>
      </c>
      <c r="C1853" s="12" t="s">
        <v>74</v>
      </c>
      <c r="D1853" s="12" t="s">
        <v>124</v>
      </c>
    </row>
    <row r="1854" spans="1:4">
      <c r="A1854" s="12" t="s">
        <v>1801</v>
      </c>
      <c r="B1854" s="12">
        <v>2022</v>
      </c>
      <c r="C1854" s="12" t="s">
        <v>74</v>
      </c>
      <c r="D1854" s="12" t="s">
        <v>100</v>
      </c>
    </row>
    <row r="1855" spans="1:4">
      <c r="A1855" s="12" t="s">
        <v>1802</v>
      </c>
      <c r="B1855" s="12">
        <v>2022</v>
      </c>
      <c r="C1855" s="12" t="s">
        <v>69</v>
      </c>
      <c r="D1855" s="12" t="s">
        <v>107</v>
      </c>
    </row>
    <row r="1856" spans="1:4">
      <c r="A1856" s="12" t="s">
        <v>1803</v>
      </c>
      <c r="B1856" s="12">
        <v>2022</v>
      </c>
      <c r="C1856" s="12" t="s">
        <v>66</v>
      </c>
      <c r="D1856" s="12" t="s">
        <v>107</v>
      </c>
    </row>
    <row r="1857" spans="1:4">
      <c r="A1857" s="12" t="s">
        <v>1804</v>
      </c>
      <c r="B1857" s="12">
        <v>2022</v>
      </c>
      <c r="C1857" s="12" t="s">
        <v>78</v>
      </c>
      <c r="D1857" s="12" t="s">
        <v>102</v>
      </c>
    </row>
    <row r="1858" spans="1:4">
      <c r="A1858" s="12" t="s">
        <v>1805</v>
      </c>
      <c r="B1858" s="12">
        <v>2022</v>
      </c>
      <c r="C1858" s="12" t="s">
        <v>74</v>
      </c>
      <c r="D1858" s="12" t="s">
        <v>107</v>
      </c>
    </row>
    <row r="1859" spans="1:4">
      <c r="A1859" s="12" t="s">
        <v>1806</v>
      </c>
      <c r="B1859" s="12">
        <v>2022</v>
      </c>
      <c r="C1859" s="12" t="s">
        <v>64</v>
      </c>
      <c r="D1859" s="12" t="s">
        <v>105</v>
      </c>
    </row>
    <row r="1860" spans="1:4">
      <c r="A1860" s="12" t="s">
        <v>1807</v>
      </c>
      <c r="B1860" s="12">
        <v>2022</v>
      </c>
      <c r="C1860" s="12" t="s">
        <v>78</v>
      </c>
      <c r="D1860" s="12" t="s">
        <v>107</v>
      </c>
    </row>
    <row r="1861" spans="1:4">
      <c r="A1861" s="12" t="s">
        <v>1808</v>
      </c>
      <c r="B1861" s="12">
        <v>2022</v>
      </c>
      <c r="C1861" s="12" t="s">
        <v>64</v>
      </c>
      <c r="D1861" s="12" t="s">
        <v>91</v>
      </c>
    </row>
    <row r="1862" spans="1:4">
      <c r="A1862" s="12" t="s">
        <v>1809</v>
      </c>
      <c r="B1862" s="12">
        <v>2022</v>
      </c>
      <c r="C1862" s="12" t="s">
        <v>64</v>
      </c>
      <c r="D1862" s="12" t="s">
        <v>124</v>
      </c>
    </row>
    <row r="1863" spans="1:4">
      <c r="A1863" s="12" t="s">
        <v>1810</v>
      </c>
      <c r="B1863" s="12">
        <v>2022</v>
      </c>
      <c r="C1863" s="12" t="s">
        <v>64</v>
      </c>
      <c r="D1863" s="12" t="s">
        <v>100</v>
      </c>
    </row>
    <row r="1864" spans="1:4">
      <c r="A1864" s="12" t="s">
        <v>1811</v>
      </c>
      <c r="B1864" s="12">
        <v>2022</v>
      </c>
      <c r="C1864" s="12" t="s">
        <v>64</v>
      </c>
      <c r="D1864" s="12" t="s">
        <v>102</v>
      </c>
    </row>
    <row r="1865" spans="1:4">
      <c r="A1865" s="12" t="s">
        <v>1812</v>
      </c>
      <c r="B1865" s="12">
        <v>2022</v>
      </c>
      <c r="C1865" s="12" t="s">
        <v>64</v>
      </c>
      <c r="D1865" s="12" t="s">
        <v>107</v>
      </c>
    </row>
    <row r="1866" spans="1:4">
      <c r="A1866" s="12" t="s">
        <v>1813</v>
      </c>
      <c r="B1866" s="12">
        <v>2022</v>
      </c>
      <c r="C1866" s="12" t="s">
        <v>64</v>
      </c>
      <c r="D1866" s="12" t="s">
        <v>70</v>
      </c>
    </row>
    <row r="1867" spans="1:4">
      <c r="A1867" s="12" t="s">
        <v>1814</v>
      </c>
      <c r="B1867" s="12">
        <v>2022</v>
      </c>
      <c r="C1867" s="12" t="s">
        <v>69</v>
      </c>
      <c r="D1867" s="12" t="s">
        <v>70</v>
      </c>
    </row>
    <row r="1868" spans="1:4">
      <c r="A1868" s="12" t="s">
        <v>1815</v>
      </c>
      <c r="B1868" s="12">
        <v>2022</v>
      </c>
      <c r="C1868" s="12" t="s">
        <v>74</v>
      </c>
      <c r="D1868" s="12" t="s">
        <v>70</v>
      </c>
    </row>
    <row r="1869" spans="1:4">
      <c r="A1869" s="12" t="s">
        <v>1816</v>
      </c>
      <c r="B1869" s="12">
        <v>2022</v>
      </c>
      <c r="C1869" s="12" t="s">
        <v>78</v>
      </c>
      <c r="D1869" s="12" t="s">
        <v>70</v>
      </c>
    </row>
    <row r="1870" spans="1:4">
      <c r="A1870" s="12" t="s">
        <v>1817</v>
      </c>
      <c r="B1870" s="12">
        <v>2022</v>
      </c>
      <c r="C1870" s="12" t="s">
        <v>66</v>
      </c>
      <c r="D1870" s="12" t="s">
        <v>70</v>
      </c>
    </row>
    <row r="1871" spans="1:4">
      <c r="A1871" s="12" t="s">
        <v>1818</v>
      </c>
      <c r="B1871" s="12">
        <v>2022</v>
      </c>
      <c r="C1871" s="12" t="s">
        <v>64</v>
      </c>
      <c r="D1871" s="12" t="s">
        <v>41</v>
      </c>
    </row>
    <row r="1872" spans="1:4">
      <c r="A1872" s="12" t="s">
        <v>1819</v>
      </c>
      <c r="B1872" s="12">
        <v>2022</v>
      </c>
      <c r="C1872" s="12" t="s">
        <v>69</v>
      </c>
      <c r="D1872" s="12" t="s">
        <v>41</v>
      </c>
    </row>
    <row r="1873" spans="1:4">
      <c r="A1873" s="12" t="s">
        <v>1820</v>
      </c>
      <c r="B1873" s="12">
        <v>2022</v>
      </c>
      <c r="C1873" s="12" t="s">
        <v>74</v>
      </c>
      <c r="D1873" s="12" t="s">
        <v>41</v>
      </c>
    </row>
    <row r="1874" spans="1:4">
      <c r="A1874" s="12" t="s">
        <v>1821</v>
      </c>
      <c r="B1874" s="12">
        <v>2022</v>
      </c>
      <c r="C1874" s="12" t="s">
        <v>78</v>
      </c>
      <c r="D1874" s="12" t="s">
        <v>41</v>
      </c>
    </row>
    <row r="1875" spans="1:4">
      <c r="A1875" s="12" t="s">
        <v>1822</v>
      </c>
      <c r="B1875" s="12">
        <v>2022</v>
      </c>
      <c r="C1875" s="12" t="s">
        <v>66</v>
      </c>
      <c r="D1875" s="12" t="s">
        <v>41</v>
      </c>
    </row>
    <row r="1876" spans="1:4">
      <c r="A1876" s="12" t="s">
        <v>1823</v>
      </c>
      <c r="B1876" s="12">
        <v>2022</v>
      </c>
      <c r="C1876" s="12" t="s">
        <v>64</v>
      </c>
      <c r="D1876" s="12" t="s">
        <v>82</v>
      </c>
    </row>
    <row r="1877" spans="1:4">
      <c r="A1877" s="12" t="s">
        <v>1824</v>
      </c>
      <c r="B1877" s="12">
        <v>2022</v>
      </c>
      <c r="C1877" s="12" t="s">
        <v>69</v>
      </c>
      <c r="D1877" s="12" t="s">
        <v>82</v>
      </c>
    </row>
    <row r="1878" spans="1:4">
      <c r="A1878" s="12" t="s">
        <v>1825</v>
      </c>
      <c r="B1878" s="12">
        <v>2022</v>
      </c>
      <c r="C1878" s="12" t="s">
        <v>74</v>
      </c>
      <c r="D1878" s="12" t="s">
        <v>82</v>
      </c>
    </row>
    <row r="1879" spans="1:4">
      <c r="A1879" s="12" t="s">
        <v>1826</v>
      </c>
      <c r="B1879" s="12">
        <v>2022</v>
      </c>
      <c r="C1879" s="12" t="s">
        <v>78</v>
      </c>
      <c r="D1879" s="12" t="s">
        <v>82</v>
      </c>
    </row>
    <row r="1880" spans="1:4">
      <c r="A1880" s="12" t="s">
        <v>1827</v>
      </c>
      <c r="B1880" s="12">
        <v>2022</v>
      </c>
      <c r="C1880" s="12" t="s">
        <v>66</v>
      </c>
      <c r="D1880" s="12" t="s">
        <v>82</v>
      </c>
    </row>
    <row r="1881" spans="1:4">
      <c r="A1881" s="12" t="s">
        <v>1828</v>
      </c>
      <c r="B1881" s="12">
        <v>2022</v>
      </c>
      <c r="C1881" s="12" t="s">
        <v>78</v>
      </c>
      <c r="D1881" s="12" t="s">
        <v>37</v>
      </c>
    </row>
    <row r="1882" spans="1:4">
      <c r="A1882" s="12" t="s">
        <v>1829</v>
      </c>
      <c r="B1882" s="12">
        <v>2022</v>
      </c>
      <c r="C1882" s="12" t="s">
        <v>64</v>
      </c>
      <c r="D1882" s="12" t="s">
        <v>34</v>
      </c>
    </row>
    <row r="1883" spans="1:4">
      <c r="A1883" s="12" t="s">
        <v>1830</v>
      </c>
      <c r="B1883" s="12">
        <v>2022</v>
      </c>
      <c r="C1883" s="12" t="s">
        <v>69</v>
      </c>
      <c r="D1883" s="12" t="s">
        <v>34</v>
      </c>
    </row>
    <row r="1884" spans="1:4">
      <c r="A1884" s="12" t="s">
        <v>1831</v>
      </c>
      <c r="B1884" s="12">
        <v>2022</v>
      </c>
      <c r="C1884" s="12" t="s">
        <v>74</v>
      </c>
      <c r="D1884" s="12" t="s">
        <v>34</v>
      </c>
    </row>
    <row r="1885" spans="1:4">
      <c r="A1885" s="12" t="s">
        <v>1832</v>
      </c>
      <c r="B1885" s="12">
        <v>2022</v>
      </c>
      <c r="C1885" s="12" t="s">
        <v>78</v>
      </c>
      <c r="D1885" s="12" t="s">
        <v>34</v>
      </c>
    </row>
    <row r="1886" spans="1:4">
      <c r="A1886" s="12" t="s">
        <v>1833</v>
      </c>
      <c r="B1886" s="12">
        <v>2022</v>
      </c>
      <c r="C1886" s="12" t="s">
        <v>66</v>
      </c>
      <c r="D1886" s="12" t="s">
        <v>34</v>
      </c>
    </row>
  </sheetData>
  <autoFilter xmlns:etc="http://www.wps.cn/officeDocument/2017/etCustomData" ref="A1:E1886" etc:filterBottomFollowUsedRange="0">
    <sortState ref="A1:E1886">
      <sortCondition ref="B1"/>
    </sortState>
    <extLst/>
  </autoFilter>
  <pageMargins left="0.7" right="0.7" top="0.75" bottom="0.75" header="0.3" footer="0.3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"/>
  <sheetViews>
    <sheetView tabSelected="1" workbookViewId="0">
      <selection activeCell="L14" sqref="L14"/>
    </sheetView>
  </sheetViews>
  <sheetFormatPr defaultColWidth="9" defaultRowHeight="13.5"/>
  <cols>
    <col min="1" max="1" width="31.8761061946903" customWidth="1"/>
    <col min="2" max="2" width="33.7522123893805" customWidth="1"/>
  </cols>
  <sheetData>
    <row r="1" spans="1:9">
      <c r="A1" t="s">
        <v>1834</v>
      </c>
      <c r="B1" t="s">
        <v>1835</v>
      </c>
      <c r="C1">
        <v>2015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</row>
    <row r="2" spans="1:9">
      <c r="A2" s="2" t="s">
        <v>1836</v>
      </c>
      <c r="B2" t="s">
        <v>85</v>
      </c>
      <c r="C2" s="10">
        <f>VLOOKUP($B2,'Power Infrastructure Investment'!$H$5:$T$33,C$1-2008,FALSE)/100</f>
        <v>21621.56</v>
      </c>
      <c r="D2" s="10">
        <f>VLOOKUP($B2,'Power Infrastructure Investment'!$H$5:$T$33,D$1-2008,FALSE)/100</f>
        <v>49475.49</v>
      </c>
      <c r="E2" s="10">
        <f>VLOOKUP($B2,'Power Infrastructure Investment'!$H$5:$T$33,E$1-2008,FALSE)/100</f>
        <v>85893.31</v>
      </c>
      <c r="F2" s="10">
        <f>VLOOKUP($B2,'Power Infrastructure Investment'!$H$5:$T$33,F$1-2008,FALSE)/100</f>
        <v>52046.85</v>
      </c>
      <c r="G2" s="10">
        <f>VLOOKUP($B2,'Power Infrastructure Investment'!$H$5:$T$33,G$1-2008,FALSE)/100</f>
        <v>24949.28</v>
      </c>
      <c r="H2" s="10">
        <f>VLOOKUP($B2,'Power Infrastructure Investment'!$H$5:$T$33,H$1-2008,FALSE)/100</f>
        <v>53232.82</v>
      </c>
      <c r="I2" s="10">
        <f>VLOOKUP($B2,'Power Infrastructure Investment'!$H$5:$T$33,I$1-2008,FALSE)/100</f>
        <v>38018.71</v>
      </c>
    </row>
    <row r="3" spans="1:9">
      <c r="A3" s="2"/>
      <c r="B3" t="s">
        <v>34</v>
      </c>
      <c r="C3" s="10">
        <f>VLOOKUP($B3,'Power Infrastructure Investment'!$H$5:$T$33,C$1-2008,FALSE)/100</f>
        <v>0</v>
      </c>
      <c r="D3" s="10">
        <f>VLOOKUP($B3,'Power Infrastructure Investment'!$H$5:$T$33,D$1-2008,FALSE)/100</f>
        <v>0</v>
      </c>
      <c r="E3" s="10">
        <f>VLOOKUP($B3,'Power Infrastructure Investment'!$H$5:$T$33,E$1-2008,FALSE)/100</f>
        <v>0</v>
      </c>
      <c r="F3" s="10">
        <f>VLOOKUP($B3,'Power Infrastructure Investment'!$H$5:$T$33,F$1-2008,FALSE)/100</f>
        <v>0</v>
      </c>
      <c r="G3" s="10">
        <f>VLOOKUP($B3,'Power Infrastructure Investment'!$H$5:$T$33,G$1-2008,FALSE)/100</f>
        <v>100</v>
      </c>
      <c r="H3" s="10">
        <f>VLOOKUP($B3,'Power Infrastructure Investment'!$H$5:$T$33,H$1-2008,FALSE)/100</f>
        <v>0</v>
      </c>
      <c r="I3" s="10">
        <f>VLOOKUP($B3,'Power Infrastructure Investment'!$H$5:$T$33,I$1-2008,FALSE)/100</f>
        <v>0</v>
      </c>
    </row>
    <row r="4" spans="1:9">
      <c r="A4" s="2"/>
      <c r="B4" t="s">
        <v>37</v>
      </c>
      <c r="C4" s="10">
        <f>VLOOKUP($B4,'Power Infrastructure Investment'!$H$5:$T$33,C$1-2008,FALSE)/100</f>
        <v>6748.46</v>
      </c>
      <c r="D4" s="10">
        <f>VLOOKUP($B4,'Power Infrastructure Investment'!$H$5:$T$33,D$1-2008,FALSE)/100</f>
        <v>2248.9</v>
      </c>
      <c r="E4" s="10">
        <f>VLOOKUP($B4,'Power Infrastructure Investment'!$H$5:$T$33,E$1-2008,FALSE)/100</f>
        <v>926.07</v>
      </c>
      <c r="F4" s="10">
        <f>VLOOKUP($B4,'Power Infrastructure Investment'!$H$5:$T$33,F$1-2008,FALSE)/100</f>
        <v>9752.08</v>
      </c>
      <c r="G4" s="10">
        <f>VLOOKUP($B4,'Power Infrastructure Investment'!$H$5:$T$33,G$1-2008,FALSE)/100</f>
        <v>2921.05</v>
      </c>
      <c r="H4" s="10">
        <f>VLOOKUP($B4,'Power Infrastructure Investment'!$H$5:$T$33,H$1-2008,FALSE)/100</f>
        <v>3313.8</v>
      </c>
      <c r="I4" s="10">
        <f>VLOOKUP($B4,'Power Infrastructure Investment'!$H$5:$T$33,I$1-2008,FALSE)/100</f>
        <v>422.02</v>
      </c>
    </row>
    <row r="5" spans="1:9">
      <c r="A5" s="2"/>
      <c r="B5" t="s">
        <v>82</v>
      </c>
      <c r="C5" s="10">
        <f>VLOOKUP($B5,'Power Infrastructure Investment'!$H$5:$T$33,C$1-2008,FALSE)/100</f>
        <v>0</v>
      </c>
      <c r="D5" s="10">
        <f>VLOOKUP($B5,'Power Infrastructure Investment'!$H$5:$T$33,D$1-2008,FALSE)/100</f>
        <v>0</v>
      </c>
      <c r="E5" s="10">
        <f>VLOOKUP($B5,'Power Infrastructure Investment'!$H$5:$T$33,E$1-2008,FALSE)/100</f>
        <v>0</v>
      </c>
      <c r="F5" s="10">
        <f>VLOOKUP($B5,'Power Infrastructure Investment'!$H$5:$T$33,F$1-2008,FALSE)/100</f>
        <v>0</v>
      </c>
      <c r="G5" s="10">
        <f>VLOOKUP($B5,'Power Infrastructure Investment'!$H$5:$T$33,G$1-2008,FALSE)/100</f>
        <v>0</v>
      </c>
      <c r="H5" s="10">
        <f>VLOOKUP($B5,'Power Infrastructure Investment'!$H$5:$T$33,H$1-2008,FALSE)/100</f>
        <v>0</v>
      </c>
      <c r="I5" s="10">
        <f>VLOOKUP($B5,'Power Infrastructure Investment'!$H$5:$T$33,I$1-2008,FALSE)/100</f>
        <v>0</v>
      </c>
    </row>
    <row r="6" spans="1:9">
      <c r="A6" s="2"/>
      <c r="B6" t="s">
        <v>39</v>
      </c>
      <c r="C6" s="10">
        <f>VLOOKUP($B6,'Power Infrastructure Investment'!$H$5:$T$33,C$1-2008,FALSE)/100</f>
        <v>14873.1</v>
      </c>
      <c r="D6" s="10">
        <f>VLOOKUP($B6,'Power Infrastructure Investment'!$H$5:$T$33,D$1-2008,FALSE)/100</f>
        <v>44021.92</v>
      </c>
      <c r="E6" s="10">
        <f>VLOOKUP($B6,'Power Infrastructure Investment'!$H$5:$T$33,E$1-2008,FALSE)/100</f>
        <v>72870.37</v>
      </c>
      <c r="F6" s="10">
        <f>VLOOKUP($B6,'Power Infrastructure Investment'!$H$5:$T$33,F$1-2008,FALSE)/100</f>
        <v>30958.49</v>
      </c>
      <c r="G6" s="10">
        <f>VLOOKUP($B6,'Power Infrastructure Investment'!$H$5:$T$33,G$1-2008,FALSE)/100</f>
        <v>21928.23</v>
      </c>
      <c r="H6" s="10">
        <f>VLOOKUP($B6,'Power Infrastructure Investment'!$H$5:$T$33,H$1-2008,FALSE)/100</f>
        <v>49919.02</v>
      </c>
      <c r="I6" s="10">
        <f>VLOOKUP($B6,'Power Infrastructure Investment'!$H$5:$T$33,I$1-2008,FALSE)/100</f>
        <v>37596.69</v>
      </c>
    </row>
    <row r="7" spans="1:9">
      <c r="A7" s="2"/>
      <c r="B7" t="s">
        <v>41</v>
      </c>
      <c r="C7" s="10">
        <f>VLOOKUP($B7,'Power Infrastructure Investment'!$H$5:$T$33,C$1-2008,FALSE)/100</f>
        <v>0</v>
      </c>
      <c r="D7" s="10">
        <f>VLOOKUP($B7,'Power Infrastructure Investment'!$H$5:$T$33,D$1-2008,FALSE)/100</f>
        <v>3204.67</v>
      </c>
      <c r="E7" s="10">
        <f>VLOOKUP($B7,'Power Infrastructure Investment'!$H$5:$T$33,E$1-2008,FALSE)/100</f>
        <v>12096.86</v>
      </c>
      <c r="F7" s="10">
        <f>VLOOKUP($B7,'Power Infrastructure Investment'!$H$5:$T$33,F$1-2008,FALSE)/100</f>
        <v>11336.28</v>
      </c>
      <c r="G7" s="10">
        <f>VLOOKUP($B7,'Power Infrastructure Investment'!$H$5:$T$33,G$1-2008,FALSE)/100</f>
        <v>0</v>
      </c>
      <c r="H7" s="10">
        <f>VLOOKUP($B7,'Power Infrastructure Investment'!$H$5:$T$33,H$1-2008,FALSE)/100</f>
        <v>0</v>
      </c>
      <c r="I7" s="10">
        <f>VLOOKUP($B7,'Power Infrastructure Investment'!$H$5:$T$33,I$1-2008,FALSE)/100</f>
        <v>0</v>
      </c>
    </row>
    <row r="8" spans="1:9">
      <c r="A8" s="2" t="s">
        <v>1837</v>
      </c>
      <c r="B8" t="s">
        <v>91</v>
      </c>
      <c r="C8" s="10">
        <f>VLOOKUP($B8,'Power Infrastructure Investment'!$H$5:$T$33,C$1-2008,FALSE)/100</f>
        <v>429757.98</v>
      </c>
      <c r="D8" s="10">
        <f>VLOOKUP($B8,'Power Infrastructure Investment'!$H$5:$T$33,D$1-2008,FALSE)/100</f>
        <v>478675.43</v>
      </c>
      <c r="E8" s="10">
        <f>VLOOKUP($B8,'Power Infrastructure Investment'!$H$5:$T$33,E$1-2008,FALSE)/100</f>
        <v>427624.21</v>
      </c>
      <c r="F8" s="10">
        <f>VLOOKUP($B8,'Power Infrastructure Investment'!$H$5:$T$33,F$1-2008,FALSE)/100</f>
        <v>461277.3</v>
      </c>
      <c r="G8" s="10">
        <f>VLOOKUP($B8,'Power Infrastructure Investment'!$H$5:$T$33,G$1-2008,FALSE)/100</f>
        <v>452983.08</v>
      </c>
      <c r="H8" s="10">
        <f>VLOOKUP($B8,'Power Infrastructure Investment'!$H$5:$T$33,H$1-2008,FALSE)/100</f>
        <v>418833.39</v>
      </c>
      <c r="I8" s="10">
        <f>VLOOKUP($B8,'Power Infrastructure Investment'!$H$5:$T$33,I$1-2008,FALSE)/100</f>
        <v>438347.72</v>
      </c>
    </row>
    <row r="9" spans="1:9">
      <c r="A9" s="2"/>
      <c r="B9" t="s">
        <v>89</v>
      </c>
      <c r="C9" s="10">
        <f>VLOOKUP($B9,'Power Infrastructure Investment'!$H$5:$T$33,C$1-2008,FALSE)/100</f>
        <v>71377.32</v>
      </c>
      <c r="D9" s="10">
        <f>VLOOKUP($B9,'Power Infrastructure Investment'!$H$5:$T$33,D$1-2008,FALSE)/100</f>
        <v>79692.59</v>
      </c>
      <c r="E9" s="10">
        <f>VLOOKUP($B9,'Power Infrastructure Investment'!$H$5:$T$33,E$1-2008,FALSE)/100</f>
        <v>64760.99</v>
      </c>
      <c r="F9" s="10">
        <f>VLOOKUP($B9,'Power Infrastructure Investment'!$H$5:$T$33,F$1-2008,FALSE)/100</f>
        <v>64940.09</v>
      </c>
      <c r="G9" s="10">
        <f>VLOOKUP($B9,'Power Infrastructure Investment'!$H$5:$T$33,G$1-2008,FALSE)/100</f>
        <v>64645.22</v>
      </c>
      <c r="H9" s="10">
        <f>VLOOKUP($B9,'Power Infrastructure Investment'!$H$5:$T$33,H$1-2008,FALSE)/100</f>
        <v>62280.67</v>
      </c>
      <c r="I9" s="10">
        <f>VLOOKUP($B9,'Power Infrastructure Investment'!$H$5:$T$33,I$1-2008,FALSE)/100</f>
        <v>73395.07</v>
      </c>
    </row>
    <row r="10" spans="1:9">
      <c r="A10" s="2"/>
      <c r="B10" t="s">
        <v>46</v>
      </c>
      <c r="C10" s="10">
        <f>VLOOKUP($B10,'Power Infrastructure Investment'!$H$5:$T$33,C$1-2008,FALSE)/100</f>
        <v>88732.27</v>
      </c>
      <c r="D10" s="10">
        <f>VLOOKUP($B10,'Power Infrastructure Investment'!$H$5:$T$33,D$1-2008,FALSE)/100</f>
        <v>66294.26</v>
      </c>
      <c r="E10" s="10">
        <f>VLOOKUP($B10,'Power Infrastructure Investment'!$H$5:$T$33,E$1-2008,FALSE)/100</f>
        <v>62752.11</v>
      </c>
      <c r="F10" s="10">
        <f>VLOOKUP($B10,'Power Infrastructure Investment'!$H$5:$T$33,F$1-2008,FALSE)/100</f>
        <v>66126.18</v>
      </c>
      <c r="G10" s="10">
        <f>VLOOKUP($B10,'Power Infrastructure Investment'!$H$5:$T$33,G$1-2008,FALSE)/100</f>
        <v>62008.93</v>
      </c>
      <c r="H10" s="10">
        <f>VLOOKUP($B10,'Power Infrastructure Investment'!$H$5:$T$33,H$1-2008,FALSE)/100</f>
        <v>63804.81</v>
      </c>
      <c r="I10" s="10">
        <f>VLOOKUP($B10,'Power Infrastructure Investment'!$H$5:$T$33,I$1-2008,FALSE)/100</f>
        <v>74282.6</v>
      </c>
    </row>
    <row r="11" spans="1:9">
      <c r="A11" s="2"/>
      <c r="B11" t="s">
        <v>48</v>
      </c>
      <c r="C11" s="10">
        <f>VLOOKUP($B11,'Power Infrastructure Investment'!$H$5:$T$33,C$1-2008,FALSE)/100</f>
        <v>5536.64</v>
      </c>
      <c r="D11" s="10">
        <f>VLOOKUP($B11,'Power Infrastructure Investment'!$H$5:$T$33,D$1-2008,FALSE)/100</f>
        <v>5228.61</v>
      </c>
      <c r="E11" s="10">
        <f>VLOOKUP($B11,'Power Infrastructure Investment'!$H$5:$T$33,E$1-2008,FALSE)/100</f>
        <v>4130.4</v>
      </c>
      <c r="F11" s="10">
        <f>VLOOKUP($B11,'Power Infrastructure Investment'!$H$5:$T$33,F$1-2008,FALSE)/100</f>
        <v>4198.12</v>
      </c>
      <c r="G11" s="10">
        <f>VLOOKUP($B11,'Power Infrastructure Investment'!$H$5:$T$33,G$1-2008,FALSE)/100</f>
        <v>3536.28</v>
      </c>
      <c r="H11" s="10">
        <f>VLOOKUP($B11,'Power Infrastructure Investment'!$H$5:$T$33,H$1-2008,FALSE)/100</f>
        <v>4555.53</v>
      </c>
      <c r="I11" s="10">
        <f>VLOOKUP($B11,'Power Infrastructure Investment'!$H$5:$T$33,I$1-2008,FALSE)/100</f>
        <v>4869.26</v>
      </c>
    </row>
    <row r="12" spans="1:9">
      <c r="A12" s="2"/>
      <c r="B12" t="s">
        <v>50</v>
      </c>
      <c r="C12" s="10">
        <f>VLOOKUP($B12,'Power Infrastructure Investment'!$H$5:$T$33,C$1-2008,FALSE)/100</f>
        <v>46294.43</v>
      </c>
      <c r="D12" s="10">
        <f>VLOOKUP($B12,'Power Infrastructure Investment'!$H$5:$T$33,D$1-2008,FALSE)/100</f>
        <v>42772.81</v>
      </c>
      <c r="E12" s="10">
        <f>VLOOKUP($B12,'Power Infrastructure Investment'!$H$5:$T$33,E$1-2008,FALSE)/100</f>
        <v>48485.58</v>
      </c>
      <c r="F12" s="10">
        <f>VLOOKUP($B12,'Power Infrastructure Investment'!$H$5:$T$33,F$1-2008,FALSE)/100</f>
        <v>48529.1</v>
      </c>
      <c r="G12" s="10">
        <f>VLOOKUP($B12,'Power Infrastructure Investment'!$H$5:$T$33,G$1-2008,FALSE)/100</f>
        <v>35963.83</v>
      </c>
      <c r="H12" s="10">
        <f>VLOOKUP($B12,'Power Infrastructure Investment'!$H$5:$T$33,H$1-2008,FALSE)/100</f>
        <v>47366.55</v>
      </c>
      <c r="I12" s="10">
        <f>VLOOKUP($B12,'Power Infrastructure Investment'!$H$5:$T$33,I$1-2008,FALSE)/100</f>
        <v>49601.72</v>
      </c>
    </row>
    <row r="13" spans="1:9">
      <c r="A13" s="2"/>
      <c r="B13" t="s">
        <v>98</v>
      </c>
      <c r="C13" s="10">
        <f>VLOOKUP($B13,'Power Infrastructure Investment'!$H$5:$T$33,C$1-2008,FALSE)/100</f>
        <v>13556.19</v>
      </c>
      <c r="D13" s="10">
        <f>VLOOKUP($B13,'Power Infrastructure Investment'!$H$5:$T$33,D$1-2008,FALSE)/100</f>
        <v>9670.71</v>
      </c>
      <c r="E13" s="10">
        <f>VLOOKUP($B13,'Power Infrastructure Investment'!$H$5:$T$33,E$1-2008,FALSE)/100</f>
        <v>9310.99</v>
      </c>
      <c r="F13" s="10">
        <f>VLOOKUP($B13,'Power Infrastructure Investment'!$H$5:$T$33,F$1-2008,FALSE)/100</f>
        <v>9277.76</v>
      </c>
      <c r="G13" s="10">
        <f>VLOOKUP($B13,'Power Infrastructure Investment'!$H$5:$T$33,G$1-2008,FALSE)/100</f>
        <v>9811.54</v>
      </c>
      <c r="H13" s="10">
        <f>VLOOKUP($B13,'Power Infrastructure Investment'!$H$5:$T$33,H$1-2008,FALSE)/100</f>
        <v>9997.2</v>
      </c>
      <c r="I13" s="10">
        <f>VLOOKUP($B13,'Power Infrastructure Investment'!$H$5:$T$33,I$1-2008,FALSE)/100</f>
        <v>8952.5</v>
      </c>
    </row>
    <row r="14" spans="1:9">
      <c r="A14" s="2"/>
      <c r="B14" t="s">
        <v>54</v>
      </c>
      <c r="C14" s="10">
        <f>VLOOKUP($B14,'Power Infrastructure Investment'!$H$5:$T$33,C$1-2008,FALSE)/100</f>
        <v>31534.89</v>
      </c>
      <c r="D14" s="10">
        <f>VLOOKUP($B14,'Power Infrastructure Investment'!$H$5:$T$33,D$1-2008,FALSE)/100</f>
        <v>39804.97</v>
      </c>
      <c r="E14" s="10">
        <f>VLOOKUP($B14,'Power Infrastructure Investment'!$H$5:$T$33,E$1-2008,FALSE)/100</f>
        <v>16755.49</v>
      </c>
      <c r="F14" s="10">
        <f>VLOOKUP($B14,'Power Infrastructure Investment'!$H$5:$T$33,F$1-2008,FALSE)/100</f>
        <v>18373.07</v>
      </c>
      <c r="G14" s="10">
        <f>VLOOKUP($B14,'Power Infrastructure Investment'!$H$5:$T$33,G$1-2008,FALSE)/100</f>
        <v>15997.41</v>
      </c>
      <c r="H14" s="10">
        <f>VLOOKUP($B14,'Power Infrastructure Investment'!$H$5:$T$33,H$1-2008,FALSE)/100</f>
        <v>8979.24</v>
      </c>
      <c r="I14" s="10">
        <f>VLOOKUP($B14,'Power Infrastructure Investment'!$H$5:$T$33,I$1-2008,FALSE)/100</f>
        <v>15153.92</v>
      </c>
    </row>
    <row r="15" spans="1:9">
      <c r="A15" s="2" t="s">
        <v>1838</v>
      </c>
      <c r="B15" t="s">
        <v>100</v>
      </c>
      <c r="C15" s="10">
        <f>VLOOKUP($B15,'Power Infrastructure Investment'!$H$5:$T$33,C$1-2008,FALSE)/100</f>
        <v>463981.09</v>
      </c>
      <c r="D15" s="10">
        <f>VLOOKUP($B15,'Power Infrastructure Investment'!$H$5:$T$33,D$1-2008,FALSE)/100</f>
        <v>543148.85</v>
      </c>
      <c r="E15" s="10">
        <f>VLOOKUP($B15,'Power Infrastructure Investment'!$H$5:$T$33,E$1-2008,FALSE)/100</f>
        <v>533888.41</v>
      </c>
      <c r="F15" s="10">
        <f>VLOOKUP($B15,'Power Infrastructure Investment'!$H$5:$T$33,F$1-2008,FALSE)/100</f>
        <v>537381.69</v>
      </c>
      <c r="G15" s="10">
        <f>VLOOKUP($B15,'Power Infrastructure Investment'!$H$5:$T$33,G$1-2008,FALSE)/100</f>
        <v>501173.12</v>
      </c>
      <c r="H15" s="10">
        <f>VLOOKUP($B15,'Power Infrastructure Investment'!$H$5:$T$33,H$1-2008,FALSE)/100</f>
        <v>489631.13</v>
      </c>
      <c r="I15" s="10">
        <f>VLOOKUP($B15,'Power Infrastructure Investment'!$H$5:$T$33,I$1-2008,FALSE)/100</f>
        <v>491625.38</v>
      </c>
    </row>
    <row r="16" spans="1:9">
      <c r="A16" s="2" t="s">
        <v>1839</v>
      </c>
      <c r="B16" t="s">
        <v>1840</v>
      </c>
      <c r="C16" s="10">
        <f>C15*'Exchange Rate'!U2</f>
        <v>71212.0738864851</v>
      </c>
      <c r="D16" s="10">
        <f>D15*'Exchange Rate'!V2</f>
        <v>82205.8644374821</v>
      </c>
      <c r="E16" s="10">
        <f>E15*'Exchange Rate'!W2</f>
        <v>77522.9903291346</v>
      </c>
      <c r="F16" s="10">
        <f>F15*'Exchange Rate'!X2</f>
        <v>75391.7106336323</v>
      </c>
      <c r="G16" s="10">
        <f>G15*'Exchange Rate'!Y2</f>
        <v>69418.1213453363</v>
      </c>
      <c r="H16" s="10">
        <f>H15*'Exchange Rate'!Z2</f>
        <v>67398.0570086453</v>
      </c>
      <c r="I16" s="10">
        <f>I15*'Exchange Rate'!AA2</f>
        <v>64832.0981713429</v>
      </c>
    </row>
    <row r="18" spans="1:9">
      <c r="A18" t="s">
        <v>1841</v>
      </c>
      <c r="B18" t="s">
        <v>1842</v>
      </c>
      <c r="C18">
        <v>2015</v>
      </c>
      <c r="D18">
        <v>2016</v>
      </c>
      <c r="E18">
        <v>2017</v>
      </c>
      <c r="F18">
        <v>2018</v>
      </c>
      <c r="G18">
        <v>2019</v>
      </c>
      <c r="H18">
        <v>2020</v>
      </c>
      <c r="I18">
        <v>2021</v>
      </c>
    </row>
    <row r="19" spans="1:9">
      <c r="A19" s="2" t="s">
        <v>1836</v>
      </c>
      <c r="B19" t="str">
        <f>'Capacity by Linetype'!B74</f>
        <v>1、直流工程</v>
      </c>
      <c r="C19" s="11">
        <f>SUMIFS('Capacity by Linetype'!$L$3:$L$99,'Capacity by Linetype'!$B$3:$B$99,$B19,'Capacity by Linetype'!$C$3:$C$99,C$18)*10/1.609344</f>
        <v>1553.42798059333</v>
      </c>
      <c r="D19" s="11">
        <f>SUMIFS('Capacity by Linetype'!$L$3:$L$99,'Capacity by Linetype'!$B$3:$B$99,$B19,'Capacity by Linetype'!$C$3:$C$99,D$18)*10/1.609344</f>
        <v>20132.4266284896</v>
      </c>
      <c r="E19" s="11">
        <f>SUMIFS('Capacity by Linetype'!$L$3:$L$99,'Capacity by Linetype'!$B$3:$B$99,$B19,'Capacity by Linetype'!$C$3:$C$99,E$18)*10/1.609344</f>
        <v>49088.3241867494</v>
      </c>
      <c r="F19" s="11">
        <f>SUMIFS('Capacity by Linetype'!$L$3:$L$99,'Capacity by Linetype'!$B$3:$B$99,$B19,'Capacity by Linetype'!$C$3:$C$99,F$18)*10/1.609344</f>
        <v>19883.8781515947</v>
      </c>
      <c r="G19" s="11">
        <f>SUMIFS('Capacity by Linetype'!$L$3:$L$99,'Capacity by Linetype'!$B$3:$B$99,$B19,'Capacity by Linetype'!$C$3:$C$99,G$18)*10/1.609344</f>
        <v>13670.1662292213</v>
      </c>
      <c r="H19" s="11">
        <f>SUMIFS('Capacity by Linetype'!$L$3:$L$99,'Capacity by Linetype'!$B$3:$B$99,$B19,'Capacity by Linetype'!$C$3:$C$99,H$18)*10/1.609344</f>
        <v>32311.3019963414</v>
      </c>
      <c r="I19" s="11">
        <f>SUMIFS('Capacity by Linetype'!$L$3:$L$99,'Capacity by Linetype'!$B$3:$B$99,$B19,'Capacity by Linetype'!$C$3:$C$99,I$18)*10/1.609344</f>
        <v>19883.8781515947</v>
      </c>
    </row>
    <row r="20" spans="1:9">
      <c r="A20" s="2"/>
      <c r="B20" t="s">
        <v>34</v>
      </c>
      <c r="C20" s="11">
        <f>SUMIFS('Capacity by Linetype'!$L$3:$L$99,'Capacity by Linetype'!$B$3:$B$99,$B20,'Capacity by Linetype'!$C$3:$C$99,C$18)*10/1.609344</f>
        <v>0</v>
      </c>
      <c r="D20" s="11">
        <f>SUMIFS('Capacity by Linetype'!$L$3:$L$99,'Capacity by Linetype'!$B$3:$B$99,$B20,'Capacity by Linetype'!$C$3:$C$99,D$18)*10/1.609344</f>
        <v>214901.226835282</v>
      </c>
      <c r="E20" s="11">
        <f>SUMIFS('Capacity by Linetype'!$L$3:$L$99,'Capacity by Linetype'!$B$3:$B$99,$B20,'Capacity by Linetype'!$C$3:$C$99,E$18)*10/1.609344</f>
        <v>0</v>
      </c>
      <c r="F20" s="11">
        <f>SUMIFS('Capacity by Linetype'!$L$3:$L$99,'Capacity by Linetype'!$B$3:$B$99,$B20,'Capacity by Linetype'!$C$3:$C$99,F$18)*10/1.609344</f>
        <v>0</v>
      </c>
      <c r="G20" s="11">
        <f>SUMIFS('Capacity by Linetype'!$L$3:$L$99,'Capacity by Linetype'!$B$3:$B$99,$B20,'Capacity by Linetype'!$C$3:$C$99,G$18)*10/1.609344</f>
        <v>6213.71192237334</v>
      </c>
      <c r="H20" s="11">
        <f>SUMIFS('Capacity by Linetype'!$L$3:$L$99,'Capacity by Linetype'!$B$3:$B$99,$B20,'Capacity by Linetype'!$C$3:$C$99,H$18)*10/1.609344</f>
        <v>0</v>
      </c>
      <c r="I20" s="11">
        <f>SUMIFS('Capacity by Linetype'!$L$3:$L$99,'Capacity by Linetype'!$B$3:$B$99,$B20,'Capacity by Linetype'!$C$3:$C$99,I$18)*10/1.609344</f>
        <v>0</v>
      </c>
    </row>
    <row r="21" spans="1:9">
      <c r="A21" s="2"/>
      <c r="B21" t="s">
        <v>37</v>
      </c>
      <c r="C21" s="11">
        <f>SUMIFS('Capacity by Linetype'!$L$3:$L$99,'Capacity by Linetype'!$B$3:$B$99,$B21,'Capacity by Linetype'!$C$3:$C$99,C$18)*10/1.609344</f>
        <v>0</v>
      </c>
      <c r="D21" s="11">
        <f>SUMIFS('Capacity by Linetype'!$L$3:$L$99,'Capacity by Linetype'!$B$3:$B$99,$B21,'Capacity by Linetype'!$C$3:$C$99,D$18)*10/1.609344</f>
        <v>10190.4875526923</v>
      </c>
      <c r="E21" s="11">
        <f>SUMIFS('Capacity by Linetype'!$L$3:$L$99,'Capacity by Linetype'!$B$3:$B$99,$B21,'Capacity by Linetype'!$C$3:$C$99,E$18)*10/1.609344</f>
        <v>1242.74238447467</v>
      </c>
      <c r="F21" s="11">
        <f>SUMIFS('Capacity by Linetype'!$L$3:$L$99,'Capacity by Linetype'!$B$3:$B$99,$B21,'Capacity by Linetype'!$C$3:$C$99,F$18)*10/1.609344</f>
        <v>0</v>
      </c>
      <c r="G21" s="11">
        <f>SUMIFS('Capacity by Linetype'!$L$3:$L$99,'Capacity by Linetype'!$B$3:$B$99,$B21,'Capacity by Linetype'!$C$3:$C$99,G$18)*10/1.609344</f>
        <v>0</v>
      </c>
      <c r="H21" s="11">
        <f>SUMIFS('Capacity by Linetype'!$L$3:$L$99,'Capacity by Linetype'!$B$3:$B$99,$B21,'Capacity by Linetype'!$C$3:$C$99,H$18)*10/1.609344</f>
        <v>7456.45430684801</v>
      </c>
      <c r="I21" s="11">
        <f>SUMIFS('Capacity by Linetype'!$L$3:$L$99,'Capacity by Linetype'!$B$3:$B$99,$B21,'Capacity by Linetype'!$C$3:$C$99,I$18)*10/1.609344</f>
        <v>0</v>
      </c>
    </row>
    <row r="22" spans="1:9">
      <c r="A22" s="2"/>
      <c r="B22" t="s">
        <v>82</v>
      </c>
      <c r="C22" s="11">
        <f>SUMIFS('Capacity by Linetype'!$L$3:$L$99,'Capacity by Linetype'!$B$3:$B$99,$B22,'Capacity by Linetype'!$C$3:$C$99,C$18)*10/1.609344</f>
        <v>0</v>
      </c>
      <c r="D22" s="11">
        <f>SUMIFS('Capacity by Linetype'!$L$3:$L$99,'Capacity by Linetype'!$B$3:$B$99,$B22,'Capacity by Linetype'!$C$3:$C$99,D$18)*10/1.609344</f>
        <v>0</v>
      </c>
      <c r="E22" s="11">
        <f>SUMIFS('Capacity by Linetype'!$L$3:$L$99,'Capacity by Linetype'!$B$3:$B$99,$B22,'Capacity by Linetype'!$C$3:$C$99,E$18)*10/1.609344</f>
        <v>0</v>
      </c>
      <c r="F22" s="11">
        <f>SUMIFS('Capacity by Linetype'!$L$3:$L$99,'Capacity by Linetype'!$B$3:$B$99,$B22,'Capacity by Linetype'!$C$3:$C$99,F$18)*10/1.609344</f>
        <v>0</v>
      </c>
      <c r="G22" s="11">
        <f>SUMIFS('Capacity by Linetype'!$L$3:$L$99,'Capacity by Linetype'!$B$3:$B$99,$B22,'Capacity by Linetype'!$C$3:$C$99,G$18)*10/1.609344</f>
        <v>0</v>
      </c>
      <c r="H22" s="11">
        <f>SUMIFS('Capacity by Linetype'!$L$3:$L$99,'Capacity by Linetype'!$B$3:$B$99,$B22,'Capacity by Linetype'!$C$3:$C$99,H$18)*10/1.609344</f>
        <v>0</v>
      </c>
      <c r="I22" s="11">
        <f>SUMIFS('Capacity by Linetype'!$L$3:$L$99,'Capacity by Linetype'!$B$3:$B$99,$B22,'Capacity by Linetype'!$C$3:$C$99,I$18)*10/1.609344</f>
        <v>0</v>
      </c>
    </row>
    <row r="23" spans="1:9">
      <c r="A23" s="2"/>
      <c r="B23" t="s">
        <v>39</v>
      </c>
      <c r="C23" s="11">
        <f>SUMIFS('Capacity by Linetype'!$L$3:$L$99,'Capacity by Linetype'!$B$3:$B$99,$B23,'Capacity by Linetype'!$C$3:$C$99,C$18)*10/1.609344</f>
        <v>1553.42798059333</v>
      </c>
      <c r="D23" s="11">
        <f>SUMIFS('Capacity by Linetype'!$L$3:$L$99,'Capacity by Linetype'!$B$3:$B$99,$B23,'Capacity by Linetype'!$C$3:$C$99,D$18)*10/1.609344</f>
        <v>9941.93907579734</v>
      </c>
      <c r="E23" s="11">
        <f>SUMIFS('Capacity by Linetype'!$L$3:$L$99,'Capacity by Linetype'!$B$3:$B$99,$B23,'Capacity by Linetype'!$C$3:$C$99,E$18)*10/1.609344</f>
        <v>47845.5818022747</v>
      </c>
      <c r="F23" s="11">
        <f>SUMIFS('Capacity by Linetype'!$L$3:$L$99,'Capacity by Linetype'!$B$3:$B$99,$B23,'Capacity by Linetype'!$C$3:$C$99,F$18)*10/1.609344</f>
        <v>12427.4238447467</v>
      </c>
      <c r="G23" s="11">
        <f>SUMIFS('Capacity by Linetype'!$L$3:$L$99,'Capacity by Linetype'!$B$3:$B$99,$B23,'Capacity by Linetype'!$C$3:$C$99,G$18)*10/1.609344</f>
        <v>0</v>
      </c>
      <c r="H23" s="11">
        <f>SUMIFS('Capacity by Linetype'!$L$3:$L$99,'Capacity by Linetype'!$B$3:$B$99,$B23,'Capacity by Linetype'!$C$3:$C$99,H$18)*10/1.609344</f>
        <v>24854.8476894934</v>
      </c>
      <c r="I23" s="11">
        <f>SUMIFS('Capacity by Linetype'!$L$3:$L$99,'Capacity by Linetype'!$B$3:$B$99,$B23,'Capacity by Linetype'!$C$3:$C$99,I$18)*10/1.609344</f>
        <v>19883.8781515947</v>
      </c>
    </row>
    <row r="24" spans="1:9">
      <c r="A24" s="2"/>
      <c r="B24" t="s">
        <v>41</v>
      </c>
      <c r="C24" s="11">
        <f>SUMIFS('Capacity by Linetype'!$L$3:$L$99,'Capacity by Linetype'!$B$3:$B$99,$B24,'Capacity by Linetype'!$C$3:$C$99,C$18)*10/1.609344</f>
        <v>0</v>
      </c>
      <c r="D24" s="11">
        <f>SUMIFS('Capacity by Linetype'!$L$3:$L$99,'Capacity by Linetype'!$B$3:$B$99,$B24,'Capacity by Linetype'!$C$3:$C$99,D$18)*10/1.609344</f>
        <v>0</v>
      </c>
      <c r="E24" s="11">
        <f>SUMIFS('Capacity by Linetype'!$L$3:$L$99,'Capacity by Linetype'!$B$3:$B$99,$B24,'Capacity by Linetype'!$C$3:$C$99,E$18)*10/1.609344</f>
        <v>0</v>
      </c>
      <c r="F24" s="11">
        <f>SUMIFS('Capacity by Linetype'!$L$3:$L$99,'Capacity by Linetype'!$B$3:$B$99,$B24,'Capacity by Linetype'!$C$3:$C$99,F$18)*10/1.609344</f>
        <v>7456.45430684801</v>
      </c>
      <c r="G24" s="11">
        <f>SUMIFS('Capacity by Linetype'!$L$3:$L$99,'Capacity by Linetype'!$B$3:$B$99,$B24,'Capacity by Linetype'!$C$3:$C$99,G$18)*10/1.609344</f>
        <v>7456.45430684801</v>
      </c>
      <c r="H24" s="11">
        <f>SUMIFS('Capacity by Linetype'!$L$3:$L$99,'Capacity by Linetype'!$B$3:$B$99,$B24,'Capacity by Linetype'!$C$3:$C$99,H$18)*10/1.609344</f>
        <v>0</v>
      </c>
      <c r="I24" s="11">
        <f>SUMIFS('Capacity by Linetype'!$L$3:$L$99,'Capacity by Linetype'!$B$3:$B$99,$B24,'Capacity by Linetype'!$C$3:$C$99,I$18)*10/1.609344</f>
        <v>0</v>
      </c>
    </row>
    <row r="25" spans="1:9">
      <c r="A25" s="2" t="s">
        <v>1837</v>
      </c>
      <c r="B25" t="str">
        <f>'Capacity by Linetype'!B79</f>
        <v>2、交流工程（110千伏及以上）</v>
      </c>
      <c r="C25" s="11">
        <f>SUMIFS('Capacity by Linetype'!$L$3:$L$99,'Capacity by Linetype'!$B$3:$B$99,$B25,'Capacity by Linetype'!$C$3:$C$99,C$18)*10/1.609344</f>
        <v>182881.969299292</v>
      </c>
      <c r="D25" s="11">
        <f>SUMIFS('Capacity by Linetype'!$L$3:$L$99,'Capacity by Linetype'!$B$3:$B$99,$B25,'Capacity by Linetype'!$C$3:$C$99,D$18)*10/1.609344</f>
        <v>214901.226835282</v>
      </c>
      <c r="E25" s="11">
        <f>SUMIFS('Capacity by Linetype'!$L$3:$L$99,'Capacity by Linetype'!$B$3:$B$99,$B25,'Capacity by Linetype'!$C$3:$C$99,E$18)*10/1.609344</f>
        <v>202535.940109759</v>
      </c>
      <c r="F25" s="11">
        <f>SUMIFS('Capacity by Linetype'!$L$3:$L$99,'Capacity by Linetype'!$B$3:$B$99,$B25,'Capacity by Linetype'!$C$3:$C$99,F$18)*10/1.609344</f>
        <v>192774.19867971</v>
      </c>
      <c r="G25" s="11">
        <f>SUMIFS('Capacity by Linetype'!$L$3:$L$99,'Capacity by Linetype'!$B$3:$B$99,$B25,'Capacity by Linetype'!$C$3:$C$99,G$18)*10/1.609344</f>
        <v>198310.616002545</v>
      </c>
      <c r="H25" s="11">
        <f>SUMIFS('Capacity by Linetype'!$L$3:$L$99,'Capacity by Linetype'!$B$3:$B$99,$B25,'Capacity by Linetype'!$C$3:$C$99,H$18)*10/1.609344</f>
        <v>196334.65561123</v>
      </c>
      <c r="I25" s="11">
        <f>SUMIFS('Capacity by Linetype'!$L$3:$L$99,'Capacity by Linetype'!$B$3:$B$99,$B25,'Capacity by Linetype'!$C$3:$C$99,I$18)*10/1.609344</f>
        <v>209315.099817068</v>
      </c>
    </row>
    <row r="26" spans="1:9">
      <c r="A26" s="2"/>
      <c r="B26" t="str">
        <f>'Capacity by Linetype'!B72</f>
        <v>110千伏（含66千伏）</v>
      </c>
      <c r="C26" s="11">
        <f>SUMIFS('Capacity by Linetype'!$L$3:$L$99,'Capacity by Linetype'!$B$3:$B$99,$B26,'Capacity by Linetype'!$C$3:$C$99,C$18)*10/1.609344</f>
        <v>46789.2507754712</v>
      </c>
      <c r="D26" s="11">
        <f>SUMIFS('Capacity by Linetype'!$L$3:$L$99,'Capacity by Linetype'!$B$3:$B$99,$B26,'Capacity by Linetype'!$C$3:$C$99,D$18)*10/1.609344</f>
        <v>63323.9382009067</v>
      </c>
      <c r="E26" s="11">
        <f>SUMIFS('Capacity by Linetype'!$L$3:$L$99,'Capacity by Linetype'!$B$3:$B$99,$B26,'Capacity by Linetype'!$C$3:$C$99,E$18)*10/1.609344</f>
        <v>51971.4865187306</v>
      </c>
      <c r="F26" s="11">
        <f>SUMIFS('Capacity by Linetype'!$L$3:$L$99,'Capacity by Linetype'!$B$3:$B$99,$B26,'Capacity by Linetype'!$C$3:$C$99,F$18)*10/1.609344</f>
        <v>54742.8020361091</v>
      </c>
      <c r="G26" s="11">
        <f>SUMIFS('Capacity by Linetype'!$L$3:$L$99,'Capacity by Linetype'!$B$3:$B$99,$B26,'Capacity by Linetype'!$C$3:$C$99,G$18)*10/1.609344</f>
        <v>50331.0665712241</v>
      </c>
      <c r="H26" s="11">
        <f>SUMIFS('Capacity by Linetype'!$L$3:$L$99,'Capacity by Linetype'!$B$3:$B$99,$B26,'Capacity by Linetype'!$C$3:$C$99,H$18)*10/1.609344</f>
        <v>52698.4908136483</v>
      </c>
      <c r="I26" s="11">
        <f>SUMIFS('Capacity by Linetype'!$L$3:$L$99,'Capacity by Linetype'!$B$3:$B$99,$B26,'Capacity by Linetype'!$C$3:$C$99,I$18)*10/1.609344</f>
        <v>58334.3275272409</v>
      </c>
    </row>
    <row r="27" spans="1:9">
      <c r="A27" s="2"/>
      <c r="B27" t="s">
        <v>46</v>
      </c>
      <c r="C27" s="11">
        <f>SUMIFS('Capacity by Linetype'!$L$3:$L$99,'Capacity by Linetype'!$B$3:$B$99,$B27,'Capacity by Linetype'!$C$3:$C$99,C$18)*10/1.609344</f>
        <v>54742.8020361091</v>
      </c>
      <c r="D27" s="11">
        <f>SUMIFS('Capacity by Linetype'!$L$3:$L$99,'Capacity by Linetype'!$B$3:$B$99,$B27,'Capacity by Linetype'!$C$3:$C$99,D$18)*10/1.609344</f>
        <v>57408.4844508073</v>
      </c>
      <c r="E27" s="11">
        <f>SUMIFS('Capacity by Linetype'!$L$3:$L$99,'Capacity by Linetype'!$B$3:$B$99,$B27,'Capacity by Linetype'!$C$3:$C$99,E$18)*10/1.609344</f>
        <v>64827.656486121</v>
      </c>
      <c r="F27" s="11">
        <f>SUMIFS('Capacity by Linetype'!$L$3:$L$99,'Capacity by Linetype'!$B$3:$B$99,$B27,'Capacity by Linetype'!$C$3:$C$99,F$18)*10/1.609344</f>
        <v>52207.6075717808</v>
      </c>
      <c r="G27" s="11">
        <f>SUMIFS('Capacity by Linetype'!$L$3:$L$99,'Capacity by Linetype'!$B$3:$B$99,$B27,'Capacity by Linetype'!$C$3:$C$99,G$18)*10/1.609344</f>
        <v>56923.8149208622</v>
      </c>
      <c r="H27" s="11">
        <f>SUMIFS('Capacity by Linetype'!$L$3:$L$99,'Capacity by Linetype'!$B$3:$B$99,$B27,'Capacity by Linetype'!$C$3:$C$99,H$18)*10/1.609344</f>
        <v>59235.315755985</v>
      </c>
      <c r="I27" s="11">
        <f>SUMIFS('Capacity by Linetype'!$L$3:$L$99,'Capacity by Linetype'!$B$3:$B$99,$B27,'Capacity by Linetype'!$C$3:$C$99,I$18)*10/1.609344</f>
        <v>60732.820329277</v>
      </c>
    </row>
    <row r="28" spans="1:9">
      <c r="A28" s="2"/>
      <c r="B28" t="s">
        <v>48</v>
      </c>
      <c r="C28" s="11">
        <f>SUMIFS('Capacity by Linetype'!$L$3:$L$99,'Capacity by Linetype'!$B$3:$B$99,$B28,'Capacity by Linetype'!$C$3:$C$99,C$18)*10/1.609344</f>
        <v>3989.20305416368</v>
      </c>
      <c r="D28" s="11">
        <f>SUMIFS('Capacity by Linetype'!$L$3:$L$99,'Capacity by Linetype'!$B$3:$B$99,$B28,'Capacity by Linetype'!$C$3:$C$99,D$18)*10/1.609344</f>
        <v>2982.5817227392</v>
      </c>
      <c r="E28" s="11">
        <f>SUMIFS('Capacity by Linetype'!$L$3:$L$99,'Capacity by Linetype'!$B$3:$B$99,$B28,'Capacity by Linetype'!$C$3:$C$99,E$18)*10/1.609344</f>
        <v>4865.33643521832</v>
      </c>
      <c r="F28" s="11">
        <f>SUMIFS('Capacity by Linetype'!$L$3:$L$99,'Capacity by Linetype'!$B$3:$B$99,$B28,'Capacity by Linetype'!$C$3:$C$99,F$18)*10/1.609344</f>
        <v>3802.79169649248</v>
      </c>
      <c r="G28" s="11">
        <f>SUMIFS('Capacity by Linetype'!$L$3:$L$99,'Capacity by Linetype'!$B$3:$B$99,$B28,'Capacity by Linetype'!$C$3:$C$99,G$18)*10/1.609344</f>
        <v>7847.91815795753</v>
      </c>
      <c r="H28" s="11">
        <f>SUMIFS('Capacity by Linetype'!$L$3:$L$99,'Capacity by Linetype'!$B$3:$B$99,$B28,'Capacity by Linetype'!$C$3:$C$99,H$18)*10/1.609344</f>
        <v>9059.59198282033</v>
      </c>
      <c r="I28" s="11">
        <f>SUMIFS('Capacity by Linetype'!$L$3:$L$99,'Capacity by Linetype'!$B$3:$B$99,$B28,'Capacity by Linetype'!$C$3:$C$99,I$18)*10/1.609344</f>
        <v>3579.09806728704</v>
      </c>
    </row>
    <row r="29" spans="1:9">
      <c r="A29" s="2"/>
      <c r="B29" t="s">
        <v>50</v>
      </c>
      <c r="C29" s="11">
        <f>SUMIFS('Capacity by Linetype'!$L$3:$L$99,'Capacity by Linetype'!$B$3:$B$99,$B29,'Capacity by Linetype'!$C$3:$C$99,C$18)*10/1.609344</f>
        <v>55177.7618706753</v>
      </c>
      <c r="D29" s="11">
        <f>SUMIFS('Capacity by Linetype'!$L$3:$L$99,'Capacity by Linetype'!$B$3:$B$99,$B29,'Capacity by Linetype'!$C$3:$C$99,D$18)*10/1.609344</f>
        <v>47938.7874811103</v>
      </c>
      <c r="E29" s="11">
        <f>SUMIFS('Capacity by Linetype'!$L$3:$L$99,'Capacity by Linetype'!$B$3:$B$99,$B29,'Capacity by Linetype'!$C$3:$C$99,E$18)*10/1.609344</f>
        <v>51418.4661576394</v>
      </c>
      <c r="F29" s="11">
        <f>SUMIFS('Capacity by Linetype'!$L$3:$L$99,'Capacity by Linetype'!$B$3:$B$99,$B29,'Capacity by Linetype'!$C$3:$C$99,F$18)*10/1.609344</f>
        <v>69345.0250536865</v>
      </c>
      <c r="G29" s="11">
        <f>SUMIFS('Capacity by Linetype'!$L$3:$L$99,'Capacity by Linetype'!$B$3:$B$99,$B29,'Capacity by Linetype'!$C$3:$C$99,G$18)*10/1.609344</f>
        <v>53717.5395689175</v>
      </c>
      <c r="H29" s="11">
        <f>SUMIFS('Capacity by Linetype'!$L$3:$L$99,'Capacity by Linetype'!$B$3:$B$99,$B29,'Capacity by Linetype'!$C$3:$C$99,H$18)*10/1.609344</f>
        <v>47876.6503618866</v>
      </c>
      <c r="I29" s="11">
        <f>SUMIFS('Capacity by Linetype'!$L$3:$L$99,'Capacity by Linetype'!$B$3:$B$99,$B29,'Capacity by Linetype'!$C$3:$C$99,I$18)*10/1.609344</f>
        <v>64299.4909727193</v>
      </c>
    </row>
    <row r="30" spans="1:9">
      <c r="A30" s="2"/>
      <c r="B30" t="s">
        <v>98</v>
      </c>
      <c r="C30" s="11">
        <f>SUMIFS('Capacity by Linetype'!$L$3:$L$99,'Capacity by Linetype'!$B$3:$B$99,$B30,'Capacity by Linetype'!$C$3:$C$99,C$18)*10/1.609344</f>
        <v>22182.9515628728</v>
      </c>
      <c r="D30" s="11">
        <f>SUMIFS('Capacity by Linetype'!$L$3:$L$99,'Capacity by Linetype'!$B$3:$B$99,$B30,'Capacity by Linetype'!$C$3:$C$99,D$18)*10/1.609344</f>
        <v>11557.5041756144</v>
      </c>
      <c r="E30" s="11">
        <f>SUMIFS('Capacity by Linetype'!$L$3:$L$99,'Capacity by Linetype'!$B$3:$B$99,$B30,'Capacity by Linetype'!$C$3:$C$99,E$18)*10/1.609344</f>
        <v>10811.8587449296</v>
      </c>
      <c r="F30" s="11">
        <f>SUMIFS('Capacity by Linetype'!$L$3:$L$99,'Capacity by Linetype'!$B$3:$B$99,$B30,'Capacity by Linetype'!$C$3:$C$99,F$18)*10/1.609344</f>
        <v>7083.63159150561</v>
      </c>
      <c r="G30" s="11">
        <f>SUMIFS('Capacity by Linetype'!$L$3:$L$99,'Capacity by Linetype'!$B$3:$B$99,$B30,'Capacity by Linetype'!$C$3:$C$99,G$18)*10/1.609344</f>
        <v>20163.4951881015</v>
      </c>
      <c r="H30" s="11">
        <f>SUMIFS('Capacity by Linetype'!$L$3:$L$99,'Capacity by Linetype'!$B$3:$B$99,$B30,'Capacity by Linetype'!$C$3:$C$99,H$18)*10/1.609344</f>
        <v>16279.9252366181</v>
      </c>
      <c r="I30" s="11">
        <f>SUMIFS('Capacity by Linetype'!$L$3:$L$99,'Capacity by Linetype'!$B$3:$B$99,$B30,'Capacity by Linetype'!$C$3:$C$99,I$18)*10/1.609344</f>
        <v>11184.681460272</v>
      </c>
    </row>
    <row r="31" spans="1:9">
      <c r="A31" s="2"/>
      <c r="B31" t="s">
        <v>54</v>
      </c>
      <c r="C31" s="11">
        <f>SUMIFS('Capacity by Linetype'!$L$3:$L$99,'Capacity by Linetype'!$B$3:$B$99,$B31,'Capacity by Linetype'!$C$3:$C$99,C$18)*10/1.609344</f>
        <v>0</v>
      </c>
      <c r="D31" s="11">
        <f>SUMIFS('Capacity by Linetype'!$L$3:$L$99,'Capacity by Linetype'!$B$3:$B$99,$B31,'Capacity by Linetype'!$C$3:$C$99,D$18)*10/1.609344</f>
        <v>31689.930804104</v>
      </c>
      <c r="E31" s="11">
        <f>SUMIFS('Capacity by Linetype'!$L$3:$L$99,'Capacity by Linetype'!$B$3:$B$99,$B31,'Capacity by Linetype'!$C$3:$C$99,E$18)*10/1.609344</f>
        <v>18641.13576712</v>
      </c>
      <c r="F31" s="11">
        <f>SUMIFS('Capacity by Linetype'!$L$3:$L$99,'Capacity by Linetype'!$B$3:$B$99,$B31,'Capacity by Linetype'!$C$3:$C$99,F$18)*10/1.609344</f>
        <v>5592.34073013601</v>
      </c>
      <c r="G31" s="11">
        <f>SUMIFS('Capacity by Linetype'!$L$3:$L$99,'Capacity by Linetype'!$B$3:$B$99,$B31,'Capacity by Linetype'!$C$3:$C$99,G$18)*10/1.609344</f>
        <v>9320.56788356001</v>
      </c>
      <c r="H31" s="11">
        <f>SUMIFS('Capacity by Linetype'!$L$3:$L$99,'Capacity by Linetype'!$B$3:$B$99,$B31,'Capacity by Linetype'!$C$3:$C$99,H$18)*10/1.609344</f>
        <v>11184.681460272</v>
      </c>
      <c r="I31" s="11">
        <f>SUMIFS('Capacity by Linetype'!$L$3:$L$99,'Capacity by Linetype'!$B$3:$B$99,$B31,'Capacity by Linetype'!$C$3:$C$99,I$18)*10/1.609344</f>
        <v>11184.681460272</v>
      </c>
    </row>
    <row r="32" spans="1:9">
      <c r="A32" s="2" t="s">
        <v>1838</v>
      </c>
      <c r="B32" t="s">
        <v>1843</v>
      </c>
      <c r="C32" s="11">
        <f t="shared" ref="C32:I32" si="0">C19+C25</f>
        <v>184435.397279885</v>
      </c>
      <c r="D32" s="11">
        <f t="shared" si="0"/>
        <v>235033.653463772</v>
      </c>
      <c r="E32" s="11">
        <f t="shared" si="0"/>
        <v>251624.264296508</v>
      </c>
      <c r="F32" s="11">
        <f t="shared" si="0"/>
        <v>212658.076831305</v>
      </c>
      <c r="G32" s="11">
        <f t="shared" si="0"/>
        <v>211980.782231766</v>
      </c>
      <c r="H32" s="11">
        <f t="shared" si="0"/>
        <v>228645.957607572</v>
      </c>
      <c r="I32" s="11">
        <f t="shared" si="0"/>
        <v>229198.977968663</v>
      </c>
    </row>
    <row r="34" spans="2:9">
      <c r="B34" t="s">
        <v>1844</v>
      </c>
      <c r="C34" s="10">
        <f>C16*10^6/C32</f>
        <v>386108.496182102</v>
      </c>
      <c r="D34" s="10">
        <f t="shared" ref="D34:I34" si="1">D16*10^6/D32</f>
        <v>349762.100984204</v>
      </c>
      <c r="E34" s="10">
        <f t="shared" si="1"/>
        <v>308090.281141501</v>
      </c>
      <c r="F34" s="10">
        <f t="shared" si="1"/>
        <v>354520.795809877</v>
      </c>
      <c r="G34" s="10">
        <f t="shared" si="1"/>
        <v>327473.654047747</v>
      </c>
      <c r="H34" s="10">
        <f t="shared" si="1"/>
        <v>294770.385244779</v>
      </c>
      <c r="I34" s="10">
        <f t="shared" si="1"/>
        <v>282863.818791578</v>
      </c>
    </row>
  </sheetData>
  <mergeCells count="4">
    <mergeCell ref="A2:A7"/>
    <mergeCell ref="A8:A14"/>
    <mergeCell ref="A19:A24"/>
    <mergeCell ref="A25:A31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A1:AB24"/>
  <sheetViews>
    <sheetView topLeftCell="E1" workbookViewId="0">
      <selection activeCell="I11" sqref="I11"/>
    </sheetView>
  </sheetViews>
  <sheetFormatPr defaultColWidth="9" defaultRowHeight="13.5"/>
  <cols>
    <col min="5" max="5" width="27.8761061946903" customWidth="1"/>
  </cols>
  <sheetData>
    <row r="1" s="2" customFormat="1" ht="54" spans="1:28">
      <c r="A1" s="3" t="s">
        <v>1845</v>
      </c>
      <c r="B1" s="4" t="s">
        <v>1846</v>
      </c>
      <c r="C1" s="4" t="s">
        <v>1847</v>
      </c>
      <c r="E1" s="2" t="str" cm="1">
        <f t="array" ref="E1:AB3">TRANSPOSE(A1:C24)</f>
        <v>人民币年份</v>
      </c>
      <c r="F1" s="2">
        <v>2000</v>
      </c>
      <c r="G1" s="2">
        <v>2001</v>
      </c>
      <c r="H1" s="2">
        <v>2002</v>
      </c>
      <c r="I1" s="2">
        <v>2003</v>
      </c>
      <c r="J1" s="2">
        <v>2004</v>
      </c>
      <c r="K1" s="2">
        <v>2005</v>
      </c>
      <c r="L1" s="2">
        <v>2006</v>
      </c>
      <c r="M1" s="2">
        <v>2007</v>
      </c>
      <c r="N1" s="2">
        <v>2008</v>
      </c>
      <c r="O1" s="2">
        <v>2009</v>
      </c>
      <c r="P1" s="2">
        <v>2010</v>
      </c>
      <c r="Q1" s="2">
        <v>2011</v>
      </c>
      <c r="R1" s="2">
        <v>2012</v>
      </c>
      <c r="S1" s="2">
        <v>2013</v>
      </c>
      <c r="T1" s="2">
        <v>2014</v>
      </c>
      <c r="U1" s="2">
        <v>2015</v>
      </c>
      <c r="V1" s="2">
        <v>2016</v>
      </c>
      <c r="W1" s="2">
        <v>2017</v>
      </c>
      <c r="X1" s="2">
        <v>2018</v>
      </c>
      <c r="Y1" s="2">
        <v>2019</v>
      </c>
      <c r="Z1" s="2">
        <v>2020</v>
      </c>
      <c r="AA1" s="2">
        <v>2021</v>
      </c>
      <c r="AB1" s="2">
        <v>2022</v>
      </c>
    </row>
    <row r="2" spans="1:28">
      <c r="A2" s="5">
        <v>2000</v>
      </c>
      <c r="B2" s="6">
        <v>0.264027318393146</v>
      </c>
      <c r="C2" s="6">
        <v>3.78748686342738</v>
      </c>
      <c r="D2" s="7"/>
      <c r="E2" s="7" t="str">
        <v>当年人民币相对2012美元</v>
      </c>
      <c r="F2" s="7">
        <v>0.264027318393146</v>
      </c>
      <c r="G2" s="7">
        <v>0.258730967526493</v>
      </c>
      <c r="H2" s="7">
        <v>0.257182474220425</v>
      </c>
      <c r="I2">
        <v>0.250657416210714</v>
      </c>
      <c r="J2">
        <v>0.234364418959083</v>
      </c>
      <c r="K2">
        <v>0.225559165944784</v>
      </c>
      <c r="L2">
        <v>0.217037097117422</v>
      </c>
      <c r="M2">
        <v>0.201427126315792</v>
      </c>
      <c r="N2">
        <v>0.186860689001348</v>
      </c>
      <c r="O2">
        <v>0.187253046603439</v>
      </c>
      <c r="P2">
        <v>0.175197070022782</v>
      </c>
      <c r="Q2">
        <v>0.162105908361236</v>
      </c>
      <c r="R2">
        <v>0.158412957650193</v>
      </c>
      <c r="S2">
        <v>0.155058469203377</v>
      </c>
      <c r="T2">
        <v>0.153476033552131</v>
      </c>
      <c r="U2">
        <v>0.153480552163204</v>
      </c>
      <c r="V2">
        <v>0.151350526540712</v>
      </c>
      <c r="W2">
        <v>0.145204482579299</v>
      </c>
      <c r="X2">
        <v>0.140294528147456</v>
      </c>
      <c r="Y2">
        <v>0.138511262027254</v>
      </c>
      <c r="Z2">
        <v>0.137650677988234</v>
      </c>
      <c r="AA2">
        <v>0.131872968338906</v>
      </c>
      <c r="AB2">
        <v>0.12836129061488</v>
      </c>
    </row>
    <row r="3" spans="1:28">
      <c r="A3" s="5">
        <v>2001</v>
      </c>
      <c r="B3" s="6">
        <v>0.258730967526493</v>
      </c>
      <c r="C3" s="6">
        <v>3.86501859271099</v>
      </c>
      <c r="D3" s="7"/>
      <c r="E3" s="7" t="str">
        <v>2012美元相对当年人民币价格</v>
      </c>
      <c r="F3" s="7">
        <v>3.78748686342738</v>
      </c>
      <c r="G3" s="7">
        <v>3.86501859271099</v>
      </c>
      <c r="H3" s="7">
        <v>3.88828983402238</v>
      </c>
      <c r="I3">
        <v>3.98950892863012</v>
      </c>
      <c r="J3">
        <v>4.26685929733466</v>
      </c>
      <c r="K3">
        <v>4.43342657263059</v>
      </c>
      <c r="L3">
        <v>4.60750725696896</v>
      </c>
      <c r="M3">
        <v>4.96457462453308</v>
      </c>
      <c r="N3">
        <v>5.35158039577165</v>
      </c>
      <c r="O3">
        <v>5.3403670495027</v>
      </c>
      <c r="P3">
        <v>5.70785801309328</v>
      </c>
      <c r="Q3">
        <v>6.16880661605253</v>
      </c>
      <c r="R3">
        <v>6.31261492010141</v>
      </c>
      <c r="S3">
        <v>6.44918013919244</v>
      </c>
      <c r="T3">
        <v>6.51567529376063</v>
      </c>
      <c r="U3">
        <v>6.51548346618306</v>
      </c>
      <c r="V3">
        <v>6.60717886390048</v>
      </c>
      <c r="W3">
        <v>6.88683973274641</v>
      </c>
      <c r="X3">
        <v>7.12786174346697</v>
      </c>
      <c r="Y3">
        <v>7.2196295475471</v>
      </c>
      <c r="Z3">
        <v>7.26476625189943</v>
      </c>
      <c r="AA3">
        <v>7.5830552128777</v>
      </c>
      <c r="AB3">
        <v>7.79051063766788</v>
      </c>
    </row>
    <row r="4" spans="1:28">
      <c r="A4" s="5">
        <v>2002</v>
      </c>
      <c r="B4" s="6">
        <v>0.257182474220425</v>
      </c>
      <c r="C4" s="6">
        <v>3.88828983402238</v>
      </c>
      <c r="D4" s="7"/>
      <c r="E4" s="7"/>
      <c r="F4" s="7"/>
      <c r="G4" s="7"/>
      <c r="H4" s="7"/>
    </row>
    <row r="5" spans="1:28">
      <c r="A5" s="5">
        <v>2003</v>
      </c>
      <c r="B5" s="6">
        <v>0.250657416210714</v>
      </c>
      <c r="C5" s="6">
        <v>3.98950892863012</v>
      </c>
      <c r="D5" s="7"/>
      <c r="E5" s="7"/>
      <c r="F5" s="7"/>
      <c r="G5" s="7"/>
      <c r="H5" s="7"/>
    </row>
    <row r="6" spans="1:28">
      <c r="A6" s="5">
        <v>2004</v>
      </c>
      <c r="B6" s="6">
        <v>0.234364418959083</v>
      </c>
      <c r="C6" s="6">
        <v>4.26685929733466</v>
      </c>
      <c r="D6" s="7"/>
      <c r="E6" s="7"/>
      <c r="F6" s="7"/>
      <c r="G6" s="7"/>
      <c r="H6" s="7"/>
    </row>
    <row r="7" spans="1:28">
      <c r="A7" s="5">
        <v>2005</v>
      </c>
      <c r="B7" s="6">
        <v>0.225559165944784</v>
      </c>
      <c r="C7" s="6">
        <v>4.43342657263059</v>
      </c>
      <c r="D7" s="7"/>
      <c r="E7" s="7"/>
      <c r="F7" s="7"/>
      <c r="G7" s="7"/>
      <c r="H7" s="7"/>
    </row>
    <row r="8" spans="1:28">
      <c r="A8" s="5">
        <v>2006</v>
      </c>
      <c r="B8" s="6">
        <v>0.217037097117422</v>
      </c>
      <c r="C8" s="6">
        <v>4.60750725696896</v>
      </c>
      <c r="D8" s="7"/>
      <c r="E8" s="7"/>
      <c r="F8" s="7"/>
      <c r="G8" s="7"/>
      <c r="H8" s="7"/>
    </row>
    <row r="9" spans="1:28">
      <c r="A9" s="5">
        <v>2007</v>
      </c>
      <c r="B9" s="6">
        <v>0.201427126315792</v>
      </c>
      <c r="C9" s="6">
        <v>4.96457462453308</v>
      </c>
      <c r="D9" s="7"/>
      <c r="E9" s="7"/>
      <c r="F9" s="7"/>
      <c r="G9" s="7"/>
      <c r="H9" s="7"/>
    </row>
    <row r="10" spans="1:28">
      <c r="A10" s="5">
        <v>2008</v>
      </c>
      <c r="B10" s="6">
        <v>0.186860689001348</v>
      </c>
      <c r="C10" s="6">
        <v>5.35158039577165</v>
      </c>
      <c r="D10" s="7"/>
      <c r="E10" s="7"/>
      <c r="F10" s="7"/>
      <c r="G10" s="7"/>
      <c r="H10" s="7"/>
    </row>
    <row r="11" spans="1:28">
      <c r="A11" s="5">
        <v>2009</v>
      </c>
      <c r="B11" s="6">
        <v>0.187253046603439</v>
      </c>
      <c r="C11" s="6">
        <v>5.3403670495027</v>
      </c>
      <c r="D11" s="7"/>
      <c r="E11" s="7"/>
      <c r="F11" s="7"/>
      <c r="G11" s="7"/>
      <c r="H11" s="7"/>
    </row>
    <row r="12" spans="1:28">
      <c r="A12" s="5">
        <v>2010</v>
      </c>
      <c r="B12" s="6">
        <v>0.175197070022782</v>
      </c>
      <c r="C12" s="6">
        <v>5.70785801309328</v>
      </c>
      <c r="D12" s="7"/>
      <c r="E12" s="7"/>
      <c r="F12" s="7"/>
      <c r="G12" s="7"/>
      <c r="H12" s="7"/>
    </row>
    <row r="13" spans="1:28">
      <c r="A13" s="5">
        <v>2011</v>
      </c>
      <c r="B13" s="6">
        <v>0.162105908361236</v>
      </c>
      <c r="C13" s="6">
        <v>6.16880661605253</v>
      </c>
      <c r="D13" s="7"/>
      <c r="E13" s="7"/>
      <c r="F13" s="7"/>
      <c r="G13" s="7"/>
      <c r="H13" s="7"/>
    </row>
    <row r="14" spans="1:28">
      <c r="A14" s="5">
        <v>2012</v>
      </c>
      <c r="B14" s="6">
        <v>0.158412957650193</v>
      </c>
      <c r="C14" s="6">
        <v>6.31261492010141</v>
      </c>
      <c r="D14" s="7"/>
      <c r="E14" s="7"/>
      <c r="F14" s="7"/>
      <c r="G14" s="7"/>
      <c r="H14" s="7"/>
    </row>
    <row r="15" spans="1:28">
      <c r="A15" s="5">
        <v>2013</v>
      </c>
      <c r="B15" s="6">
        <v>0.155058469203377</v>
      </c>
      <c r="C15" s="6">
        <v>6.44918013919244</v>
      </c>
      <c r="D15" s="7"/>
      <c r="E15" s="7"/>
      <c r="F15" s="7"/>
      <c r="G15" s="7"/>
      <c r="H15" s="7"/>
    </row>
    <row r="16" spans="1:28">
      <c r="A16" s="5">
        <v>2014</v>
      </c>
      <c r="B16" s="6">
        <v>0.153476033552131</v>
      </c>
      <c r="C16" s="6">
        <v>6.51567529376063</v>
      </c>
      <c r="D16" s="7"/>
      <c r="E16" s="7"/>
      <c r="F16" s="7"/>
      <c r="G16" s="7"/>
      <c r="H16" s="7"/>
    </row>
    <row r="17" spans="1:8">
      <c r="A17" s="5">
        <v>2015</v>
      </c>
      <c r="B17" s="6">
        <v>0.153480552163204</v>
      </c>
      <c r="C17" s="6">
        <v>6.51548346618306</v>
      </c>
      <c r="D17" s="7"/>
      <c r="E17" s="7"/>
      <c r="F17" s="7"/>
      <c r="G17" s="7"/>
      <c r="H17" s="7"/>
    </row>
    <row r="18" spans="1:8">
      <c r="A18" s="5">
        <v>2016</v>
      </c>
      <c r="B18" s="6">
        <v>0.151350526540712</v>
      </c>
      <c r="C18" s="6">
        <v>6.60717886390048</v>
      </c>
      <c r="D18" s="7"/>
      <c r="E18" s="7"/>
      <c r="F18" s="7"/>
      <c r="G18" s="7"/>
      <c r="H18" s="7"/>
    </row>
    <row r="19" spans="1:8">
      <c r="A19" s="5">
        <v>2017</v>
      </c>
      <c r="B19" s="6">
        <v>0.145204482579299</v>
      </c>
      <c r="C19" s="6">
        <v>6.88683973274641</v>
      </c>
      <c r="D19" s="7"/>
      <c r="E19" s="7"/>
      <c r="F19" s="7"/>
      <c r="G19" s="7"/>
      <c r="H19" s="7"/>
    </row>
    <row r="20" spans="1:8">
      <c r="A20" s="5">
        <v>2018</v>
      </c>
      <c r="B20" s="6">
        <v>0.140294528147456</v>
      </c>
      <c r="C20" s="6">
        <v>7.12786174346697</v>
      </c>
      <c r="D20" s="7"/>
      <c r="E20" s="2" t="s">
        <v>1848</v>
      </c>
      <c r="F20" s="2" t="s">
        <v>1849</v>
      </c>
      <c r="G20" s="2" t="s">
        <v>1850</v>
      </c>
    </row>
    <row r="21" spans="1:8">
      <c r="A21" s="5">
        <v>2019</v>
      </c>
      <c r="B21" s="6">
        <v>0.138511262027254</v>
      </c>
      <c r="C21" s="6">
        <v>7.2196295475471</v>
      </c>
      <c r="D21" s="7"/>
      <c r="E21" s="5">
        <v>986515</v>
      </c>
      <c r="F21" s="2"/>
      <c r="G21" s="2"/>
    </row>
    <row r="22" spans="1:8">
      <c r="A22" s="5">
        <v>2020</v>
      </c>
      <c r="B22" s="6">
        <v>0.137650677988234</v>
      </c>
      <c r="C22" s="6">
        <v>7.26476625189943</v>
      </c>
      <c r="D22" s="7"/>
      <c r="E22" s="5">
        <v>1013567</v>
      </c>
      <c r="F22" s="8">
        <v>0.022</v>
      </c>
      <c r="G22" s="8">
        <f>(1+F22)/(E22/E21)</f>
        <v>0.994722924088886</v>
      </c>
    </row>
    <row r="23" spans="1:8">
      <c r="A23" s="2">
        <v>2021</v>
      </c>
      <c r="B23" s="6">
        <f>B22*G23</f>
        <v>0.131872968338906</v>
      </c>
      <c r="C23" s="6">
        <f>1/B23</f>
        <v>7.5830552128777</v>
      </c>
      <c r="D23" s="7"/>
      <c r="E23" s="5">
        <v>1143670</v>
      </c>
      <c r="F23" s="8">
        <v>0.081</v>
      </c>
      <c r="G23" s="8">
        <f t="shared" ref="G23:G24" si="0">(1+F23)/(E23/E22)</f>
        <v>0.95802628992629</v>
      </c>
    </row>
    <row r="24" spans="1:8">
      <c r="A24" s="5">
        <v>2022</v>
      </c>
      <c r="B24" s="6">
        <f>B23*G24</f>
        <v>0.12836129061488</v>
      </c>
      <c r="C24" s="6">
        <f>1/B24</f>
        <v>7.79051063766788</v>
      </c>
      <c r="D24" s="7"/>
      <c r="E24" s="5">
        <v>1210207</v>
      </c>
      <c r="F24" s="9">
        <v>0.03</v>
      </c>
      <c r="G24" s="8">
        <f t="shared" si="0"/>
        <v>0.973370753928873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/>
  </sheetPr>
  <dimension ref="A1:B2"/>
  <sheetViews>
    <sheetView workbookViewId="0">
      <selection activeCell="E43" sqref="E43"/>
    </sheetView>
  </sheetViews>
  <sheetFormatPr defaultColWidth="9" defaultRowHeight="13.5" outlineLevelRow="1" outlineLevelCol="1"/>
  <cols>
    <col min="1" max="1" width="24.8761061946903" customWidth="1"/>
    <col min="2" max="2" width="24.5044247787611" customWidth="1"/>
  </cols>
  <sheetData>
    <row r="1" spans="1:2">
      <c r="B1" t="s">
        <v>1851</v>
      </c>
    </row>
    <row r="2" spans="1:2">
      <c r="A2" t="s">
        <v>1852</v>
      </c>
      <c r="B2" s="1">
        <f>Calculation!G34</f>
        <v>327473.654047747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About</vt:lpstr>
      <vt:lpstr>Capacity by Linetype</vt:lpstr>
      <vt:lpstr>Power Infrastructure Investment</vt:lpstr>
      <vt:lpstr>Calculation</vt:lpstr>
      <vt:lpstr>Exchange Rate</vt:lpstr>
      <vt:lpstr>TCCpUCD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仰望星空✨✨</cp:lastModifiedBy>
  <dcterms:created xsi:type="dcterms:W3CDTF">2015-07-06T21:06:00Z</dcterms:created>
  <dcterms:modified xsi:type="dcterms:W3CDTF">2026-03-26T03:12:59Z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3600339440E8435BB0C7D7F737121C7C_12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